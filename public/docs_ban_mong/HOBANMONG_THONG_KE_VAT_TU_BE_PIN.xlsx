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228"/>
  <workbookPr/>
  <mc:AlternateContent xmlns:mc="http://schemas.openxmlformats.org/markup-compatibility/2006">
    <mc:Choice Requires="x15">
      <x15ac:absPath xmlns:x15ac="http://schemas.microsoft.com/office/spreadsheetml/2010/11/ac" url="C:\Users\nhatm\AppData\Local\Temp\claude\E--Out-Job-Chu-Giap-Web-t-nh-neo-b-\76591ad0-fd64-4fcb-9443-d8c50853fa07\scratchpad\boq\"/>
    </mc:Choice>
  </mc:AlternateContent>
  <xr:revisionPtr revIDLastSave="0" documentId="8_{BAD864AC-9C11-42E0-9F3C-E4D1BF436C21}" xr6:coauthVersionLast="47" xr6:coauthVersionMax="47" xr10:uidLastSave="{00000000-0000-0000-0000-000000000000}"/>
  <bookViews>
    <workbookView xWindow="2380" yWindow="4110" windowWidth="19200" windowHeight="11170" xr2:uid="{00000000-000D-0000-FFFF-FFFF00000000}"/>
  </bookViews>
  <sheets>
    <sheet name="TongHop" sheetId="1" r:id="rId1"/>
    <sheet name="DuLieuBanVe" sheetId="2" r:id="rId2"/>
    <sheet name="GiaCuong_UocTinh" sheetId="3" r:id="rId3"/>
    <sheet name="DoiChieu_MatBang" sheetId="4" r:id="rId4"/>
    <sheet name="GiaDinh" sheetId="5" r:id="rId5"/>
    <sheet name="GhiChu" sheetId="6" r:id="rId6"/>
  </sheets>
  <calcPr calcId="181029"/>
</workbook>
</file>

<file path=xl/calcChain.xml><?xml version="1.0" encoding="utf-8"?>
<calcChain xmlns="http://schemas.openxmlformats.org/spreadsheetml/2006/main">
  <c r="N12" i="4" l="1"/>
  <c r="I12" i="4"/>
  <c r="H12" i="4"/>
  <c r="D12" i="4"/>
  <c r="C12" i="4"/>
  <c r="E12" i="4" s="1"/>
  <c r="L11" i="4"/>
  <c r="K11" i="4"/>
  <c r="J11" i="4"/>
  <c r="E11" i="4"/>
  <c r="L10" i="4"/>
  <c r="K10" i="4"/>
  <c r="J10" i="4"/>
  <c r="E10" i="4"/>
  <c r="L9" i="4"/>
  <c r="K9" i="4"/>
  <c r="J9" i="4"/>
  <c r="E9" i="4"/>
  <c r="L8" i="4"/>
  <c r="K8" i="4"/>
  <c r="J8" i="4"/>
  <c r="E8" i="4"/>
  <c r="L7" i="4"/>
  <c r="K7" i="4"/>
  <c r="J7" i="4"/>
  <c r="E7" i="4"/>
  <c r="L6" i="4"/>
  <c r="K6" i="4"/>
  <c r="J6" i="4"/>
  <c r="E6" i="4"/>
  <c r="L5" i="4"/>
  <c r="K5" i="4"/>
  <c r="J5" i="4"/>
  <c r="E5" i="4"/>
  <c r="L4" i="4"/>
  <c r="K4" i="4"/>
  <c r="J4" i="4"/>
  <c r="E4" i="4"/>
  <c r="I375" i="3"/>
  <c r="J375" i="3" s="1"/>
  <c r="K375" i="3" s="1"/>
  <c r="L375" i="3" s="1"/>
  <c r="H375" i="3"/>
  <c r="G375" i="3"/>
  <c r="I374" i="3"/>
  <c r="H374" i="3"/>
  <c r="G374" i="3"/>
  <c r="I373" i="3"/>
  <c r="H373" i="3"/>
  <c r="G373" i="3"/>
  <c r="I372" i="3"/>
  <c r="H372" i="3"/>
  <c r="G372" i="3"/>
  <c r="I371" i="3"/>
  <c r="J371" i="3" s="1"/>
  <c r="K371" i="3" s="1"/>
  <c r="H371" i="3"/>
  <c r="G371" i="3"/>
  <c r="I370" i="3"/>
  <c r="H370" i="3"/>
  <c r="G370" i="3"/>
  <c r="I369" i="3"/>
  <c r="H369" i="3"/>
  <c r="G369" i="3"/>
  <c r="I368" i="3"/>
  <c r="J368" i="3" s="1"/>
  <c r="K368" i="3" s="1"/>
  <c r="H368" i="3"/>
  <c r="G368" i="3"/>
  <c r="L368" i="3" s="1"/>
  <c r="I367" i="3"/>
  <c r="H367" i="3"/>
  <c r="G367" i="3"/>
  <c r="I366" i="3"/>
  <c r="H366" i="3"/>
  <c r="J366" i="3" s="1"/>
  <c r="K366" i="3" s="1"/>
  <c r="G366" i="3"/>
  <c r="I365" i="3"/>
  <c r="H365" i="3"/>
  <c r="G365" i="3"/>
  <c r="I364" i="3"/>
  <c r="J364" i="3" s="1"/>
  <c r="K364" i="3" s="1"/>
  <c r="L364" i="3" s="1"/>
  <c r="H364" i="3"/>
  <c r="G364" i="3"/>
  <c r="J363" i="3"/>
  <c r="K363" i="3" s="1"/>
  <c r="I363" i="3"/>
  <c r="H363" i="3"/>
  <c r="G363" i="3"/>
  <c r="I362" i="3"/>
  <c r="H362" i="3"/>
  <c r="G362" i="3"/>
  <c r="I361" i="3"/>
  <c r="H361" i="3"/>
  <c r="G361" i="3"/>
  <c r="I360" i="3"/>
  <c r="H360" i="3"/>
  <c r="G360" i="3"/>
  <c r="I359" i="3"/>
  <c r="H359" i="3"/>
  <c r="G359" i="3"/>
  <c r="I358" i="3"/>
  <c r="H358" i="3"/>
  <c r="G358" i="3"/>
  <c r="I357" i="3"/>
  <c r="H357" i="3"/>
  <c r="G357" i="3"/>
  <c r="I356" i="3"/>
  <c r="H356" i="3"/>
  <c r="G356" i="3"/>
  <c r="I355" i="3"/>
  <c r="H355" i="3"/>
  <c r="G355" i="3"/>
  <c r="I354" i="3"/>
  <c r="H354" i="3"/>
  <c r="G354" i="3"/>
  <c r="I353" i="3"/>
  <c r="J353" i="3" s="1"/>
  <c r="K353" i="3" s="1"/>
  <c r="L353" i="3" s="1"/>
  <c r="H353" i="3"/>
  <c r="G353" i="3"/>
  <c r="I352" i="3"/>
  <c r="H352" i="3"/>
  <c r="G352" i="3"/>
  <c r="I351" i="3"/>
  <c r="H351" i="3"/>
  <c r="J351" i="3" s="1"/>
  <c r="K351" i="3" s="1"/>
  <c r="G351" i="3"/>
  <c r="I350" i="3"/>
  <c r="J350" i="3" s="1"/>
  <c r="K350" i="3" s="1"/>
  <c r="H350" i="3"/>
  <c r="G350" i="3"/>
  <c r="I349" i="3"/>
  <c r="H349" i="3"/>
  <c r="G349" i="3"/>
  <c r="J348" i="3"/>
  <c r="K348" i="3" s="1"/>
  <c r="L348" i="3" s="1"/>
  <c r="I348" i="3"/>
  <c r="H348" i="3"/>
  <c r="G348" i="3"/>
  <c r="I347" i="3"/>
  <c r="H347" i="3"/>
  <c r="G347" i="3"/>
  <c r="I346" i="3"/>
  <c r="H346" i="3"/>
  <c r="G346" i="3"/>
  <c r="I345" i="3"/>
  <c r="H345" i="3"/>
  <c r="G345" i="3"/>
  <c r="I344" i="3"/>
  <c r="H344" i="3"/>
  <c r="G344" i="3"/>
  <c r="I343" i="3"/>
  <c r="J343" i="3" s="1"/>
  <c r="K343" i="3" s="1"/>
  <c r="L343" i="3" s="1"/>
  <c r="H343" i="3"/>
  <c r="G343" i="3"/>
  <c r="I342" i="3"/>
  <c r="J342" i="3" s="1"/>
  <c r="K342" i="3" s="1"/>
  <c r="L342" i="3" s="1"/>
  <c r="H342" i="3"/>
  <c r="G342" i="3"/>
  <c r="I341" i="3"/>
  <c r="J341" i="3" s="1"/>
  <c r="K341" i="3" s="1"/>
  <c r="H341" i="3"/>
  <c r="G341" i="3"/>
  <c r="I340" i="3"/>
  <c r="H340" i="3"/>
  <c r="G340" i="3"/>
  <c r="I339" i="3"/>
  <c r="H339" i="3"/>
  <c r="G339" i="3"/>
  <c r="I338" i="3"/>
  <c r="H338" i="3"/>
  <c r="G338" i="3"/>
  <c r="I337" i="3"/>
  <c r="H337" i="3"/>
  <c r="G337" i="3"/>
  <c r="I336" i="3"/>
  <c r="H336" i="3"/>
  <c r="G336" i="3"/>
  <c r="I335" i="3"/>
  <c r="H335" i="3"/>
  <c r="J335" i="3" s="1"/>
  <c r="K335" i="3" s="1"/>
  <c r="G335" i="3"/>
  <c r="I334" i="3"/>
  <c r="J334" i="3" s="1"/>
  <c r="K334" i="3" s="1"/>
  <c r="H334" i="3"/>
  <c r="G334" i="3"/>
  <c r="I333" i="3"/>
  <c r="H333" i="3"/>
  <c r="G333" i="3"/>
  <c r="I332" i="3"/>
  <c r="J332" i="3" s="1"/>
  <c r="K332" i="3" s="1"/>
  <c r="L332" i="3" s="1"/>
  <c r="H332" i="3"/>
  <c r="G332" i="3"/>
  <c r="I331" i="3"/>
  <c r="H331" i="3"/>
  <c r="G331" i="3"/>
  <c r="I330" i="3"/>
  <c r="H330" i="3"/>
  <c r="G330" i="3"/>
  <c r="I329" i="3"/>
  <c r="H329" i="3"/>
  <c r="G329" i="3"/>
  <c r="I328" i="3"/>
  <c r="H328" i="3"/>
  <c r="J328" i="3" s="1"/>
  <c r="K328" i="3" s="1"/>
  <c r="G328" i="3"/>
  <c r="I327" i="3"/>
  <c r="H327" i="3"/>
  <c r="G327" i="3"/>
  <c r="I326" i="3"/>
  <c r="H326" i="3"/>
  <c r="G326" i="3"/>
  <c r="I325" i="3"/>
  <c r="J325" i="3" s="1"/>
  <c r="K325" i="3" s="1"/>
  <c r="H325" i="3"/>
  <c r="G325" i="3"/>
  <c r="I324" i="3"/>
  <c r="H324" i="3"/>
  <c r="G324" i="3"/>
  <c r="I323" i="3"/>
  <c r="J323" i="3" s="1"/>
  <c r="K323" i="3" s="1"/>
  <c r="H323" i="3"/>
  <c r="G323" i="3"/>
  <c r="I322" i="3"/>
  <c r="H322" i="3"/>
  <c r="G322" i="3"/>
  <c r="I321" i="3"/>
  <c r="J321" i="3" s="1"/>
  <c r="K321" i="3" s="1"/>
  <c r="L321" i="3" s="1"/>
  <c r="H321" i="3"/>
  <c r="G321" i="3"/>
  <c r="I320" i="3"/>
  <c r="J320" i="3" s="1"/>
  <c r="K320" i="3" s="1"/>
  <c r="H320" i="3"/>
  <c r="G320" i="3"/>
  <c r="I319" i="3"/>
  <c r="H319" i="3"/>
  <c r="G319" i="3"/>
  <c r="J318" i="3"/>
  <c r="K318" i="3" s="1"/>
  <c r="I318" i="3"/>
  <c r="H318" i="3"/>
  <c r="G318" i="3"/>
  <c r="I317" i="3"/>
  <c r="H317" i="3"/>
  <c r="G317" i="3"/>
  <c r="I316" i="3"/>
  <c r="J316" i="3" s="1"/>
  <c r="K316" i="3" s="1"/>
  <c r="L316" i="3" s="1"/>
  <c r="H316" i="3"/>
  <c r="G316" i="3"/>
  <c r="I315" i="3"/>
  <c r="H315" i="3"/>
  <c r="G315" i="3"/>
  <c r="I314" i="3"/>
  <c r="H314" i="3"/>
  <c r="G314" i="3"/>
  <c r="I313" i="3"/>
  <c r="H313" i="3"/>
  <c r="G313" i="3"/>
  <c r="I312" i="3"/>
  <c r="H312" i="3"/>
  <c r="J312" i="3" s="1"/>
  <c r="K312" i="3" s="1"/>
  <c r="G312" i="3"/>
  <c r="I311" i="3"/>
  <c r="H311" i="3"/>
  <c r="G311" i="3"/>
  <c r="I310" i="3"/>
  <c r="H310" i="3"/>
  <c r="G310" i="3"/>
  <c r="I309" i="3"/>
  <c r="J309" i="3" s="1"/>
  <c r="K309" i="3" s="1"/>
  <c r="H309" i="3"/>
  <c r="G309" i="3"/>
  <c r="I308" i="3"/>
  <c r="H308" i="3"/>
  <c r="G308" i="3"/>
  <c r="K307" i="3"/>
  <c r="I307" i="3"/>
  <c r="J307" i="3" s="1"/>
  <c r="H307" i="3"/>
  <c r="G307" i="3"/>
  <c r="I306" i="3"/>
  <c r="J306" i="3" s="1"/>
  <c r="K306" i="3" s="1"/>
  <c r="L306" i="3" s="1"/>
  <c r="H306" i="3"/>
  <c r="G306" i="3"/>
  <c r="I305" i="3"/>
  <c r="H305" i="3"/>
  <c r="G305" i="3"/>
  <c r="I304" i="3"/>
  <c r="J304" i="3" s="1"/>
  <c r="K304" i="3" s="1"/>
  <c r="H304" i="3"/>
  <c r="G304" i="3"/>
  <c r="I303" i="3"/>
  <c r="H303" i="3"/>
  <c r="G303" i="3"/>
  <c r="I302" i="3"/>
  <c r="J302" i="3" s="1"/>
  <c r="K302" i="3" s="1"/>
  <c r="H302" i="3"/>
  <c r="G302" i="3"/>
  <c r="L302" i="3" s="1"/>
  <c r="I301" i="3"/>
  <c r="H301" i="3"/>
  <c r="G301" i="3"/>
  <c r="J300" i="3"/>
  <c r="K300" i="3" s="1"/>
  <c r="L300" i="3" s="1"/>
  <c r="I300" i="3"/>
  <c r="H300" i="3"/>
  <c r="G300" i="3"/>
  <c r="I299" i="3"/>
  <c r="H299" i="3"/>
  <c r="J299" i="3" s="1"/>
  <c r="K299" i="3" s="1"/>
  <c r="G299" i="3"/>
  <c r="L299" i="3" s="1"/>
  <c r="I298" i="3"/>
  <c r="H298" i="3"/>
  <c r="G298" i="3"/>
  <c r="I297" i="3"/>
  <c r="H297" i="3"/>
  <c r="G297" i="3"/>
  <c r="I296" i="3"/>
  <c r="H296" i="3"/>
  <c r="J296" i="3" s="1"/>
  <c r="K296" i="3" s="1"/>
  <c r="G296" i="3"/>
  <c r="I295" i="3"/>
  <c r="H295" i="3"/>
  <c r="G295" i="3"/>
  <c r="I294" i="3"/>
  <c r="H294" i="3"/>
  <c r="G294" i="3"/>
  <c r="I293" i="3"/>
  <c r="H293" i="3"/>
  <c r="G293" i="3"/>
  <c r="I292" i="3"/>
  <c r="H292" i="3"/>
  <c r="G292" i="3"/>
  <c r="I291" i="3"/>
  <c r="J291" i="3" s="1"/>
  <c r="K291" i="3" s="1"/>
  <c r="H291" i="3"/>
  <c r="G291" i="3"/>
  <c r="P290" i="3"/>
  <c r="I290" i="3"/>
  <c r="J290" i="3" s="1"/>
  <c r="K290" i="3" s="1"/>
  <c r="L290" i="3" s="1"/>
  <c r="N290" i="3" s="1"/>
  <c r="H290" i="3"/>
  <c r="G290" i="3"/>
  <c r="I289" i="3"/>
  <c r="J289" i="3" s="1"/>
  <c r="K289" i="3" s="1"/>
  <c r="L289" i="3" s="1"/>
  <c r="O289" i="3" s="1"/>
  <c r="H289" i="3"/>
  <c r="G289" i="3"/>
  <c r="I288" i="3"/>
  <c r="H288" i="3"/>
  <c r="G288" i="3"/>
  <c r="I287" i="3"/>
  <c r="H287" i="3"/>
  <c r="G287" i="3"/>
  <c r="I286" i="3"/>
  <c r="J286" i="3" s="1"/>
  <c r="K286" i="3" s="1"/>
  <c r="H286" i="3"/>
  <c r="G286" i="3"/>
  <c r="I285" i="3"/>
  <c r="H285" i="3"/>
  <c r="G285" i="3"/>
  <c r="I284" i="3"/>
  <c r="J284" i="3" s="1"/>
  <c r="K284" i="3" s="1"/>
  <c r="L284" i="3" s="1"/>
  <c r="H284" i="3"/>
  <c r="G284" i="3"/>
  <c r="I283" i="3"/>
  <c r="H283" i="3"/>
  <c r="G283" i="3"/>
  <c r="I282" i="3"/>
  <c r="H282" i="3"/>
  <c r="J282" i="3" s="1"/>
  <c r="K282" i="3" s="1"/>
  <c r="G282" i="3"/>
  <c r="I281" i="3"/>
  <c r="H281" i="3"/>
  <c r="G281" i="3"/>
  <c r="I280" i="3"/>
  <c r="H280" i="3"/>
  <c r="J280" i="3" s="1"/>
  <c r="K280" i="3" s="1"/>
  <c r="G280" i="3"/>
  <c r="I279" i="3"/>
  <c r="H279" i="3"/>
  <c r="G279" i="3"/>
  <c r="I278" i="3"/>
  <c r="H278" i="3"/>
  <c r="J278" i="3" s="1"/>
  <c r="K278" i="3" s="1"/>
  <c r="G278" i="3"/>
  <c r="I277" i="3"/>
  <c r="J277" i="3" s="1"/>
  <c r="K277" i="3" s="1"/>
  <c r="H277" i="3"/>
  <c r="G277" i="3"/>
  <c r="I276" i="3"/>
  <c r="H276" i="3"/>
  <c r="G276" i="3"/>
  <c r="I275" i="3"/>
  <c r="J275" i="3" s="1"/>
  <c r="K275" i="3" s="1"/>
  <c r="H275" i="3"/>
  <c r="G275" i="3"/>
  <c r="I274" i="3"/>
  <c r="H274" i="3"/>
  <c r="G274" i="3"/>
  <c r="I273" i="3"/>
  <c r="J273" i="3" s="1"/>
  <c r="K273" i="3" s="1"/>
  <c r="L273" i="3" s="1"/>
  <c r="H273" i="3"/>
  <c r="G273" i="3"/>
  <c r="I272" i="3"/>
  <c r="H272" i="3"/>
  <c r="G272" i="3"/>
  <c r="I271" i="3"/>
  <c r="H271" i="3"/>
  <c r="G271" i="3"/>
  <c r="I270" i="3"/>
  <c r="J270" i="3" s="1"/>
  <c r="K270" i="3" s="1"/>
  <c r="H270" i="3"/>
  <c r="G270" i="3"/>
  <c r="L270" i="3" s="1"/>
  <c r="P270" i="3" s="1"/>
  <c r="Q270" i="3" s="1"/>
  <c r="I269" i="3"/>
  <c r="J269" i="3" s="1"/>
  <c r="K269" i="3" s="1"/>
  <c r="H269" i="3"/>
  <c r="G269" i="3"/>
  <c r="I268" i="3"/>
  <c r="J268" i="3" s="1"/>
  <c r="K268" i="3" s="1"/>
  <c r="L268" i="3" s="1"/>
  <c r="H268" i="3"/>
  <c r="G268" i="3"/>
  <c r="J267" i="3"/>
  <c r="K267" i="3" s="1"/>
  <c r="L267" i="3" s="1"/>
  <c r="I267" i="3"/>
  <c r="H267" i="3"/>
  <c r="G267" i="3"/>
  <c r="I266" i="3"/>
  <c r="H266" i="3"/>
  <c r="J266" i="3" s="1"/>
  <c r="K266" i="3" s="1"/>
  <c r="G266" i="3"/>
  <c r="I265" i="3"/>
  <c r="J265" i="3" s="1"/>
  <c r="K265" i="3" s="1"/>
  <c r="H265" i="3"/>
  <c r="G265" i="3"/>
  <c r="I264" i="3"/>
  <c r="H264" i="3"/>
  <c r="J264" i="3" s="1"/>
  <c r="K264" i="3" s="1"/>
  <c r="G264" i="3"/>
  <c r="I263" i="3"/>
  <c r="H263" i="3"/>
  <c r="G263" i="3"/>
  <c r="I262" i="3"/>
  <c r="H262" i="3"/>
  <c r="G262" i="3"/>
  <c r="I261" i="3"/>
  <c r="H261" i="3"/>
  <c r="G261" i="3"/>
  <c r="I260" i="3"/>
  <c r="H260" i="3"/>
  <c r="G260" i="3"/>
  <c r="I259" i="3"/>
  <c r="H259" i="3"/>
  <c r="G259" i="3"/>
  <c r="I258" i="3"/>
  <c r="H258" i="3"/>
  <c r="G258" i="3"/>
  <c r="I257" i="3"/>
  <c r="H257" i="3"/>
  <c r="G257" i="3"/>
  <c r="I256" i="3"/>
  <c r="H256" i="3"/>
  <c r="J256" i="3" s="1"/>
  <c r="K256" i="3" s="1"/>
  <c r="L256" i="3" s="1"/>
  <c r="G256" i="3"/>
  <c r="I255" i="3"/>
  <c r="J255" i="3" s="1"/>
  <c r="K255" i="3" s="1"/>
  <c r="H255" i="3"/>
  <c r="G255" i="3"/>
  <c r="I254" i="3"/>
  <c r="J254" i="3" s="1"/>
  <c r="K254" i="3" s="1"/>
  <c r="H254" i="3"/>
  <c r="G254" i="3"/>
  <c r="I253" i="3"/>
  <c r="H253" i="3"/>
  <c r="G253" i="3"/>
  <c r="I252" i="3"/>
  <c r="H252" i="3"/>
  <c r="J252" i="3" s="1"/>
  <c r="K252" i="3" s="1"/>
  <c r="L252" i="3" s="1"/>
  <c r="G252" i="3"/>
  <c r="I251" i="3"/>
  <c r="H251" i="3"/>
  <c r="G251" i="3"/>
  <c r="I250" i="3"/>
  <c r="H250" i="3"/>
  <c r="G250" i="3"/>
  <c r="I249" i="3"/>
  <c r="H249" i="3"/>
  <c r="G249" i="3"/>
  <c r="I248" i="3"/>
  <c r="J248" i="3" s="1"/>
  <c r="K248" i="3" s="1"/>
  <c r="H248" i="3"/>
  <c r="G248" i="3"/>
  <c r="I247" i="3"/>
  <c r="H247" i="3"/>
  <c r="G247" i="3"/>
  <c r="I246" i="3"/>
  <c r="J246" i="3" s="1"/>
  <c r="K246" i="3" s="1"/>
  <c r="L246" i="3" s="1"/>
  <c r="H246" i="3"/>
  <c r="G246" i="3"/>
  <c r="I245" i="3"/>
  <c r="H245" i="3"/>
  <c r="G245" i="3"/>
  <c r="I244" i="3"/>
  <c r="J244" i="3" s="1"/>
  <c r="K244" i="3" s="1"/>
  <c r="L244" i="3" s="1"/>
  <c r="H244" i="3"/>
  <c r="G244" i="3"/>
  <c r="I243" i="3"/>
  <c r="H243" i="3"/>
  <c r="G243" i="3"/>
  <c r="I242" i="3"/>
  <c r="H242" i="3"/>
  <c r="J242" i="3" s="1"/>
  <c r="K242" i="3" s="1"/>
  <c r="G242" i="3"/>
  <c r="I241" i="3"/>
  <c r="J241" i="3" s="1"/>
  <c r="K241" i="3" s="1"/>
  <c r="L241" i="3" s="1"/>
  <c r="H241" i="3"/>
  <c r="G241" i="3"/>
  <c r="I240" i="3"/>
  <c r="H240" i="3"/>
  <c r="G240" i="3"/>
  <c r="I239" i="3"/>
  <c r="H239" i="3"/>
  <c r="J239" i="3" s="1"/>
  <c r="K239" i="3" s="1"/>
  <c r="G239" i="3"/>
  <c r="I238" i="3"/>
  <c r="H238" i="3"/>
  <c r="J238" i="3" s="1"/>
  <c r="K238" i="3" s="1"/>
  <c r="G238" i="3"/>
  <c r="I237" i="3"/>
  <c r="H237" i="3"/>
  <c r="G237" i="3"/>
  <c r="I236" i="3"/>
  <c r="J236" i="3" s="1"/>
  <c r="K236" i="3" s="1"/>
  <c r="H236" i="3"/>
  <c r="G236" i="3"/>
  <c r="I235" i="3"/>
  <c r="J235" i="3" s="1"/>
  <c r="K235" i="3" s="1"/>
  <c r="L235" i="3" s="1"/>
  <c r="H235" i="3"/>
  <c r="G235" i="3"/>
  <c r="I234" i="3"/>
  <c r="H234" i="3"/>
  <c r="G234" i="3"/>
  <c r="I233" i="3"/>
  <c r="H233" i="3"/>
  <c r="G233" i="3"/>
  <c r="I232" i="3"/>
  <c r="H232" i="3"/>
  <c r="J232" i="3" s="1"/>
  <c r="K232" i="3" s="1"/>
  <c r="L232" i="3" s="1"/>
  <c r="G232" i="3"/>
  <c r="I231" i="3"/>
  <c r="H231" i="3"/>
  <c r="G231" i="3"/>
  <c r="I230" i="3"/>
  <c r="J230" i="3" s="1"/>
  <c r="K230" i="3" s="1"/>
  <c r="L230" i="3" s="1"/>
  <c r="H230" i="3"/>
  <c r="G230" i="3"/>
  <c r="I229" i="3"/>
  <c r="J229" i="3" s="1"/>
  <c r="K229" i="3" s="1"/>
  <c r="L229" i="3" s="1"/>
  <c r="H229" i="3"/>
  <c r="G229" i="3"/>
  <c r="I228" i="3"/>
  <c r="H228" i="3"/>
  <c r="G228" i="3"/>
  <c r="I227" i="3"/>
  <c r="H227" i="3"/>
  <c r="G227" i="3"/>
  <c r="I226" i="3"/>
  <c r="J226" i="3" s="1"/>
  <c r="K226" i="3" s="1"/>
  <c r="H226" i="3"/>
  <c r="G226" i="3"/>
  <c r="I225" i="3"/>
  <c r="J225" i="3" s="1"/>
  <c r="K225" i="3" s="1"/>
  <c r="H225" i="3"/>
  <c r="G225" i="3"/>
  <c r="L225" i="3" s="1"/>
  <c r="I224" i="3"/>
  <c r="J224" i="3" s="1"/>
  <c r="K224" i="3" s="1"/>
  <c r="H224" i="3"/>
  <c r="G224" i="3"/>
  <c r="I223" i="3"/>
  <c r="H223" i="3"/>
  <c r="J223" i="3" s="1"/>
  <c r="K223" i="3" s="1"/>
  <c r="G223" i="3"/>
  <c r="I222" i="3"/>
  <c r="J222" i="3" s="1"/>
  <c r="K222" i="3" s="1"/>
  <c r="L222" i="3" s="1"/>
  <c r="H222" i="3"/>
  <c r="G222" i="3"/>
  <c r="I221" i="3"/>
  <c r="J221" i="3" s="1"/>
  <c r="K221" i="3" s="1"/>
  <c r="H221" i="3"/>
  <c r="G221" i="3"/>
  <c r="L221" i="3" s="1"/>
  <c r="I220" i="3"/>
  <c r="J220" i="3" s="1"/>
  <c r="K220" i="3" s="1"/>
  <c r="H220" i="3"/>
  <c r="G220" i="3"/>
  <c r="J219" i="3"/>
  <c r="K219" i="3" s="1"/>
  <c r="I219" i="3"/>
  <c r="H219" i="3"/>
  <c r="G219" i="3"/>
  <c r="I218" i="3"/>
  <c r="H218" i="3"/>
  <c r="G218" i="3"/>
  <c r="I217" i="3"/>
  <c r="H217" i="3"/>
  <c r="G217" i="3"/>
  <c r="I216" i="3"/>
  <c r="J216" i="3" s="1"/>
  <c r="K216" i="3" s="1"/>
  <c r="H216" i="3"/>
  <c r="G216" i="3"/>
  <c r="I215" i="3"/>
  <c r="J215" i="3" s="1"/>
  <c r="K215" i="3" s="1"/>
  <c r="H215" i="3"/>
  <c r="G215" i="3"/>
  <c r="I214" i="3"/>
  <c r="H214" i="3"/>
  <c r="G214" i="3"/>
  <c r="I213" i="3"/>
  <c r="H213" i="3"/>
  <c r="G213" i="3"/>
  <c r="I212" i="3"/>
  <c r="J212" i="3" s="1"/>
  <c r="K212" i="3" s="1"/>
  <c r="H212" i="3"/>
  <c r="G212" i="3"/>
  <c r="I211" i="3"/>
  <c r="H211" i="3"/>
  <c r="J211" i="3" s="1"/>
  <c r="K211" i="3" s="1"/>
  <c r="G211" i="3"/>
  <c r="I210" i="3"/>
  <c r="J210" i="3" s="1"/>
  <c r="K210" i="3" s="1"/>
  <c r="L210" i="3" s="1"/>
  <c r="H210" i="3"/>
  <c r="G210" i="3"/>
  <c r="I209" i="3"/>
  <c r="H209" i="3"/>
  <c r="G209" i="3"/>
  <c r="I208" i="3"/>
  <c r="J208" i="3" s="1"/>
  <c r="K208" i="3" s="1"/>
  <c r="H208" i="3"/>
  <c r="G208" i="3"/>
  <c r="I207" i="3"/>
  <c r="H207" i="3"/>
  <c r="G207" i="3"/>
  <c r="I206" i="3"/>
  <c r="H206" i="3"/>
  <c r="J206" i="3" s="1"/>
  <c r="K206" i="3" s="1"/>
  <c r="G206" i="3"/>
  <c r="I205" i="3"/>
  <c r="H205" i="3"/>
  <c r="G205" i="3"/>
  <c r="I204" i="3"/>
  <c r="H204" i="3"/>
  <c r="G204" i="3"/>
  <c r="I203" i="3"/>
  <c r="H203" i="3"/>
  <c r="J203" i="3" s="1"/>
  <c r="K203" i="3" s="1"/>
  <c r="G203" i="3"/>
  <c r="I202" i="3"/>
  <c r="H202" i="3"/>
  <c r="G202" i="3"/>
  <c r="I201" i="3"/>
  <c r="H201" i="3"/>
  <c r="G201" i="3"/>
  <c r="I200" i="3"/>
  <c r="H200" i="3"/>
  <c r="G200" i="3"/>
  <c r="I199" i="3"/>
  <c r="H199" i="3"/>
  <c r="G199" i="3"/>
  <c r="I198" i="3"/>
  <c r="J198" i="3" s="1"/>
  <c r="K198" i="3" s="1"/>
  <c r="H198" i="3"/>
  <c r="G198" i="3"/>
  <c r="L198" i="3" s="1"/>
  <c r="I197" i="3"/>
  <c r="J197" i="3" s="1"/>
  <c r="K197" i="3" s="1"/>
  <c r="L197" i="3" s="1"/>
  <c r="H197" i="3"/>
  <c r="G197" i="3"/>
  <c r="I196" i="3"/>
  <c r="J196" i="3" s="1"/>
  <c r="K196" i="3" s="1"/>
  <c r="H196" i="3"/>
  <c r="G196" i="3"/>
  <c r="I195" i="3"/>
  <c r="J195" i="3" s="1"/>
  <c r="K195" i="3" s="1"/>
  <c r="H195" i="3"/>
  <c r="G195" i="3"/>
  <c r="I194" i="3"/>
  <c r="H194" i="3"/>
  <c r="G194" i="3"/>
  <c r="I193" i="3"/>
  <c r="H193" i="3"/>
  <c r="J193" i="3" s="1"/>
  <c r="K193" i="3" s="1"/>
  <c r="G193" i="3"/>
  <c r="I192" i="3"/>
  <c r="H192" i="3"/>
  <c r="G192" i="3"/>
  <c r="I191" i="3"/>
  <c r="H191" i="3"/>
  <c r="J191" i="3" s="1"/>
  <c r="K191" i="3" s="1"/>
  <c r="G191" i="3"/>
  <c r="I190" i="3"/>
  <c r="J190" i="3" s="1"/>
  <c r="K190" i="3" s="1"/>
  <c r="L190" i="3" s="1"/>
  <c r="H190" i="3"/>
  <c r="G190" i="3"/>
  <c r="I189" i="3"/>
  <c r="H189" i="3"/>
  <c r="G189" i="3"/>
  <c r="I188" i="3"/>
  <c r="H188" i="3"/>
  <c r="G188" i="3"/>
  <c r="I187" i="3"/>
  <c r="J187" i="3" s="1"/>
  <c r="K187" i="3" s="1"/>
  <c r="L187" i="3" s="1"/>
  <c r="H187" i="3"/>
  <c r="G187" i="3"/>
  <c r="I186" i="3"/>
  <c r="H186" i="3"/>
  <c r="G186" i="3"/>
  <c r="I185" i="3"/>
  <c r="H185" i="3"/>
  <c r="G185" i="3"/>
  <c r="I184" i="3"/>
  <c r="H184" i="3"/>
  <c r="J184" i="3" s="1"/>
  <c r="K184" i="3" s="1"/>
  <c r="G184" i="3"/>
  <c r="I183" i="3"/>
  <c r="J183" i="3" s="1"/>
  <c r="K183" i="3" s="1"/>
  <c r="H183" i="3"/>
  <c r="G183" i="3"/>
  <c r="I182" i="3"/>
  <c r="J182" i="3" s="1"/>
  <c r="K182" i="3" s="1"/>
  <c r="H182" i="3"/>
  <c r="G182" i="3"/>
  <c r="I181" i="3"/>
  <c r="J181" i="3" s="1"/>
  <c r="K181" i="3" s="1"/>
  <c r="H181" i="3"/>
  <c r="G181" i="3"/>
  <c r="I180" i="3"/>
  <c r="H180" i="3"/>
  <c r="G180" i="3"/>
  <c r="I179" i="3"/>
  <c r="J179" i="3" s="1"/>
  <c r="K179" i="3" s="1"/>
  <c r="L179" i="3" s="1"/>
  <c r="H179" i="3"/>
  <c r="G179" i="3"/>
  <c r="I178" i="3"/>
  <c r="J178" i="3" s="1"/>
  <c r="K178" i="3" s="1"/>
  <c r="H178" i="3"/>
  <c r="G178" i="3"/>
  <c r="J177" i="3"/>
  <c r="K177" i="3" s="1"/>
  <c r="I177" i="3"/>
  <c r="H177" i="3"/>
  <c r="G177" i="3"/>
  <c r="I176" i="3"/>
  <c r="H176" i="3"/>
  <c r="G176" i="3"/>
  <c r="P175" i="3"/>
  <c r="R175" i="3" s="1"/>
  <c r="O175" i="3"/>
  <c r="M175" i="3"/>
  <c r="S175" i="3" s="1"/>
  <c r="I175" i="3"/>
  <c r="J175" i="3" s="1"/>
  <c r="K175" i="3" s="1"/>
  <c r="H175" i="3"/>
  <c r="G175" i="3"/>
  <c r="L175" i="3" s="1"/>
  <c r="N175" i="3" s="1"/>
  <c r="J174" i="3"/>
  <c r="K174" i="3" s="1"/>
  <c r="L174" i="3" s="1"/>
  <c r="I174" i="3"/>
  <c r="H174" i="3"/>
  <c r="G174" i="3"/>
  <c r="I173" i="3"/>
  <c r="H173" i="3"/>
  <c r="G173" i="3"/>
  <c r="I172" i="3"/>
  <c r="J172" i="3" s="1"/>
  <c r="K172" i="3" s="1"/>
  <c r="H172" i="3"/>
  <c r="G172" i="3"/>
  <c r="I171" i="3"/>
  <c r="H171" i="3"/>
  <c r="G171" i="3"/>
  <c r="I170" i="3"/>
  <c r="J170" i="3" s="1"/>
  <c r="K170" i="3" s="1"/>
  <c r="H170" i="3"/>
  <c r="G170" i="3"/>
  <c r="L170" i="3" s="1"/>
  <c r="M170" i="3" s="1"/>
  <c r="S170" i="3" s="1"/>
  <c r="I169" i="3"/>
  <c r="H169" i="3"/>
  <c r="G169" i="3"/>
  <c r="I168" i="3"/>
  <c r="J168" i="3" s="1"/>
  <c r="K168" i="3" s="1"/>
  <c r="L168" i="3" s="1"/>
  <c r="H168" i="3"/>
  <c r="G168" i="3"/>
  <c r="I167" i="3"/>
  <c r="J167" i="3" s="1"/>
  <c r="K167" i="3" s="1"/>
  <c r="L167" i="3" s="1"/>
  <c r="H167" i="3"/>
  <c r="G167" i="3"/>
  <c r="I166" i="3"/>
  <c r="H166" i="3"/>
  <c r="G166" i="3"/>
  <c r="J165" i="3"/>
  <c r="K165" i="3" s="1"/>
  <c r="I165" i="3"/>
  <c r="H165" i="3"/>
  <c r="G165" i="3"/>
  <c r="I164" i="3"/>
  <c r="H164" i="3"/>
  <c r="G164" i="3"/>
  <c r="I163" i="3"/>
  <c r="J163" i="3" s="1"/>
  <c r="K163" i="3" s="1"/>
  <c r="H163" i="3"/>
  <c r="G163" i="3"/>
  <c r="I162" i="3"/>
  <c r="J162" i="3" s="1"/>
  <c r="K162" i="3" s="1"/>
  <c r="H162" i="3"/>
  <c r="G162" i="3"/>
  <c r="I161" i="3"/>
  <c r="J161" i="3" s="1"/>
  <c r="K161" i="3" s="1"/>
  <c r="H161" i="3"/>
  <c r="G161" i="3"/>
  <c r="I160" i="3"/>
  <c r="J160" i="3" s="1"/>
  <c r="K160" i="3" s="1"/>
  <c r="H160" i="3"/>
  <c r="G160" i="3"/>
  <c r="I159" i="3"/>
  <c r="J159" i="3" s="1"/>
  <c r="K159" i="3" s="1"/>
  <c r="H159" i="3"/>
  <c r="G159" i="3"/>
  <c r="I158" i="3"/>
  <c r="J158" i="3" s="1"/>
  <c r="K158" i="3" s="1"/>
  <c r="L158" i="3" s="1"/>
  <c r="H158" i="3"/>
  <c r="G158" i="3"/>
  <c r="I157" i="3"/>
  <c r="H157" i="3"/>
  <c r="G157" i="3"/>
  <c r="I156" i="3"/>
  <c r="H156" i="3"/>
  <c r="G156" i="3"/>
  <c r="I155" i="3"/>
  <c r="H155" i="3"/>
  <c r="G155" i="3"/>
  <c r="I154" i="3"/>
  <c r="H154" i="3"/>
  <c r="G154" i="3"/>
  <c r="I153" i="3"/>
  <c r="H153" i="3"/>
  <c r="G153" i="3"/>
  <c r="I152" i="3"/>
  <c r="J152" i="3" s="1"/>
  <c r="K152" i="3" s="1"/>
  <c r="L152" i="3" s="1"/>
  <c r="M152" i="3" s="1"/>
  <c r="S152" i="3" s="1"/>
  <c r="H152" i="3"/>
  <c r="G152" i="3"/>
  <c r="I151" i="3"/>
  <c r="H151" i="3"/>
  <c r="J151" i="3" s="1"/>
  <c r="K151" i="3" s="1"/>
  <c r="G151" i="3"/>
  <c r="I150" i="3"/>
  <c r="H150" i="3"/>
  <c r="G150" i="3"/>
  <c r="I149" i="3"/>
  <c r="J149" i="3" s="1"/>
  <c r="K149" i="3" s="1"/>
  <c r="H149" i="3"/>
  <c r="G149" i="3"/>
  <c r="I148" i="3"/>
  <c r="H148" i="3"/>
  <c r="G148" i="3"/>
  <c r="J147" i="3"/>
  <c r="K147" i="3" s="1"/>
  <c r="I147" i="3"/>
  <c r="H147" i="3"/>
  <c r="G147" i="3"/>
  <c r="I146" i="3"/>
  <c r="J146" i="3" s="1"/>
  <c r="K146" i="3" s="1"/>
  <c r="H146" i="3"/>
  <c r="G146" i="3"/>
  <c r="I145" i="3"/>
  <c r="J145" i="3" s="1"/>
  <c r="K145" i="3" s="1"/>
  <c r="H145" i="3"/>
  <c r="G145" i="3"/>
  <c r="I144" i="3"/>
  <c r="H144" i="3"/>
  <c r="G144" i="3"/>
  <c r="I143" i="3"/>
  <c r="J143" i="3" s="1"/>
  <c r="K143" i="3" s="1"/>
  <c r="L143" i="3" s="1"/>
  <c r="N143" i="3" s="1"/>
  <c r="H143" i="3"/>
  <c r="G143" i="3"/>
  <c r="I142" i="3"/>
  <c r="H142" i="3"/>
  <c r="J142" i="3" s="1"/>
  <c r="K142" i="3" s="1"/>
  <c r="L142" i="3" s="1"/>
  <c r="G142" i="3"/>
  <c r="I141" i="3"/>
  <c r="J141" i="3" s="1"/>
  <c r="K141" i="3" s="1"/>
  <c r="H141" i="3"/>
  <c r="G141" i="3"/>
  <c r="I140" i="3"/>
  <c r="H140" i="3"/>
  <c r="G140" i="3"/>
  <c r="I139" i="3"/>
  <c r="H139" i="3"/>
  <c r="G139" i="3"/>
  <c r="I138" i="3"/>
  <c r="H138" i="3"/>
  <c r="G138" i="3"/>
  <c r="I137" i="3"/>
  <c r="H137" i="3"/>
  <c r="G137" i="3"/>
  <c r="I136" i="3"/>
  <c r="J136" i="3" s="1"/>
  <c r="K136" i="3" s="1"/>
  <c r="L136" i="3" s="1"/>
  <c r="H136" i="3"/>
  <c r="G136" i="3"/>
  <c r="I135" i="3"/>
  <c r="H135" i="3"/>
  <c r="G135" i="3"/>
  <c r="I134" i="3"/>
  <c r="H134" i="3"/>
  <c r="G134" i="3"/>
  <c r="J133" i="3"/>
  <c r="K133" i="3" s="1"/>
  <c r="I133" i="3"/>
  <c r="H133" i="3"/>
  <c r="G133" i="3"/>
  <c r="L133" i="3" s="1"/>
  <c r="I132" i="3"/>
  <c r="H132" i="3"/>
  <c r="G132" i="3"/>
  <c r="I131" i="3"/>
  <c r="J131" i="3" s="1"/>
  <c r="K131" i="3" s="1"/>
  <c r="L131" i="3" s="1"/>
  <c r="H131" i="3"/>
  <c r="G131" i="3"/>
  <c r="I130" i="3"/>
  <c r="H130" i="3"/>
  <c r="G130" i="3"/>
  <c r="I129" i="3"/>
  <c r="J129" i="3" s="1"/>
  <c r="K129" i="3" s="1"/>
  <c r="H129" i="3"/>
  <c r="G129" i="3"/>
  <c r="I128" i="3"/>
  <c r="H128" i="3"/>
  <c r="G128" i="3"/>
  <c r="I127" i="3"/>
  <c r="H127" i="3"/>
  <c r="G127" i="3"/>
  <c r="I126" i="3"/>
  <c r="J126" i="3" s="1"/>
  <c r="K126" i="3" s="1"/>
  <c r="L126" i="3" s="1"/>
  <c r="H126" i="3"/>
  <c r="G126" i="3"/>
  <c r="I125" i="3"/>
  <c r="J125" i="3" s="1"/>
  <c r="K125" i="3" s="1"/>
  <c r="L125" i="3" s="1"/>
  <c r="P125" i="3" s="1"/>
  <c r="H125" i="3"/>
  <c r="G125" i="3"/>
  <c r="I124" i="3"/>
  <c r="H124" i="3"/>
  <c r="G124" i="3"/>
  <c r="I123" i="3"/>
  <c r="H123" i="3"/>
  <c r="G123" i="3"/>
  <c r="I122" i="3"/>
  <c r="H122" i="3"/>
  <c r="G122" i="3"/>
  <c r="I121" i="3"/>
  <c r="J121" i="3" s="1"/>
  <c r="K121" i="3" s="1"/>
  <c r="H121" i="3"/>
  <c r="G121" i="3"/>
  <c r="I120" i="3"/>
  <c r="J120" i="3" s="1"/>
  <c r="K120" i="3" s="1"/>
  <c r="H120" i="3"/>
  <c r="G120" i="3"/>
  <c r="I119" i="3"/>
  <c r="H119" i="3"/>
  <c r="G119" i="3"/>
  <c r="I118" i="3"/>
  <c r="J118" i="3" s="1"/>
  <c r="K118" i="3" s="1"/>
  <c r="L118" i="3" s="1"/>
  <c r="H118" i="3"/>
  <c r="G118" i="3"/>
  <c r="I117" i="3"/>
  <c r="H117" i="3"/>
  <c r="G117" i="3"/>
  <c r="I116" i="3"/>
  <c r="J116" i="3" s="1"/>
  <c r="K116" i="3" s="1"/>
  <c r="H116" i="3"/>
  <c r="G116" i="3"/>
  <c r="L116" i="3" s="1"/>
  <c r="I115" i="3"/>
  <c r="J115" i="3" s="1"/>
  <c r="K115" i="3" s="1"/>
  <c r="H115" i="3"/>
  <c r="G115" i="3"/>
  <c r="I114" i="3"/>
  <c r="J114" i="3" s="1"/>
  <c r="K114" i="3" s="1"/>
  <c r="L114" i="3" s="1"/>
  <c r="H114" i="3"/>
  <c r="G114" i="3"/>
  <c r="I113" i="3"/>
  <c r="H113" i="3"/>
  <c r="G113" i="3"/>
  <c r="I112" i="3"/>
  <c r="H112" i="3"/>
  <c r="G112" i="3"/>
  <c r="I111" i="3"/>
  <c r="H111" i="3"/>
  <c r="G111" i="3"/>
  <c r="I110" i="3"/>
  <c r="H110" i="3"/>
  <c r="G110" i="3"/>
  <c r="I109" i="3"/>
  <c r="H109" i="3"/>
  <c r="G109" i="3"/>
  <c r="I108" i="3"/>
  <c r="J108" i="3" s="1"/>
  <c r="K108" i="3" s="1"/>
  <c r="L108" i="3" s="1"/>
  <c r="H108" i="3"/>
  <c r="G108" i="3"/>
  <c r="I107" i="3"/>
  <c r="J107" i="3" s="1"/>
  <c r="K107" i="3" s="1"/>
  <c r="H107" i="3"/>
  <c r="G107" i="3"/>
  <c r="I106" i="3"/>
  <c r="J106" i="3" s="1"/>
  <c r="K106" i="3" s="1"/>
  <c r="H106" i="3"/>
  <c r="G106" i="3"/>
  <c r="L106" i="3" s="1"/>
  <c r="I105" i="3"/>
  <c r="J105" i="3" s="1"/>
  <c r="K105" i="3" s="1"/>
  <c r="H105" i="3"/>
  <c r="G105" i="3"/>
  <c r="I104" i="3"/>
  <c r="J104" i="3" s="1"/>
  <c r="K104" i="3" s="1"/>
  <c r="H104" i="3"/>
  <c r="G104" i="3"/>
  <c r="I103" i="3"/>
  <c r="H103" i="3"/>
  <c r="G103" i="3"/>
  <c r="I102" i="3"/>
  <c r="J102" i="3" s="1"/>
  <c r="K102" i="3" s="1"/>
  <c r="L102" i="3" s="1"/>
  <c r="H102" i="3"/>
  <c r="G102" i="3"/>
  <c r="I101" i="3"/>
  <c r="H101" i="3"/>
  <c r="J101" i="3" s="1"/>
  <c r="K101" i="3" s="1"/>
  <c r="G101" i="3"/>
  <c r="I100" i="3"/>
  <c r="H100" i="3"/>
  <c r="G100" i="3"/>
  <c r="I99" i="3"/>
  <c r="H99" i="3"/>
  <c r="G99" i="3"/>
  <c r="I98" i="3"/>
  <c r="J98" i="3" s="1"/>
  <c r="K98" i="3" s="1"/>
  <c r="L98" i="3" s="1"/>
  <c r="H98" i="3"/>
  <c r="G98" i="3"/>
  <c r="I97" i="3"/>
  <c r="J97" i="3" s="1"/>
  <c r="K97" i="3" s="1"/>
  <c r="H97" i="3"/>
  <c r="G97" i="3"/>
  <c r="I96" i="3"/>
  <c r="J96" i="3" s="1"/>
  <c r="K96" i="3" s="1"/>
  <c r="H96" i="3"/>
  <c r="G96" i="3"/>
  <c r="I95" i="3"/>
  <c r="J95" i="3" s="1"/>
  <c r="K95" i="3" s="1"/>
  <c r="H95" i="3"/>
  <c r="G95" i="3"/>
  <c r="I94" i="3"/>
  <c r="H94" i="3"/>
  <c r="G94" i="3"/>
  <c r="I93" i="3"/>
  <c r="H93" i="3"/>
  <c r="G93" i="3"/>
  <c r="J92" i="3"/>
  <c r="K92" i="3" s="1"/>
  <c r="I92" i="3"/>
  <c r="H92" i="3"/>
  <c r="G92" i="3"/>
  <c r="I91" i="3"/>
  <c r="H91" i="3"/>
  <c r="G91" i="3"/>
  <c r="I90" i="3"/>
  <c r="J90" i="3" s="1"/>
  <c r="K90" i="3" s="1"/>
  <c r="H90" i="3"/>
  <c r="G90" i="3"/>
  <c r="I89" i="3"/>
  <c r="H89" i="3"/>
  <c r="G89" i="3"/>
  <c r="I88" i="3"/>
  <c r="J88" i="3" s="1"/>
  <c r="K88" i="3" s="1"/>
  <c r="H88" i="3"/>
  <c r="G88" i="3"/>
  <c r="I87" i="3"/>
  <c r="J87" i="3" s="1"/>
  <c r="K87" i="3" s="1"/>
  <c r="H87" i="3"/>
  <c r="G87" i="3"/>
  <c r="I86" i="3"/>
  <c r="J86" i="3" s="1"/>
  <c r="K86" i="3" s="1"/>
  <c r="L86" i="3" s="1"/>
  <c r="H86" i="3"/>
  <c r="G86" i="3"/>
  <c r="J85" i="3"/>
  <c r="K85" i="3" s="1"/>
  <c r="I85" i="3"/>
  <c r="H85" i="3"/>
  <c r="G85" i="3"/>
  <c r="L85" i="3" s="1"/>
  <c r="I84" i="3"/>
  <c r="J84" i="3" s="1"/>
  <c r="K84" i="3" s="1"/>
  <c r="H84" i="3"/>
  <c r="G84" i="3"/>
  <c r="L84" i="3" s="1"/>
  <c r="I83" i="3"/>
  <c r="J83" i="3" s="1"/>
  <c r="K83" i="3" s="1"/>
  <c r="H83" i="3"/>
  <c r="G83" i="3"/>
  <c r="I82" i="3"/>
  <c r="J82" i="3" s="1"/>
  <c r="K82" i="3" s="1"/>
  <c r="H82" i="3"/>
  <c r="G82" i="3"/>
  <c r="I81" i="3"/>
  <c r="J81" i="3" s="1"/>
  <c r="K81" i="3" s="1"/>
  <c r="L81" i="3" s="1"/>
  <c r="H81" i="3"/>
  <c r="G81" i="3"/>
  <c r="I80" i="3"/>
  <c r="H80" i="3"/>
  <c r="G80" i="3"/>
  <c r="I79" i="3"/>
  <c r="H79" i="3"/>
  <c r="G79" i="3"/>
  <c r="I78" i="3"/>
  <c r="H78" i="3"/>
  <c r="G78" i="3"/>
  <c r="I77" i="3"/>
  <c r="H77" i="3"/>
  <c r="G77" i="3"/>
  <c r="I76" i="3"/>
  <c r="J76" i="3" s="1"/>
  <c r="K76" i="3" s="1"/>
  <c r="L76" i="3" s="1"/>
  <c r="H76" i="3"/>
  <c r="G76" i="3"/>
  <c r="I75" i="3"/>
  <c r="J75" i="3" s="1"/>
  <c r="K75" i="3" s="1"/>
  <c r="L75" i="3" s="1"/>
  <c r="H75" i="3"/>
  <c r="G75" i="3"/>
  <c r="J74" i="3"/>
  <c r="K74" i="3" s="1"/>
  <c r="I74" i="3"/>
  <c r="H74" i="3"/>
  <c r="G74" i="3"/>
  <c r="I73" i="3"/>
  <c r="H73" i="3"/>
  <c r="G73" i="3"/>
  <c r="I72" i="3"/>
  <c r="H72" i="3"/>
  <c r="G72" i="3"/>
  <c r="I71" i="3"/>
  <c r="J71" i="3" s="1"/>
  <c r="K71" i="3" s="1"/>
  <c r="H71" i="3"/>
  <c r="G71" i="3"/>
  <c r="L71" i="3" s="1"/>
  <c r="P71" i="3" s="1"/>
  <c r="I70" i="3"/>
  <c r="H70" i="3"/>
  <c r="G70" i="3"/>
  <c r="I69" i="3"/>
  <c r="H69" i="3"/>
  <c r="J69" i="3" s="1"/>
  <c r="K69" i="3" s="1"/>
  <c r="L69" i="3" s="1"/>
  <c r="G69" i="3"/>
  <c r="I68" i="3"/>
  <c r="H68" i="3"/>
  <c r="G68" i="3"/>
  <c r="I67" i="3"/>
  <c r="H67" i="3"/>
  <c r="J67" i="3" s="1"/>
  <c r="K67" i="3" s="1"/>
  <c r="G67" i="3"/>
  <c r="I66" i="3"/>
  <c r="H66" i="3"/>
  <c r="G66" i="3"/>
  <c r="I65" i="3"/>
  <c r="H65" i="3"/>
  <c r="J65" i="3" s="1"/>
  <c r="K65" i="3" s="1"/>
  <c r="L65" i="3" s="1"/>
  <c r="G65" i="3"/>
  <c r="I64" i="3"/>
  <c r="H64" i="3"/>
  <c r="G64" i="3"/>
  <c r="I63" i="3"/>
  <c r="H63" i="3"/>
  <c r="G63" i="3"/>
  <c r="I62" i="3"/>
  <c r="H62" i="3"/>
  <c r="G62" i="3"/>
  <c r="I61" i="3"/>
  <c r="J61" i="3" s="1"/>
  <c r="K61" i="3" s="1"/>
  <c r="H61" i="3"/>
  <c r="G61" i="3"/>
  <c r="I60" i="3"/>
  <c r="J60" i="3" s="1"/>
  <c r="K60" i="3" s="1"/>
  <c r="H60" i="3"/>
  <c r="G60" i="3"/>
  <c r="J59" i="3"/>
  <c r="K59" i="3" s="1"/>
  <c r="I59" i="3"/>
  <c r="H59" i="3"/>
  <c r="G59" i="3"/>
  <c r="I58" i="3"/>
  <c r="J58" i="3" s="1"/>
  <c r="K58" i="3" s="1"/>
  <c r="L58" i="3" s="1"/>
  <c r="H58" i="3"/>
  <c r="G58" i="3"/>
  <c r="I57" i="3"/>
  <c r="H57" i="3"/>
  <c r="G57" i="3"/>
  <c r="I56" i="3"/>
  <c r="H56" i="3"/>
  <c r="G56" i="3"/>
  <c r="I55" i="3"/>
  <c r="H55" i="3"/>
  <c r="G55" i="3"/>
  <c r="I54" i="3"/>
  <c r="H54" i="3"/>
  <c r="J54" i="3" s="1"/>
  <c r="K54" i="3" s="1"/>
  <c r="L54" i="3" s="1"/>
  <c r="G54" i="3"/>
  <c r="I53" i="3"/>
  <c r="H53" i="3"/>
  <c r="G53" i="3"/>
  <c r="I52" i="3"/>
  <c r="J52" i="3" s="1"/>
  <c r="K52" i="3" s="1"/>
  <c r="H52" i="3"/>
  <c r="G52" i="3"/>
  <c r="I51" i="3"/>
  <c r="H51" i="3"/>
  <c r="G51" i="3"/>
  <c r="I50" i="3"/>
  <c r="H50" i="3"/>
  <c r="G50" i="3"/>
  <c r="J49" i="3"/>
  <c r="K49" i="3" s="1"/>
  <c r="L49" i="3" s="1"/>
  <c r="I49" i="3"/>
  <c r="H49" i="3"/>
  <c r="G49" i="3"/>
  <c r="I48" i="3"/>
  <c r="H48" i="3"/>
  <c r="G48" i="3"/>
  <c r="I47" i="3"/>
  <c r="H47" i="3"/>
  <c r="G47" i="3"/>
  <c r="I46" i="3"/>
  <c r="H46" i="3"/>
  <c r="G46" i="3"/>
  <c r="I45" i="3"/>
  <c r="J45" i="3" s="1"/>
  <c r="K45" i="3" s="1"/>
  <c r="H45" i="3"/>
  <c r="G45" i="3"/>
  <c r="I44" i="3"/>
  <c r="J44" i="3" s="1"/>
  <c r="K44" i="3" s="1"/>
  <c r="L44" i="3" s="1"/>
  <c r="H44" i="3"/>
  <c r="G44" i="3"/>
  <c r="I43" i="3"/>
  <c r="H43" i="3"/>
  <c r="G43" i="3"/>
  <c r="I42" i="3"/>
  <c r="H42" i="3"/>
  <c r="G42" i="3"/>
  <c r="I41" i="3"/>
  <c r="H41" i="3"/>
  <c r="G41" i="3"/>
  <c r="I40" i="3"/>
  <c r="H40" i="3"/>
  <c r="G40" i="3"/>
  <c r="I39" i="3"/>
  <c r="H39" i="3"/>
  <c r="G39" i="3"/>
  <c r="I38" i="3"/>
  <c r="H38" i="3"/>
  <c r="G38" i="3"/>
  <c r="I37" i="3"/>
  <c r="H37" i="3"/>
  <c r="J37" i="3" s="1"/>
  <c r="K37" i="3" s="1"/>
  <c r="G37" i="3"/>
  <c r="L37" i="3" s="1"/>
  <c r="I36" i="3"/>
  <c r="H36" i="3"/>
  <c r="G36" i="3"/>
  <c r="I35" i="3"/>
  <c r="H35" i="3"/>
  <c r="J35" i="3" s="1"/>
  <c r="K35" i="3" s="1"/>
  <c r="G35" i="3"/>
  <c r="I34" i="3"/>
  <c r="J34" i="3" s="1"/>
  <c r="K34" i="3" s="1"/>
  <c r="L34" i="3" s="1"/>
  <c r="H34" i="3"/>
  <c r="G34" i="3"/>
  <c r="I33" i="3"/>
  <c r="J33" i="3" s="1"/>
  <c r="K33" i="3" s="1"/>
  <c r="L33" i="3" s="1"/>
  <c r="H33" i="3"/>
  <c r="G33" i="3"/>
  <c r="I32" i="3"/>
  <c r="J32" i="3" s="1"/>
  <c r="K32" i="3" s="1"/>
  <c r="H32" i="3"/>
  <c r="G32" i="3"/>
  <c r="I31" i="3"/>
  <c r="H31" i="3"/>
  <c r="G31" i="3"/>
  <c r="I30" i="3"/>
  <c r="H30" i="3"/>
  <c r="J30" i="3" s="1"/>
  <c r="K30" i="3" s="1"/>
  <c r="G30" i="3"/>
  <c r="I29" i="3"/>
  <c r="J29" i="3" s="1"/>
  <c r="K29" i="3" s="1"/>
  <c r="H29" i="3"/>
  <c r="G29" i="3"/>
  <c r="J28" i="3"/>
  <c r="K28" i="3" s="1"/>
  <c r="L28" i="3" s="1"/>
  <c r="I28" i="3"/>
  <c r="H28" i="3"/>
  <c r="G28" i="3"/>
  <c r="I27" i="3"/>
  <c r="H27" i="3"/>
  <c r="J27" i="3" s="1"/>
  <c r="K27" i="3" s="1"/>
  <c r="G27" i="3"/>
  <c r="I26" i="3"/>
  <c r="H26" i="3"/>
  <c r="J26" i="3" s="1"/>
  <c r="K26" i="3" s="1"/>
  <c r="G26" i="3"/>
  <c r="I25" i="3"/>
  <c r="H25" i="3"/>
  <c r="G25" i="3"/>
  <c r="I24" i="3"/>
  <c r="H24" i="3"/>
  <c r="G24" i="3"/>
  <c r="I23" i="3"/>
  <c r="J23" i="3" s="1"/>
  <c r="K23" i="3" s="1"/>
  <c r="L23" i="3" s="1"/>
  <c r="H23" i="3"/>
  <c r="G23" i="3"/>
  <c r="I22" i="3"/>
  <c r="H22" i="3"/>
  <c r="G22" i="3"/>
  <c r="I21" i="3"/>
  <c r="H21" i="3"/>
  <c r="G21" i="3"/>
  <c r="I20" i="3"/>
  <c r="H20" i="3"/>
  <c r="G20" i="3"/>
  <c r="I19" i="3"/>
  <c r="J19" i="3" s="1"/>
  <c r="K19" i="3" s="1"/>
  <c r="H19" i="3"/>
  <c r="G19" i="3"/>
  <c r="J18" i="3"/>
  <c r="K18" i="3" s="1"/>
  <c r="L18" i="3" s="1"/>
  <c r="I18" i="3"/>
  <c r="H18" i="3"/>
  <c r="G18" i="3"/>
  <c r="I17" i="3"/>
  <c r="H17" i="3"/>
  <c r="G17" i="3"/>
  <c r="I16" i="3"/>
  <c r="J16" i="3" s="1"/>
  <c r="K16" i="3" s="1"/>
  <c r="H16" i="3"/>
  <c r="G16" i="3"/>
  <c r="I15" i="3"/>
  <c r="J15" i="3" s="1"/>
  <c r="K15" i="3" s="1"/>
  <c r="H15" i="3"/>
  <c r="G15" i="3"/>
  <c r="L15" i="3" s="1"/>
  <c r="I14" i="3"/>
  <c r="J14" i="3" s="1"/>
  <c r="K14" i="3" s="1"/>
  <c r="H14" i="3"/>
  <c r="G14" i="3"/>
  <c r="I13" i="3"/>
  <c r="J13" i="3" s="1"/>
  <c r="K13" i="3" s="1"/>
  <c r="L13" i="3" s="1"/>
  <c r="H13" i="3"/>
  <c r="G13" i="3"/>
  <c r="I12" i="3"/>
  <c r="H12" i="3"/>
  <c r="G12" i="3"/>
  <c r="I11" i="3"/>
  <c r="H11" i="3"/>
  <c r="J11" i="3" s="1"/>
  <c r="K11" i="3" s="1"/>
  <c r="G11" i="3"/>
  <c r="I10" i="3"/>
  <c r="H10" i="3"/>
  <c r="G10" i="3"/>
  <c r="I9" i="3"/>
  <c r="H9" i="3"/>
  <c r="G9" i="3"/>
  <c r="I8" i="3"/>
  <c r="H8" i="3"/>
  <c r="G8" i="3"/>
  <c r="I7" i="3"/>
  <c r="J7" i="3" s="1"/>
  <c r="K7" i="3" s="1"/>
  <c r="L7" i="3" s="1"/>
  <c r="H7" i="3"/>
  <c r="G7" i="3"/>
  <c r="I6" i="3"/>
  <c r="H6" i="3"/>
  <c r="G6" i="3"/>
  <c r="I5" i="3"/>
  <c r="J5" i="3" s="1"/>
  <c r="K5" i="3" s="1"/>
  <c r="H5" i="3"/>
  <c r="G5" i="3"/>
  <c r="I4" i="3"/>
  <c r="H4" i="3"/>
  <c r="G4" i="3"/>
  <c r="K19" i="2"/>
  <c r="K18" i="2"/>
  <c r="K17" i="2"/>
  <c r="K16" i="2"/>
  <c r="K15" i="2"/>
  <c r="J14" i="2"/>
  <c r="L11" i="1" s="1"/>
  <c r="I14" i="2"/>
  <c r="K11" i="1" s="1"/>
  <c r="H14" i="2"/>
  <c r="K14" i="2" s="1"/>
  <c r="G14" i="2"/>
  <c r="F14" i="2"/>
  <c r="E14" i="2"/>
  <c r="D14" i="2"/>
  <c r="C14" i="2"/>
  <c r="K13" i="2"/>
  <c r="K12" i="2"/>
  <c r="K11" i="2"/>
  <c r="K10" i="2"/>
  <c r="K9" i="2"/>
  <c r="K8" i="2"/>
  <c r="K7" i="2"/>
  <c r="K6" i="2"/>
  <c r="K5" i="2"/>
  <c r="K4" i="2"/>
  <c r="L44" i="1"/>
  <c r="K44" i="1"/>
  <c r="J44" i="1"/>
  <c r="I44" i="1"/>
  <c r="H44" i="1"/>
  <c r="G44" i="1"/>
  <c r="F44" i="1"/>
  <c r="E44" i="1"/>
  <c r="L42" i="1"/>
  <c r="K42" i="1"/>
  <c r="J42" i="1"/>
  <c r="I42" i="1"/>
  <c r="H42" i="1"/>
  <c r="G42" i="1"/>
  <c r="F42" i="1"/>
  <c r="E42" i="1"/>
  <c r="L41" i="1"/>
  <c r="K41" i="1"/>
  <c r="J41" i="1"/>
  <c r="I41" i="1"/>
  <c r="H41" i="1"/>
  <c r="G41" i="1"/>
  <c r="F41" i="1"/>
  <c r="E41" i="1"/>
  <c r="L40" i="1"/>
  <c r="K40" i="1"/>
  <c r="J40" i="1"/>
  <c r="I40" i="1"/>
  <c r="H40" i="1"/>
  <c r="G40" i="1"/>
  <c r="F40" i="1"/>
  <c r="E40" i="1"/>
  <c r="M40" i="1" s="1"/>
  <c r="N40" i="1" s="1"/>
  <c r="L39" i="1"/>
  <c r="K39" i="1"/>
  <c r="J39" i="1"/>
  <c r="I39" i="1"/>
  <c r="H39" i="1"/>
  <c r="G39" i="1"/>
  <c r="F39" i="1"/>
  <c r="E39" i="1"/>
  <c r="L38" i="1"/>
  <c r="K38" i="1"/>
  <c r="J38" i="1"/>
  <c r="I38" i="1"/>
  <c r="H38" i="1"/>
  <c r="G38" i="1"/>
  <c r="F38" i="1"/>
  <c r="E38" i="1"/>
  <c r="M38" i="1" s="1"/>
  <c r="N38" i="1" s="1"/>
  <c r="L27" i="1"/>
  <c r="K27" i="1"/>
  <c r="J27" i="1"/>
  <c r="I27" i="1"/>
  <c r="H27" i="1"/>
  <c r="G27" i="1"/>
  <c r="F27" i="1"/>
  <c r="E27" i="1"/>
  <c r="L26" i="1"/>
  <c r="K26" i="1"/>
  <c r="J26" i="1"/>
  <c r="I26" i="1"/>
  <c r="H26" i="1"/>
  <c r="G26" i="1"/>
  <c r="F26" i="1"/>
  <c r="E26" i="1"/>
  <c r="L25" i="1"/>
  <c r="L24" i="1"/>
  <c r="K24" i="1"/>
  <c r="K25" i="1" s="1"/>
  <c r="J24" i="1"/>
  <c r="I24" i="1"/>
  <c r="H24" i="1"/>
  <c r="H25" i="1" s="1"/>
  <c r="G24" i="1"/>
  <c r="F24" i="1"/>
  <c r="F25" i="1" s="1"/>
  <c r="E24" i="1"/>
  <c r="E25" i="1" s="1"/>
  <c r="L23" i="1"/>
  <c r="K23" i="1"/>
  <c r="J23" i="1"/>
  <c r="I23" i="1"/>
  <c r="H23" i="1"/>
  <c r="G23" i="1"/>
  <c r="F23" i="1"/>
  <c r="E23" i="1"/>
  <c r="L22" i="1"/>
  <c r="K22" i="1"/>
  <c r="J22" i="1"/>
  <c r="I22" i="1"/>
  <c r="I25" i="1" s="1"/>
  <c r="H22" i="1"/>
  <c r="G22" i="1"/>
  <c r="F22" i="1"/>
  <c r="E22" i="1"/>
  <c r="M22" i="1" s="1"/>
  <c r="N22" i="1" s="1"/>
  <c r="L20" i="1"/>
  <c r="K20" i="1"/>
  <c r="J20" i="1"/>
  <c r="I20" i="1"/>
  <c r="H20" i="1"/>
  <c r="G20" i="1"/>
  <c r="F20" i="1"/>
  <c r="E20" i="1"/>
  <c r="L19" i="1"/>
  <c r="K19" i="1"/>
  <c r="J19" i="1"/>
  <c r="I19" i="1"/>
  <c r="H19" i="1"/>
  <c r="G19" i="1"/>
  <c r="F19" i="1"/>
  <c r="E19" i="1"/>
  <c r="M19" i="1" s="1"/>
  <c r="N19" i="1" s="1"/>
  <c r="H18" i="1"/>
  <c r="G18" i="1"/>
  <c r="L17" i="1"/>
  <c r="K17" i="1"/>
  <c r="K18" i="1" s="1"/>
  <c r="J17" i="1"/>
  <c r="I17" i="1"/>
  <c r="I18" i="1" s="1"/>
  <c r="H17" i="1"/>
  <c r="G17" i="1"/>
  <c r="F17" i="1"/>
  <c r="E17" i="1"/>
  <c r="L16" i="1"/>
  <c r="K16" i="1"/>
  <c r="J16" i="1"/>
  <c r="I16" i="1"/>
  <c r="H16" i="1"/>
  <c r="G16" i="1"/>
  <c r="F16" i="1"/>
  <c r="E16" i="1"/>
  <c r="M16" i="1" s="1"/>
  <c r="N16" i="1" s="1"/>
  <c r="L15" i="1"/>
  <c r="M15" i="1" s="1"/>
  <c r="N15" i="1" s="1"/>
  <c r="K15" i="1"/>
  <c r="J15" i="1"/>
  <c r="I15" i="1"/>
  <c r="H15" i="1"/>
  <c r="G15" i="1"/>
  <c r="F15" i="1"/>
  <c r="E15" i="1"/>
  <c r="I13" i="1"/>
  <c r="H13" i="1"/>
  <c r="G13" i="1"/>
  <c r="F13" i="1"/>
  <c r="E13" i="1"/>
  <c r="N12" i="1"/>
  <c r="M12" i="1"/>
  <c r="I11" i="1"/>
  <c r="H11" i="1"/>
  <c r="G11" i="1"/>
  <c r="F11" i="1"/>
  <c r="E11" i="1"/>
  <c r="L10" i="1"/>
  <c r="K10" i="1"/>
  <c r="J10" i="1"/>
  <c r="I10" i="1"/>
  <c r="H10" i="1"/>
  <c r="G10" i="1"/>
  <c r="M10" i="1" s="1"/>
  <c r="N10" i="1" s="1"/>
  <c r="F10" i="1"/>
  <c r="E10" i="1"/>
  <c r="L9" i="1"/>
  <c r="K9" i="1"/>
  <c r="J9" i="1"/>
  <c r="I9" i="1"/>
  <c r="H9" i="1"/>
  <c r="G9" i="1"/>
  <c r="F9" i="1"/>
  <c r="E9" i="1"/>
  <c r="L8" i="1"/>
  <c r="K8" i="1"/>
  <c r="J8" i="1"/>
  <c r="I8" i="1"/>
  <c r="H8" i="1"/>
  <c r="G8" i="1"/>
  <c r="F8" i="1"/>
  <c r="E8" i="1"/>
  <c r="L7" i="1"/>
  <c r="K7" i="1"/>
  <c r="J7" i="1"/>
  <c r="I7" i="1"/>
  <c r="H7" i="1"/>
  <c r="G7" i="1"/>
  <c r="F7" i="1"/>
  <c r="E7" i="1"/>
  <c r="L6" i="1"/>
  <c r="K6" i="1"/>
  <c r="J6" i="1"/>
  <c r="I6" i="1"/>
  <c r="H6" i="1"/>
  <c r="G6" i="1"/>
  <c r="F6" i="1"/>
  <c r="E6" i="1"/>
  <c r="L5" i="1"/>
  <c r="K5" i="1"/>
  <c r="J5" i="1"/>
  <c r="I5" i="1"/>
  <c r="H5" i="1"/>
  <c r="G5" i="1"/>
  <c r="F5" i="1"/>
  <c r="E5" i="1"/>
  <c r="L60" i="3" l="1"/>
  <c r="P60" i="3" s="1"/>
  <c r="L180" i="3"/>
  <c r="P180" i="3" s="1"/>
  <c r="P98" i="3"/>
  <c r="M98" i="3"/>
  <c r="S98" i="3" s="1"/>
  <c r="L194" i="3"/>
  <c r="L132" i="3"/>
  <c r="M20" i="1"/>
  <c r="N20" i="1" s="1"/>
  <c r="M26" i="1"/>
  <c r="N26" i="1" s="1"/>
  <c r="J17" i="3"/>
  <c r="K17" i="3" s="1"/>
  <c r="L17" i="3" s="1"/>
  <c r="O17" i="3" s="1"/>
  <c r="J21" i="3"/>
  <c r="K21" i="3" s="1"/>
  <c r="L21" i="3" s="1"/>
  <c r="J40" i="3"/>
  <c r="K40" i="3" s="1"/>
  <c r="L40" i="3" s="1"/>
  <c r="J79" i="3"/>
  <c r="K79" i="3" s="1"/>
  <c r="J103" i="3"/>
  <c r="K103" i="3" s="1"/>
  <c r="L103" i="3" s="1"/>
  <c r="L149" i="3"/>
  <c r="J153" i="3"/>
  <c r="K153" i="3" s="1"/>
  <c r="L153" i="3" s="1"/>
  <c r="Q175" i="3"/>
  <c r="J188" i="3"/>
  <c r="K188" i="3" s="1"/>
  <c r="L228" i="3"/>
  <c r="J237" i="3"/>
  <c r="K237" i="3" s="1"/>
  <c r="L237" i="3" s="1"/>
  <c r="J261" i="3"/>
  <c r="K261" i="3" s="1"/>
  <c r="L283" i="3"/>
  <c r="M283" i="3" s="1"/>
  <c r="S283" i="3" s="1"/>
  <c r="L309" i="3"/>
  <c r="P309" i="3" s="1"/>
  <c r="J313" i="3"/>
  <c r="K313" i="3" s="1"/>
  <c r="L313" i="3" s="1"/>
  <c r="J322" i="3"/>
  <c r="K322" i="3" s="1"/>
  <c r="L322" i="3" s="1"/>
  <c r="O322" i="3" s="1"/>
  <c r="J326" i="3"/>
  <c r="K326" i="3" s="1"/>
  <c r="L326" i="3" s="1"/>
  <c r="J331" i="3"/>
  <c r="K331" i="3" s="1"/>
  <c r="L331" i="3" s="1"/>
  <c r="L335" i="3"/>
  <c r="M335" i="3" s="1"/>
  <c r="S335" i="3" s="1"/>
  <c r="J359" i="3"/>
  <c r="K359" i="3" s="1"/>
  <c r="L359" i="3" s="1"/>
  <c r="L193" i="3"/>
  <c r="J247" i="3"/>
  <c r="K247" i="3" s="1"/>
  <c r="L46" i="3"/>
  <c r="J50" i="3"/>
  <c r="K50" i="3" s="1"/>
  <c r="L50" i="3" s="1"/>
  <c r="J89" i="3"/>
  <c r="K89" i="3" s="1"/>
  <c r="J94" i="3"/>
  <c r="K94" i="3" s="1"/>
  <c r="L94" i="3" s="1"/>
  <c r="J113" i="3"/>
  <c r="K113" i="3" s="1"/>
  <c r="L113" i="3" s="1"/>
  <c r="P113" i="3" s="1"/>
  <c r="L122" i="3"/>
  <c r="P122" i="3" s="1"/>
  <c r="J135" i="3"/>
  <c r="K135" i="3" s="1"/>
  <c r="L135" i="3" s="1"/>
  <c r="L176" i="3"/>
  <c r="J180" i="3"/>
  <c r="K180" i="3" s="1"/>
  <c r="L184" i="3"/>
  <c r="J228" i="3"/>
  <c r="K228" i="3" s="1"/>
  <c r="L238" i="3"/>
  <c r="J243" i="3"/>
  <c r="K243" i="3" s="1"/>
  <c r="L253" i="3"/>
  <c r="J283" i="3"/>
  <c r="K283" i="3" s="1"/>
  <c r="J287" i="3"/>
  <c r="K287" i="3" s="1"/>
  <c r="J340" i="3"/>
  <c r="K340" i="3" s="1"/>
  <c r="L340" i="3" s="1"/>
  <c r="J345" i="3"/>
  <c r="K345" i="3" s="1"/>
  <c r="J373" i="3"/>
  <c r="K373" i="3" s="1"/>
  <c r="L296" i="3"/>
  <c r="M296" i="3" s="1"/>
  <c r="S296" i="3" s="1"/>
  <c r="J93" i="3"/>
  <c r="K93" i="3" s="1"/>
  <c r="L93" i="3" s="1"/>
  <c r="J12" i="3"/>
  <c r="K12" i="3" s="1"/>
  <c r="L12" i="3" s="1"/>
  <c r="M12" i="3" s="1"/>
  <c r="S12" i="3" s="1"/>
  <c r="J31" i="3"/>
  <c r="K31" i="3" s="1"/>
  <c r="L31" i="3" s="1"/>
  <c r="L32" i="3"/>
  <c r="J41" i="3"/>
  <c r="K41" i="3" s="1"/>
  <c r="J80" i="3"/>
  <c r="K80" i="3" s="1"/>
  <c r="J99" i="3"/>
  <c r="K99" i="3" s="1"/>
  <c r="J140" i="3"/>
  <c r="K140" i="3" s="1"/>
  <c r="J154" i="3"/>
  <c r="K154" i="3" s="1"/>
  <c r="L159" i="3"/>
  <c r="P159" i="3" s="1"/>
  <c r="R159" i="3" s="1"/>
  <c r="J189" i="3"/>
  <c r="K189" i="3" s="1"/>
  <c r="J204" i="3"/>
  <c r="K204" i="3" s="1"/>
  <c r="L224" i="3"/>
  <c r="L275" i="3"/>
  <c r="J279" i="3"/>
  <c r="K279" i="3" s="1"/>
  <c r="L279" i="3" s="1"/>
  <c r="J301" i="3"/>
  <c r="K301" i="3" s="1"/>
  <c r="L301" i="3" s="1"/>
  <c r="J314" i="3"/>
  <c r="K314" i="3" s="1"/>
  <c r="L314" i="3" s="1"/>
  <c r="J22" i="3"/>
  <c r="K22" i="3" s="1"/>
  <c r="L22" i="3" s="1"/>
  <c r="M9" i="1"/>
  <c r="N9" i="1" s="1"/>
  <c r="J13" i="1"/>
  <c r="G25" i="1"/>
  <c r="J36" i="3"/>
  <c r="K36" i="3" s="1"/>
  <c r="J46" i="3"/>
  <c r="K46" i="3" s="1"/>
  <c r="L51" i="3"/>
  <c r="J55" i="3"/>
  <c r="K55" i="3" s="1"/>
  <c r="L55" i="3" s="1"/>
  <c r="J63" i="3"/>
  <c r="K63" i="3" s="1"/>
  <c r="J119" i="3"/>
  <c r="K119" i="3" s="1"/>
  <c r="L119" i="3" s="1"/>
  <c r="N119" i="3" s="1"/>
  <c r="J122" i="3"/>
  <c r="K122" i="3" s="1"/>
  <c r="L141" i="3"/>
  <c r="N141" i="3" s="1"/>
  <c r="J164" i="3"/>
  <c r="K164" i="3" s="1"/>
  <c r="L164" i="3" s="1"/>
  <c r="P164" i="3" s="1"/>
  <c r="J173" i="3"/>
  <c r="K173" i="3" s="1"/>
  <c r="L173" i="3" s="1"/>
  <c r="J176" i="3"/>
  <c r="K176" i="3" s="1"/>
  <c r="L181" i="3"/>
  <c r="J194" i="3"/>
  <c r="K194" i="3" s="1"/>
  <c r="J253" i="3"/>
  <c r="K253" i="3" s="1"/>
  <c r="J257" i="3"/>
  <c r="K257" i="3" s="1"/>
  <c r="L257" i="3" s="1"/>
  <c r="J288" i="3"/>
  <c r="K288" i="3" s="1"/>
  <c r="J305" i="3"/>
  <c r="K305" i="3" s="1"/>
  <c r="L305" i="3" s="1"/>
  <c r="J327" i="3"/>
  <c r="K327" i="3" s="1"/>
  <c r="L327" i="3" s="1"/>
  <c r="J355" i="3"/>
  <c r="K355" i="3" s="1"/>
  <c r="J369" i="3"/>
  <c r="K369" i="3" s="1"/>
  <c r="L369" i="3" s="1"/>
  <c r="J339" i="3"/>
  <c r="K339" i="3" s="1"/>
  <c r="L339" i="3" s="1"/>
  <c r="L189" i="3"/>
  <c r="M189" i="3" s="1"/>
  <c r="S189" i="3" s="1"/>
  <c r="L219" i="3"/>
  <c r="M219" i="3" s="1"/>
  <c r="S219" i="3" s="1"/>
  <c r="L318" i="3"/>
  <c r="L35" i="3"/>
  <c r="J227" i="3"/>
  <c r="K227" i="3" s="1"/>
  <c r="L227" i="3" s="1"/>
  <c r="J354" i="3"/>
  <c r="K354" i="3" s="1"/>
  <c r="L354" i="3" s="1"/>
  <c r="M11" i="1"/>
  <c r="N11" i="1" s="1"/>
  <c r="M5" i="1"/>
  <c r="N5" i="1" s="1"/>
  <c r="L14" i="3"/>
  <c r="P14" i="3" s="1"/>
  <c r="J42" i="3"/>
  <c r="K42" i="3" s="1"/>
  <c r="L42" i="3" s="1"/>
  <c r="J100" i="3"/>
  <c r="K100" i="3" s="1"/>
  <c r="L100" i="3" s="1"/>
  <c r="L105" i="3"/>
  <c r="P105" i="3" s="1"/>
  <c r="J109" i="3"/>
  <c r="K109" i="3" s="1"/>
  <c r="L109" i="3" s="1"/>
  <c r="L120" i="3"/>
  <c r="J127" i="3"/>
  <c r="K127" i="3" s="1"/>
  <c r="J132" i="3"/>
  <c r="K132" i="3" s="1"/>
  <c r="L146" i="3"/>
  <c r="J150" i="3"/>
  <c r="K150" i="3" s="1"/>
  <c r="L160" i="3"/>
  <c r="J169" i="3"/>
  <c r="K169" i="3" s="1"/>
  <c r="L169" i="3" s="1"/>
  <c r="L195" i="3"/>
  <c r="J205" i="3"/>
  <c r="K205" i="3" s="1"/>
  <c r="L205" i="3" s="1"/>
  <c r="L254" i="3"/>
  <c r="J263" i="3"/>
  <c r="K263" i="3" s="1"/>
  <c r="L263" i="3" s="1"/>
  <c r="J310" i="3"/>
  <c r="K310" i="3" s="1"/>
  <c r="L310" i="3" s="1"/>
  <c r="J315" i="3"/>
  <c r="K315" i="3" s="1"/>
  <c r="L315" i="3" s="1"/>
  <c r="J336" i="3"/>
  <c r="K336" i="3" s="1"/>
  <c r="J361" i="3"/>
  <c r="K361" i="3" s="1"/>
  <c r="L361" i="3" s="1"/>
  <c r="J365" i="3"/>
  <c r="K365" i="3" s="1"/>
  <c r="L365" i="3" s="1"/>
  <c r="J130" i="3"/>
  <c r="K130" i="3" s="1"/>
  <c r="L130" i="3" s="1"/>
  <c r="L13" i="1"/>
  <c r="J8" i="3"/>
  <c r="K8" i="3" s="1"/>
  <c r="L8" i="3" s="1"/>
  <c r="J51" i="3"/>
  <c r="K51" i="3" s="1"/>
  <c r="E18" i="1"/>
  <c r="J25" i="1"/>
  <c r="M41" i="1"/>
  <c r="N41" i="1" s="1"/>
  <c r="M44" i="1"/>
  <c r="N44" i="1" s="1"/>
  <c r="L4" i="3"/>
  <c r="P4" i="3" s="1"/>
  <c r="L9" i="3"/>
  <c r="L19" i="3"/>
  <c r="N19" i="3" s="1"/>
  <c r="J47" i="3"/>
  <c r="K47" i="3" s="1"/>
  <c r="L52" i="3"/>
  <c r="J64" i="3"/>
  <c r="K64" i="3" s="1"/>
  <c r="L64" i="3" s="1"/>
  <c r="P64" i="3" s="1"/>
  <c r="J68" i="3"/>
  <c r="K68" i="3" s="1"/>
  <c r="L68" i="3" s="1"/>
  <c r="J72" i="3"/>
  <c r="K72" i="3" s="1"/>
  <c r="L72" i="3" s="1"/>
  <c r="J91" i="3"/>
  <c r="K91" i="3" s="1"/>
  <c r="L91" i="3" s="1"/>
  <c r="J123" i="3"/>
  <c r="K123" i="3" s="1"/>
  <c r="L123" i="3" s="1"/>
  <c r="J200" i="3"/>
  <c r="K200" i="3" s="1"/>
  <c r="L200" i="3" s="1"/>
  <c r="J249" i="3"/>
  <c r="K249" i="3" s="1"/>
  <c r="L249" i="3" s="1"/>
  <c r="J258" i="3"/>
  <c r="K258" i="3" s="1"/>
  <c r="L258" i="3" s="1"/>
  <c r="O258" i="3" s="1"/>
  <c r="L264" i="3"/>
  <c r="J271" i="3"/>
  <c r="K271" i="3" s="1"/>
  <c r="L285" i="3"/>
  <c r="J293" i="3"/>
  <c r="K293" i="3" s="1"/>
  <c r="L293" i="3" s="1"/>
  <c r="J319" i="3"/>
  <c r="K319" i="3" s="1"/>
  <c r="J333" i="3"/>
  <c r="K333" i="3" s="1"/>
  <c r="L333" i="3" s="1"/>
  <c r="J347" i="3"/>
  <c r="K347" i="3" s="1"/>
  <c r="L347" i="3" s="1"/>
  <c r="J356" i="3"/>
  <c r="K356" i="3" s="1"/>
  <c r="L356" i="3" s="1"/>
  <c r="P356" i="3" s="1"/>
  <c r="J370" i="3"/>
  <c r="K370" i="3" s="1"/>
  <c r="L370" i="3" s="1"/>
  <c r="M13" i="1"/>
  <c r="N13" i="1" s="1"/>
  <c r="J349" i="3"/>
  <c r="K349" i="3" s="1"/>
  <c r="L163" i="3"/>
  <c r="L366" i="3"/>
  <c r="J4" i="3"/>
  <c r="K4" i="3" s="1"/>
  <c r="J43" i="3"/>
  <c r="K43" i="3" s="1"/>
  <c r="L43" i="3" s="1"/>
  <c r="P43" i="3" s="1"/>
  <c r="J110" i="3"/>
  <c r="K110" i="3" s="1"/>
  <c r="J137" i="3"/>
  <c r="K137" i="3" s="1"/>
  <c r="L137" i="3" s="1"/>
  <c r="P137" i="3" s="1"/>
  <c r="R137" i="3" s="1"/>
  <c r="J156" i="3"/>
  <c r="K156" i="3" s="1"/>
  <c r="L156" i="3" s="1"/>
  <c r="J240" i="3"/>
  <c r="K240" i="3" s="1"/>
  <c r="J245" i="3"/>
  <c r="K245" i="3" s="1"/>
  <c r="L245" i="3" s="1"/>
  <c r="J276" i="3"/>
  <c r="K276" i="3" s="1"/>
  <c r="L276" i="3" s="1"/>
  <c r="J285" i="3"/>
  <c r="K285" i="3" s="1"/>
  <c r="L307" i="3"/>
  <c r="M307" i="3" s="1"/>
  <c r="S307" i="3" s="1"/>
  <c r="J311" i="3"/>
  <c r="K311" i="3" s="1"/>
  <c r="L311" i="3" s="1"/>
  <c r="J324" i="3"/>
  <c r="K324" i="3" s="1"/>
  <c r="L324" i="3" s="1"/>
  <c r="N324" i="3" s="1"/>
  <c r="J337" i="3"/>
  <c r="K337" i="3" s="1"/>
  <c r="L337" i="3" s="1"/>
  <c r="J352" i="3"/>
  <c r="K352" i="3" s="1"/>
  <c r="L18" i="1"/>
  <c r="J148" i="3"/>
  <c r="K148" i="3" s="1"/>
  <c r="L148" i="3" s="1"/>
  <c r="J372" i="3"/>
  <c r="K372" i="3" s="1"/>
  <c r="L99" i="3"/>
  <c r="K13" i="1"/>
  <c r="J56" i="3"/>
  <c r="K56" i="3" s="1"/>
  <c r="M7" i="1"/>
  <c r="N7" i="1" s="1"/>
  <c r="J11" i="1"/>
  <c r="M23" i="1"/>
  <c r="N23" i="1" s="1"/>
  <c r="M24" i="1"/>
  <c r="N24" i="1" s="1"/>
  <c r="J24" i="3"/>
  <c r="K24" i="3" s="1"/>
  <c r="L24" i="3" s="1"/>
  <c r="O24" i="3" s="1"/>
  <c r="J38" i="3"/>
  <c r="K38" i="3" s="1"/>
  <c r="L38" i="3" s="1"/>
  <c r="P38" i="3" s="1"/>
  <c r="J48" i="3"/>
  <c r="K48" i="3" s="1"/>
  <c r="L48" i="3" s="1"/>
  <c r="J77" i="3"/>
  <c r="K77" i="3" s="1"/>
  <c r="J124" i="3"/>
  <c r="K124" i="3" s="1"/>
  <c r="L129" i="3"/>
  <c r="L182" i="3"/>
  <c r="L226" i="3"/>
  <c r="J250" i="3"/>
  <c r="K250" i="3" s="1"/>
  <c r="L250" i="3" s="1"/>
  <c r="L255" i="3"/>
  <c r="J259" i="3"/>
  <c r="K259" i="3" s="1"/>
  <c r="J272" i="3"/>
  <c r="K272" i="3" s="1"/>
  <c r="L272" i="3" s="1"/>
  <c r="L277" i="3"/>
  <c r="J294" i="3"/>
  <c r="K294" i="3" s="1"/>
  <c r="L294" i="3" s="1"/>
  <c r="J329" i="3"/>
  <c r="K329" i="3" s="1"/>
  <c r="L371" i="3"/>
  <c r="P371" i="3" s="1"/>
  <c r="J6" i="3"/>
  <c r="K6" i="3" s="1"/>
  <c r="L6" i="3" s="1"/>
  <c r="J66" i="3"/>
  <c r="K66" i="3" s="1"/>
  <c r="L66" i="3" s="1"/>
  <c r="N66" i="3" s="1"/>
  <c r="L278" i="3"/>
  <c r="F18" i="1"/>
  <c r="M27" i="1"/>
  <c r="N27" i="1" s="1"/>
  <c r="J9" i="3"/>
  <c r="K9" i="3" s="1"/>
  <c r="M39" i="1"/>
  <c r="N39" i="1" s="1"/>
  <c r="J10" i="3"/>
  <c r="K10" i="3" s="1"/>
  <c r="L82" i="3"/>
  <c r="P82" i="3" s="1"/>
  <c r="L87" i="3"/>
  <c r="L97" i="3"/>
  <c r="L138" i="3"/>
  <c r="M138" i="3" s="1"/>
  <c r="S138" i="3" s="1"/>
  <c r="J157" i="3"/>
  <c r="K157" i="3" s="1"/>
  <c r="L157" i="3" s="1"/>
  <c r="J207" i="3"/>
  <c r="K207" i="3" s="1"/>
  <c r="L216" i="3"/>
  <c r="P216" i="3" s="1"/>
  <c r="L317" i="3"/>
  <c r="J338" i="3"/>
  <c r="K338" i="3" s="1"/>
  <c r="L338" i="3" s="1"/>
  <c r="J12" i="4"/>
  <c r="L121" i="3"/>
  <c r="M42" i="1"/>
  <c r="N42" i="1" s="1"/>
  <c r="M6" i="1"/>
  <c r="N6" i="1" s="1"/>
  <c r="L61" i="3"/>
  <c r="P61" i="3" s="1"/>
  <c r="R61" i="3" s="1"/>
  <c r="L92" i="3"/>
  <c r="L107" i="3"/>
  <c r="P107" i="3" s="1"/>
  <c r="L147" i="3"/>
  <c r="M147" i="3" s="1"/>
  <c r="S147" i="3" s="1"/>
  <c r="L212" i="3"/>
  <c r="L286" i="3"/>
  <c r="L367" i="3"/>
  <c r="L26" i="3"/>
  <c r="J308" i="3"/>
  <c r="K308" i="3" s="1"/>
  <c r="L308" i="3" s="1"/>
  <c r="L104" i="3"/>
  <c r="M104" i="3" s="1"/>
  <c r="S104" i="3" s="1"/>
  <c r="M8" i="1"/>
  <c r="N8" i="1" s="1"/>
  <c r="J18" i="1"/>
  <c r="J20" i="3"/>
  <c r="K20" i="3" s="1"/>
  <c r="J25" i="3"/>
  <c r="K25" i="3" s="1"/>
  <c r="J39" i="3"/>
  <c r="K39" i="3" s="1"/>
  <c r="L39" i="3" s="1"/>
  <c r="J53" i="3"/>
  <c r="K53" i="3" s="1"/>
  <c r="J70" i="3"/>
  <c r="K70" i="3" s="1"/>
  <c r="L70" i="3" s="1"/>
  <c r="J78" i="3"/>
  <c r="K78" i="3" s="1"/>
  <c r="L78" i="3" s="1"/>
  <c r="J117" i="3"/>
  <c r="K117" i="3" s="1"/>
  <c r="L117" i="3" s="1"/>
  <c r="J138" i="3"/>
  <c r="K138" i="3" s="1"/>
  <c r="J192" i="3"/>
  <c r="K192" i="3" s="1"/>
  <c r="J202" i="3"/>
  <c r="K202" i="3" s="1"/>
  <c r="L242" i="3"/>
  <c r="L247" i="3"/>
  <c r="M247" i="3" s="1"/>
  <c r="S247" i="3" s="1"/>
  <c r="J251" i="3"/>
  <c r="K251" i="3" s="1"/>
  <c r="L251" i="3" s="1"/>
  <c r="P251" i="3" s="1"/>
  <c r="J295" i="3"/>
  <c r="K295" i="3" s="1"/>
  <c r="L295" i="3" s="1"/>
  <c r="J303" i="3"/>
  <c r="K303" i="3" s="1"/>
  <c r="L303" i="3" s="1"/>
  <c r="J317" i="3"/>
  <c r="K317" i="3" s="1"/>
  <c r="J330" i="3"/>
  <c r="K330" i="3" s="1"/>
  <c r="J367" i="3"/>
  <c r="K367" i="3" s="1"/>
  <c r="L372" i="3"/>
  <c r="P49" i="3"/>
  <c r="O49" i="3"/>
  <c r="N49" i="3"/>
  <c r="M49" i="3"/>
  <c r="S49" i="3" s="1"/>
  <c r="R98" i="3"/>
  <c r="Q98" i="3"/>
  <c r="O103" i="3"/>
  <c r="P103" i="3"/>
  <c r="N103" i="3"/>
  <c r="M103" i="3"/>
  <c r="S103" i="3" s="1"/>
  <c r="L41" i="3"/>
  <c r="N54" i="3"/>
  <c r="M54" i="3"/>
  <c r="S54" i="3" s="1"/>
  <c r="P54" i="3"/>
  <c r="O54" i="3"/>
  <c r="P58" i="3"/>
  <c r="O58" i="3"/>
  <c r="N58" i="3"/>
  <c r="M58" i="3"/>
  <c r="S58" i="3" s="1"/>
  <c r="L80" i="3"/>
  <c r="P167" i="3"/>
  <c r="O167" i="3"/>
  <c r="N167" i="3"/>
  <c r="M167" i="3"/>
  <c r="S167" i="3" s="1"/>
  <c r="P17" i="3"/>
  <c r="M40" i="3"/>
  <c r="S40" i="3" s="1"/>
  <c r="P40" i="3"/>
  <c r="O40" i="3"/>
  <c r="N40" i="3"/>
  <c r="N12" i="3"/>
  <c r="L27" i="3"/>
  <c r="L36" i="3"/>
  <c r="L59" i="3"/>
  <c r="P118" i="3"/>
  <c r="O118" i="3"/>
  <c r="N118" i="3"/>
  <c r="M118" i="3"/>
  <c r="S118" i="3" s="1"/>
  <c r="P184" i="3"/>
  <c r="O184" i="3"/>
  <c r="N184" i="3"/>
  <c r="M184" i="3"/>
  <c r="S184" i="3" s="1"/>
  <c r="P136" i="3"/>
  <c r="O136" i="3"/>
  <c r="N136" i="3"/>
  <c r="M136" i="3"/>
  <c r="S136" i="3" s="1"/>
  <c r="N35" i="3"/>
  <c r="M35" i="3"/>
  <c r="S35" i="3" s="1"/>
  <c r="P35" i="3"/>
  <c r="O35" i="3"/>
  <c r="P7" i="3"/>
  <c r="O7" i="3"/>
  <c r="N7" i="3"/>
  <c r="M7" i="3"/>
  <c r="S7" i="3" s="1"/>
  <c r="O64" i="3"/>
  <c r="M64" i="3"/>
  <c r="S64" i="3" s="1"/>
  <c r="P76" i="3"/>
  <c r="O76" i="3"/>
  <c r="N76" i="3"/>
  <c r="M76" i="3"/>
  <c r="S76" i="3" s="1"/>
  <c r="P108" i="3"/>
  <c r="N108" i="3"/>
  <c r="O108" i="3"/>
  <c r="M108" i="3"/>
  <c r="S108" i="3" s="1"/>
  <c r="O119" i="3"/>
  <c r="P119" i="3"/>
  <c r="P13" i="3"/>
  <c r="O13" i="3"/>
  <c r="N13" i="3"/>
  <c r="M13" i="3"/>
  <c r="S13" i="3" s="1"/>
  <c r="P114" i="3"/>
  <c r="O114" i="3"/>
  <c r="N114" i="3"/>
  <c r="M114" i="3"/>
  <c r="S114" i="3" s="1"/>
  <c r="P81" i="3"/>
  <c r="O81" i="3"/>
  <c r="N81" i="3"/>
  <c r="M81" i="3"/>
  <c r="S81" i="3" s="1"/>
  <c r="P86" i="3"/>
  <c r="O86" i="3"/>
  <c r="N86" i="3"/>
  <c r="M86" i="3"/>
  <c r="S86" i="3" s="1"/>
  <c r="P32" i="3"/>
  <c r="O32" i="3"/>
  <c r="N32" i="3"/>
  <c r="M32" i="3"/>
  <c r="S32" i="3" s="1"/>
  <c r="P37" i="3"/>
  <c r="O37" i="3"/>
  <c r="N37" i="3"/>
  <c r="M37" i="3"/>
  <c r="S37" i="3" s="1"/>
  <c r="M19" i="3"/>
  <c r="S19" i="3" s="1"/>
  <c r="P19" i="3"/>
  <c r="O19" i="3"/>
  <c r="P15" i="3"/>
  <c r="O15" i="3"/>
  <c r="N15" i="3"/>
  <c r="M15" i="3"/>
  <c r="S15" i="3" s="1"/>
  <c r="P33" i="3"/>
  <c r="O33" i="3"/>
  <c r="N33" i="3"/>
  <c r="M33" i="3"/>
  <c r="S33" i="3" s="1"/>
  <c r="M43" i="3"/>
  <c r="S43" i="3" s="1"/>
  <c r="N43" i="3"/>
  <c r="P156" i="3"/>
  <c r="O156" i="3"/>
  <c r="N156" i="3"/>
  <c r="M156" i="3"/>
  <c r="S156" i="3" s="1"/>
  <c r="P26" i="3"/>
  <c r="O26" i="3"/>
  <c r="N26" i="3"/>
  <c r="M26" i="3"/>
  <c r="S26" i="3" s="1"/>
  <c r="P75" i="3"/>
  <c r="O75" i="3"/>
  <c r="N75" i="3"/>
  <c r="M75" i="3"/>
  <c r="S75" i="3" s="1"/>
  <c r="M8" i="3"/>
  <c r="S8" i="3" s="1"/>
  <c r="P8" i="3"/>
  <c r="O8" i="3"/>
  <c r="N8" i="3"/>
  <c r="M4" i="3"/>
  <c r="P28" i="3"/>
  <c r="O28" i="3"/>
  <c r="N28" i="3"/>
  <c r="M28" i="3"/>
  <c r="S28" i="3" s="1"/>
  <c r="L5" i="3"/>
  <c r="L10" i="3"/>
  <c r="M24" i="3"/>
  <c r="S24" i="3" s="1"/>
  <c r="P24" i="3"/>
  <c r="L29" i="3"/>
  <c r="R71" i="3"/>
  <c r="Q71" i="3"/>
  <c r="O14" i="3"/>
  <c r="N14" i="3"/>
  <c r="M14" i="3"/>
  <c r="S14" i="3" s="1"/>
  <c r="M18" i="1"/>
  <c r="N18" i="1" s="1"/>
  <c r="P23" i="3"/>
  <c r="O23" i="3"/>
  <c r="N23" i="3"/>
  <c r="M23" i="3"/>
  <c r="S23" i="3" s="1"/>
  <c r="M25" i="1"/>
  <c r="N25" i="1" s="1"/>
  <c r="L20" i="3"/>
  <c r="L25" i="3"/>
  <c r="L53" i="3"/>
  <c r="R60" i="3"/>
  <c r="Q60" i="3"/>
  <c r="P69" i="3"/>
  <c r="O69" i="3"/>
  <c r="N69" i="3"/>
  <c r="M69" i="3"/>
  <c r="S69" i="3" s="1"/>
  <c r="P87" i="3"/>
  <c r="O87" i="3"/>
  <c r="N87" i="3"/>
  <c r="M87" i="3"/>
  <c r="S87" i="3" s="1"/>
  <c r="P97" i="3"/>
  <c r="O97" i="3"/>
  <c r="N97" i="3"/>
  <c r="M97" i="3"/>
  <c r="S97" i="3" s="1"/>
  <c r="L16" i="3"/>
  <c r="Q61" i="3"/>
  <c r="O65" i="3"/>
  <c r="N65" i="3"/>
  <c r="M65" i="3"/>
  <c r="S65" i="3" s="1"/>
  <c r="P65" i="3"/>
  <c r="P92" i="3"/>
  <c r="N92" i="3"/>
  <c r="M92" i="3"/>
  <c r="S92" i="3" s="1"/>
  <c r="O92" i="3"/>
  <c r="P147" i="3"/>
  <c r="O147" i="3"/>
  <c r="N147" i="3"/>
  <c r="P44" i="3"/>
  <c r="O44" i="3"/>
  <c r="N44" i="3"/>
  <c r="M44" i="3"/>
  <c r="S44" i="3" s="1"/>
  <c r="P18" i="3"/>
  <c r="O18" i="3"/>
  <c r="N18" i="3"/>
  <c r="M18" i="3"/>
  <c r="S18" i="3" s="1"/>
  <c r="P9" i="3"/>
  <c r="O9" i="3"/>
  <c r="N9" i="3"/>
  <c r="M9" i="3"/>
  <c r="S9" i="3" s="1"/>
  <c r="L11" i="3"/>
  <c r="L30" i="3"/>
  <c r="P34" i="3"/>
  <c r="O34" i="3"/>
  <c r="N34" i="3"/>
  <c r="M34" i="3"/>
  <c r="S34" i="3" s="1"/>
  <c r="P39" i="3"/>
  <c r="O39" i="3"/>
  <c r="N39" i="3"/>
  <c r="M39" i="3"/>
  <c r="S39" i="3" s="1"/>
  <c r="P70" i="3"/>
  <c r="O70" i="3"/>
  <c r="N70" i="3"/>
  <c r="M70" i="3"/>
  <c r="S70" i="3" s="1"/>
  <c r="P102" i="3"/>
  <c r="O102" i="3"/>
  <c r="N102" i="3"/>
  <c r="M102" i="3"/>
  <c r="S102" i="3" s="1"/>
  <c r="L77" i="3"/>
  <c r="L110" i="3"/>
  <c r="L151" i="3"/>
  <c r="O256" i="3"/>
  <c r="N256" i="3"/>
  <c r="P256" i="3"/>
  <c r="M256" i="3"/>
  <c r="S256" i="3" s="1"/>
  <c r="L79" i="3"/>
  <c r="L95" i="3"/>
  <c r="P123" i="3"/>
  <c r="O123" i="3"/>
  <c r="N123" i="3"/>
  <c r="M123" i="3"/>
  <c r="S123" i="3" s="1"/>
  <c r="P158" i="3"/>
  <c r="O158" i="3"/>
  <c r="N158" i="3"/>
  <c r="M158" i="3"/>
  <c r="S158" i="3" s="1"/>
  <c r="R180" i="3"/>
  <c r="Q180" i="3"/>
  <c r="O238" i="3"/>
  <c r="P238" i="3"/>
  <c r="N238" i="3"/>
  <c r="M238" i="3"/>
  <c r="S238" i="3" s="1"/>
  <c r="M60" i="3"/>
  <c r="S60" i="3" s="1"/>
  <c r="M71" i="3"/>
  <c r="S71" i="3" s="1"/>
  <c r="L73" i="3"/>
  <c r="P126" i="3"/>
  <c r="O126" i="3"/>
  <c r="N126" i="3"/>
  <c r="M126" i="3"/>
  <c r="S126" i="3" s="1"/>
  <c r="M137" i="3"/>
  <c r="S137" i="3" s="1"/>
  <c r="P331" i="3"/>
  <c r="O331" i="3"/>
  <c r="N331" i="3"/>
  <c r="M331" i="3"/>
  <c r="S331" i="3" s="1"/>
  <c r="P359" i="3"/>
  <c r="M359" i="3"/>
  <c r="S359" i="3" s="1"/>
  <c r="O359" i="3"/>
  <c r="N359" i="3"/>
  <c r="N51" i="3"/>
  <c r="M51" i="3"/>
  <c r="S51" i="3" s="1"/>
  <c r="N60" i="3"/>
  <c r="N71" i="3"/>
  <c r="P148" i="3"/>
  <c r="O148" i="3"/>
  <c r="N148" i="3"/>
  <c r="M148" i="3"/>
  <c r="S148" i="3" s="1"/>
  <c r="N163" i="3"/>
  <c r="M163" i="3"/>
  <c r="S163" i="3" s="1"/>
  <c r="P174" i="3"/>
  <c r="O174" i="3"/>
  <c r="N174" i="3"/>
  <c r="M174" i="3"/>
  <c r="S174" i="3" s="1"/>
  <c r="O60" i="3"/>
  <c r="J62" i="3"/>
  <c r="K62" i="3" s="1"/>
  <c r="L62" i="3" s="1"/>
  <c r="O71" i="3"/>
  <c r="J73" i="3"/>
  <c r="K73" i="3" s="1"/>
  <c r="L127" i="3"/>
  <c r="O163" i="3"/>
  <c r="O193" i="3"/>
  <c r="P193" i="3"/>
  <c r="N193" i="3"/>
  <c r="M193" i="3"/>
  <c r="S193" i="3" s="1"/>
  <c r="N197" i="3"/>
  <c r="M197" i="3"/>
  <c r="S197" i="3" s="1"/>
  <c r="P197" i="3"/>
  <c r="O197" i="3"/>
  <c r="L203" i="3"/>
  <c r="M17" i="1"/>
  <c r="N17" i="1" s="1"/>
  <c r="L96" i="3"/>
  <c r="P116" i="3"/>
  <c r="O116" i="3"/>
  <c r="N116" i="3"/>
  <c r="M116" i="3"/>
  <c r="S116" i="3" s="1"/>
  <c r="P121" i="3"/>
  <c r="O121" i="3"/>
  <c r="N121" i="3"/>
  <c r="M121" i="3"/>
  <c r="S121" i="3" s="1"/>
  <c r="L124" i="3"/>
  <c r="Q159" i="3"/>
  <c r="P163" i="3"/>
  <c r="O225" i="3"/>
  <c r="P225" i="3"/>
  <c r="N225" i="3"/>
  <c r="P244" i="3"/>
  <c r="O244" i="3"/>
  <c r="M244" i="3"/>
  <c r="S244" i="3" s="1"/>
  <c r="N244" i="3"/>
  <c r="O51" i="3"/>
  <c r="P84" i="3"/>
  <c r="O84" i="3"/>
  <c r="N84" i="3"/>
  <c r="M84" i="3"/>
  <c r="S84" i="3" s="1"/>
  <c r="J171" i="3"/>
  <c r="K171" i="3" s="1"/>
  <c r="L171" i="3" s="1"/>
  <c r="M225" i="3"/>
  <c r="S225" i="3" s="1"/>
  <c r="O305" i="3"/>
  <c r="P305" i="3"/>
  <c r="N305" i="3"/>
  <c r="M305" i="3"/>
  <c r="S305" i="3" s="1"/>
  <c r="P51" i="3"/>
  <c r="N98" i="3"/>
  <c r="L101" i="3"/>
  <c r="J134" i="3"/>
  <c r="K134" i="3" s="1"/>
  <c r="L134" i="3" s="1"/>
  <c r="O141" i="3"/>
  <c r="N152" i="3"/>
  <c r="N230" i="3"/>
  <c r="P230" i="3"/>
  <c r="O230" i="3"/>
  <c r="M230" i="3"/>
  <c r="S230" i="3" s="1"/>
  <c r="P235" i="3"/>
  <c r="M235" i="3"/>
  <c r="S235" i="3" s="1"/>
  <c r="O235" i="3"/>
  <c r="N235" i="3"/>
  <c r="O46" i="3"/>
  <c r="N46" i="3"/>
  <c r="M46" i="3"/>
  <c r="S46" i="3" s="1"/>
  <c r="L74" i="3"/>
  <c r="O98" i="3"/>
  <c r="P106" i="3"/>
  <c r="O106" i="3"/>
  <c r="N106" i="3"/>
  <c r="M106" i="3"/>
  <c r="P131" i="3"/>
  <c r="O131" i="3"/>
  <c r="N131" i="3"/>
  <c r="M131" i="3"/>
  <c r="S131" i="3" s="1"/>
  <c r="P146" i="3"/>
  <c r="O146" i="3"/>
  <c r="N146" i="3"/>
  <c r="M146" i="3"/>
  <c r="S146" i="3" s="1"/>
  <c r="O152" i="3"/>
  <c r="J57" i="3"/>
  <c r="K57" i="3" s="1"/>
  <c r="L57" i="3" s="1"/>
  <c r="L63" i="3"/>
  <c r="L89" i="3"/>
  <c r="J111" i="3"/>
  <c r="K111" i="3" s="1"/>
  <c r="L111" i="3" s="1"/>
  <c r="P152" i="3"/>
  <c r="J186" i="3"/>
  <c r="K186" i="3" s="1"/>
  <c r="L186" i="3" s="1"/>
  <c r="P168" i="3"/>
  <c r="O168" i="3"/>
  <c r="N168" i="3"/>
  <c r="M168" i="3"/>
  <c r="S168" i="3" s="1"/>
  <c r="P190" i="3"/>
  <c r="O190" i="3"/>
  <c r="N190" i="3"/>
  <c r="M190" i="3"/>
  <c r="S190" i="3" s="1"/>
  <c r="P46" i="3"/>
  <c r="P52" i="3"/>
  <c r="O52" i="3"/>
  <c r="N52" i="3"/>
  <c r="M52" i="3"/>
  <c r="M61" i="3"/>
  <c r="S61" i="3" s="1"/>
  <c r="P85" i="3"/>
  <c r="O85" i="3"/>
  <c r="N85" i="3"/>
  <c r="M85" i="3"/>
  <c r="S85" i="3" s="1"/>
  <c r="N99" i="3"/>
  <c r="M99" i="3"/>
  <c r="S99" i="3" s="1"/>
  <c r="Q125" i="3"/>
  <c r="R125" i="3"/>
  <c r="P142" i="3"/>
  <c r="O142" i="3"/>
  <c r="N142" i="3"/>
  <c r="M142" i="3"/>
  <c r="S142" i="3" s="1"/>
  <c r="O179" i="3"/>
  <c r="M179" i="3"/>
  <c r="S179" i="3" s="1"/>
  <c r="N194" i="3"/>
  <c r="P194" i="3"/>
  <c r="O194" i="3"/>
  <c r="M194" i="3"/>
  <c r="S194" i="3" s="1"/>
  <c r="O222" i="3"/>
  <c r="P222" i="3"/>
  <c r="N222" i="3"/>
  <c r="M222" i="3"/>
  <c r="S222" i="3" s="1"/>
  <c r="N246" i="3"/>
  <c r="P246" i="3"/>
  <c r="O246" i="3"/>
  <c r="M246" i="3"/>
  <c r="S246" i="3" s="1"/>
  <c r="P316" i="3"/>
  <c r="O316" i="3"/>
  <c r="M316" i="3"/>
  <c r="S316" i="3" s="1"/>
  <c r="N316" i="3"/>
  <c r="N61" i="3"/>
  <c r="M125" i="3"/>
  <c r="S125" i="3" s="1"/>
  <c r="P153" i="3"/>
  <c r="O153" i="3"/>
  <c r="N153" i="3"/>
  <c r="M153" i="3"/>
  <c r="S153" i="3" s="1"/>
  <c r="N179" i="3"/>
  <c r="P227" i="3"/>
  <c r="N227" i="3"/>
  <c r="O227" i="3"/>
  <c r="M227" i="3"/>
  <c r="S227" i="3" s="1"/>
  <c r="O61" i="3"/>
  <c r="L67" i="3"/>
  <c r="J112" i="3"/>
  <c r="K112" i="3" s="1"/>
  <c r="L112" i="3" s="1"/>
  <c r="N125" i="3"/>
  <c r="P129" i="3"/>
  <c r="O129" i="3"/>
  <c r="M129" i="3"/>
  <c r="S129" i="3" s="1"/>
  <c r="N129" i="3"/>
  <c r="M132" i="3"/>
  <c r="S132" i="3" s="1"/>
  <c r="P179" i="3"/>
  <c r="P200" i="3"/>
  <c r="O200" i="3"/>
  <c r="N200" i="3"/>
  <c r="M200" i="3"/>
  <c r="S200" i="3" s="1"/>
  <c r="L206" i="3"/>
  <c r="L45" i="3"/>
  <c r="L56" i="3"/>
  <c r="L83" i="3"/>
  <c r="O99" i="3"/>
  <c r="L115" i="3"/>
  <c r="O125" i="3"/>
  <c r="P143" i="3"/>
  <c r="O143" i="3"/>
  <c r="L162" i="3"/>
  <c r="P187" i="3"/>
  <c r="M187" i="3"/>
  <c r="S187" i="3" s="1"/>
  <c r="O187" i="3"/>
  <c r="N187" i="3"/>
  <c r="L47" i="3"/>
  <c r="L88" i="3"/>
  <c r="L90" i="3"/>
  <c r="P99" i="3"/>
  <c r="O132" i="3"/>
  <c r="L140" i="3"/>
  <c r="M143" i="3"/>
  <c r="S143" i="3" s="1"/>
  <c r="N169" i="3"/>
  <c r="N210" i="3"/>
  <c r="P210" i="3"/>
  <c r="M210" i="3"/>
  <c r="S210" i="3" s="1"/>
  <c r="O210" i="3"/>
  <c r="N149" i="3"/>
  <c r="M149" i="3"/>
  <c r="S149" i="3" s="1"/>
  <c r="O160" i="3"/>
  <c r="N160" i="3"/>
  <c r="M160" i="3"/>
  <c r="S160" i="3" s="1"/>
  <c r="L178" i="3"/>
  <c r="N229" i="3"/>
  <c r="P229" i="3"/>
  <c r="O229" i="3"/>
  <c r="M229" i="3"/>
  <c r="S229" i="3" s="1"/>
  <c r="O272" i="3"/>
  <c r="N272" i="3"/>
  <c r="M272" i="3"/>
  <c r="S272" i="3" s="1"/>
  <c r="P299" i="3"/>
  <c r="O299" i="3"/>
  <c r="M299" i="3"/>
  <c r="S299" i="3" s="1"/>
  <c r="N299" i="3"/>
  <c r="P315" i="3"/>
  <c r="O315" i="3"/>
  <c r="N315" i="3"/>
  <c r="M315" i="3"/>
  <c r="S315" i="3" s="1"/>
  <c r="N226" i="3"/>
  <c r="M226" i="3"/>
  <c r="S226" i="3" s="1"/>
  <c r="P226" i="3"/>
  <c r="O226" i="3"/>
  <c r="P272" i="3"/>
  <c r="P294" i="3"/>
  <c r="O294" i="3"/>
  <c r="N294" i="3"/>
  <c r="M294" i="3"/>
  <c r="S294" i="3" s="1"/>
  <c r="P332" i="3"/>
  <c r="O332" i="3"/>
  <c r="M332" i="3"/>
  <c r="S332" i="3" s="1"/>
  <c r="N332" i="3"/>
  <c r="L172" i="3"/>
  <c r="P182" i="3"/>
  <c r="O182" i="3"/>
  <c r="N182" i="3"/>
  <c r="M182" i="3"/>
  <c r="S182" i="3" s="1"/>
  <c r="P212" i="3"/>
  <c r="O212" i="3"/>
  <c r="N212" i="3"/>
  <c r="M212" i="3"/>
  <c r="S212" i="3" s="1"/>
  <c r="P245" i="3"/>
  <c r="N245" i="3"/>
  <c r="M245" i="3"/>
  <c r="O245" i="3"/>
  <c r="P160" i="3"/>
  <c r="M180" i="3"/>
  <c r="S180" i="3" s="1"/>
  <c r="J209" i="3"/>
  <c r="K209" i="3" s="1"/>
  <c r="L209" i="3" s="1"/>
  <c r="P241" i="3"/>
  <c r="O241" i="3"/>
  <c r="N241" i="3"/>
  <c r="M241" i="3"/>
  <c r="S241" i="3" s="1"/>
  <c r="N138" i="3"/>
  <c r="O149" i="3"/>
  <c r="O176" i="3"/>
  <c r="N176" i="3"/>
  <c r="M176" i="3"/>
  <c r="S176" i="3" s="1"/>
  <c r="N180" i="3"/>
  <c r="P195" i="3"/>
  <c r="O195" i="3"/>
  <c r="N195" i="3"/>
  <c r="M195" i="3"/>
  <c r="S195" i="3" s="1"/>
  <c r="N198" i="3"/>
  <c r="O198" i="3"/>
  <c r="M198" i="3"/>
  <c r="S198" i="3" s="1"/>
  <c r="O254" i="3"/>
  <c r="N254" i="3"/>
  <c r="M254" i="3"/>
  <c r="S254" i="3" s="1"/>
  <c r="P254" i="3"/>
  <c r="P257" i="3"/>
  <c r="N257" i="3"/>
  <c r="M257" i="3"/>
  <c r="S257" i="3" s="1"/>
  <c r="O257" i="3"/>
  <c r="N133" i="3"/>
  <c r="M133" i="3"/>
  <c r="S133" i="3" s="1"/>
  <c r="O138" i="3"/>
  <c r="P149" i="3"/>
  <c r="O180" i="3"/>
  <c r="N242" i="3"/>
  <c r="M242" i="3"/>
  <c r="S242" i="3" s="1"/>
  <c r="P242" i="3"/>
  <c r="O242" i="3"/>
  <c r="J262" i="3"/>
  <c r="K262" i="3" s="1"/>
  <c r="L262" i="3" s="1"/>
  <c r="R290" i="3"/>
  <c r="Q290" i="3"/>
  <c r="P138" i="3"/>
  <c r="J166" i="3"/>
  <c r="K166" i="3" s="1"/>
  <c r="L166" i="3" s="1"/>
  <c r="N170" i="3"/>
  <c r="L183" i="3"/>
  <c r="P337" i="3"/>
  <c r="O337" i="3"/>
  <c r="M337" i="3"/>
  <c r="S337" i="3" s="1"/>
  <c r="N337" i="3"/>
  <c r="J144" i="3"/>
  <c r="K144" i="3" s="1"/>
  <c r="L144" i="3" s="1"/>
  <c r="J155" i="3"/>
  <c r="K155" i="3" s="1"/>
  <c r="L155" i="3" s="1"/>
  <c r="L161" i="3"/>
  <c r="O170" i="3"/>
  <c r="P176" i="3"/>
  <c r="P198" i="3"/>
  <c r="L128" i="3"/>
  <c r="P170" i="3"/>
  <c r="J213" i="3"/>
  <c r="K213" i="3" s="1"/>
  <c r="L213" i="3" s="1"/>
  <c r="O224" i="3"/>
  <c r="P224" i="3"/>
  <c r="N224" i="3"/>
  <c r="M224" i="3"/>
  <c r="S224" i="3" s="1"/>
  <c r="N228" i="3"/>
  <c r="M228" i="3"/>
  <c r="S228" i="3" s="1"/>
  <c r="O133" i="3"/>
  <c r="L150" i="3"/>
  <c r="M159" i="3"/>
  <c r="S159" i="3" s="1"/>
  <c r="N181" i="3"/>
  <c r="M181" i="3"/>
  <c r="S181" i="3" s="1"/>
  <c r="L196" i="3"/>
  <c r="P267" i="3"/>
  <c r="O267" i="3"/>
  <c r="P321" i="3"/>
  <c r="O321" i="3"/>
  <c r="N321" i="3"/>
  <c r="M321" i="3"/>
  <c r="S321" i="3" s="1"/>
  <c r="J128" i="3"/>
  <c r="K128" i="3" s="1"/>
  <c r="P133" i="3"/>
  <c r="N159" i="3"/>
  <c r="L199" i="3"/>
  <c r="O221" i="3"/>
  <c r="N221" i="3"/>
  <c r="P221" i="3"/>
  <c r="M221" i="3"/>
  <c r="S221" i="3" s="1"/>
  <c r="M267" i="3"/>
  <c r="S267" i="3" s="1"/>
  <c r="M343" i="3"/>
  <c r="S343" i="3" s="1"/>
  <c r="P343" i="3"/>
  <c r="O343" i="3"/>
  <c r="N343" i="3"/>
  <c r="O159" i="3"/>
  <c r="L165" i="3"/>
  <c r="L177" i="3"/>
  <c r="L202" i="3"/>
  <c r="L211" i="3"/>
  <c r="O228" i="3"/>
  <c r="P232" i="3"/>
  <c r="O232" i="3"/>
  <c r="M232" i="3"/>
  <c r="S232" i="3" s="1"/>
  <c r="N232" i="3"/>
  <c r="N267" i="3"/>
  <c r="J139" i="3"/>
  <c r="K139" i="3" s="1"/>
  <c r="L139" i="3" s="1"/>
  <c r="L145" i="3"/>
  <c r="L154" i="3"/>
  <c r="J199" i="3"/>
  <c r="K199" i="3" s="1"/>
  <c r="P228" i="3"/>
  <c r="O270" i="3"/>
  <c r="N270" i="3"/>
  <c r="M270" i="3"/>
  <c r="S270" i="3" s="1"/>
  <c r="L287" i="3"/>
  <c r="P273" i="3"/>
  <c r="O273" i="3"/>
  <c r="N273" i="3"/>
  <c r="P327" i="3"/>
  <c r="O327" i="3"/>
  <c r="N327" i="3"/>
  <c r="O338" i="3"/>
  <c r="N338" i="3"/>
  <c r="M338" i="3"/>
  <c r="S338" i="3" s="1"/>
  <c r="P342" i="3"/>
  <c r="O342" i="3"/>
  <c r="N342" i="3"/>
  <c r="M342" i="3"/>
  <c r="S342" i="3" s="1"/>
  <c r="L215" i="3"/>
  <c r="L239" i="3"/>
  <c r="R270" i="3"/>
  <c r="M273" i="3"/>
  <c r="S273" i="3" s="1"/>
  <c r="P277" i="3"/>
  <c r="N277" i="3"/>
  <c r="M277" i="3"/>
  <c r="S277" i="3" s="1"/>
  <c r="P306" i="3"/>
  <c r="O306" i="3"/>
  <c r="N306" i="3"/>
  <c r="M306" i="3"/>
  <c r="S306" i="3" s="1"/>
  <c r="M327" i="3"/>
  <c r="S327" i="3" s="1"/>
  <c r="P347" i="3"/>
  <c r="O347" i="3"/>
  <c r="N347" i="3"/>
  <c r="M347" i="3"/>
  <c r="S347" i="3" s="1"/>
  <c r="P364" i="3"/>
  <c r="O364" i="3"/>
  <c r="N364" i="3"/>
  <c r="M364" i="3"/>
  <c r="S364" i="3" s="1"/>
  <c r="L192" i="3"/>
  <c r="J218" i="3"/>
  <c r="K218" i="3" s="1"/>
  <c r="L218" i="3" s="1"/>
  <c r="J234" i="3"/>
  <c r="K234" i="3" s="1"/>
  <c r="L234" i="3" s="1"/>
  <c r="L288" i="3"/>
  <c r="P338" i="3"/>
  <c r="P369" i="3"/>
  <c r="O369" i="3"/>
  <c r="N369" i="3"/>
  <c r="M369" i="3"/>
  <c r="S369" i="3" s="1"/>
  <c r="L223" i="3"/>
  <c r="O268" i="3"/>
  <c r="N268" i="3"/>
  <c r="M268" i="3"/>
  <c r="S268" i="3" s="1"/>
  <c r="P310" i="3"/>
  <c r="N310" i="3"/>
  <c r="M310" i="3"/>
  <c r="S310" i="3" s="1"/>
  <c r="M324" i="3"/>
  <c r="S324" i="3" s="1"/>
  <c r="L208" i="3"/>
  <c r="L231" i="3"/>
  <c r="P252" i="3"/>
  <c r="N252" i="3"/>
  <c r="P255" i="3"/>
  <c r="N255" i="3"/>
  <c r="M255" i="3"/>
  <c r="S255" i="3" s="1"/>
  <c r="P268" i="3"/>
  <c r="P284" i="3"/>
  <c r="O284" i="3"/>
  <c r="N284" i="3"/>
  <c r="P296" i="3"/>
  <c r="O310" i="3"/>
  <c r="L188" i="3"/>
  <c r="L236" i="3"/>
  <c r="L243" i="3"/>
  <c r="M252" i="3"/>
  <c r="S252" i="3" s="1"/>
  <c r="O277" i="3"/>
  <c r="M284" i="3"/>
  <c r="S284" i="3" s="1"/>
  <c r="J185" i="3"/>
  <c r="K185" i="3" s="1"/>
  <c r="L185" i="3" s="1"/>
  <c r="L191" i="3"/>
  <c r="L220" i="3"/>
  <c r="J231" i="3"/>
  <c r="K231" i="3" s="1"/>
  <c r="N247" i="3"/>
  <c r="O252" i="3"/>
  <c r="P348" i="3"/>
  <c r="O348" i="3"/>
  <c r="N348" i="3"/>
  <c r="M348" i="3"/>
  <c r="S348" i="3" s="1"/>
  <c r="P375" i="3"/>
  <c r="O375" i="3"/>
  <c r="M375" i="3"/>
  <c r="S375" i="3" s="1"/>
  <c r="N375" i="3"/>
  <c r="L204" i="3"/>
  <c r="O247" i="3"/>
  <c r="N275" i="3"/>
  <c r="M275" i="3"/>
  <c r="S275" i="3" s="1"/>
  <c r="O275" i="3"/>
  <c r="P275" i="3"/>
  <c r="P278" i="3"/>
  <c r="N278" i="3"/>
  <c r="M289" i="3"/>
  <c r="S289" i="3" s="1"/>
  <c r="P289" i="3"/>
  <c r="N289" i="3"/>
  <c r="P293" i="3"/>
  <c r="N293" i="3"/>
  <c r="M293" i="3"/>
  <c r="S293" i="3" s="1"/>
  <c r="O293" i="3"/>
  <c r="J201" i="3"/>
  <c r="K201" i="3" s="1"/>
  <c r="L201" i="3" s="1"/>
  <c r="L207" i="3"/>
  <c r="J217" i="3"/>
  <c r="K217" i="3" s="1"/>
  <c r="L217" i="3" s="1"/>
  <c r="P247" i="3"/>
  <c r="O255" i="3"/>
  <c r="L261" i="3"/>
  <c r="M264" i="3"/>
  <c r="S264" i="3" s="1"/>
  <c r="P264" i="3"/>
  <c r="N264" i="3"/>
  <c r="P300" i="3"/>
  <c r="O300" i="3"/>
  <c r="N300" i="3"/>
  <c r="M300" i="3"/>
  <c r="S300" i="3" s="1"/>
  <c r="P353" i="3"/>
  <c r="O353" i="3"/>
  <c r="N353" i="3"/>
  <c r="M353" i="3"/>
  <c r="S353" i="3" s="1"/>
  <c r="J214" i="3"/>
  <c r="K214" i="3" s="1"/>
  <c r="L214" i="3" s="1"/>
  <c r="J233" i="3"/>
  <c r="K233" i="3" s="1"/>
  <c r="L233" i="3" s="1"/>
  <c r="M258" i="3"/>
  <c r="S258" i="3" s="1"/>
  <c r="M278" i="3"/>
  <c r="S278" i="3" s="1"/>
  <c r="P322" i="3"/>
  <c r="N322" i="3"/>
  <c r="M253" i="3"/>
  <c r="S253" i="3" s="1"/>
  <c r="N258" i="3"/>
  <c r="O278" i="3"/>
  <c r="O318" i="3"/>
  <c r="N318" i="3"/>
  <c r="M318" i="3"/>
  <c r="S318" i="3" s="1"/>
  <c r="L341" i="3"/>
  <c r="P367" i="3"/>
  <c r="O367" i="3"/>
  <c r="N367" i="3"/>
  <c r="M367" i="3"/>
  <c r="S367" i="3" s="1"/>
  <c r="L240" i="3"/>
  <c r="O253" i="3"/>
  <c r="P258" i="3"/>
  <c r="O264" i="3"/>
  <c r="O286" i="3"/>
  <c r="N286" i="3"/>
  <c r="M286" i="3"/>
  <c r="P286" i="3"/>
  <c r="O290" i="3"/>
  <c r="M290" i="3"/>
  <c r="S290" i="3" s="1"/>
  <c r="P318" i="3"/>
  <c r="M322" i="3"/>
  <c r="S322" i="3" s="1"/>
  <c r="J260" i="3"/>
  <c r="K260" i="3" s="1"/>
  <c r="L260" i="3" s="1"/>
  <c r="L269" i="3"/>
  <c r="J274" i="3"/>
  <c r="K274" i="3" s="1"/>
  <c r="L274" i="3" s="1"/>
  <c r="L352" i="3"/>
  <c r="O302" i="3"/>
  <c r="N302" i="3"/>
  <c r="M302" i="3"/>
  <c r="S302" i="3" s="1"/>
  <c r="L336" i="3"/>
  <c r="J374" i="3"/>
  <c r="K374" i="3" s="1"/>
  <c r="L374" i="3" s="1"/>
  <c r="J281" i="3"/>
  <c r="K281" i="3" s="1"/>
  <c r="L281" i="3" s="1"/>
  <c r="P302" i="3"/>
  <c r="L271" i="3"/>
  <c r="L297" i="3"/>
  <c r="L312" i="3"/>
  <c r="L320" i="3"/>
  <c r="L328" i="3"/>
  <c r="L345" i="3"/>
  <c r="O354" i="3"/>
  <c r="J362" i="3"/>
  <c r="K362" i="3" s="1"/>
  <c r="L362" i="3" s="1"/>
  <c r="P368" i="3"/>
  <c r="O368" i="3"/>
  <c r="N368" i="3"/>
  <c r="M368" i="3"/>
  <c r="S368" i="3" s="1"/>
  <c r="L266" i="3"/>
  <c r="L334" i="3"/>
  <c r="L350" i="3"/>
  <c r="P354" i="3"/>
  <c r="L259" i="3"/>
  <c r="J297" i="3"/>
  <c r="K297" i="3" s="1"/>
  <c r="L330" i="3"/>
  <c r="J357" i="3"/>
  <c r="K357" i="3" s="1"/>
  <c r="L357" i="3" s="1"/>
  <c r="L363" i="3"/>
  <c r="L280" i="3"/>
  <c r="L355" i="3"/>
  <c r="J360" i="3"/>
  <c r="K360" i="3" s="1"/>
  <c r="L360" i="3" s="1"/>
  <c r="P372" i="3"/>
  <c r="O372" i="3"/>
  <c r="N372" i="3"/>
  <c r="M372" i="3"/>
  <c r="S372" i="3" s="1"/>
  <c r="L282" i="3"/>
  <c r="N285" i="3"/>
  <c r="J292" i="3"/>
  <c r="K292" i="3" s="1"/>
  <c r="L292" i="3" s="1"/>
  <c r="O366" i="3"/>
  <c r="N366" i="3"/>
  <c r="M366" i="3"/>
  <c r="S366" i="3" s="1"/>
  <c r="J358" i="3"/>
  <c r="K358" i="3" s="1"/>
  <c r="L358" i="3" s="1"/>
  <c r="J346" i="3"/>
  <c r="K346" i="3" s="1"/>
  <c r="L346" i="3" s="1"/>
  <c r="L351" i="3"/>
  <c r="L265" i="3"/>
  <c r="L323" i="3"/>
  <c r="L325" i="3"/>
  <c r="P335" i="3"/>
  <c r="O335" i="3"/>
  <c r="N335" i="3"/>
  <c r="L349" i="3"/>
  <c r="P366" i="3"/>
  <c r="L373" i="3"/>
  <c r="L248" i="3"/>
  <c r="L291" i="3"/>
  <c r="J298" i="3"/>
  <c r="K298" i="3" s="1"/>
  <c r="L298" i="3" s="1"/>
  <c r="L304" i="3"/>
  <c r="L319" i="3"/>
  <c r="L329" i="3"/>
  <c r="J344" i="3"/>
  <c r="K344" i="3" s="1"/>
  <c r="L344" i="3" s="1"/>
  <c r="P249" i="3" l="1"/>
  <c r="O249" i="3"/>
  <c r="N249" i="3"/>
  <c r="M249" i="3"/>
  <c r="S249" i="3" s="1"/>
  <c r="M250" i="3"/>
  <c r="S250" i="3" s="1"/>
  <c r="P250" i="3"/>
  <c r="N250" i="3"/>
  <c r="O250" i="3"/>
  <c r="N339" i="3"/>
  <c r="M339" i="3"/>
  <c r="S339" i="3" s="1"/>
  <c r="O339" i="3"/>
  <c r="P339" i="3"/>
  <c r="N340" i="3"/>
  <c r="M340" i="3"/>
  <c r="S340" i="3" s="1"/>
  <c r="O340" i="3"/>
  <c r="P340" i="3"/>
  <c r="Q340" i="3" s="1"/>
  <c r="P55" i="3"/>
  <c r="N55" i="3"/>
  <c r="M55" i="3"/>
  <c r="S55" i="3" s="1"/>
  <c r="O55" i="3"/>
  <c r="P21" i="3"/>
  <c r="O21" i="3"/>
  <c r="N21" i="3"/>
  <c r="M21" i="3"/>
  <c r="S21" i="3" s="1"/>
  <c r="O365" i="3"/>
  <c r="P365" i="3"/>
  <c r="M365" i="3"/>
  <c r="S365" i="3" s="1"/>
  <c r="N365" i="3"/>
  <c r="P109" i="3"/>
  <c r="N109" i="3"/>
  <c r="M109" i="3"/>
  <c r="S109" i="3" s="1"/>
  <c r="O109" i="3"/>
  <c r="M326" i="3"/>
  <c r="S326" i="3" s="1"/>
  <c r="P326" i="3"/>
  <c r="O326" i="3"/>
  <c r="N326" i="3"/>
  <c r="P157" i="3"/>
  <c r="O157" i="3"/>
  <c r="N157" i="3"/>
  <c r="M157" i="3"/>
  <c r="S157" i="3" s="1"/>
  <c r="P91" i="3"/>
  <c r="O91" i="3"/>
  <c r="N91" i="3"/>
  <c r="M91" i="3"/>
  <c r="S91" i="3" s="1"/>
  <c r="M370" i="3"/>
  <c r="S370" i="3" s="1"/>
  <c r="P370" i="3"/>
  <c r="N370" i="3"/>
  <c r="O370" i="3"/>
  <c r="M100" i="3"/>
  <c r="S100" i="3" s="1"/>
  <c r="N100" i="3"/>
  <c r="O100" i="3"/>
  <c r="P100" i="3"/>
  <c r="P48" i="3"/>
  <c r="O48" i="3"/>
  <c r="M48" i="3"/>
  <c r="S48" i="3" s="1"/>
  <c r="N48" i="3"/>
  <c r="P311" i="3"/>
  <c r="O311" i="3"/>
  <c r="N311" i="3"/>
  <c r="M311" i="3"/>
  <c r="S311" i="3" s="1"/>
  <c r="P42" i="3"/>
  <c r="O42" i="3"/>
  <c r="M42" i="3"/>
  <c r="S42" i="3" s="1"/>
  <c r="N42" i="3"/>
  <c r="P31" i="3"/>
  <c r="O31" i="3"/>
  <c r="N31" i="3"/>
  <c r="M31" i="3"/>
  <c r="S31" i="3" s="1"/>
  <c r="P135" i="3"/>
  <c r="O135" i="3"/>
  <c r="N135" i="3"/>
  <c r="M135" i="3"/>
  <c r="S135" i="3" s="1"/>
  <c r="P50" i="3"/>
  <c r="M50" i="3"/>
  <c r="S50" i="3" s="1"/>
  <c r="N50" i="3"/>
  <c r="O50" i="3"/>
  <c r="P333" i="3"/>
  <c r="O333" i="3"/>
  <c r="N333" i="3"/>
  <c r="M333" i="3"/>
  <c r="S333" i="3" s="1"/>
  <c r="P263" i="3"/>
  <c r="O263" i="3"/>
  <c r="N263" i="3"/>
  <c r="M263" i="3"/>
  <c r="S263" i="3" s="1"/>
  <c r="N276" i="3"/>
  <c r="P276" i="3"/>
  <c r="M276" i="3"/>
  <c r="S276" i="3" s="1"/>
  <c r="O276" i="3"/>
  <c r="O237" i="3"/>
  <c r="N237" i="3"/>
  <c r="P237" i="3"/>
  <c r="Q237" i="3" s="1"/>
  <c r="M237" i="3"/>
  <c r="S237" i="3" s="1"/>
  <c r="N295" i="3"/>
  <c r="M295" i="3"/>
  <c r="S295" i="3" s="1"/>
  <c r="O295" i="3"/>
  <c r="P295" i="3"/>
  <c r="Q295" i="3" s="1"/>
  <c r="P205" i="3"/>
  <c r="O205" i="3"/>
  <c r="N205" i="3"/>
  <c r="M205" i="3"/>
  <c r="S205" i="3" s="1"/>
  <c r="P301" i="3"/>
  <c r="O301" i="3"/>
  <c r="N301" i="3"/>
  <c r="M301" i="3"/>
  <c r="S301" i="3" s="1"/>
  <c r="N94" i="3"/>
  <c r="O94" i="3"/>
  <c r="M94" i="3"/>
  <c r="S94" i="3" s="1"/>
  <c r="P94" i="3"/>
  <c r="R94" i="3" s="1"/>
  <c r="O78" i="3"/>
  <c r="N78" i="3"/>
  <c r="P78" i="3"/>
  <c r="M78" i="3"/>
  <c r="S78" i="3" s="1"/>
  <c r="O308" i="3"/>
  <c r="M308" i="3"/>
  <c r="S308" i="3" s="1"/>
  <c r="N308" i="3"/>
  <c r="P308" i="3"/>
  <c r="P173" i="3"/>
  <c r="O173" i="3"/>
  <c r="N173" i="3"/>
  <c r="M173" i="3"/>
  <c r="S173" i="3" s="1"/>
  <c r="N279" i="3"/>
  <c r="M279" i="3"/>
  <c r="S279" i="3" s="1"/>
  <c r="P279" i="3"/>
  <c r="O279" i="3"/>
  <c r="O324" i="3"/>
  <c r="N189" i="3"/>
  <c r="M141" i="3"/>
  <c r="S141" i="3" s="1"/>
  <c r="M107" i="3"/>
  <c r="S107" i="3" s="1"/>
  <c r="P189" i="3"/>
  <c r="P141" i="3"/>
  <c r="N107" i="3"/>
  <c r="P66" i="3"/>
  <c r="M66" i="3"/>
  <c r="S66" i="3" s="1"/>
  <c r="O189" i="3"/>
  <c r="O107" i="3"/>
  <c r="P132" i="3"/>
  <c r="N132" i="3"/>
  <c r="P12" i="3"/>
  <c r="O371" i="3"/>
  <c r="P307" i="3"/>
  <c r="R307" i="3" s="1"/>
  <c r="N219" i="3"/>
  <c r="N122" i="3"/>
  <c r="N137" i="3"/>
  <c r="M120" i="3"/>
  <c r="S120" i="3" s="1"/>
  <c r="P120" i="3"/>
  <c r="O120" i="3"/>
  <c r="N120" i="3"/>
  <c r="O307" i="3"/>
  <c r="O219" i="3"/>
  <c r="O122" i="3"/>
  <c r="M164" i="3"/>
  <c r="S164" i="3" s="1"/>
  <c r="Q137" i="3"/>
  <c r="O137" i="3"/>
  <c r="N251" i="3"/>
  <c r="N164" i="3"/>
  <c r="N113" i="3"/>
  <c r="P285" i="3"/>
  <c r="O285" i="3"/>
  <c r="M285" i="3"/>
  <c r="S285" i="3" s="1"/>
  <c r="N253" i="3"/>
  <c r="P253" i="3"/>
  <c r="N307" i="3"/>
  <c r="N283" i="3"/>
  <c r="P219" i="3"/>
  <c r="M251" i="3"/>
  <c r="S251" i="3" s="1"/>
  <c r="M122" i="3"/>
  <c r="S122" i="3" s="1"/>
  <c r="O164" i="3"/>
  <c r="M38" i="3"/>
  <c r="S38" i="3" s="1"/>
  <c r="N4" i="3"/>
  <c r="M113" i="3"/>
  <c r="S113" i="3" s="1"/>
  <c r="N354" i="3"/>
  <c r="M354" i="3"/>
  <c r="S354" i="3" s="1"/>
  <c r="N317" i="3"/>
  <c r="M317" i="3"/>
  <c r="S317" i="3" s="1"/>
  <c r="P317" i="3"/>
  <c r="O317" i="3"/>
  <c r="K32" i="1" s="1"/>
  <c r="O283" i="3"/>
  <c r="O251" i="3"/>
  <c r="O66" i="3"/>
  <c r="N38" i="3"/>
  <c r="O4" i="3"/>
  <c r="O113" i="3"/>
  <c r="P169" i="3"/>
  <c r="O169" i="3"/>
  <c r="M169" i="3"/>
  <c r="S169" i="3" s="1"/>
  <c r="O296" i="3"/>
  <c r="O309" i="3"/>
  <c r="P283" i="3"/>
  <c r="Q283" i="3" s="1"/>
  <c r="M216" i="3"/>
  <c r="S216" i="3" s="1"/>
  <c r="O38" i="3"/>
  <c r="N64" i="3"/>
  <c r="P324" i="3"/>
  <c r="R324" i="3" s="1"/>
  <c r="M371" i="3"/>
  <c r="S371" i="3" s="1"/>
  <c r="M356" i="3"/>
  <c r="S356" i="3" s="1"/>
  <c r="N296" i="3"/>
  <c r="M309" i="3"/>
  <c r="S309" i="3" s="1"/>
  <c r="O104" i="3"/>
  <c r="N216" i="3"/>
  <c r="M105" i="3"/>
  <c r="S105" i="3" s="1"/>
  <c r="M82" i="3"/>
  <c r="S82" i="3" s="1"/>
  <c r="O12" i="3"/>
  <c r="N104" i="3"/>
  <c r="N371" i="3"/>
  <c r="N356" i="3"/>
  <c r="N309" i="3"/>
  <c r="P104" i="3"/>
  <c r="O216" i="3"/>
  <c r="N105" i="3"/>
  <c r="N82" i="3"/>
  <c r="O43" i="3"/>
  <c r="M17" i="3"/>
  <c r="S17" i="3" s="1"/>
  <c r="O356" i="3"/>
  <c r="O105" i="3"/>
  <c r="O82" i="3"/>
  <c r="N24" i="3"/>
  <c r="M119" i="3"/>
  <c r="S119" i="3" s="1"/>
  <c r="N17" i="3"/>
  <c r="P181" i="3"/>
  <c r="O181" i="3"/>
  <c r="P171" i="3"/>
  <c r="O171" i="3"/>
  <c r="N171" i="3"/>
  <c r="M171" i="3"/>
  <c r="S171" i="3" s="1"/>
  <c r="O62" i="3"/>
  <c r="N62" i="3"/>
  <c r="M62" i="3"/>
  <c r="S62" i="3" s="1"/>
  <c r="P62" i="3"/>
  <c r="P112" i="3"/>
  <c r="O112" i="3"/>
  <c r="N112" i="3"/>
  <c r="M112" i="3"/>
  <c r="S112" i="3" s="1"/>
  <c r="P111" i="3"/>
  <c r="O111" i="3"/>
  <c r="N111" i="3"/>
  <c r="M111" i="3"/>
  <c r="S111" i="3" s="1"/>
  <c r="G29" i="1"/>
  <c r="P346" i="3"/>
  <c r="O346" i="3"/>
  <c r="M346" i="3"/>
  <c r="S346" i="3" s="1"/>
  <c r="N346" i="3"/>
  <c r="P357" i="3"/>
  <c r="N357" i="3"/>
  <c r="M357" i="3"/>
  <c r="S357" i="3" s="1"/>
  <c r="O357" i="3"/>
  <c r="P281" i="3"/>
  <c r="O281" i="3"/>
  <c r="N281" i="3"/>
  <c r="M281" i="3"/>
  <c r="S281" i="3" s="1"/>
  <c r="P57" i="3"/>
  <c r="O57" i="3"/>
  <c r="N57" i="3"/>
  <c r="M57" i="3"/>
  <c r="S57" i="3" s="1"/>
  <c r="M360" i="3"/>
  <c r="S360" i="3" s="1"/>
  <c r="P360" i="3"/>
  <c r="O360" i="3"/>
  <c r="N360" i="3"/>
  <c r="O298" i="3"/>
  <c r="M298" i="3"/>
  <c r="S298" i="3" s="1"/>
  <c r="P298" i="3"/>
  <c r="N298" i="3"/>
  <c r="M234" i="3"/>
  <c r="S234" i="3" s="1"/>
  <c r="P234" i="3"/>
  <c r="O234" i="3"/>
  <c r="N234" i="3"/>
  <c r="P166" i="3"/>
  <c r="O166" i="3"/>
  <c r="N166" i="3"/>
  <c r="M166" i="3"/>
  <c r="S166" i="3" s="1"/>
  <c r="O209" i="3"/>
  <c r="P209" i="3"/>
  <c r="N209" i="3"/>
  <c r="M209" i="3"/>
  <c r="S209" i="3" s="1"/>
  <c r="P362" i="3"/>
  <c r="O362" i="3"/>
  <c r="M362" i="3"/>
  <c r="S362" i="3" s="1"/>
  <c r="N362" i="3"/>
  <c r="P260" i="3"/>
  <c r="O260" i="3"/>
  <c r="M260" i="3"/>
  <c r="S260" i="3" s="1"/>
  <c r="N260" i="3"/>
  <c r="R315" i="3"/>
  <c r="Q315" i="3"/>
  <c r="P206" i="3"/>
  <c r="O206" i="3"/>
  <c r="N206" i="3"/>
  <c r="M206" i="3"/>
  <c r="S206" i="3" s="1"/>
  <c r="R359" i="3"/>
  <c r="Q359" i="3"/>
  <c r="P130" i="3"/>
  <c r="O130" i="3"/>
  <c r="N130" i="3"/>
  <c r="M130" i="3"/>
  <c r="S130" i="3" s="1"/>
  <c r="R38" i="3"/>
  <c r="Q38" i="3"/>
  <c r="Q4" i="3"/>
  <c r="R4" i="3"/>
  <c r="R156" i="3"/>
  <c r="Q156" i="3"/>
  <c r="R136" i="3"/>
  <c r="Q136" i="3"/>
  <c r="R113" i="3"/>
  <c r="Q113" i="3"/>
  <c r="R54" i="3"/>
  <c r="Q54" i="3"/>
  <c r="P271" i="3"/>
  <c r="N271" i="3"/>
  <c r="O271" i="3"/>
  <c r="M271" i="3"/>
  <c r="S271" i="3" s="1"/>
  <c r="R279" i="3"/>
  <c r="Q279" i="3"/>
  <c r="R224" i="3"/>
  <c r="Q224" i="3"/>
  <c r="R149" i="3"/>
  <c r="Q149" i="3"/>
  <c r="M344" i="3"/>
  <c r="S344" i="3" s="1"/>
  <c r="P344" i="3"/>
  <c r="N344" i="3"/>
  <c r="O344" i="3"/>
  <c r="O350" i="3"/>
  <c r="N350" i="3"/>
  <c r="M350" i="3"/>
  <c r="S350" i="3" s="1"/>
  <c r="P350" i="3"/>
  <c r="R267" i="3"/>
  <c r="Q267" i="3"/>
  <c r="O144" i="3"/>
  <c r="N144" i="3"/>
  <c r="M144" i="3"/>
  <c r="S144" i="3" s="1"/>
  <c r="P144" i="3"/>
  <c r="S245" i="3"/>
  <c r="P45" i="3"/>
  <c r="O45" i="3"/>
  <c r="N45" i="3"/>
  <c r="M45" i="3"/>
  <c r="S45" i="3" s="1"/>
  <c r="R85" i="3"/>
  <c r="Q85" i="3"/>
  <c r="R152" i="3"/>
  <c r="Q152" i="3"/>
  <c r="P151" i="3"/>
  <c r="O151" i="3"/>
  <c r="N151" i="3"/>
  <c r="M151" i="3"/>
  <c r="S151" i="3" s="1"/>
  <c r="R65" i="3"/>
  <c r="Q65" i="3"/>
  <c r="R87" i="3"/>
  <c r="Q87" i="3"/>
  <c r="O334" i="3"/>
  <c r="N334" i="3"/>
  <c r="M334" i="3"/>
  <c r="S334" i="3" s="1"/>
  <c r="P334" i="3"/>
  <c r="Q307" i="3"/>
  <c r="N214" i="3"/>
  <c r="M214" i="3"/>
  <c r="I29" i="1"/>
  <c r="P214" i="3"/>
  <c r="O214" i="3"/>
  <c r="P196" i="3"/>
  <c r="O196" i="3"/>
  <c r="N196" i="3"/>
  <c r="M196" i="3"/>
  <c r="S196" i="3" s="1"/>
  <c r="N213" i="3"/>
  <c r="P213" i="3"/>
  <c r="O213" i="3"/>
  <c r="M213" i="3"/>
  <c r="S213" i="3" s="1"/>
  <c r="R337" i="3"/>
  <c r="Q337" i="3"/>
  <c r="M248" i="3"/>
  <c r="S248" i="3" s="1"/>
  <c r="P248" i="3"/>
  <c r="O248" i="3"/>
  <c r="N248" i="3"/>
  <c r="J29" i="1"/>
  <c r="P358" i="3"/>
  <c r="O358" i="3"/>
  <c r="N358" i="3"/>
  <c r="M358" i="3"/>
  <c r="S358" i="3" s="1"/>
  <c r="N355" i="3"/>
  <c r="M355" i="3"/>
  <c r="S355" i="3" s="1"/>
  <c r="P355" i="3"/>
  <c r="O355" i="3"/>
  <c r="O266" i="3"/>
  <c r="M266" i="3"/>
  <c r="S266" i="3" s="1"/>
  <c r="P266" i="3"/>
  <c r="N266" i="3"/>
  <c r="R302" i="3"/>
  <c r="Q302" i="3"/>
  <c r="P233" i="3"/>
  <c r="O233" i="3"/>
  <c r="N233" i="3"/>
  <c r="M233" i="3"/>
  <c r="S233" i="3" s="1"/>
  <c r="R289" i="3"/>
  <c r="Q289" i="3"/>
  <c r="R255" i="3"/>
  <c r="Q255" i="3"/>
  <c r="R170" i="3"/>
  <c r="Q170" i="3"/>
  <c r="M183" i="3"/>
  <c r="S183" i="3" s="1"/>
  <c r="P183" i="3"/>
  <c r="O183" i="3"/>
  <c r="N183" i="3"/>
  <c r="R241" i="3"/>
  <c r="Q241" i="3"/>
  <c r="R245" i="3"/>
  <c r="Q245" i="3"/>
  <c r="Q94" i="3"/>
  <c r="R142" i="3"/>
  <c r="Q142" i="3"/>
  <c r="S52" i="3"/>
  <c r="P89" i="3"/>
  <c r="O89" i="3"/>
  <c r="N89" i="3"/>
  <c r="M89" i="3"/>
  <c r="S89" i="3" s="1"/>
  <c r="R105" i="3"/>
  <c r="Q105" i="3"/>
  <c r="O110" i="3"/>
  <c r="N110" i="3"/>
  <c r="M110" i="3"/>
  <c r="S110" i="3" s="1"/>
  <c r="P110" i="3"/>
  <c r="R44" i="3"/>
  <c r="Q44" i="3"/>
  <c r="R23" i="3"/>
  <c r="Q23" i="3"/>
  <c r="P29" i="3"/>
  <c r="O29" i="3"/>
  <c r="N29" i="3"/>
  <c r="M29" i="3"/>
  <c r="S29" i="3" s="1"/>
  <c r="P59" i="3"/>
  <c r="O59" i="3"/>
  <c r="N59" i="3"/>
  <c r="M59" i="3"/>
  <c r="S59" i="3" s="1"/>
  <c r="R31" i="3"/>
  <c r="Q31" i="3"/>
  <c r="P274" i="3"/>
  <c r="O274" i="3"/>
  <c r="N274" i="3"/>
  <c r="M274" i="3"/>
  <c r="S274" i="3" s="1"/>
  <c r="R268" i="3"/>
  <c r="Q268" i="3"/>
  <c r="Q342" i="3"/>
  <c r="R342" i="3"/>
  <c r="P269" i="3"/>
  <c r="O269" i="3"/>
  <c r="N269" i="3"/>
  <c r="M269" i="3"/>
  <c r="S269" i="3" s="1"/>
  <c r="R293" i="3"/>
  <c r="Q293" i="3"/>
  <c r="Q310" i="3"/>
  <c r="R310" i="3"/>
  <c r="R306" i="3"/>
  <c r="Q306" i="3"/>
  <c r="P47" i="3"/>
  <c r="O47" i="3"/>
  <c r="N47" i="3"/>
  <c r="M47" i="3"/>
  <c r="S47" i="3" s="1"/>
  <c r="Q246" i="3"/>
  <c r="R246" i="3"/>
  <c r="P117" i="3"/>
  <c r="O117" i="3"/>
  <c r="N117" i="3"/>
  <c r="M117" i="3"/>
  <c r="S117" i="3" s="1"/>
  <c r="R135" i="3"/>
  <c r="Q135" i="3"/>
  <c r="P124" i="3"/>
  <c r="N124" i="3"/>
  <c r="M124" i="3"/>
  <c r="S124" i="3" s="1"/>
  <c r="O124" i="3"/>
  <c r="N291" i="3"/>
  <c r="M291" i="3"/>
  <c r="S291" i="3" s="1"/>
  <c r="P291" i="3"/>
  <c r="O291" i="3"/>
  <c r="R264" i="3"/>
  <c r="Q264" i="3"/>
  <c r="Q311" i="3"/>
  <c r="R311" i="3"/>
  <c r="R232" i="3"/>
  <c r="Q232" i="3"/>
  <c r="P373" i="3"/>
  <c r="O373" i="3"/>
  <c r="N373" i="3"/>
  <c r="M373" i="3"/>
  <c r="S373" i="3" s="1"/>
  <c r="P303" i="3"/>
  <c r="N303" i="3"/>
  <c r="O303" i="3"/>
  <c r="M303" i="3"/>
  <c r="S303" i="3" s="1"/>
  <c r="R370" i="3"/>
  <c r="Q370" i="3"/>
  <c r="R367" i="3"/>
  <c r="Q367" i="3"/>
  <c r="P261" i="3"/>
  <c r="N261" i="3"/>
  <c r="M261" i="3"/>
  <c r="S261" i="3" s="1"/>
  <c r="O261" i="3"/>
  <c r="R348" i="3"/>
  <c r="Q348" i="3"/>
  <c r="O192" i="3"/>
  <c r="P192" i="3"/>
  <c r="N192" i="3"/>
  <c r="M192" i="3"/>
  <c r="S192" i="3" s="1"/>
  <c r="R277" i="3"/>
  <c r="Q277" i="3"/>
  <c r="N211" i="3"/>
  <c r="M211" i="3"/>
  <c r="S211" i="3" s="1"/>
  <c r="P211" i="3"/>
  <c r="O211" i="3"/>
  <c r="O128" i="3"/>
  <c r="N128" i="3"/>
  <c r="M128" i="3"/>
  <c r="S128" i="3" s="1"/>
  <c r="P128" i="3"/>
  <c r="Q294" i="3"/>
  <c r="R294" i="3"/>
  <c r="R78" i="3"/>
  <c r="Q78" i="3"/>
  <c r="R153" i="3"/>
  <c r="Q153" i="3"/>
  <c r="M72" i="3"/>
  <c r="S72" i="3" s="1"/>
  <c r="P72" i="3"/>
  <c r="O72" i="3"/>
  <c r="N72" i="3"/>
  <c r="Q276" i="3"/>
  <c r="R276" i="3"/>
  <c r="R193" i="3"/>
  <c r="Q193" i="3"/>
  <c r="R174" i="3"/>
  <c r="Q174" i="3"/>
  <c r="P77" i="3"/>
  <c r="O77" i="3"/>
  <c r="N77" i="3"/>
  <c r="M77" i="3"/>
  <c r="S77" i="3" s="1"/>
  <c r="R34" i="3"/>
  <c r="Q34" i="3"/>
  <c r="R86" i="3"/>
  <c r="Q86" i="3"/>
  <c r="R13" i="3"/>
  <c r="Q13" i="3"/>
  <c r="R64" i="3"/>
  <c r="Q64" i="3"/>
  <c r="P36" i="3"/>
  <c r="O36" i="3"/>
  <c r="N36" i="3"/>
  <c r="M36" i="3"/>
  <c r="S36" i="3" s="1"/>
  <c r="R252" i="3"/>
  <c r="Q252" i="3"/>
  <c r="M202" i="3"/>
  <c r="S202" i="3" s="1"/>
  <c r="P202" i="3"/>
  <c r="O202" i="3"/>
  <c r="N202" i="3"/>
  <c r="R205" i="3"/>
  <c r="Q205" i="3"/>
  <c r="Q272" i="3"/>
  <c r="R272" i="3"/>
  <c r="Q187" i="3"/>
  <c r="R187" i="3"/>
  <c r="N67" i="3"/>
  <c r="M67" i="3"/>
  <c r="S67" i="3" s="1"/>
  <c r="P67" i="3"/>
  <c r="O67" i="3"/>
  <c r="R222" i="3"/>
  <c r="Q222" i="3"/>
  <c r="P63" i="3"/>
  <c r="O63" i="3"/>
  <c r="N63" i="3"/>
  <c r="M63" i="3"/>
  <c r="S63" i="3" s="1"/>
  <c r="R131" i="3"/>
  <c r="Q131" i="3"/>
  <c r="P101" i="3"/>
  <c r="O101" i="3"/>
  <c r="N101" i="3"/>
  <c r="M101" i="3"/>
  <c r="S101" i="3" s="1"/>
  <c r="Q84" i="3"/>
  <c r="R84" i="3"/>
  <c r="R121" i="3"/>
  <c r="Q121" i="3"/>
  <c r="R158" i="3"/>
  <c r="Q158" i="3"/>
  <c r="O30" i="3"/>
  <c r="N30" i="3"/>
  <c r="M30" i="3"/>
  <c r="S30" i="3" s="1"/>
  <c r="P30" i="3"/>
  <c r="R82" i="3"/>
  <c r="Q82" i="3"/>
  <c r="R14" i="3"/>
  <c r="Q14" i="3"/>
  <c r="R8" i="3"/>
  <c r="Q8" i="3"/>
  <c r="P27" i="3"/>
  <c r="O27" i="3"/>
  <c r="N27" i="3"/>
  <c r="M27" i="3"/>
  <c r="S27" i="3" s="1"/>
  <c r="O41" i="3"/>
  <c r="M41" i="3"/>
  <c r="S41" i="3" s="1"/>
  <c r="P41" i="3"/>
  <c r="N41" i="3"/>
  <c r="R354" i="3"/>
  <c r="Q354" i="3"/>
  <c r="R147" i="3"/>
  <c r="Q147" i="3"/>
  <c r="O207" i="3"/>
  <c r="P207" i="3"/>
  <c r="N207" i="3"/>
  <c r="M207" i="3"/>
  <c r="S207" i="3" s="1"/>
  <c r="P236" i="3"/>
  <c r="O236" i="3"/>
  <c r="N236" i="3"/>
  <c r="M236" i="3"/>
  <c r="S236" i="3" s="1"/>
  <c r="R283" i="3"/>
  <c r="R257" i="3"/>
  <c r="Q257" i="3"/>
  <c r="R122" i="3"/>
  <c r="Q122" i="3"/>
  <c r="P73" i="3"/>
  <c r="O73" i="3"/>
  <c r="N73" i="3"/>
  <c r="M73" i="3"/>
  <c r="S73" i="3" s="1"/>
  <c r="R81" i="3"/>
  <c r="Q81" i="3"/>
  <c r="M201" i="3"/>
  <c r="S201" i="3" s="1"/>
  <c r="P201" i="3"/>
  <c r="O201" i="3"/>
  <c r="N201" i="3"/>
  <c r="P188" i="3"/>
  <c r="N188" i="3"/>
  <c r="M188" i="3"/>
  <c r="S188" i="3" s="1"/>
  <c r="O188" i="3"/>
  <c r="P223" i="3"/>
  <c r="O223" i="3"/>
  <c r="N223" i="3"/>
  <c r="M223" i="3"/>
  <c r="S223" i="3" s="1"/>
  <c r="P139" i="3"/>
  <c r="O139" i="3"/>
  <c r="N139" i="3"/>
  <c r="M139" i="3"/>
  <c r="S139" i="3" s="1"/>
  <c r="Q198" i="3"/>
  <c r="R198" i="3"/>
  <c r="P262" i="3"/>
  <c r="O262" i="3"/>
  <c r="M262" i="3"/>
  <c r="S262" i="3" s="1"/>
  <c r="N262" i="3"/>
  <c r="R254" i="3"/>
  <c r="Q254" i="3"/>
  <c r="R143" i="3"/>
  <c r="Q143" i="3"/>
  <c r="R106" i="3"/>
  <c r="Q106" i="3"/>
  <c r="Q116" i="3"/>
  <c r="R116" i="3"/>
  <c r="R123" i="3"/>
  <c r="Q123" i="3"/>
  <c r="R69" i="3"/>
  <c r="Q69" i="3"/>
  <c r="P5" i="3"/>
  <c r="O5" i="3"/>
  <c r="N5" i="3"/>
  <c r="M5" i="3"/>
  <c r="S5" i="3" s="1"/>
  <c r="R12" i="3"/>
  <c r="Q12" i="3"/>
  <c r="R103" i="3"/>
  <c r="Q103" i="3"/>
  <c r="O304" i="3"/>
  <c r="N304" i="3"/>
  <c r="P304" i="3"/>
  <c r="M304" i="3"/>
  <c r="S304" i="3" s="1"/>
  <c r="P374" i="3"/>
  <c r="O374" i="3"/>
  <c r="N374" i="3"/>
  <c r="M374" i="3"/>
  <c r="S374" i="3" s="1"/>
  <c r="R331" i="3"/>
  <c r="Q331" i="3"/>
  <c r="R368" i="3"/>
  <c r="Q368" i="3"/>
  <c r="R275" i="3"/>
  <c r="Q275" i="3"/>
  <c r="Q326" i="3"/>
  <c r="R326" i="3"/>
  <c r="R179" i="3"/>
  <c r="Q179" i="3"/>
  <c r="P10" i="3"/>
  <c r="O10" i="3"/>
  <c r="N10" i="3"/>
  <c r="M10" i="3"/>
  <c r="S10" i="3" s="1"/>
  <c r="O336" i="3"/>
  <c r="N336" i="3"/>
  <c r="M336" i="3"/>
  <c r="S336" i="3" s="1"/>
  <c r="P336" i="3"/>
  <c r="R286" i="3"/>
  <c r="Q286" i="3"/>
  <c r="K33" i="1"/>
  <c r="R335" i="3"/>
  <c r="Q335" i="3"/>
  <c r="P292" i="3"/>
  <c r="O292" i="3"/>
  <c r="M292" i="3"/>
  <c r="S292" i="3" s="1"/>
  <c r="N292" i="3"/>
  <c r="O330" i="3"/>
  <c r="M330" i="3"/>
  <c r="S330" i="3" s="1"/>
  <c r="N330" i="3"/>
  <c r="P330" i="3"/>
  <c r="S286" i="3"/>
  <c r="R249" i="3"/>
  <c r="Q249" i="3"/>
  <c r="R133" i="3"/>
  <c r="Q133" i="3"/>
  <c r="R176" i="3"/>
  <c r="Q176" i="3"/>
  <c r="R194" i="3"/>
  <c r="Q194" i="3"/>
  <c r="R51" i="3"/>
  <c r="Q51" i="3"/>
  <c r="Q244" i="3"/>
  <c r="R244" i="3"/>
  <c r="P96" i="3"/>
  <c r="O96" i="3"/>
  <c r="N96" i="3"/>
  <c r="M96" i="3"/>
  <c r="S96" i="3" s="1"/>
  <c r="R148" i="3"/>
  <c r="Q148" i="3"/>
  <c r="P95" i="3"/>
  <c r="O95" i="3"/>
  <c r="N95" i="3"/>
  <c r="M95" i="3"/>
  <c r="S95" i="3" s="1"/>
  <c r="R75" i="3"/>
  <c r="Q75" i="3"/>
  <c r="R33" i="3"/>
  <c r="Q33" i="3"/>
  <c r="R7" i="3"/>
  <c r="Q7" i="3"/>
  <c r="R184" i="3"/>
  <c r="Q184" i="3"/>
  <c r="O240" i="3"/>
  <c r="M240" i="3"/>
  <c r="S240" i="3" s="1"/>
  <c r="P240" i="3"/>
  <c r="N240" i="3"/>
  <c r="P177" i="3"/>
  <c r="O177" i="3"/>
  <c r="N177" i="3"/>
  <c r="M177" i="3"/>
  <c r="S177" i="3" s="1"/>
  <c r="R210" i="3"/>
  <c r="Q210" i="3"/>
  <c r="S106" i="3"/>
  <c r="P11" i="3"/>
  <c r="O11" i="3"/>
  <c r="N11" i="3"/>
  <c r="M11" i="3"/>
  <c r="S11" i="3" s="1"/>
  <c r="R37" i="3"/>
  <c r="Q37" i="3"/>
  <c r="R91" i="3"/>
  <c r="Q91" i="3"/>
  <c r="M217" i="3"/>
  <c r="S217" i="3" s="1"/>
  <c r="P217" i="3"/>
  <c r="O217" i="3"/>
  <c r="N217" i="3"/>
  <c r="Q263" i="3"/>
  <c r="R263" i="3"/>
  <c r="Q195" i="3"/>
  <c r="R195" i="3"/>
  <c r="P162" i="3"/>
  <c r="O162" i="3"/>
  <c r="N162" i="3"/>
  <c r="M162" i="3"/>
  <c r="S162" i="3" s="1"/>
  <c r="M218" i="3"/>
  <c r="S218" i="3" s="1"/>
  <c r="P218" i="3"/>
  <c r="O218" i="3"/>
  <c r="N218" i="3"/>
  <c r="Q100" i="3"/>
  <c r="R100" i="3"/>
  <c r="P6" i="3"/>
  <c r="O6" i="3"/>
  <c r="N6" i="3"/>
  <c r="M6" i="3"/>
  <c r="S6" i="3" s="1"/>
  <c r="P16" i="3"/>
  <c r="O16" i="3"/>
  <c r="N16" i="3"/>
  <c r="M16" i="3"/>
  <c r="S16" i="3" s="1"/>
  <c r="R119" i="3"/>
  <c r="Q119" i="3"/>
  <c r="P363" i="3"/>
  <c r="O363" i="3"/>
  <c r="N363" i="3"/>
  <c r="M363" i="3"/>
  <c r="S363" i="3" s="1"/>
  <c r="R353" i="3"/>
  <c r="Q353" i="3"/>
  <c r="Q228" i="3"/>
  <c r="R228" i="3"/>
  <c r="R219" i="3"/>
  <c r="Q219" i="3"/>
  <c r="M186" i="3"/>
  <c r="S186" i="3" s="1"/>
  <c r="P186" i="3"/>
  <c r="O186" i="3"/>
  <c r="N186" i="3"/>
  <c r="R235" i="3"/>
  <c r="Q235" i="3"/>
  <c r="R189" i="3"/>
  <c r="Q189" i="3"/>
  <c r="P345" i="3"/>
  <c r="O345" i="3"/>
  <c r="N345" i="3"/>
  <c r="M345" i="3"/>
  <c r="S345" i="3" s="1"/>
  <c r="P220" i="3"/>
  <c r="N220" i="3"/>
  <c r="M220" i="3"/>
  <c r="S220" i="3" s="1"/>
  <c r="O220" i="3"/>
  <c r="Q356" i="3"/>
  <c r="R356" i="3"/>
  <c r="P239" i="3"/>
  <c r="O239" i="3"/>
  <c r="N239" i="3"/>
  <c r="M239" i="3"/>
  <c r="S239" i="3" s="1"/>
  <c r="M154" i="3"/>
  <c r="P154" i="3"/>
  <c r="O154" i="3"/>
  <c r="H29" i="1"/>
  <c r="N154" i="3"/>
  <c r="R343" i="3"/>
  <c r="Q343" i="3"/>
  <c r="R309" i="3"/>
  <c r="Q309" i="3"/>
  <c r="R242" i="3"/>
  <c r="Q242" i="3"/>
  <c r="R160" i="3"/>
  <c r="Q160" i="3"/>
  <c r="Q182" i="3"/>
  <c r="R182" i="3"/>
  <c r="R226" i="3"/>
  <c r="Q226" i="3"/>
  <c r="P140" i="3"/>
  <c r="O140" i="3"/>
  <c r="N140" i="3"/>
  <c r="M140" i="3"/>
  <c r="S140" i="3" s="1"/>
  <c r="N115" i="3"/>
  <c r="M115" i="3"/>
  <c r="S115" i="3" s="1"/>
  <c r="P115" i="3"/>
  <c r="O115" i="3"/>
  <c r="R251" i="3"/>
  <c r="Q251" i="3"/>
  <c r="P74" i="3"/>
  <c r="O74" i="3"/>
  <c r="N74" i="3"/>
  <c r="M74" i="3"/>
  <c r="S74" i="3" s="1"/>
  <c r="Q230" i="3"/>
  <c r="R230" i="3"/>
  <c r="P68" i="3"/>
  <c r="O68" i="3"/>
  <c r="N68" i="3"/>
  <c r="M68" i="3"/>
  <c r="S68" i="3" s="1"/>
  <c r="P93" i="3"/>
  <c r="O93" i="3"/>
  <c r="N93" i="3"/>
  <c r="M93" i="3"/>
  <c r="S93" i="3" s="1"/>
  <c r="R9" i="3"/>
  <c r="Q9" i="3"/>
  <c r="R167" i="3"/>
  <c r="Q167" i="3"/>
  <c r="R366" i="3"/>
  <c r="Q366" i="3"/>
  <c r="R299" i="3"/>
  <c r="Q299" i="3"/>
  <c r="Q308" i="3"/>
  <c r="R308" i="3"/>
  <c r="M191" i="3"/>
  <c r="S191" i="3" s="1"/>
  <c r="O191" i="3"/>
  <c r="N191" i="3"/>
  <c r="P191" i="3"/>
  <c r="R347" i="3"/>
  <c r="Q347" i="3"/>
  <c r="R273" i="3"/>
  <c r="Q273" i="3"/>
  <c r="R229" i="3"/>
  <c r="Q229" i="3"/>
  <c r="R190" i="3"/>
  <c r="Q190" i="3"/>
  <c r="R164" i="3"/>
  <c r="Q164" i="3"/>
  <c r="R225" i="3"/>
  <c r="Q225" i="3"/>
  <c r="P127" i="3"/>
  <c r="O127" i="3"/>
  <c r="N127" i="3"/>
  <c r="M127" i="3"/>
  <c r="S127" i="3" s="1"/>
  <c r="P79" i="3"/>
  <c r="O79" i="3"/>
  <c r="N79" i="3"/>
  <c r="M79" i="3"/>
  <c r="S79" i="3" s="1"/>
  <c r="R70" i="3"/>
  <c r="Q70" i="3"/>
  <c r="R107" i="3"/>
  <c r="Q107" i="3"/>
  <c r="P53" i="3"/>
  <c r="O53" i="3"/>
  <c r="N53" i="3"/>
  <c r="M53" i="3"/>
  <c r="S53" i="3" s="1"/>
  <c r="F29" i="1"/>
  <c r="R32" i="3"/>
  <c r="Q32" i="3"/>
  <c r="R48" i="3"/>
  <c r="Q48" i="3"/>
  <c r="R108" i="3"/>
  <c r="Q108" i="3"/>
  <c r="R35" i="3"/>
  <c r="Q35" i="3"/>
  <c r="P80" i="3"/>
  <c r="O80" i="3"/>
  <c r="N80" i="3"/>
  <c r="M80" i="3"/>
  <c r="S80" i="3" s="1"/>
  <c r="R300" i="3"/>
  <c r="Q300" i="3"/>
  <c r="M280" i="3"/>
  <c r="S280" i="3" s="1"/>
  <c r="P280" i="3"/>
  <c r="O280" i="3"/>
  <c r="N280" i="3"/>
  <c r="Q371" i="3"/>
  <c r="R371" i="3"/>
  <c r="R318" i="3"/>
  <c r="Q318" i="3"/>
  <c r="R247" i="3"/>
  <c r="Q247" i="3"/>
  <c r="Q278" i="3"/>
  <c r="R278" i="3"/>
  <c r="R327" i="3"/>
  <c r="Q327" i="3"/>
  <c r="P22" i="3"/>
  <c r="O22" i="3"/>
  <c r="N22" i="3"/>
  <c r="M22" i="3"/>
  <c r="S22" i="3" s="1"/>
  <c r="R237" i="3"/>
  <c r="O314" i="3"/>
  <c r="M314" i="3"/>
  <c r="S314" i="3" s="1"/>
  <c r="N314" i="3"/>
  <c r="P314" i="3"/>
  <c r="N323" i="3"/>
  <c r="M323" i="3"/>
  <c r="S323" i="3" s="1"/>
  <c r="P323" i="3"/>
  <c r="O323" i="3"/>
  <c r="O282" i="3"/>
  <c r="M282" i="3"/>
  <c r="S282" i="3" s="1"/>
  <c r="N282" i="3"/>
  <c r="P282" i="3"/>
  <c r="M328" i="3"/>
  <c r="O328" i="3"/>
  <c r="L32" i="1" s="1"/>
  <c r="P328" i="3"/>
  <c r="N328" i="3"/>
  <c r="L29" i="1"/>
  <c r="P204" i="3"/>
  <c r="O204" i="3"/>
  <c r="N204" i="3"/>
  <c r="M204" i="3"/>
  <c r="S204" i="3" s="1"/>
  <c r="R296" i="3"/>
  <c r="Q296" i="3"/>
  <c r="M215" i="3"/>
  <c r="S215" i="3" s="1"/>
  <c r="P215" i="3"/>
  <c r="O215" i="3"/>
  <c r="N215" i="3"/>
  <c r="P145" i="3"/>
  <c r="O145" i="3"/>
  <c r="N145" i="3"/>
  <c r="M145" i="3"/>
  <c r="S145" i="3" s="1"/>
  <c r="P161" i="3"/>
  <c r="O161" i="3"/>
  <c r="N161" i="3"/>
  <c r="M161" i="3"/>
  <c r="S161" i="3" s="1"/>
  <c r="P172" i="3"/>
  <c r="O172" i="3"/>
  <c r="N172" i="3"/>
  <c r="M172" i="3"/>
  <c r="S172" i="3" s="1"/>
  <c r="P329" i="3"/>
  <c r="O329" i="3"/>
  <c r="N329" i="3"/>
  <c r="M329" i="3"/>
  <c r="S329" i="3" s="1"/>
  <c r="P265" i="3"/>
  <c r="O265" i="3"/>
  <c r="N265" i="3"/>
  <c r="M265" i="3"/>
  <c r="S265" i="3" s="1"/>
  <c r="N259" i="3"/>
  <c r="M259" i="3"/>
  <c r="S259" i="3" s="1"/>
  <c r="P259" i="3"/>
  <c r="O259" i="3"/>
  <c r="O320" i="3"/>
  <c r="N320" i="3"/>
  <c r="M320" i="3"/>
  <c r="S320" i="3" s="1"/>
  <c r="P320" i="3"/>
  <c r="R322" i="3"/>
  <c r="Q322" i="3"/>
  <c r="O185" i="3"/>
  <c r="N185" i="3"/>
  <c r="M185" i="3"/>
  <c r="S185" i="3" s="1"/>
  <c r="P185" i="3"/>
  <c r="R369" i="3"/>
  <c r="Q369" i="3"/>
  <c r="P287" i="3"/>
  <c r="N287" i="3"/>
  <c r="O287" i="3"/>
  <c r="M287" i="3"/>
  <c r="S287" i="3" s="1"/>
  <c r="K29" i="1"/>
  <c r="R104" i="3"/>
  <c r="Q104" i="3"/>
  <c r="R146" i="3"/>
  <c r="Q146" i="3"/>
  <c r="R305" i="3"/>
  <c r="Q305" i="3"/>
  <c r="P203" i="3"/>
  <c r="M203" i="3"/>
  <c r="S203" i="3" s="1"/>
  <c r="O203" i="3"/>
  <c r="N203" i="3"/>
  <c r="R97" i="3"/>
  <c r="Q97" i="3"/>
  <c r="P25" i="3"/>
  <c r="O25" i="3"/>
  <c r="N25" i="3"/>
  <c r="M25" i="3"/>
  <c r="S25" i="3" s="1"/>
  <c r="R28" i="3"/>
  <c r="Q28" i="3"/>
  <c r="R138" i="3"/>
  <c r="Q138" i="3"/>
  <c r="N243" i="3"/>
  <c r="M243" i="3"/>
  <c r="S243" i="3" s="1"/>
  <c r="P243" i="3"/>
  <c r="O243" i="3"/>
  <c r="M199" i="3"/>
  <c r="S199" i="3" s="1"/>
  <c r="P199" i="3"/>
  <c r="O199" i="3"/>
  <c r="N199" i="3"/>
  <c r="R141" i="3"/>
  <c r="Q141" i="3"/>
  <c r="R102" i="3"/>
  <c r="Q102" i="3"/>
  <c r="P325" i="3"/>
  <c r="N325" i="3"/>
  <c r="M325" i="3"/>
  <c r="S325" i="3" s="1"/>
  <c r="O325" i="3"/>
  <c r="Q339" i="3"/>
  <c r="R339" i="3"/>
  <c r="P319" i="3"/>
  <c r="N319" i="3"/>
  <c r="O319" i="3"/>
  <c r="M319" i="3"/>
  <c r="S319" i="3" s="1"/>
  <c r="P361" i="3"/>
  <c r="O361" i="3"/>
  <c r="N361" i="3"/>
  <c r="M361" i="3"/>
  <c r="S361" i="3" s="1"/>
  <c r="M312" i="3"/>
  <c r="S312" i="3" s="1"/>
  <c r="O312" i="3"/>
  <c r="P312" i="3"/>
  <c r="N312" i="3"/>
  <c r="O352" i="3"/>
  <c r="N352" i="3"/>
  <c r="M352" i="3"/>
  <c r="S352" i="3" s="1"/>
  <c r="P352" i="3"/>
  <c r="R258" i="3"/>
  <c r="Q258" i="3"/>
  <c r="Q324" i="3"/>
  <c r="R338" i="3"/>
  <c r="Q338" i="3"/>
  <c r="R250" i="3"/>
  <c r="Q250" i="3"/>
  <c r="P178" i="3"/>
  <c r="O178" i="3"/>
  <c r="N178" i="3"/>
  <c r="M178" i="3"/>
  <c r="S178" i="3" s="1"/>
  <c r="R99" i="3"/>
  <c r="Q99" i="3"/>
  <c r="N83" i="3"/>
  <c r="M83" i="3"/>
  <c r="S83" i="3" s="1"/>
  <c r="P83" i="3"/>
  <c r="O83" i="3"/>
  <c r="R129" i="3"/>
  <c r="Q129" i="3"/>
  <c r="R316" i="3"/>
  <c r="Q316" i="3"/>
  <c r="R163" i="3"/>
  <c r="Q163" i="3"/>
  <c r="R238" i="3"/>
  <c r="Q238" i="3"/>
  <c r="Q256" i="3"/>
  <c r="R256" i="3"/>
  <c r="P20" i="3"/>
  <c r="O20" i="3"/>
  <c r="N20" i="3"/>
  <c r="M20" i="3"/>
  <c r="S20" i="3" s="1"/>
  <c r="R42" i="3"/>
  <c r="Q42" i="3"/>
  <c r="E29" i="1"/>
  <c r="R26" i="3"/>
  <c r="Q26" i="3"/>
  <c r="R15" i="3"/>
  <c r="Q15" i="3"/>
  <c r="R118" i="3"/>
  <c r="Q118" i="3"/>
  <c r="R40" i="3"/>
  <c r="Q40" i="3"/>
  <c r="Q372" i="3"/>
  <c r="R372" i="3"/>
  <c r="R375" i="3"/>
  <c r="Q375" i="3"/>
  <c r="P341" i="3"/>
  <c r="N341" i="3"/>
  <c r="M341" i="3"/>
  <c r="S341" i="3" s="1"/>
  <c r="O341" i="3"/>
  <c r="O349" i="3"/>
  <c r="P349" i="3"/>
  <c r="N349" i="3"/>
  <c r="M349" i="3"/>
  <c r="S349" i="3" s="1"/>
  <c r="M231" i="3"/>
  <c r="S231" i="3" s="1"/>
  <c r="P231" i="3"/>
  <c r="O231" i="3"/>
  <c r="N231" i="3"/>
  <c r="P150" i="3"/>
  <c r="O150" i="3"/>
  <c r="N150" i="3"/>
  <c r="M150" i="3"/>
  <c r="S150" i="3" s="1"/>
  <c r="R200" i="3"/>
  <c r="Q200" i="3"/>
  <c r="Q52" i="3"/>
  <c r="R52" i="3"/>
  <c r="R24" i="3"/>
  <c r="Q24" i="3"/>
  <c r="R43" i="3"/>
  <c r="Q43" i="3"/>
  <c r="O208" i="3"/>
  <c r="P208" i="3"/>
  <c r="N208" i="3"/>
  <c r="M208" i="3"/>
  <c r="S208" i="3" s="1"/>
  <c r="N165" i="3"/>
  <c r="M165" i="3"/>
  <c r="S165" i="3" s="1"/>
  <c r="P165" i="3"/>
  <c r="O165" i="3"/>
  <c r="R212" i="3"/>
  <c r="Q212" i="3"/>
  <c r="R46" i="3"/>
  <c r="Q46" i="3"/>
  <c r="R17" i="3"/>
  <c r="Q17" i="3"/>
  <c r="R364" i="3"/>
  <c r="Q364" i="3"/>
  <c r="P313" i="3"/>
  <c r="O313" i="3"/>
  <c r="N313" i="3"/>
  <c r="M313" i="3"/>
  <c r="S313" i="3" s="1"/>
  <c r="P351" i="3"/>
  <c r="O351" i="3"/>
  <c r="N351" i="3"/>
  <c r="M351" i="3"/>
  <c r="S351" i="3" s="1"/>
  <c r="P297" i="3"/>
  <c r="O297" i="3"/>
  <c r="N297" i="3"/>
  <c r="K31" i="1" s="1"/>
  <c r="M297" i="3"/>
  <c r="S297" i="3" s="1"/>
  <c r="R284" i="3"/>
  <c r="Q284" i="3"/>
  <c r="O288" i="3"/>
  <c r="N288" i="3"/>
  <c r="P288" i="3"/>
  <c r="M288" i="3"/>
  <c r="S288" i="3" s="1"/>
  <c r="R221" i="3"/>
  <c r="Q221" i="3"/>
  <c r="R321" i="3"/>
  <c r="Q321" i="3"/>
  <c r="P155" i="3"/>
  <c r="O155" i="3"/>
  <c r="N155" i="3"/>
  <c r="M155" i="3"/>
  <c r="S155" i="3" s="1"/>
  <c r="P90" i="3"/>
  <c r="O90" i="3"/>
  <c r="N90" i="3"/>
  <c r="M90" i="3"/>
  <c r="S90" i="3" s="1"/>
  <c r="M56" i="3"/>
  <c r="S56" i="3" s="1"/>
  <c r="P56" i="3"/>
  <c r="O56" i="3"/>
  <c r="N56" i="3"/>
  <c r="Q227" i="3"/>
  <c r="R227" i="3"/>
  <c r="R173" i="3"/>
  <c r="Q173" i="3"/>
  <c r="R197" i="3"/>
  <c r="Q197" i="3"/>
  <c r="Q126" i="3"/>
  <c r="R126" i="3"/>
  <c r="R18" i="3"/>
  <c r="Q18" i="3"/>
  <c r="S4" i="3"/>
  <c r="R332" i="3"/>
  <c r="Q332" i="3"/>
  <c r="M88" i="3"/>
  <c r="S88" i="3" s="1"/>
  <c r="P88" i="3"/>
  <c r="O88" i="3"/>
  <c r="N88" i="3"/>
  <c r="R168" i="3"/>
  <c r="Q168" i="3"/>
  <c r="R157" i="3"/>
  <c r="Q157" i="3"/>
  <c r="R216" i="3"/>
  <c r="Q216" i="3"/>
  <c r="P134" i="3"/>
  <c r="O134" i="3"/>
  <c r="N134" i="3"/>
  <c r="M134" i="3"/>
  <c r="S134" i="3" s="1"/>
  <c r="R39" i="3"/>
  <c r="Q39" i="3"/>
  <c r="R92" i="3"/>
  <c r="Q92" i="3"/>
  <c r="R19" i="3"/>
  <c r="Q19" i="3"/>
  <c r="R21" i="3"/>
  <c r="Q21" i="3"/>
  <c r="R114" i="3"/>
  <c r="Q114" i="3"/>
  <c r="R76" i="3"/>
  <c r="Q76" i="3"/>
  <c r="R58" i="3"/>
  <c r="Q58" i="3"/>
  <c r="R49" i="3"/>
  <c r="Q49" i="3"/>
  <c r="R317" i="3" l="1"/>
  <c r="Q317" i="3"/>
  <c r="J33" i="1"/>
  <c r="F31" i="1"/>
  <c r="R285" i="3"/>
  <c r="Q285" i="3"/>
  <c r="R333" i="3"/>
  <c r="Q333" i="3"/>
  <c r="Q109" i="3"/>
  <c r="R109" i="3"/>
  <c r="R340" i="3"/>
  <c r="K30" i="1"/>
  <c r="E33" i="1"/>
  <c r="F32" i="1"/>
  <c r="G31" i="1"/>
  <c r="R181" i="3"/>
  <c r="Q181" i="3"/>
  <c r="R365" i="3"/>
  <c r="Q365" i="3"/>
  <c r="J36" i="1"/>
  <c r="R50" i="3"/>
  <c r="Q50" i="3"/>
  <c r="E32" i="1"/>
  <c r="R132" i="3"/>
  <c r="Q132" i="3"/>
  <c r="Q169" i="3"/>
  <c r="R169" i="3"/>
  <c r="R295" i="3"/>
  <c r="J32" i="1"/>
  <c r="E31" i="1"/>
  <c r="G32" i="1"/>
  <c r="R301" i="3"/>
  <c r="Q301" i="3"/>
  <c r="R66" i="3"/>
  <c r="Q66" i="3"/>
  <c r="J31" i="1"/>
  <c r="Q253" i="3"/>
  <c r="R253" i="3"/>
  <c r="R120" i="3"/>
  <c r="Q120" i="3"/>
  <c r="Q55" i="3"/>
  <c r="R55" i="3"/>
  <c r="R93" i="3"/>
  <c r="Q93" i="3"/>
  <c r="R217" i="3"/>
  <c r="Q217" i="3"/>
  <c r="Q20" i="3"/>
  <c r="R20" i="3"/>
  <c r="H31" i="1"/>
  <c r="R177" i="3"/>
  <c r="Q177" i="3"/>
  <c r="R95" i="3"/>
  <c r="Q95" i="3"/>
  <c r="Q166" i="3"/>
  <c r="R166" i="3"/>
  <c r="R57" i="3"/>
  <c r="Q57" i="3"/>
  <c r="R144" i="3"/>
  <c r="Q144" i="3"/>
  <c r="R351" i="3"/>
  <c r="Q351" i="3"/>
  <c r="Q150" i="3"/>
  <c r="R150" i="3"/>
  <c r="R22" i="3"/>
  <c r="Q22" i="3"/>
  <c r="R41" i="3"/>
  <c r="Q41" i="3"/>
  <c r="R63" i="3"/>
  <c r="Q63" i="3"/>
  <c r="R202" i="3"/>
  <c r="Q202" i="3"/>
  <c r="R47" i="3"/>
  <c r="Q47" i="3"/>
  <c r="R196" i="3"/>
  <c r="Q196" i="3"/>
  <c r="R111" i="3"/>
  <c r="Q111" i="3"/>
  <c r="R341" i="3"/>
  <c r="Q341" i="3"/>
  <c r="H32" i="1"/>
  <c r="R345" i="3"/>
  <c r="Q345" i="3"/>
  <c r="R240" i="3"/>
  <c r="Q240" i="3"/>
  <c r="R336" i="3"/>
  <c r="Q336" i="3"/>
  <c r="R188" i="3"/>
  <c r="Q188" i="3"/>
  <c r="R303" i="3"/>
  <c r="Q303" i="3"/>
  <c r="R110" i="3"/>
  <c r="Q110" i="3"/>
  <c r="G34" i="1" s="1"/>
  <c r="Q358" i="3"/>
  <c r="R358" i="3"/>
  <c r="I32" i="1"/>
  <c r="R352" i="3"/>
  <c r="Q352" i="3"/>
  <c r="R155" i="3"/>
  <c r="Q155" i="3"/>
  <c r="R53" i="3"/>
  <c r="Q53" i="3"/>
  <c r="K36" i="1"/>
  <c r="Q262" i="3"/>
  <c r="R262" i="3"/>
  <c r="R77" i="3"/>
  <c r="Q77" i="3"/>
  <c r="R124" i="3"/>
  <c r="Q124" i="3"/>
  <c r="S214" i="3"/>
  <c r="I36" i="1" s="1"/>
  <c r="I30" i="1"/>
  <c r="R350" i="3"/>
  <c r="Q350" i="3"/>
  <c r="R112" i="3"/>
  <c r="Q112" i="3"/>
  <c r="Q68" i="3"/>
  <c r="R68" i="3"/>
  <c r="R140" i="3"/>
  <c r="Q140" i="3"/>
  <c r="R154" i="3"/>
  <c r="Q154" i="3"/>
  <c r="H33" i="1"/>
  <c r="R218" i="3"/>
  <c r="Q218" i="3"/>
  <c r="Q260" i="3"/>
  <c r="R260" i="3"/>
  <c r="R281" i="3"/>
  <c r="Q281" i="3"/>
  <c r="R80" i="3"/>
  <c r="Q80" i="3"/>
  <c r="Q201" i="3"/>
  <c r="R201" i="3"/>
  <c r="I31" i="1"/>
  <c r="R271" i="3"/>
  <c r="Q271" i="3"/>
  <c r="R298" i="3"/>
  <c r="Q298" i="3"/>
  <c r="R62" i="3"/>
  <c r="Q62" i="3"/>
  <c r="R265" i="3"/>
  <c r="Q265" i="3"/>
  <c r="R145" i="3"/>
  <c r="Q145" i="3"/>
  <c r="R282" i="3"/>
  <c r="Q282" i="3"/>
  <c r="R88" i="3"/>
  <c r="Q88" i="3"/>
  <c r="R325" i="3"/>
  <c r="Q325" i="3"/>
  <c r="R329" i="3"/>
  <c r="Q329" i="3"/>
  <c r="R234" i="3"/>
  <c r="Q234" i="3"/>
  <c r="Q288" i="3"/>
  <c r="R288" i="3"/>
  <c r="R313" i="3"/>
  <c r="Q313" i="3"/>
  <c r="Q231" i="3"/>
  <c r="R231" i="3"/>
  <c r="R178" i="3"/>
  <c r="Q178" i="3"/>
  <c r="Q320" i="3"/>
  <c r="R320" i="3"/>
  <c r="R323" i="3"/>
  <c r="Q323" i="3"/>
  <c r="S154" i="3"/>
  <c r="H36" i="1" s="1"/>
  <c r="H30" i="1"/>
  <c r="R363" i="3"/>
  <c r="Q363" i="3"/>
  <c r="R172" i="3"/>
  <c r="Q172" i="3"/>
  <c r="R314" i="3"/>
  <c r="Q314" i="3"/>
  <c r="R374" i="3"/>
  <c r="Q374" i="3"/>
  <c r="R27" i="3"/>
  <c r="Q27" i="3"/>
  <c r="R128" i="3"/>
  <c r="Q128" i="3"/>
  <c r="R130" i="3"/>
  <c r="Q130" i="3"/>
  <c r="R243" i="3"/>
  <c r="Q243" i="3"/>
  <c r="R165" i="3"/>
  <c r="Q165" i="3"/>
  <c r="R203" i="3"/>
  <c r="Q203" i="3"/>
  <c r="S328" i="3"/>
  <c r="L36" i="1" s="1"/>
  <c r="L30" i="1"/>
  <c r="Q280" i="3"/>
  <c r="R280" i="3"/>
  <c r="R220" i="3"/>
  <c r="Q220" i="3"/>
  <c r="R6" i="3"/>
  <c r="Q6" i="3"/>
  <c r="R223" i="3"/>
  <c r="Q223" i="3"/>
  <c r="R30" i="3"/>
  <c r="Q30" i="3"/>
  <c r="Q72" i="3"/>
  <c r="R72" i="3"/>
  <c r="R291" i="3"/>
  <c r="Q291" i="3"/>
  <c r="Q214" i="3"/>
  <c r="R214" i="3"/>
  <c r="I33" i="1"/>
  <c r="R330" i="3"/>
  <c r="Q330" i="3"/>
  <c r="R96" i="3"/>
  <c r="Q96" i="3"/>
  <c r="R236" i="3"/>
  <c r="Q236" i="3"/>
  <c r="R67" i="3"/>
  <c r="Q67" i="3"/>
  <c r="R373" i="3"/>
  <c r="Q373" i="3"/>
  <c r="R248" i="3"/>
  <c r="Q248" i="3"/>
  <c r="E36" i="1"/>
  <c r="E30" i="1"/>
  <c r="R349" i="3"/>
  <c r="Q349" i="3"/>
  <c r="R361" i="3"/>
  <c r="Q361" i="3"/>
  <c r="R25" i="3"/>
  <c r="Q25" i="3"/>
  <c r="R239" i="3"/>
  <c r="Q239" i="3"/>
  <c r="R162" i="3"/>
  <c r="Q162" i="3"/>
  <c r="R11" i="3"/>
  <c r="Q11" i="3"/>
  <c r="R266" i="3"/>
  <c r="Q266" i="3"/>
  <c r="R362" i="3"/>
  <c r="Q362" i="3"/>
  <c r="R357" i="3"/>
  <c r="Q357" i="3"/>
  <c r="R5" i="3"/>
  <c r="Q5" i="3"/>
  <c r="E34" i="1" s="1"/>
  <c r="R192" i="3"/>
  <c r="Q192" i="3"/>
  <c r="Q274" i="3"/>
  <c r="R274" i="3"/>
  <c r="R233" i="3"/>
  <c r="Q233" i="3"/>
  <c r="R151" i="3"/>
  <c r="Q151" i="3"/>
  <c r="R56" i="3"/>
  <c r="Q56" i="3"/>
  <c r="Q134" i="3"/>
  <c r="R134" i="3"/>
  <c r="F33" i="1"/>
  <c r="R287" i="3"/>
  <c r="Q287" i="3"/>
  <c r="R259" i="3"/>
  <c r="Q259" i="3"/>
  <c r="Q204" i="3"/>
  <c r="R204" i="3"/>
  <c r="R74" i="3"/>
  <c r="Q74" i="3"/>
  <c r="R186" i="3"/>
  <c r="Q186" i="3"/>
  <c r="G30" i="1"/>
  <c r="R10" i="3"/>
  <c r="Q10" i="3"/>
  <c r="Q304" i="3"/>
  <c r="R304" i="3"/>
  <c r="R207" i="3"/>
  <c r="Q207" i="3"/>
  <c r="Q36" i="3"/>
  <c r="R36" i="3"/>
  <c r="R59" i="3"/>
  <c r="Q59" i="3"/>
  <c r="Q183" i="3"/>
  <c r="R183" i="3"/>
  <c r="R334" i="3"/>
  <c r="Q334" i="3"/>
  <c r="R127" i="3"/>
  <c r="Q127" i="3"/>
  <c r="R312" i="3"/>
  <c r="Q312" i="3"/>
  <c r="Q215" i="3"/>
  <c r="R215" i="3"/>
  <c r="R79" i="3"/>
  <c r="Q79" i="3"/>
  <c r="R16" i="3"/>
  <c r="Q16" i="3"/>
  <c r="G36" i="1"/>
  <c r="G33" i="1"/>
  <c r="R139" i="3"/>
  <c r="Q139" i="3"/>
  <c r="R261" i="3"/>
  <c r="Q261" i="3"/>
  <c r="M29" i="1"/>
  <c r="N29" i="1" s="1"/>
  <c r="Q199" i="3"/>
  <c r="R199" i="3"/>
  <c r="R161" i="3"/>
  <c r="Q161" i="3"/>
  <c r="R101" i="3"/>
  <c r="Q101" i="3"/>
  <c r="R117" i="3"/>
  <c r="Q117" i="3"/>
  <c r="R269" i="3"/>
  <c r="Q269" i="3"/>
  <c r="R89" i="3"/>
  <c r="Q89" i="3"/>
  <c r="R344" i="3"/>
  <c r="Q344" i="3"/>
  <c r="R209" i="3"/>
  <c r="Q209" i="3"/>
  <c r="R360" i="3"/>
  <c r="Q360" i="3"/>
  <c r="R208" i="3"/>
  <c r="Q208" i="3"/>
  <c r="R90" i="3"/>
  <c r="Q90" i="3"/>
  <c r="L31" i="1"/>
  <c r="Q297" i="3"/>
  <c r="R297" i="3"/>
  <c r="R83" i="3"/>
  <c r="Q83" i="3"/>
  <c r="R319" i="3"/>
  <c r="Q319" i="3"/>
  <c r="R185" i="3"/>
  <c r="Q185" i="3"/>
  <c r="R328" i="3"/>
  <c r="Q328" i="3"/>
  <c r="L33" i="1"/>
  <c r="Q292" i="3"/>
  <c r="R292" i="3"/>
  <c r="R73" i="3"/>
  <c r="Q73" i="3"/>
  <c r="Q211" i="3"/>
  <c r="R211" i="3"/>
  <c r="F36" i="1"/>
  <c r="Q355" i="3"/>
  <c r="R355" i="3"/>
  <c r="R213" i="3"/>
  <c r="Q213" i="3"/>
  <c r="R45" i="3"/>
  <c r="Q45" i="3"/>
  <c r="R346" i="3"/>
  <c r="Q346" i="3"/>
  <c r="R191" i="3"/>
  <c r="Q191" i="3"/>
  <c r="R115" i="3"/>
  <c r="Q115" i="3"/>
  <c r="R29" i="3"/>
  <c r="Q29" i="3"/>
  <c r="F30" i="1"/>
  <c r="J30" i="1"/>
  <c r="R206" i="3"/>
  <c r="Q206" i="3"/>
  <c r="R171" i="3"/>
  <c r="Q171" i="3"/>
  <c r="M32" i="1" l="1"/>
  <c r="N32" i="1" s="1"/>
  <c r="J35" i="1"/>
  <c r="K34" i="1"/>
  <c r="E35" i="1"/>
  <c r="J34" i="1"/>
  <c r="F35" i="1"/>
  <c r="M33" i="1"/>
  <c r="N33" i="1" s="1"/>
  <c r="G35" i="1"/>
  <c r="F34" i="1"/>
  <c r="M31" i="1"/>
  <c r="N31" i="1" s="1"/>
  <c r="K35" i="1"/>
  <c r="L34" i="1"/>
  <c r="I35" i="1"/>
  <c r="L35" i="1"/>
  <c r="M30" i="1"/>
  <c r="N30" i="1" s="1"/>
  <c r="M36" i="1"/>
  <c r="N36" i="1" s="1"/>
  <c r="I34" i="1"/>
  <c r="H34" i="1"/>
  <c r="M34" i="1" s="1"/>
  <c r="N34" i="1" s="1"/>
  <c r="H35" i="1"/>
  <c r="M35" i="1" l="1"/>
  <c r="N35" i="1" s="1"/>
</calcChain>
</file>

<file path=xl/sharedStrings.xml><?xml version="1.0" encoding="utf-8"?>
<sst xmlns="http://schemas.openxmlformats.org/spreadsheetml/2006/main" count="1501" uniqueCount="646">
  <si>
    <t>BẢNG TỔNG HỢP VẬT TƯ BÈ PIN — 8 BÈ HỒ BẢN MÒNG (bản vẽ "221026 BỐ TRÍ BÈ PIN HỒ BẢN MÒNG", HD lắp Mibet MRac G5)</t>
  </si>
  <si>
    <t>Nguồn: BV = lấy đúng bảng thống kê trên bản vẽ; ĐO = đo trên bản vẽ bè 5 (tờ duy nhất vẽ được từng thanh); ƯL = ước lượng theo thông số sheet GiaDinh (phải đối chiếu BOM nhà sản xuất); NEO = theo mặt bằng neo trên web. Bản vẽ CHƯA có hộp 40x60 gia cường tai neo: mục D là ước tính.</t>
  </si>
  <si>
    <t>STT</t>
  </si>
  <si>
    <t>Hạng mục</t>
  </si>
  <si>
    <t>Hình minh họa (tài liệu Mibet)</t>
  </si>
  <si>
    <t>Đơn vị</t>
  </si>
  <si>
    <t>BÈ 1</t>
  </si>
  <si>
    <t>BÈ 2</t>
  </si>
  <si>
    <t>BÈ 3</t>
  </si>
  <si>
    <t>BÈ 4</t>
  </si>
  <si>
    <t>BÈ 5</t>
  </si>
  <si>
    <t>BÈ 6</t>
  </si>
  <si>
    <t>BÈ 7</t>
  </si>
  <si>
    <t>BÈ 8</t>
  </si>
  <si>
    <t>TỔNG</t>
  </si>
  <si>
    <t>Tổng có hao hụt</t>
  </si>
  <si>
    <t>Nguồn</t>
  </si>
  <si>
    <t>Ghi chú</t>
  </si>
  <si>
    <t>A. PIN, INVERTER, PHAO NỔI</t>
  </si>
  <si>
    <t>Tấm pin mặt trời</t>
  </si>
  <si>
    <t>tấm</t>
  </si>
  <si>
    <t>BV</t>
  </si>
  <si>
    <t>ĐÃ CHỐT 18.240 tấm (Chủ đầu tư 22/10/2026), theo bảng từng tờ; Pre-FS cũ ghi 16.892 tấm</t>
  </si>
  <si>
    <t>Inverter SG-510HX</t>
  </si>
  <si>
    <t>(không có hình trong tài liệu)</t>
  </si>
  <si>
    <t>bộ</t>
  </si>
  <si>
    <t>24 inverter; bản vẽ không có SG350HX</t>
  </si>
  <si>
    <t>Phao đỡ pin (Main Floater G5G)</t>
  </si>
  <si>
    <t>cái</t>
  </si>
  <si>
    <t>Phao đi lại (Walkway Floater) — nhóm 1</t>
  </si>
  <si>
    <t>Bản vẽ chia phao đi lại thành 2–3 dòng; cần nhà sản xuất xác nhận là 1 hay nhiều loại phao</t>
  </si>
  <si>
    <t>Phao đi lại (Walkway Floater) — nhóm 2</t>
  </si>
  <si>
    <t>Phao đi lại (Walkway Floater) — nhóm 3</t>
  </si>
  <si>
    <t>Chỉ BÈ 4</t>
  </si>
  <si>
    <t>Tổng phao</t>
  </si>
  <si>
    <t>Phao đỡ cáp điện giữa các bè</t>
  </si>
  <si>
    <t>Tờ MB-B01-01: 707 hàng × 2 = 1414 phao, cả hồ (không chia theo bè)</t>
  </si>
  <si>
    <t>Bộ bulông nhựa nối phao</t>
  </si>
  <si>
    <t>ƯL</t>
  </si>
  <si>
    <t>Tổng phao bè × hệ số K_FB ở GiaDinh (chưa gồm phao đỡ cáp)</t>
  </si>
  <si>
    <t>B. DẦM C52 (đặt trên rãnh phao)</t>
  </si>
  <si>
    <t>Dầm C52 — số thanh liên tục (bảng bản vẽ)</t>
  </si>
  <si>
    <t>thanh</t>
  </si>
  <si>
    <t>Dầm C52 — chiều dài</t>
  </si>
  <si>
    <t>m</t>
  </si>
  <si>
    <t>Bè 5 đo lại từng thanh: 32 × 113,05 m = 3.617,6 m (bảng 3.617,52 m)</t>
  </si>
  <si>
    <t>Dầm C52 — số cây cấp hàng</t>
  </si>
  <si>
    <t>cây</t>
  </si>
  <si>
    <t>Không đo được từng thanh: tổng dài / L_C52 + số thanh × K_DU (GiaDinh)</t>
  </si>
  <si>
    <t>Bộ nối dầm C52 (Splice for Beam-C)</t>
  </si>
  <si>
    <t>Số cây − số thanh. Nối đối đầu; mỗi bộ: 1 bản nối + 2 bulông M10×70 + 2 chốt M10×60 + đai ốc, long đen (tài liệu phụ kiện Mibet)</t>
  </si>
  <si>
    <t>Dầm C52 — khối lượng</t>
  </si>
  <si>
    <t>kg</t>
  </si>
  <si>
    <t>Theo tiết diện GIẢ ĐỊNH</t>
  </si>
  <si>
    <t>Bulông M8×35 bắt dầm C52 vào phao</t>
  </si>
  <si>
    <t>1 bộ tại mỗi chỗ dầm C52 vượt qua một hàng phao; mật độ đo trên bè 5 (K_XF)</t>
  </si>
  <si>
    <t>C. HỘP 40x60 KẾT CẤU (nằm ngang trên dầm C52, cách nhau 6 m)</t>
  </si>
  <si>
    <t>Hộp 40x60 — số thanh liên tục</t>
  </si>
  <si>
    <t>Hộp 40x60 — chiều dài</t>
  </si>
  <si>
    <t>Bè 5 đo lại: 20 × 39,2 m = 784,1 m (bảng 784,10 m)</t>
  </si>
  <si>
    <t>Hộp 40x60 — số cây cấp hàng</t>
  </si>
  <si>
    <t>Bộ nối hộp 40x60 (Splice for Square Steel)</t>
  </si>
  <si>
    <t>Nối đối đầu bằng bộ nối của nhà sản xuất (datasheet G5G); tài liệu Mibet không dùng nối chồng</t>
  </si>
  <si>
    <t>Hộp 40x60 — khối lượng</t>
  </si>
  <si>
    <t>Bulông M10×120 bắt hộp 40x60 vào dầm C52</t>
  </si>
  <si>
    <t>1 bộ tại mỗi giao điểm hộp – dầm C52 (HD lắp G5 bước 8); bè 5 đếm được 20 × 32 = 640</t>
  </si>
  <si>
    <t>D. HỘP 40x60 GIA CƯỜNG TAI NEO (bản vẽ CHƯA có — ƯỚC TÍNH cả 8 bè theo cách của Huổi Vanh)</t>
  </si>
  <si>
    <t>Hộp 40x60 gia cường — số thanh</t>
  </si>
  <si>
    <t>Sheet GiaCuong_UocTinh (từng cụm tai neo)</t>
  </si>
  <si>
    <t>Hộp 40x60 gia cường — chiều dài</t>
  </si>
  <si>
    <t>Hộp 40x60 gia cường — số cây cấp hàng</t>
  </si>
  <si>
    <t>Bộ nối hộp 40x60 (gia cường)</t>
  </si>
  <si>
    <t>Móc chữ "几" kẹp hộp vào dầm C52</t>
  </si>
  <si>
    <t>HD lắp G5 bước 8: hộp dùng làm điểm neo kẹp bằng móc "几" tại mọi giao điểm với C52</t>
  </si>
  <si>
    <t>Bộ đai ốc thoi M10×30 (cho móc "几")</t>
  </si>
  <si>
    <t>2 bộ mỗi móc</t>
  </si>
  <si>
    <t>Bulông M10×120 (hộp gia cường)</t>
  </si>
  <si>
    <t>1 bộ mỗi móc</t>
  </si>
  <si>
    <t>Hộp 40x60 gia cường — khối lượng</t>
  </si>
  <si>
    <t>E. GÁ ĐỠ VÀ KẸP TẤM PIN</t>
  </si>
  <si>
    <t>Gá trước (Front Support G5)</t>
  </si>
  <si>
    <t>Gá sau (Back Support G5)</t>
  </si>
  <si>
    <t>Bộ kẹp biên tấm pin (End Clamp Kit, bulông M8×30)</t>
  </si>
  <si>
    <t>Bộ kẹp tiếp địa tấm pin</t>
  </si>
  <si>
    <t>Cần nối đẳng thế khung tấm pin; hỏi Mibet kẹp của MRac G5 có răng tiếp địa không và định mức bộ/tấm trước khi đặt</t>
  </si>
  <si>
    <t>Bộ đai ốc thoi M8×25 + long đen lớn (gá vào C52)</t>
  </si>
  <si>
    <t>F. ĐIỂM NEO TRÊN BÈ</t>
  </si>
  <si>
    <t>Ma ní chữ U (U-Shaped Shackle) làm bích neo trên bè</t>
  </si>
  <si>
    <t>NEO</t>
  </si>
  <si>
    <t>Cáp 2 nhánh chữ Y: 2 bích mỗi dây, bắt vào hộp 40x60 gia cường; mắt nhánh cáp móc thẳng vào ma ní này. Số dây theo mặt bằng neo của web</t>
  </si>
  <si>
    <t>SỐ LIỆU LẤY TỪ BẢN VẼ "221026 BỐ TRÍ BÈ PIN HỒ BẢN MÒNG" (bảng thống kê trên từng tờ CT-BP-01…08)</t>
  </si>
  <si>
    <t>Mã</t>
  </si>
  <si>
    <t>PV</t>
  </si>
  <si>
    <t>Tấm pin (tấm)</t>
  </si>
  <si>
    <t>Bảng "THỐNG KÊ TẤM PIN MẶT TRỜI", cột Số tấm pin</t>
  </si>
  <si>
    <t>DPV</t>
  </si>
  <si>
    <t>Dải pin (hàng)</t>
  </si>
  <si>
    <t>Như trên, cột SỐ LƯỢNG HÀNG</t>
  </si>
  <si>
    <t>STR</t>
  </si>
  <si>
    <t>Số string (bảng bản vẽ)</t>
  </si>
  <si>
    <t>Như trên, cột So string — BÈ 4 ghi 80,43 (không nguyên)</t>
  </si>
  <si>
    <t>I510</t>
  </si>
  <si>
    <t>Inverter SG-510HX (bộ)</t>
  </si>
  <si>
    <t>Bảng "INVESTER"</t>
  </si>
  <si>
    <t>FS</t>
  </si>
  <si>
    <t>Phao đỡ pin — Main Floater (cái)</t>
  </si>
  <si>
    <t>Bảng "SỐ PHAO NỔI THEO BÈ", dòng "DẢI PHAO ĐỠ PIN"</t>
  </si>
  <si>
    <t>FSR</t>
  </si>
  <si>
    <t>Số hàng phao đỡ pin</t>
  </si>
  <si>
    <t>FWA</t>
  </si>
  <si>
    <t>Phao đi lại nhóm 1 (cái)</t>
  </si>
  <si>
    <t>Dòng "DẢI PHAO ĐI LẠI" thứ nhất của bảng phao</t>
  </si>
  <si>
    <t>FWB</t>
  </si>
  <si>
    <t>Phao đi lại nhóm 2 (cái)</t>
  </si>
  <si>
    <t>Dòng "DẢI PHAO ĐI LẠI" thứ hai</t>
  </si>
  <si>
    <t>FWC</t>
  </si>
  <si>
    <t>Phao đi lại nhóm 3 (cái)</t>
  </si>
  <si>
    <t>Dòng thứ ba — chỉ BÈ 4</t>
  </si>
  <si>
    <t>FWR</t>
  </si>
  <si>
    <t>Số hàng phao đi lại</t>
  </si>
  <si>
    <t>Cộng cột SỐ LƯỢNG HÀNG các dòng phao đi lại</t>
  </si>
  <si>
    <t>FT</t>
  </si>
  <si>
    <t>Tổng phao (cái)</t>
  </si>
  <si>
    <t>Khớp "Grand total" của bảng phao từng tờ</t>
  </si>
  <si>
    <t>C52N</t>
  </si>
  <si>
    <t>Dầm C52 — số thanh</t>
  </si>
  <si>
    <t>Bảng "THỐNG KÊ KHUNG THÉP"</t>
  </si>
  <si>
    <t>C52L</t>
  </si>
  <si>
    <t>Dầm C52 — chiều dài (m)</t>
  </si>
  <si>
    <t>HN</t>
  </si>
  <si>
    <t>Hộp 40x60 kết cấu — số thanh</t>
  </si>
  <si>
    <t>HL</t>
  </si>
  <si>
    <t>Hộp 40x60 kết cấu — chiều dài (m)</t>
  </si>
  <si>
    <t>LINE</t>
  </si>
  <si>
    <t>Số dây neo của bè (tuyến cáp)</t>
  </si>
  <si>
    <t>Mặt bằng neo trên web (bảng neo Bản Mòng)</t>
  </si>
  <si>
    <t>FC</t>
  </si>
  <si>
    <t>Phao đỡ cáp điện giữa các bè (cái, cả hồ)</t>
  </si>
  <si>
    <t>Tờ MB-B01-01, bảng "SỐ PHAO ĐỠ CÁP": 707 hàng, 1414 phao (không chia theo bè)</t>
  </si>
  <si>
    <t>HỘP 40x60 GIA CƯỜNG TAI NEO — ƯỚC TÍNH CHO CẢ 8 BÈ (bản vẽ 22/10 chưa có), CÁP 2 NHÁNH CHỮ Y (2 bích mỗi dây, cách nhau 3,5 m)</t>
  </si>
  <si>
    <t>Cùng cách của Huổi Vanh: mỗi cụm tai neo một (hoặc vài) thanh hộp dài L_GC kẹp móc "几" vào mọi dầm C52 nó cắt qua. Số thanh = MAX(1; số bích × K_Y × T × γ / (số giao C52 × P_KEP)). Bích trên cạnh song song với hộp 40x60 → các bích trong đoạn L_GC − 1 m dùng chung 1 thanh dọc cạnh; bích trên cạnh vuông góc → mỗi bích 1 thanh từ mép vào trong. Vị trí dây theo mặt bằng neo của web; hướng hộp 40x60 của từng bè theo tờ bản vẽ 22/10.</t>
  </si>
  <si>
    <t>Bè</t>
  </si>
  <si>
    <t>Cụm</t>
  </si>
  <si>
    <t>Cách bố trí</t>
  </si>
  <si>
    <t>Bích trong cụm (mã dây + a/b)</t>
  </si>
  <si>
    <t>Số bích</t>
  </si>
  <si>
    <t>T dây (kN, gió 20 m/s)</t>
  </si>
  <si>
    <t>Lực thiết kế cụm = số bích × K_Y × T × γ (kN)</t>
  </si>
  <si>
    <t>Khoảng cách dầm C52 (m)</t>
  </si>
  <si>
    <t>Dài 1 thanh (m)</t>
  </si>
  <si>
    <t>Giao C52 mỗi thanh</t>
  </si>
  <si>
    <t>Sức chịu 1 thanh (kN)</t>
  </si>
  <si>
    <t>Số thanh</t>
  </si>
  <si>
    <t>Tổng dài (m)</t>
  </si>
  <si>
    <t>Số cây cấp hàng</t>
  </si>
  <si>
    <t>Số mối nối</t>
  </si>
  <si>
    <t>Móc "几" (cái)</t>
  </si>
  <si>
    <t>Đai ốc thoi M10×30 (bộ)</t>
  </si>
  <si>
    <t>Bulông M10×120 (bộ)</t>
  </si>
  <si>
    <t>Khối lượng (kg)</t>
  </si>
  <si>
    <t>Dọc cạnh (hộp song song mép bè, cách mép 1 hàng phao)</t>
  </si>
  <si>
    <t>B1-D35a, B1-D35b, B1-D05a, B1-D05b</t>
  </si>
  <si>
    <t>B1-D34a, B1-D34b, B1-D31a, B1-D31b</t>
  </si>
  <si>
    <t>B1-D11a, B1-D11b</t>
  </si>
  <si>
    <t>B1-D20a, B1-D20b</t>
  </si>
  <si>
    <t>B1-D16a, B1-D16b</t>
  </si>
  <si>
    <t>B1-D27a, B1-D27b</t>
  </si>
  <si>
    <t>B1-D07a, B1-D07b</t>
  </si>
  <si>
    <t>B1-D18a, B1-D18b</t>
  </si>
  <si>
    <t>B1-D10a, B1-D10b</t>
  </si>
  <si>
    <t>B1-D15a, B1-D15b</t>
  </si>
  <si>
    <t>B1-D21a, B1-D21b</t>
  </si>
  <si>
    <t>B1-D04a, B1-D04b</t>
  </si>
  <si>
    <t>B1-D26a, B1-D26b</t>
  </si>
  <si>
    <t>B1-D08a, B1-D08b</t>
  </si>
  <si>
    <t>B1-D32a, B1-D32b</t>
  </si>
  <si>
    <t>B1-D12a, B1-D12b</t>
  </si>
  <si>
    <t>B1-D19a, B1-D19b</t>
  </si>
  <si>
    <t>B1-D01a, B1-D01b</t>
  </si>
  <si>
    <t>Vuông góc cạnh (hộp chạy từ mép vào trong, cùng phương lực dây)</t>
  </si>
  <si>
    <t>B1-D02a</t>
  </si>
  <si>
    <t>B1-D02b</t>
  </si>
  <si>
    <t>B1-D03a</t>
  </si>
  <si>
    <t>B1-D03b</t>
  </si>
  <si>
    <t>B1-D06a</t>
  </si>
  <si>
    <t>B1-D06b</t>
  </si>
  <si>
    <t>B1-D09a</t>
  </si>
  <si>
    <t>B1-D09b</t>
  </si>
  <si>
    <t>B1-D13a</t>
  </si>
  <si>
    <t>B1-D13b</t>
  </si>
  <si>
    <t>B1-D14a</t>
  </si>
  <si>
    <t>B1-D14b</t>
  </si>
  <si>
    <t>B1-D17a</t>
  </si>
  <si>
    <t>B1-D17b</t>
  </si>
  <si>
    <t>B1-D22a</t>
  </si>
  <si>
    <t>B1-D22b</t>
  </si>
  <si>
    <t>B1-D23a</t>
  </si>
  <si>
    <t>B1-D23b</t>
  </si>
  <si>
    <t>B1-D24a</t>
  </si>
  <si>
    <t>B1-D24b</t>
  </si>
  <si>
    <t>B1-D25a</t>
  </si>
  <si>
    <t>B1-D25b</t>
  </si>
  <si>
    <t>B1-D28a</t>
  </si>
  <si>
    <t>B1-D28b</t>
  </si>
  <si>
    <t>B1-D29a</t>
  </si>
  <si>
    <t>B1-D29b</t>
  </si>
  <si>
    <t>B1-D30a</t>
  </si>
  <si>
    <t>B1-D30b</t>
  </si>
  <si>
    <t>B1-D33a</t>
  </si>
  <si>
    <t>B1-D33b</t>
  </si>
  <si>
    <t>B2-D25a, B2-D25b, B2-D33a, B2-D33b</t>
  </si>
  <si>
    <t>B2-D10a, B2-D10b</t>
  </si>
  <si>
    <t>B2-D05a, B2-D05b</t>
  </si>
  <si>
    <t>B2-D31a, B2-D31b</t>
  </si>
  <si>
    <t>B2-D11a, B2-D11b</t>
  </si>
  <si>
    <t>B2-D18a, B2-D18b</t>
  </si>
  <si>
    <t>B2-D02a, B2-D02b</t>
  </si>
  <si>
    <t>B2-D17a, B2-D17b</t>
  </si>
  <si>
    <t>B2-D09a, B2-D09b</t>
  </si>
  <si>
    <t>B2-D08a, B2-D08b</t>
  </si>
  <si>
    <t>B2-D30a, B2-D30b</t>
  </si>
  <si>
    <t>B2-D12a, B2-D12b</t>
  </si>
  <si>
    <t>B2-D19a, B2-D19b</t>
  </si>
  <si>
    <t>B2-D01a, B2-D01b</t>
  </si>
  <si>
    <t>B2-D03a</t>
  </si>
  <si>
    <t>B2-D03b</t>
  </si>
  <si>
    <t>B2-D04a</t>
  </si>
  <si>
    <t>B2-D04b</t>
  </si>
  <si>
    <t>B2-D06a</t>
  </si>
  <si>
    <t>B2-D06b</t>
  </si>
  <si>
    <t>B2-D07a</t>
  </si>
  <si>
    <t>B2-D07b</t>
  </si>
  <si>
    <t>B2-D13a</t>
  </si>
  <si>
    <t>B2-D13b</t>
  </si>
  <si>
    <t>B2-D14a</t>
  </si>
  <si>
    <t>B2-D14b</t>
  </si>
  <si>
    <t>B2-D15a</t>
  </si>
  <si>
    <t>B2-D15b</t>
  </si>
  <si>
    <t>B2-D16a</t>
  </si>
  <si>
    <t>B2-D16b</t>
  </si>
  <si>
    <t>B2-D20a</t>
  </si>
  <si>
    <t>B2-D20b</t>
  </si>
  <si>
    <t>B2-D21a</t>
  </si>
  <si>
    <t>B2-D21b</t>
  </si>
  <si>
    <t>B2-D22a</t>
  </si>
  <si>
    <t>B2-D22b</t>
  </si>
  <si>
    <t>B2-D23a</t>
  </si>
  <si>
    <t>B2-D23b</t>
  </si>
  <si>
    <t>B2-D24a</t>
  </si>
  <si>
    <t>B2-D24b</t>
  </si>
  <si>
    <t>B2-D26a</t>
  </si>
  <si>
    <t>B2-D26b</t>
  </si>
  <si>
    <t>B2-D27a</t>
  </si>
  <si>
    <t>B2-D27b</t>
  </si>
  <si>
    <t>B2-D28a</t>
  </si>
  <si>
    <t>B2-D28b</t>
  </si>
  <si>
    <t>B2-D29a</t>
  </si>
  <si>
    <t>B2-D29b</t>
  </si>
  <si>
    <t>B2-D32a</t>
  </si>
  <si>
    <t>B2-D32b</t>
  </si>
  <si>
    <t>B2-D34a</t>
  </si>
  <si>
    <t>B2-D34b</t>
  </si>
  <si>
    <t>B2-D35a</t>
  </si>
  <si>
    <t>B2-D35b</t>
  </si>
  <si>
    <t>B3-D26a, B3-D26b</t>
  </si>
  <si>
    <t>B3-D14a, B3-D14b, B3-D34a, B3-D34b</t>
  </si>
  <si>
    <t>B3-D28a, B3-D28b</t>
  </si>
  <si>
    <t>B3-D08a, B3-D08b</t>
  </si>
  <si>
    <t>B3-D27a, B3-D27b, B3-D43a, B3-D43b</t>
  </si>
  <si>
    <t>B3-D16a, B3-D16b, B3-D41a, B3-D41b</t>
  </si>
  <si>
    <t>B3-D32a, B3-D32b</t>
  </si>
  <si>
    <t>B3-D04a, B3-D04b</t>
  </si>
  <si>
    <t>B3-D22a, B3-D22b</t>
  </si>
  <si>
    <t>B3-D18a, B3-D18b</t>
  </si>
  <si>
    <t>B3-D06a, B3-D06b, B3-D38a, B3-D38b</t>
  </si>
  <si>
    <t>B3-D09a, B3-D09b</t>
  </si>
  <si>
    <t>B3-D30a, B3-D30b</t>
  </si>
  <si>
    <t>B3-D15a, B3-D15b</t>
  </si>
  <si>
    <t>B3-D25a, B3-D25b, B3-D39a, B3-D39b</t>
  </si>
  <si>
    <t>B3-D07a, B3-D07b</t>
  </si>
  <si>
    <t>B3-D17a, B3-D17b, B3-D37a, B3-D37b</t>
  </si>
  <si>
    <t>B3-D10a, B3-D10b</t>
  </si>
  <si>
    <t>B3-D19a, B3-D19b, B3-D40a, B3-D40b</t>
  </si>
  <si>
    <t>B3-D03a, B3-D03b</t>
  </si>
  <si>
    <t>B3-D23a, B3-D23b</t>
  </si>
  <si>
    <t>B3-D12a, B3-D12b</t>
  </si>
  <si>
    <t>B3-D31a, B3-D31b</t>
  </si>
  <si>
    <t>B3-D20a, B3-D20b</t>
  </si>
  <si>
    <t>B3-D01a</t>
  </si>
  <si>
    <t>B3-D01b</t>
  </si>
  <si>
    <t>B3-D02a</t>
  </si>
  <si>
    <t>B3-D02b</t>
  </si>
  <si>
    <t>B3-D05a</t>
  </si>
  <si>
    <t>B3-D05b</t>
  </si>
  <si>
    <t>B3-D11a</t>
  </si>
  <si>
    <t>B3-D11b</t>
  </si>
  <si>
    <t>B3-D13a</t>
  </si>
  <si>
    <t>B3-D13b</t>
  </si>
  <si>
    <t>B3-D21a</t>
  </si>
  <si>
    <t>B3-D21b</t>
  </si>
  <si>
    <t>B3-D24a</t>
  </si>
  <si>
    <t>B3-D24b</t>
  </si>
  <si>
    <t>B3-D29a</t>
  </si>
  <si>
    <t>B3-D29b</t>
  </si>
  <si>
    <t>B3-D33a</t>
  </si>
  <si>
    <t>B3-D33b</t>
  </si>
  <si>
    <t>B3-D35a</t>
  </si>
  <si>
    <t>B3-D35b</t>
  </si>
  <si>
    <t>B3-D36a</t>
  </si>
  <si>
    <t>B3-D36b</t>
  </si>
  <si>
    <t>B3-D42a</t>
  </si>
  <si>
    <t>B3-D42b</t>
  </si>
  <si>
    <t>B4-D36a, B4-D01a, B4-D36b, B4-D01b</t>
  </si>
  <si>
    <t>B4-D19a, B4-D19b</t>
  </si>
  <si>
    <t>B4-D13a, B4-D13b</t>
  </si>
  <si>
    <t>B4-D27a, B4-D27b</t>
  </si>
  <si>
    <t>B4-D08a, B4-D08b</t>
  </si>
  <si>
    <t>B4-D02a, B4-D02b, B4-D34a, B4-D34b</t>
  </si>
  <si>
    <t>B4-D30a, B4-D30b</t>
  </si>
  <si>
    <t>B4-D11a, B4-D11b</t>
  </si>
  <si>
    <t>B4-D07a, B4-D07b</t>
  </si>
  <si>
    <t>B4-D20a, B4-D20b</t>
  </si>
  <si>
    <t>B4-D03a</t>
  </si>
  <si>
    <t>B4-D03b</t>
  </si>
  <si>
    <t>B4-D04a</t>
  </si>
  <si>
    <t>B4-D04b</t>
  </si>
  <si>
    <t>B4-D05a</t>
  </si>
  <si>
    <t>B4-D05b</t>
  </si>
  <si>
    <t>B4-D06a</t>
  </si>
  <si>
    <t>B4-D06b</t>
  </si>
  <si>
    <t>B4-D09a</t>
  </si>
  <si>
    <t>B4-D09b</t>
  </si>
  <si>
    <t>B4-D10a</t>
  </si>
  <si>
    <t>B4-D10b</t>
  </si>
  <si>
    <t>B4-D12a</t>
  </si>
  <si>
    <t>B4-D12b</t>
  </si>
  <si>
    <t>B4-D14a</t>
  </si>
  <si>
    <t>B4-D14b</t>
  </si>
  <si>
    <t>B4-D15a</t>
  </si>
  <si>
    <t>B4-D15b</t>
  </si>
  <si>
    <t>B4-D16a</t>
  </si>
  <si>
    <t>B4-D16b</t>
  </si>
  <si>
    <t>B4-D17a</t>
  </si>
  <si>
    <t>B4-D17b</t>
  </si>
  <si>
    <t>B4-D18a</t>
  </si>
  <si>
    <t>B4-D18b</t>
  </si>
  <si>
    <t>B4-D21a</t>
  </si>
  <si>
    <t>B4-D21b</t>
  </si>
  <si>
    <t>B4-D22a</t>
  </si>
  <si>
    <t>B4-D22b</t>
  </si>
  <si>
    <t>B4-D23a</t>
  </si>
  <si>
    <t>B4-D23b</t>
  </si>
  <si>
    <t>B4-D24a</t>
  </si>
  <si>
    <t>B4-D24b</t>
  </si>
  <si>
    <t>B4-D25a</t>
  </si>
  <si>
    <t>B4-D25b</t>
  </si>
  <si>
    <t>B4-D26a</t>
  </si>
  <si>
    <t>B4-D26b</t>
  </si>
  <si>
    <t>B4-D28a</t>
  </si>
  <si>
    <t>B4-D28b</t>
  </si>
  <si>
    <t>B4-D29a</t>
  </si>
  <si>
    <t>B4-D29b</t>
  </si>
  <si>
    <t>B4-D31a</t>
  </si>
  <si>
    <t>B4-D31b</t>
  </si>
  <si>
    <t>B4-D32a</t>
  </si>
  <si>
    <t>B4-D32b</t>
  </si>
  <si>
    <t>B4-D33a</t>
  </si>
  <si>
    <t>B4-D33b</t>
  </si>
  <si>
    <t>B4-D35a</t>
  </si>
  <si>
    <t>B4-D35b</t>
  </si>
  <si>
    <t>B4-D37a</t>
  </si>
  <si>
    <t>B4-D37b</t>
  </si>
  <si>
    <t>B5-D17a, B5-D17b, B5-D13a, B5-D13b</t>
  </si>
  <si>
    <t>B5-D20a, B5-D20b, B5-D02a, B5-D02b</t>
  </si>
  <si>
    <t>B5-D11a, B5-D11b, B5-D21a, B5-D19a, B5-D21b, B5-D19b</t>
  </si>
  <si>
    <t>B5-D01a</t>
  </si>
  <si>
    <t>B5-D01b</t>
  </si>
  <si>
    <t>B5-D03a</t>
  </si>
  <si>
    <t>B5-D03b</t>
  </si>
  <si>
    <t>B5-D04a</t>
  </si>
  <si>
    <t>B5-D04b</t>
  </si>
  <si>
    <t>B5-D05a</t>
  </si>
  <si>
    <t>B5-D05b</t>
  </si>
  <si>
    <t>B5-D06a</t>
  </si>
  <si>
    <t>B5-D06b</t>
  </si>
  <si>
    <t>B5-D07a</t>
  </si>
  <si>
    <t>B5-D07b</t>
  </si>
  <si>
    <t>B5-D08a</t>
  </si>
  <si>
    <t>B5-D08b</t>
  </si>
  <si>
    <t>B5-D09a</t>
  </si>
  <si>
    <t>B5-D09b</t>
  </si>
  <si>
    <t>B5-D10a</t>
  </si>
  <si>
    <t>B5-D10b</t>
  </si>
  <si>
    <t>B5-D12a</t>
  </si>
  <si>
    <t>B5-D12b</t>
  </si>
  <si>
    <t>B5-D14a</t>
  </si>
  <si>
    <t>B5-D14b</t>
  </si>
  <si>
    <t>B5-D15a</t>
  </si>
  <si>
    <t>B5-D15b</t>
  </si>
  <si>
    <t>B5-D16a</t>
  </si>
  <si>
    <t>B5-D16b</t>
  </si>
  <si>
    <t>B5-D18a</t>
  </si>
  <si>
    <t>B5-D18b</t>
  </si>
  <si>
    <t>B6-D01a, B6-D01b</t>
  </si>
  <si>
    <t>B6-D11a, B6-D11b</t>
  </si>
  <si>
    <t>B6-D07a, B6-D07b, B6-D23a</t>
  </si>
  <si>
    <t>B6-D23b, B6-D12a, B6-D27a, B6-D12b, B6-D27b</t>
  </si>
  <si>
    <t>B6-D19a, B6-D19b, B6-D13a</t>
  </si>
  <si>
    <t>B6-D13b</t>
  </si>
  <si>
    <t>B6-D08a, B6-D08b, B6-D25a</t>
  </si>
  <si>
    <t>B6-D25b, B6-D16a, B6-D16b</t>
  </si>
  <si>
    <t>B6-D02a</t>
  </si>
  <si>
    <t>B6-D02b</t>
  </si>
  <si>
    <t>B6-D03a</t>
  </si>
  <si>
    <t>B6-D03b</t>
  </si>
  <si>
    <t>B6-D04a</t>
  </si>
  <si>
    <t>B6-D04b</t>
  </si>
  <si>
    <t>B6-D05a</t>
  </si>
  <si>
    <t>B6-D05b</t>
  </si>
  <si>
    <t>B6-D06a</t>
  </si>
  <si>
    <t>B6-D06b</t>
  </si>
  <si>
    <t>B6-D09a</t>
  </si>
  <si>
    <t>B6-D09b</t>
  </si>
  <si>
    <t>B6-D10a</t>
  </si>
  <si>
    <t>B6-D10b</t>
  </si>
  <si>
    <t>B6-D14a</t>
  </si>
  <si>
    <t>B6-D14b</t>
  </si>
  <si>
    <t>B6-D15a</t>
  </si>
  <si>
    <t>B6-D15b</t>
  </si>
  <si>
    <t>B6-D17a</t>
  </si>
  <si>
    <t>B6-D17b</t>
  </si>
  <si>
    <t>B6-D18a</t>
  </si>
  <si>
    <t>B6-D18b</t>
  </si>
  <si>
    <t>B6-D20a</t>
  </si>
  <si>
    <t>B6-D20b</t>
  </si>
  <si>
    <t>B6-D21a</t>
  </si>
  <si>
    <t>B6-D21b</t>
  </si>
  <si>
    <t>B6-D22a</t>
  </si>
  <si>
    <t>B6-D22b</t>
  </si>
  <si>
    <t>B6-D24a</t>
  </si>
  <si>
    <t>B6-D24b</t>
  </si>
  <si>
    <t>B6-D26a</t>
  </si>
  <si>
    <t>B6-D26b</t>
  </si>
  <si>
    <t>B7-D17a, B7-D17b, B7-D33a, B7-D33b</t>
  </si>
  <si>
    <t>B7-D09a, B7-D09b</t>
  </si>
  <si>
    <t>B7-D27a, B7-D27b</t>
  </si>
  <si>
    <t>B7-D03a, B7-D03b</t>
  </si>
  <si>
    <t>B7-D31a, B7-D31b, B7-D37a, B7-D37b</t>
  </si>
  <si>
    <t>B7-D16a, B7-D16b, B7-D36a, B7-D36b</t>
  </si>
  <si>
    <t>B7-D30a, B7-D30b</t>
  </si>
  <si>
    <t>B7-D07a, B7-D07b</t>
  </si>
  <si>
    <t>B7-D24a, B7-D24b</t>
  </si>
  <si>
    <t>B7-D10a, B7-D10b</t>
  </si>
  <si>
    <t>B7-D22a, B7-D22b</t>
  </si>
  <si>
    <t>B7-D02a, B7-D02b</t>
  </si>
  <si>
    <t>B7-D20a, B7-D20b</t>
  </si>
  <si>
    <t>B7-D12a, B7-D12b</t>
  </si>
  <si>
    <t>B7-D23a, B7-D23b, B7-D38a, B7-D38b</t>
  </si>
  <si>
    <t>B7-D04a, B7-D04b</t>
  </si>
  <si>
    <t>B7-D19a, B7-D19b, B7-D39a, B7-D39b</t>
  </si>
  <si>
    <t>B7-D11a, B7-D11b</t>
  </si>
  <si>
    <t>B7-D26a, B7-D26b, B7-D34a, B7-D34b</t>
  </si>
  <si>
    <t>B7-D08a, B7-D08b</t>
  </si>
  <si>
    <t>B7-D29a, B7-D29b, B7-D35a, B7-D35b</t>
  </si>
  <si>
    <t>B7-D15a, B7-D15b</t>
  </si>
  <si>
    <t>B7-D32a, B7-D32b</t>
  </si>
  <si>
    <t>B7-D01a</t>
  </si>
  <si>
    <t>B7-D01b</t>
  </si>
  <si>
    <t>B7-D05a</t>
  </si>
  <si>
    <t>B7-D05b</t>
  </si>
  <si>
    <t>B7-D06a</t>
  </si>
  <si>
    <t>B7-D06b</t>
  </si>
  <si>
    <t>B7-D13a</t>
  </si>
  <si>
    <t>B7-D13b</t>
  </si>
  <si>
    <t>B7-D14a</t>
  </si>
  <si>
    <t>B7-D14b</t>
  </si>
  <si>
    <t>B7-D18a</t>
  </si>
  <si>
    <t>B7-D18b</t>
  </si>
  <si>
    <t>B7-D21a</t>
  </si>
  <si>
    <t>B7-D21b</t>
  </si>
  <si>
    <t>B7-D25a</t>
  </si>
  <si>
    <t>B7-D25b</t>
  </si>
  <si>
    <t>B7-D28a</t>
  </si>
  <si>
    <t>B7-D28b</t>
  </si>
  <si>
    <t>B7-D40a</t>
  </si>
  <si>
    <t>B7-D40b</t>
  </si>
  <si>
    <t>B8-D10a, B8-D10b</t>
  </si>
  <si>
    <t>B8-D17a, B8-D17b</t>
  </si>
  <si>
    <t>B8-D04a, B8-D04b</t>
  </si>
  <si>
    <t>B8-D31a, B8-D31b</t>
  </si>
  <si>
    <t>B8-D12a, B8-D12b</t>
  </si>
  <si>
    <t>B8-D18a, B8-D18b</t>
  </si>
  <si>
    <t>B8-D06a, B8-D06b</t>
  </si>
  <si>
    <t>B8-D32a, B8-D32b</t>
  </si>
  <si>
    <t>B8-D13a, B8-D13b</t>
  </si>
  <si>
    <t>B8-D09a, B8-D09b</t>
  </si>
  <si>
    <t>B8-D22a, B8-D22b</t>
  </si>
  <si>
    <t>B8-D03a, B8-D03b</t>
  </si>
  <si>
    <t>B8-D29a, B8-D29b</t>
  </si>
  <si>
    <t>B8-D14a, B8-D14b</t>
  </si>
  <si>
    <t>B8-D23a, B8-D23b</t>
  </si>
  <si>
    <t>B8-D05a, B8-D05b</t>
  </si>
  <si>
    <t>B8-D11a, B8-D11b</t>
  </si>
  <si>
    <t>B8-D25a, B8-D25b</t>
  </si>
  <si>
    <t>B8-D01a</t>
  </si>
  <si>
    <t>B8-D01b</t>
  </si>
  <si>
    <t>B8-D02a</t>
  </si>
  <si>
    <t>B8-D02b</t>
  </si>
  <si>
    <t>B8-D07a</t>
  </si>
  <si>
    <t>B8-D07b</t>
  </si>
  <si>
    <t>B8-D08a</t>
  </si>
  <si>
    <t>B8-D08b</t>
  </si>
  <si>
    <t>B8-D15a</t>
  </si>
  <si>
    <t>B8-D15b</t>
  </si>
  <si>
    <t>B8-D16a</t>
  </si>
  <si>
    <t>B8-D16b</t>
  </si>
  <si>
    <t>B8-D19a</t>
  </si>
  <si>
    <t>B8-D19b</t>
  </si>
  <si>
    <t>B8-D20a</t>
  </si>
  <si>
    <t>B8-D20b</t>
  </si>
  <si>
    <t>B8-D21a</t>
  </si>
  <si>
    <t>B8-D21b</t>
  </si>
  <si>
    <t>B8-D24a</t>
  </si>
  <si>
    <t>B8-D24b</t>
  </si>
  <si>
    <t>B8-D26a</t>
  </si>
  <si>
    <t>B8-D26b</t>
  </si>
  <si>
    <t>B8-D27a</t>
  </si>
  <si>
    <t>B8-D27b</t>
  </si>
  <si>
    <t>B8-D28a</t>
  </si>
  <si>
    <t>B8-D28b</t>
  </si>
  <si>
    <t>B8-D30a</t>
  </si>
  <si>
    <t>B8-D30b</t>
  </si>
  <si>
    <t>B8-D33a</t>
  </si>
  <si>
    <t>B8-D33b</t>
  </si>
  <si>
    <t>ĐỐI CHIẾU TỪNG TỜ CT-BP (22/10/2026) VỚI MẶT BẰNG BÈ MÀ WEB DÙNG TÍNH NEO (nhập từ tờ MB-B01-01)</t>
  </si>
  <si>
    <t>Đường bao bè đo trên ảnh từng tờ CT-BP (tỷ lệ in trên tờ, gồm cả mép phao nên rộng hơn 1–2 m); mặt bằng trên web lấy đường bao bè của tờ MB-B01-01. Số tấm pin trên web lấy đúng bảng từng tờ — ĐÃ CHỐT 18.240 tấm (Pre-FS cũ ghi 16.892).</t>
  </si>
  <si>
    <t>Tỷ lệ tờ</t>
  </si>
  <si>
    <t>Diện tích bản vẽ 22/10 (m²)</t>
  </si>
  <si>
    <t>Diện tích trên web (m²)</t>
  </si>
  <si>
    <t>Lệch diện tích</t>
  </si>
  <si>
    <t>Kích thước bản vẽ (m)</t>
  </si>
  <si>
    <t>Kích thước trên web (m)</t>
  </si>
  <si>
    <t>Tấm pin bản vẽ</t>
  </si>
  <si>
    <t>Tấm pin trên web</t>
  </si>
  <si>
    <t>Lệch tấm pin</t>
  </si>
  <si>
    <t>Dầm C52 TB 1 thanh (m)</t>
  </si>
  <si>
    <t>Hộp 40x60 TB 1 thanh (m)</t>
  </si>
  <si>
    <t>Phương dầm C52 trên tờ</t>
  </si>
  <si>
    <t>Số dây neo</t>
  </si>
  <si>
    <t>1:500</t>
  </si>
  <si>
    <t>146,1 × 117,0</t>
  </si>
  <si>
    <t>144,6 × 117,2</t>
  </si>
  <si>
    <t>đứng</t>
  </si>
  <si>
    <t>153,4 × 111,1</t>
  </si>
  <si>
    <t>152,0 × 107,6</t>
  </si>
  <si>
    <t>ngang</t>
  </si>
  <si>
    <t>1:700</t>
  </si>
  <si>
    <t>231,5 × 81,2</t>
  </si>
  <si>
    <t>229,4 × 80,0</t>
  </si>
  <si>
    <t>1:600</t>
  </si>
  <si>
    <t>180,0 × 74,4</t>
  </si>
  <si>
    <t>178,0 × 72,2</t>
  </si>
  <si>
    <t>1:350</t>
  </si>
  <si>
    <t>113,3 × 39,3</t>
  </si>
  <si>
    <t>112,0 × 37,0</t>
  </si>
  <si>
    <t>112,9 × 74,4</t>
  </si>
  <si>
    <t>112,4 × 72,3</t>
  </si>
  <si>
    <t>219,2 × 75,3</t>
  </si>
  <si>
    <t>218,0 × 74,0</t>
  </si>
  <si>
    <t>146,2 × 101,1</t>
  </si>
  <si>
    <t>145,0 × 100,0</t>
  </si>
  <si>
    <t>THÔNG SỐ GIẢ ĐỊNH — ô tô vàng là ô NHẬP, sửa là cả file tự tính lại</t>
  </si>
  <si>
    <t>Thông số</t>
  </si>
  <si>
    <t>Giá trị</t>
  </si>
  <si>
    <t>L_C52</t>
  </si>
  <si>
    <t>Chiều dài cây dầm C52 khi cấp hàng</t>
  </si>
  <si>
    <t>GIẢ ĐỊNH (như Huổi Vanh). HD lắp Mibet G5 dùng đoạn L2990 / L3750 — nếu cấp đoạn ~3 m thì số mối nối gần gấp đôi</t>
  </si>
  <si>
    <t>L_H</t>
  </si>
  <si>
    <t>Chiều dài cây hộp 40x60</t>
  </si>
  <si>
    <t>GIẢ ĐỊNH, cây thép hộp thương mại 6 m</t>
  </si>
  <si>
    <t>M_C52</t>
  </si>
  <si>
    <t>Khối lượng dầm C52</t>
  </si>
  <si>
    <t>kg/m</t>
  </si>
  <si>
    <t>GIẢ ĐỊNH tiết diện C 52×41×12×2,0 (chưa có catalogue nhà sản xuất)</t>
  </si>
  <si>
    <t>M_H</t>
  </si>
  <si>
    <t>Khối lượng hộp 40x60</t>
  </si>
  <si>
    <t>GIẢ ĐỊNH 40×60×2,0</t>
  </si>
  <si>
    <t>K_FS</t>
  </si>
  <si>
    <t>Gá trước (Front Support) mỗi tấm pin</t>
  </si>
  <si>
    <t>cái/tấm</t>
  </si>
  <si>
    <t>ƯỚC LƯỢNG theo HD lắp G5</t>
  </si>
  <si>
    <t>K_BS</t>
  </si>
  <si>
    <t>Gá sau (Back Support) mỗi tấm pin</t>
  </si>
  <si>
    <t>ƯỚC LƯỢNG</t>
  </si>
  <si>
    <t>K_EC</t>
  </si>
  <si>
    <t>Bộ kẹp biên tấm pin (End Clamp Kit) mỗi tấm</t>
  </si>
  <si>
    <t>bộ/tấm</t>
  </si>
  <si>
    <t>K_GC</t>
  </si>
  <si>
    <t>Bộ kẹp tiếp địa mỗi tấm</t>
  </si>
  <si>
    <t>ƯỚC LƯỢNG; hỏi Mibet: kẹp biên/kẹp giữa có răng tiếp địa thì bỏ được hạng mục này, hoặc 1 bộ/tấm</t>
  </si>
  <si>
    <t>K_RN8</t>
  </si>
  <si>
    <t>Bộ đai ốc thoi M8×25 bắt gá vào C52</t>
  </si>
  <si>
    <t>ƯỚC LƯỢNG = 1 bộ mỗi gá</t>
  </si>
  <si>
    <t>K_FB</t>
  </si>
  <si>
    <t>bộ/phao</t>
  </si>
  <si>
    <t>ƯỚC LƯỢNG (HD: các phao nối với nhau bằng bulông + đai ốc nhựa)</t>
  </si>
  <si>
    <t>HH</t>
  </si>
  <si>
    <t>Hao hụt phụ kiện, bulông</t>
  </si>
  <si>
    <t>%</t>
  </si>
  <si>
    <t>GIẢ ĐỊNH, chỉ cộng ở cột "Tổng có hao hụt"</t>
  </si>
  <si>
    <t>L_GC</t>
  </si>
  <si>
    <t>Chiều dài 1 thanh hộp 40x60 gia cường tai neo</t>
  </si>
  <si>
    <t>Theo bản vẽ gia cường bè 1 Huổi Vanh (13,4–15,5 m)</t>
  </si>
  <si>
    <t>P_KEP</t>
  </si>
  <si>
    <t>Sức chịu 1 móc "几" (2 đai ốc thoi M10×30 trong rãnh C52)</t>
  </si>
  <si>
    <t>kN</t>
  </si>
  <si>
    <t>GIẢ ĐỊNH — chưa có số liệu nhà sản xuất; quyết định số thanh xếp song song ở cụm chịu lực lớn</t>
  </si>
  <si>
    <t>GAMMA</t>
  </si>
  <si>
    <t>Hệ số tải trọng cho lực dây</t>
  </si>
  <si>
    <t>Như kiểm tra cọc (pileBendingLoadFactor)</t>
  </si>
  <si>
    <t>K_Y</t>
  </si>
  <si>
    <t>Phần lực dây vào MỘT bích (cáp 2 nhánh chữ Y)</t>
  </si>
  <si>
    <t>× T</t>
  </si>
  <si>
    <t>Chia đều ở góc 60°: 0,58 T; lấy 0,7 T vì 2 nhánh có thể dài lệch nhau (cùng giả định với bảng neo)</t>
  </si>
  <si>
    <t>K_DU</t>
  </si>
  <si>
    <t>Phần thừa trung bình của cây cuối mỗi thanh</t>
  </si>
  <si>
    <t>cây/thanh</t>
  </si>
  <si>
    <t>ƯỚC LƯỢNG: không đo được từng thanh → số cây = ROUNDUP(tổng dài / L + số thanh × K_DU). Bè 5 (đo được): dầm 113,05 m cần 19 cây/thanh, công thức cho 19,3</t>
  </si>
  <si>
    <t>K_XF</t>
  </si>
  <si>
    <t>Số chỗ dầm C52 vượt qua một hàng phao, trên 1 m dầm</t>
  </si>
  <si>
    <t>điểm/m</t>
  </si>
  <si>
    <t>ĐO trên bè 5: mỗi dầm 113,05 m vượt 59 hàng phao (57 hàng đỡ pin + 2 hàng đi lại) → 0,522 điểm/m</t>
  </si>
  <si>
    <t>B_C52</t>
  </si>
  <si>
    <t>Khoảng cách trung bình giữa các dầm C52 (theo phương hộp)</t>
  </si>
  <si>
    <t>ĐO trên bè 5: hộp 39,2 m giao 32 dầm → 1,225 m; 1 bulông M10×120 mỗi giao điểm hộp – dầm</t>
  </si>
  <si>
    <t>GHI CHÚ, NGUỒN SỐ LIỆU VÀ CÁC ĐIỂM CẦN XÁC NHẬN</t>
  </si>
  <si>
    <t>Nguồn: "221026 BỐ TRÍ BÈ PIN HỒ BẢN MÒNG.pdf" (9 tờ: CT-BP-01…08 bố trí từng bè có bảng tấm pin, phao, khung thép, inverter; MB-B01-01 mặt bằng tổng có bảng phao đỡ cáp), HD lắp Mibet MRac G5, tài liệu phụ kiện Mibet, datasheet G5G. Script: scripts/buildBanMongRaftBOQ.py.</t>
  </si>
  <si>
    <t>Số tấm pin, phao, inverter, số thanh và chiều dài dầm C52, hộp 40x60 lấy NGUYÊN bảng thống kê trên bản vẽ (script kiểm tra từng số có trên đúng tờ).</t>
  </si>
  <si>
    <t>Bản vẽ 22/10 chỉ thể hiện các đoạn thép lộ giữa phao, nên KHÔNG đo được từng thanh như Huổi Vanh. Riêng tờ bè 5 vẽ thép bằng nét riêng: 32 dầm C52 dài 113,05 m và 20 hộp dài 39,2 m, khớp bảng (3.617,6 / 784,1 m). Số cây cấp hàng, mối nối, bulông M8 và M10 là ƯỚC LƯỢNG theo hệ số ở GiaDinh (K_DU, K_XF, B_C52 đo trên bè 5).</t>
  </si>
  <si>
    <t>Bản vẽ CHƯA có hộp 40x60 gia cường tai neo (Huổi Vanh mới có ở bè 1). Mục D ước tính cho cả 8 bè theo cách của Huổi Vanh: cáp 2 nhánh chữ Y (Chủ đầu tư chọn 16/10/2026 cho Huổi Vanh, áp dụng tạm cho Bản Mòng), 2 bích mỗi dây cách nhau 3,5 m, mỗi bích chịu K_Y × T; lực dây T của bè lấy từ bảng neo Bản Mòng (engine, gió 20 m/s, có thiết bị bù dao động mực nước). Lực dây Bản Mòng lớn hơn Huổi Vanh (62–130 kN so với 28–87 kN) nên mỗi cụm cần 1–5 thanh xếp song song (tổng nhiều hơn Huổi Vanh dù ít dây hơn) với P_KEP = 7 kN GIẢ ĐỊNH — cần số liệu sức chịu móc "几" của Mibet hoặc bản vẽ gia cường riêng.</t>
  </si>
  <si>
    <t>Mặt bằng neo (số dây, vị trí bích) là của web, tính trên mặt bằng bè 22/10/2026 (đường bao lấy từ tờ MB-B01-01, đặt về tọa độ PA2: so với PA2 chỉ BÈ 4 và BÈ 6 đổi hình). Đường bao đo trên từng tờ CT-BP rộng hơn 1–2 m vì gồm cả mép phao (sheet DoiChieu_MatBang).</t>
  </si>
  <si>
    <t>Số tấm pin ĐÃ CHỐT 18.240 tấm (Chủ đầu tư 22/10/2026; 13,5 MWp với tấm 740 Wp — Pre-FS cũ ghi 16.892 tấm, 12,5 MWp). Lực gió và lực dây trên web tính theo số tấm từng bè này. Còn để thiết kế điện xem: tờ BÈ 2 có 1 dải 28 tấm ghi chú "be 1"; BÈ 4 ghi 80,43 string (2.252 tấm không chia hết cho 28).</t>
  </si>
  <si>
    <t>Khối lượng thép theo tiết diện GIẢ ĐỊNH (C52 ≈ 2,36 kg/m; hộp 40×60×2,0 ≈ 3,01 kg/m) vì chưa có catalogue tiết diện của nhà sản xuất.</t>
  </si>
  <si>
    <t>Gá đỡ, kẹp tấm pin, bulông nối phao là ƯỚC LƯỢNG theo hệ số mỗi tấm / mỗi phao (sheet GiaDinh) — phải thay bằng BOM của nhà sản xuất khi có. Kẹp tiếp địa: hỏi Mibet trước khi đặt (có thể bỏ nếu kẹp có răng tiếp địa).</t>
  </si>
  <si>
    <t>Chưa gồm: cáp neo, phụ kiện đầu cáp, cọc khoan nhồi, đế neo, thiết bị bù dao động mực nước (xem bảng thống kê vật tư neo Bản Mòng), cáp điện DC/AC, máng cáp, tủ điện, tấm lối đi (Walkway Board) nếu có, vận chuyển.</t>
  </si>
  <si>
    <t>Hình minh họa ở cột C chép từ bảng Huổi Vanh (cắt từ tài liệu Mibet): chỉ để nhận dạng loại vật tư, không phải bản vẽ chế tạo.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</si>
</sst>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
  </numFmts>
  <fonts count="4" x14ac:knownFonts="1">
    <font>
      <sz val="11"/>
      <color theme="1"/>
      <name val="Calibri"/>
      <family val="2"/>
      <scheme val="minor"/>
    </font>
    <font>
      <b/>
      <sz val="13"/>
      <name val="Calibri"/>
    </font>
    <font>
      <b/>
      <sz val="12"/>
      <name val="Calibri"/>
    </font>
    <font>
      <sz val="12"/>
      <name val="Calibri"/>
    </font>
  </fonts>
  <fills count="5">
    <fill>
      <patternFill patternType="none"/>
    </fill>
    <fill>
      <patternFill patternType="gray125"/>
    </fill>
    <fill>
      <patternFill patternType="solid">
        <fgColor rgb="FFF2F2F2"/>
      </patternFill>
    </fill>
    <fill>
      <patternFill patternType="solid">
        <fgColor rgb="FFFFFF99"/>
      </patternFill>
    </fill>
    <fill>
      <patternFill patternType="solid">
        <fgColor rgb="FFD9D9D9"/>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3">
    <xf numFmtId="0" fontId="0" fillId="0" borderId="0" xfId="0"/>
    <xf numFmtId="0" fontId="1" fillId="0" borderId="0" xfId="0" applyFont="1"/>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2" fillId="4" borderId="1" xfId="0" applyFont="1" applyFill="1" applyBorder="1" applyAlignment="1">
      <alignment vertical="center" wrapText="1"/>
    </xf>
    <xf numFmtId="0" fontId="3" fillId="4" borderId="1" xfId="0" applyFont="1" applyFill="1" applyBorder="1" applyAlignment="1">
      <alignment vertical="center" wrapText="1"/>
    </xf>
    <xf numFmtId="0" fontId="3" fillId="0" borderId="1" xfId="0" applyFont="1" applyBorder="1" applyAlignment="1">
      <alignment horizontal="center" vertical="center" wrapText="1"/>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2" fontId="3" fillId="0" borderId="1" xfId="0" applyNumberFormat="1" applyFont="1" applyBorder="1" applyAlignment="1">
      <alignment vertical="center" wrapText="1"/>
    </xf>
    <xf numFmtId="4" fontId="3" fillId="0" borderId="1" xfId="0" applyNumberFormat="1" applyFont="1" applyBorder="1" applyAlignment="1">
      <alignment vertical="center" wrapText="1"/>
    </xf>
    <xf numFmtId="0" fontId="2" fillId="0" borderId="0" xfId="0" applyFont="1"/>
    <xf numFmtId="164" fontId="3" fillId="0" borderId="1" xfId="0" applyNumberFormat="1" applyFont="1" applyBorder="1" applyAlignment="1">
      <alignment vertical="center" wrapText="1"/>
    </xf>
    <xf numFmtId="165" fontId="3" fillId="0" borderId="1" xfId="0" applyNumberFormat="1" applyFont="1" applyBorder="1" applyAlignment="1">
      <alignment vertical="center" wrapText="1"/>
    </xf>
    <xf numFmtId="166" fontId="3" fillId="0" borderId="1" xfId="0" applyNumberFormat="1" applyFont="1" applyBorder="1" applyAlignment="1">
      <alignment vertical="center" wrapText="1"/>
    </xf>
    <xf numFmtId="0" fontId="2" fillId="0" borderId="1" xfId="0" applyFont="1" applyBorder="1" applyAlignment="1">
      <alignment vertical="center" wrapText="1"/>
    </xf>
    <xf numFmtId="3" fontId="2" fillId="0" borderId="1" xfId="0" applyNumberFormat="1" applyFont="1" applyBorder="1" applyAlignment="1">
      <alignment vertical="center" wrapText="1"/>
    </xf>
    <xf numFmtId="166" fontId="2" fillId="0" borderId="1" xfId="0" applyNumberFormat="1" applyFont="1" applyBorder="1" applyAlignment="1">
      <alignment vertical="center" wrapText="1"/>
    </xf>
    <xf numFmtId="0" fontId="3" fillId="3" borderId="1" xfId="0" applyFont="1" applyFill="1" applyBorder="1" applyAlignment="1">
      <alignment vertical="center" wrapText="1"/>
    </xf>
    <xf numFmtId="0" fontId="1" fillId="0" borderId="0" xfId="0" applyFont="1"/>
    <xf numFmtId="0" fontId="0" fillId="0" borderId="0" xfId="0"/>
    <xf numFmtId="0" fontId="0" fillId="0" borderId="0" xfId="0" applyAlignment="1">
      <alignment vertical="center" wrapText="1"/>
    </xf>
    <xf numFmtId="0" fontId="3" fillId="0" borderId="0" xfId="0" applyFont="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jpe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jpe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oneCellAnchor>
    <xdr:from>
      <xdr:col>2</xdr:col>
      <xdr:colOff>0</xdr:colOff>
      <xdr:row>4</xdr:row>
      <xdr:rowOff>0</xdr:rowOff>
    </xdr:from>
    <xdr:ext cx="1400302" cy="939800"/>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6</xdr:row>
      <xdr:rowOff>0</xdr:rowOff>
    </xdr:from>
    <xdr:ext cx="1271325" cy="939800"/>
    <xdr:pic>
      <xdr:nvPicPr>
        <xdr:cNvPr id="3" name="Image 2" descr="Picture">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7</xdr:row>
      <xdr:rowOff>0</xdr:rowOff>
    </xdr:from>
    <xdr:ext cx="1340513" cy="939800"/>
    <xdr:pic>
      <xdr:nvPicPr>
        <xdr:cNvPr id="4" name="Image 3" descr="Picture">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8</xdr:row>
      <xdr:rowOff>0</xdr:rowOff>
    </xdr:from>
    <xdr:ext cx="1271325" cy="939800"/>
    <xdr:pic>
      <xdr:nvPicPr>
        <xdr:cNvPr id="5" name="Image 4" descr="Picture">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9</xdr:row>
      <xdr:rowOff>0</xdr:rowOff>
    </xdr:from>
    <xdr:ext cx="1271325" cy="939800"/>
    <xdr:pic>
      <xdr:nvPicPr>
        <xdr:cNvPr id="6" name="Image 5" descr="Picture">
          <a:extLst>
            <a:ext uri="{FF2B5EF4-FFF2-40B4-BE49-F238E27FC236}">
              <a16:creationId xmlns:a16="http://schemas.microsoft.com/office/drawing/2014/main" id="{00000000-0008-0000-0000-000006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12</xdr:row>
      <xdr:rowOff>0</xdr:rowOff>
    </xdr:from>
    <xdr:ext cx="1141741" cy="939800"/>
    <xdr:pic>
      <xdr:nvPicPr>
        <xdr:cNvPr id="7" name="Image 6" descr="Picture">
          <a:extLst>
            <a:ext uri="{FF2B5EF4-FFF2-40B4-BE49-F238E27FC236}">
              <a16:creationId xmlns:a16="http://schemas.microsoft.com/office/drawing/2014/main" id="{00000000-0008-0000-0000-000007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14</xdr:row>
      <xdr:rowOff>0</xdr:rowOff>
    </xdr:from>
    <xdr:ext cx="1213909" cy="939800"/>
    <xdr:pic>
      <xdr:nvPicPr>
        <xdr:cNvPr id="8" name="Image 7" descr="Picture">
          <a:extLst>
            <a:ext uri="{FF2B5EF4-FFF2-40B4-BE49-F238E27FC236}">
              <a16:creationId xmlns:a16="http://schemas.microsoft.com/office/drawing/2014/main" id="{00000000-0008-0000-0000-000008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15</xdr:row>
      <xdr:rowOff>0</xdr:rowOff>
    </xdr:from>
    <xdr:ext cx="1213909" cy="939800"/>
    <xdr:pic>
      <xdr:nvPicPr>
        <xdr:cNvPr id="9" name="Image 8" descr="Picture">
          <a:extLst>
            <a:ext uri="{FF2B5EF4-FFF2-40B4-BE49-F238E27FC236}">
              <a16:creationId xmlns:a16="http://schemas.microsoft.com/office/drawing/2014/main" id="{00000000-0008-0000-0000-000009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16</xdr:row>
      <xdr:rowOff>0</xdr:rowOff>
    </xdr:from>
    <xdr:ext cx="1213909" cy="939800"/>
    <xdr:pic>
      <xdr:nvPicPr>
        <xdr:cNvPr id="10" name="Image 9" descr="Picture">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17</xdr:row>
      <xdr:rowOff>0</xdr:rowOff>
    </xdr:from>
    <xdr:ext cx="1153866" cy="939800"/>
    <xdr:pic>
      <xdr:nvPicPr>
        <xdr:cNvPr id="11" name="Image 10" descr="Picture">
          <a:extLst>
            <a:ext uri="{FF2B5EF4-FFF2-40B4-BE49-F238E27FC236}">
              <a16:creationId xmlns:a16="http://schemas.microsoft.com/office/drawing/2014/main" id="{00000000-0008-0000-0000-00000B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18</xdr:row>
      <xdr:rowOff>0</xdr:rowOff>
    </xdr:from>
    <xdr:ext cx="1213909" cy="939800"/>
    <xdr:pic>
      <xdr:nvPicPr>
        <xdr:cNvPr id="12" name="Image 11" descr="Picture">
          <a:extLst>
            <a:ext uri="{FF2B5EF4-FFF2-40B4-BE49-F238E27FC236}">
              <a16:creationId xmlns:a16="http://schemas.microsoft.com/office/drawing/2014/main" id="{00000000-0008-0000-0000-00000C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19</xdr:row>
      <xdr:rowOff>0</xdr:rowOff>
    </xdr:from>
    <xdr:ext cx="1015961" cy="939800"/>
    <xdr:pic>
      <xdr:nvPicPr>
        <xdr:cNvPr id="13" name="Image 12" descr="Picture">
          <a:extLst>
            <a:ext uri="{FF2B5EF4-FFF2-40B4-BE49-F238E27FC236}">
              <a16:creationId xmlns:a16="http://schemas.microsoft.com/office/drawing/2014/main" id="{00000000-0008-0000-0000-00000D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21</xdr:row>
      <xdr:rowOff>0</xdr:rowOff>
    </xdr:from>
    <xdr:ext cx="1274207" cy="939800"/>
    <xdr:pic>
      <xdr:nvPicPr>
        <xdr:cNvPr id="14" name="Image 13" descr="Picture">
          <a:extLst>
            <a:ext uri="{FF2B5EF4-FFF2-40B4-BE49-F238E27FC236}">
              <a16:creationId xmlns:a16="http://schemas.microsoft.com/office/drawing/2014/main" id="{00000000-0008-0000-0000-00000E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22</xdr:row>
      <xdr:rowOff>0</xdr:rowOff>
    </xdr:from>
    <xdr:ext cx="1274207" cy="939800"/>
    <xdr:pic>
      <xdr:nvPicPr>
        <xdr:cNvPr id="15" name="Image 14" descr="Picture">
          <a:extLst>
            <a:ext uri="{FF2B5EF4-FFF2-40B4-BE49-F238E27FC236}">
              <a16:creationId xmlns:a16="http://schemas.microsoft.com/office/drawing/2014/main" id="{00000000-0008-0000-0000-00000F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23</xdr:row>
      <xdr:rowOff>0</xdr:rowOff>
    </xdr:from>
    <xdr:ext cx="1274207" cy="939800"/>
    <xdr:pic>
      <xdr:nvPicPr>
        <xdr:cNvPr id="16" name="Image 15" descr="Picture">
          <a:extLst>
            <a:ext uri="{FF2B5EF4-FFF2-40B4-BE49-F238E27FC236}">
              <a16:creationId xmlns:a16="http://schemas.microsoft.com/office/drawing/2014/main" id="{00000000-0008-0000-0000-000010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24</xdr:row>
      <xdr:rowOff>0</xdr:rowOff>
    </xdr:from>
    <xdr:ext cx="1023805" cy="939800"/>
    <xdr:pic>
      <xdr:nvPicPr>
        <xdr:cNvPr id="17" name="Image 16" descr="Picture">
          <a:extLst>
            <a:ext uri="{FF2B5EF4-FFF2-40B4-BE49-F238E27FC236}">
              <a16:creationId xmlns:a16="http://schemas.microsoft.com/office/drawing/2014/main" id="{00000000-0008-0000-0000-000011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25</xdr:row>
      <xdr:rowOff>0</xdr:rowOff>
    </xdr:from>
    <xdr:ext cx="1274207" cy="939800"/>
    <xdr:pic>
      <xdr:nvPicPr>
        <xdr:cNvPr id="18" name="Image 17" descr="Picture">
          <a:extLst>
            <a:ext uri="{FF2B5EF4-FFF2-40B4-BE49-F238E27FC236}">
              <a16:creationId xmlns:a16="http://schemas.microsoft.com/office/drawing/2014/main" id="{00000000-0008-0000-0000-000012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26</xdr:row>
      <xdr:rowOff>0</xdr:rowOff>
    </xdr:from>
    <xdr:ext cx="678124" cy="939800"/>
    <xdr:pic>
      <xdr:nvPicPr>
        <xdr:cNvPr id="19" name="Image 18" descr="Picture">
          <a:extLst>
            <a:ext uri="{FF2B5EF4-FFF2-40B4-BE49-F238E27FC236}">
              <a16:creationId xmlns:a16="http://schemas.microsoft.com/office/drawing/2014/main" id="{00000000-0008-0000-0000-000013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28</xdr:row>
      <xdr:rowOff>0</xdr:rowOff>
    </xdr:from>
    <xdr:ext cx="1106072" cy="939800"/>
    <xdr:pic>
      <xdr:nvPicPr>
        <xdr:cNvPr id="20" name="Image 19" descr="Picture">
          <a:extLst>
            <a:ext uri="{FF2B5EF4-FFF2-40B4-BE49-F238E27FC236}">
              <a16:creationId xmlns:a16="http://schemas.microsoft.com/office/drawing/2014/main" id="{00000000-0008-0000-0000-000014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29</xdr:row>
      <xdr:rowOff>0</xdr:rowOff>
    </xdr:from>
    <xdr:ext cx="1106072" cy="939800"/>
    <xdr:pic>
      <xdr:nvPicPr>
        <xdr:cNvPr id="21" name="Image 20" descr="Picture">
          <a:extLst>
            <a:ext uri="{FF2B5EF4-FFF2-40B4-BE49-F238E27FC236}">
              <a16:creationId xmlns:a16="http://schemas.microsoft.com/office/drawing/2014/main" id="{00000000-0008-0000-0000-000015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30</xdr:row>
      <xdr:rowOff>0</xdr:rowOff>
    </xdr:from>
    <xdr:ext cx="1106072" cy="939800"/>
    <xdr:pic>
      <xdr:nvPicPr>
        <xdr:cNvPr id="22" name="Image 21" descr="Picture">
          <a:extLst>
            <a:ext uri="{FF2B5EF4-FFF2-40B4-BE49-F238E27FC236}">
              <a16:creationId xmlns:a16="http://schemas.microsoft.com/office/drawing/2014/main" id="{00000000-0008-0000-0000-000016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31</xdr:row>
      <xdr:rowOff>0</xdr:rowOff>
    </xdr:from>
    <xdr:ext cx="1023805" cy="939800"/>
    <xdr:pic>
      <xdr:nvPicPr>
        <xdr:cNvPr id="23" name="Image 22" descr="Picture">
          <a:extLst>
            <a:ext uri="{FF2B5EF4-FFF2-40B4-BE49-F238E27FC236}">
              <a16:creationId xmlns:a16="http://schemas.microsoft.com/office/drawing/2014/main" id="{00000000-0008-0000-0000-000017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32</xdr:row>
      <xdr:rowOff>0</xdr:rowOff>
    </xdr:from>
    <xdr:ext cx="1282156" cy="939800"/>
    <xdr:pic>
      <xdr:nvPicPr>
        <xdr:cNvPr id="24" name="Image 23" descr="Picture">
          <a:extLst>
            <a:ext uri="{FF2B5EF4-FFF2-40B4-BE49-F238E27FC236}">
              <a16:creationId xmlns:a16="http://schemas.microsoft.com/office/drawing/2014/main" id="{00000000-0008-0000-0000-000018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2</xdr:col>
      <xdr:colOff>0</xdr:colOff>
      <xdr:row>33</xdr:row>
      <xdr:rowOff>0</xdr:rowOff>
    </xdr:from>
    <xdr:ext cx="1282156" cy="939800"/>
    <xdr:pic>
      <xdr:nvPicPr>
        <xdr:cNvPr id="25" name="Image 24" descr="Picture">
          <a:extLst>
            <a:ext uri="{FF2B5EF4-FFF2-40B4-BE49-F238E27FC236}">
              <a16:creationId xmlns:a16="http://schemas.microsoft.com/office/drawing/2014/main" id="{00000000-0008-0000-0000-000019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2</xdr:col>
      <xdr:colOff>0</xdr:colOff>
      <xdr:row>34</xdr:row>
      <xdr:rowOff>0</xdr:rowOff>
    </xdr:from>
    <xdr:ext cx="678124" cy="939800"/>
    <xdr:pic>
      <xdr:nvPicPr>
        <xdr:cNvPr id="26" name="Image 25" descr="Picture">
          <a:extLst>
            <a:ext uri="{FF2B5EF4-FFF2-40B4-BE49-F238E27FC236}">
              <a16:creationId xmlns:a16="http://schemas.microsoft.com/office/drawing/2014/main" id="{00000000-0008-0000-0000-00001A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35</xdr:row>
      <xdr:rowOff>0</xdr:rowOff>
    </xdr:from>
    <xdr:ext cx="1106072" cy="939800"/>
    <xdr:pic>
      <xdr:nvPicPr>
        <xdr:cNvPr id="27" name="Image 26" descr="Picture">
          <a:extLst>
            <a:ext uri="{FF2B5EF4-FFF2-40B4-BE49-F238E27FC236}">
              <a16:creationId xmlns:a16="http://schemas.microsoft.com/office/drawing/2014/main" id="{00000000-0008-0000-0000-00001B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37</xdr:row>
      <xdr:rowOff>0</xdr:rowOff>
    </xdr:from>
    <xdr:ext cx="1360692" cy="939800"/>
    <xdr:pic>
      <xdr:nvPicPr>
        <xdr:cNvPr id="28" name="Image 27" descr="Picture">
          <a:extLst>
            <a:ext uri="{FF2B5EF4-FFF2-40B4-BE49-F238E27FC236}">
              <a16:creationId xmlns:a16="http://schemas.microsoft.com/office/drawing/2014/main" id="{00000000-0008-0000-0000-00001C000000}"/>
            </a:ext>
          </a:extLst>
        </xdr:cNvPr>
        <xdr:cNvPicPr/>
      </xdr:nvPicPr>
      <xdr:blipFill>
        <a:blip xmlns:r="http://schemas.openxmlformats.org/officeDocument/2006/relationships" r:embed="rId13" cstate="print"/>
        <a:stretch>
          <a:fillRect/>
        </a:stretch>
      </xdr:blipFill>
      <xdr:spPr>
        <a:prstGeom prst="rect">
          <a:avLst/>
        </a:prstGeom>
      </xdr:spPr>
    </xdr:pic>
    <xdr:clientData/>
  </xdr:oneCellAnchor>
  <xdr:oneCellAnchor>
    <xdr:from>
      <xdr:col>2</xdr:col>
      <xdr:colOff>0</xdr:colOff>
      <xdr:row>38</xdr:row>
      <xdr:rowOff>0</xdr:rowOff>
    </xdr:from>
    <xdr:ext cx="1151255" cy="939800"/>
    <xdr:pic>
      <xdr:nvPicPr>
        <xdr:cNvPr id="29" name="Image 28" descr="Picture">
          <a:extLst>
            <a:ext uri="{FF2B5EF4-FFF2-40B4-BE49-F238E27FC236}">
              <a16:creationId xmlns:a16="http://schemas.microsoft.com/office/drawing/2014/main" id="{00000000-0008-0000-0000-00001D000000}"/>
            </a:ext>
          </a:extLst>
        </xdr:cNvPr>
        <xdr:cNvPicPr/>
      </xdr:nvPicPr>
      <xdr:blipFill>
        <a:blip xmlns:r="http://schemas.openxmlformats.org/officeDocument/2006/relationships" r:embed="rId14" cstate="print"/>
        <a:stretch>
          <a:fillRect/>
        </a:stretch>
      </xdr:blipFill>
      <xdr:spPr>
        <a:prstGeom prst="rect">
          <a:avLst/>
        </a:prstGeom>
      </xdr:spPr>
    </xdr:pic>
    <xdr:clientData/>
  </xdr:oneCellAnchor>
  <xdr:oneCellAnchor>
    <xdr:from>
      <xdr:col>2</xdr:col>
      <xdr:colOff>0</xdr:colOff>
      <xdr:row>39</xdr:row>
      <xdr:rowOff>0</xdr:rowOff>
    </xdr:from>
    <xdr:ext cx="1232182" cy="939800"/>
    <xdr:pic>
      <xdr:nvPicPr>
        <xdr:cNvPr id="30" name="Image 29" descr="Picture">
          <a:extLst>
            <a:ext uri="{FF2B5EF4-FFF2-40B4-BE49-F238E27FC236}">
              <a16:creationId xmlns:a16="http://schemas.microsoft.com/office/drawing/2014/main" id="{00000000-0008-0000-0000-00001E000000}"/>
            </a:ext>
          </a:extLst>
        </xdr:cNvPr>
        <xdr:cNvPicPr/>
      </xdr:nvPicPr>
      <xdr:blipFill>
        <a:blip xmlns:r="http://schemas.openxmlformats.org/officeDocument/2006/relationships" r:embed="rId15" cstate="print"/>
        <a:stretch>
          <a:fillRect/>
        </a:stretch>
      </xdr:blipFill>
      <xdr:spPr>
        <a:prstGeom prst="rect">
          <a:avLst/>
        </a:prstGeom>
      </xdr:spPr>
    </xdr:pic>
    <xdr:clientData/>
  </xdr:oneCellAnchor>
  <xdr:oneCellAnchor>
    <xdr:from>
      <xdr:col>2</xdr:col>
      <xdr:colOff>0</xdr:colOff>
      <xdr:row>41</xdr:row>
      <xdr:rowOff>0</xdr:rowOff>
    </xdr:from>
    <xdr:ext cx="1067286" cy="939800"/>
    <xdr:pic>
      <xdr:nvPicPr>
        <xdr:cNvPr id="31" name="Image 30" descr="Picture">
          <a:extLst>
            <a:ext uri="{FF2B5EF4-FFF2-40B4-BE49-F238E27FC236}">
              <a16:creationId xmlns:a16="http://schemas.microsoft.com/office/drawing/2014/main" id="{00000000-0008-0000-0000-00001F000000}"/>
            </a:ext>
          </a:extLst>
        </xdr:cNvPr>
        <xdr:cNvPicPr/>
      </xdr:nvPicPr>
      <xdr:blipFill>
        <a:blip xmlns:r="http://schemas.openxmlformats.org/officeDocument/2006/relationships" r:embed="rId16" cstate="print"/>
        <a:stretch>
          <a:fillRect/>
        </a:stretch>
      </xdr:blipFill>
      <xdr:spPr>
        <a:prstGeom prst="rect">
          <a:avLst/>
        </a:prstGeom>
      </xdr:spPr>
    </xdr:pic>
    <xdr:clientData/>
  </xdr:oneCellAnchor>
  <xdr:oneCellAnchor>
    <xdr:from>
      <xdr:col>2</xdr:col>
      <xdr:colOff>0</xdr:colOff>
      <xdr:row>43</xdr:row>
      <xdr:rowOff>0</xdr:rowOff>
    </xdr:from>
    <xdr:ext cx="1128129" cy="939800"/>
    <xdr:pic>
      <xdr:nvPicPr>
        <xdr:cNvPr id="32" name="Image 31" descr="Picture">
          <a:extLst>
            <a:ext uri="{FF2B5EF4-FFF2-40B4-BE49-F238E27FC236}">
              <a16:creationId xmlns:a16="http://schemas.microsoft.com/office/drawing/2014/main" id="{00000000-0008-0000-0000-000020000000}"/>
            </a:ext>
          </a:extLst>
        </xdr:cNvPr>
        <xdr:cNvPicPr/>
      </xdr:nvPicPr>
      <xdr:blipFill>
        <a:blip xmlns:r="http://schemas.openxmlformats.org/officeDocument/2006/relationships" r:embed="rId17"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44"/>
  <sheetViews>
    <sheetView tabSelected="1" workbookViewId="0">
      <pane xSplit="4" ySplit="3" topLeftCell="E4" activePane="bottomRight" state="frozen"/>
      <selection pane="topRight"/>
      <selection pane="bottomLeft"/>
      <selection pane="bottomRight" sqref="A1:P1"/>
    </sheetView>
  </sheetViews>
  <sheetFormatPr defaultRowHeight="14.5" x14ac:dyDescent="0.35"/>
  <cols>
    <col min="1" max="1" width="6" customWidth="1"/>
    <col min="2" max="2" width="46" customWidth="1"/>
    <col min="3" max="3" width="23" customWidth="1"/>
    <col min="4" max="4" width="8" customWidth="1"/>
    <col min="5" max="12" width="11" customWidth="1"/>
    <col min="13" max="13" width="12" customWidth="1"/>
    <col min="14" max="14" width="13" customWidth="1"/>
    <col min="15" max="15" width="8" customWidth="1"/>
    <col min="16" max="16" width="80" customWidth="1"/>
  </cols>
  <sheetData>
    <row r="1" spans="1:16" ht="17" customHeight="1" x14ac:dyDescent="0.4">
      <c r="A1" s="19" t="s">
        <v>0</v>
      </c>
      <c r="B1" s="20"/>
      <c r="C1" s="20"/>
      <c r="D1" s="20"/>
      <c r="E1" s="20"/>
      <c r="F1" s="20"/>
      <c r="G1" s="20"/>
      <c r="H1" s="20"/>
      <c r="I1" s="20"/>
      <c r="J1" s="20"/>
      <c r="K1" s="20"/>
      <c r="L1" s="20"/>
      <c r="M1" s="20"/>
      <c r="N1" s="20"/>
      <c r="O1" s="20"/>
      <c r="P1" s="20"/>
    </row>
    <row r="2" spans="1:16" ht="34" customHeight="1" x14ac:dyDescent="0.35">
      <c r="A2" s="21" t="s">
        <v>1</v>
      </c>
      <c r="B2" s="20"/>
      <c r="C2" s="20"/>
      <c r="D2" s="20"/>
      <c r="E2" s="20"/>
      <c r="F2" s="20"/>
      <c r="G2" s="20"/>
      <c r="H2" s="20"/>
      <c r="I2" s="20"/>
      <c r="J2" s="20"/>
      <c r="K2" s="20"/>
      <c r="L2" s="20"/>
      <c r="M2" s="20"/>
      <c r="N2" s="20"/>
      <c r="O2" s="20"/>
      <c r="P2" s="20"/>
    </row>
    <row r="3" spans="1:16" ht="31" customHeight="1" x14ac:dyDescent="0.35">
      <c r="A3" s="2" t="s">
        <v>2</v>
      </c>
      <c r="B3" s="2" t="s">
        <v>3</v>
      </c>
      <c r="C3" s="2" t="s">
        <v>4</v>
      </c>
      <c r="D3" s="2" t="s">
        <v>5</v>
      </c>
      <c r="E3" s="2" t="s">
        <v>6</v>
      </c>
      <c r="F3" s="2" t="s">
        <v>7</v>
      </c>
      <c r="G3" s="2" t="s">
        <v>8</v>
      </c>
      <c r="H3" s="2" t="s">
        <v>9</v>
      </c>
      <c r="I3" s="2" t="s">
        <v>10</v>
      </c>
      <c r="J3" s="2" t="s">
        <v>11</v>
      </c>
      <c r="K3" s="2" t="s">
        <v>12</v>
      </c>
      <c r="L3" s="2" t="s">
        <v>13</v>
      </c>
      <c r="M3" s="2" t="s">
        <v>14</v>
      </c>
      <c r="N3" s="2" t="s">
        <v>15</v>
      </c>
      <c r="O3" s="2" t="s">
        <v>16</v>
      </c>
      <c r="P3" s="2" t="s">
        <v>17</v>
      </c>
    </row>
    <row r="4" spans="1:16" ht="15.5" x14ac:dyDescent="0.35">
      <c r="A4" s="3"/>
      <c r="B4" s="4" t="s">
        <v>18</v>
      </c>
      <c r="C4" s="5"/>
      <c r="D4" s="3"/>
      <c r="E4" s="5"/>
      <c r="F4" s="5"/>
      <c r="G4" s="5"/>
      <c r="H4" s="5"/>
      <c r="I4" s="5"/>
      <c r="J4" s="5"/>
      <c r="K4" s="5"/>
      <c r="L4" s="5"/>
      <c r="M4" s="5"/>
      <c r="N4" s="5"/>
      <c r="O4" s="5"/>
      <c r="P4" s="5"/>
    </row>
    <row r="5" spans="1:16" ht="78" customHeight="1" x14ac:dyDescent="0.35">
      <c r="A5" s="6">
        <v>1</v>
      </c>
      <c r="B5" s="7" t="s">
        <v>19</v>
      </c>
      <c r="C5" s="7"/>
      <c r="D5" s="6" t="s">
        <v>20</v>
      </c>
      <c r="E5" s="8">
        <f>DuLieuBanVe!C4</f>
        <v>2352</v>
      </c>
      <c r="F5" s="8">
        <f>DuLieuBanVe!D4</f>
        <v>2380</v>
      </c>
      <c r="G5" s="8">
        <f>DuLieuBanVe!E4</f>
        <v>3136</v>
      </c>
      <c r="H5" s="8">
        <f>DuLieuBanVe!F4</f>
        <v>2252</v>
      </c>
      <c r="I5" s="8">
        <f>DuLieuBanVe!G4</f>
        <v>784</v>
      </c>
      <c r="J5" s="8">
        <f>DuLieuBanVe!H4</f>
        <v>1568</v>
      </c>
      <c r="K5" s="8">
        <f>DuLieuBanVe!I4</f>
        <v>2884</v>
      </c>
      <c r="L5" s="8">
        <f>DuLieuBanVe!J4</f>
        <v>2884</v>
      </c>
      <c r="M5" s="8">
        <f t="shared" ref="M5:M11" si="0">SUM(E5:L5)</f>
        <v>18240</v>
      </c>
      <c r="N5" s="8">
        <f t="shared" ref="N5:N12" si="1">M5</f>
        <v>18240</v>
      </c>
      <c r="O5" s="7" t="s">
        <v>21</v>
      </c>
      <c r="P5" s="7" t="s">
        <v>22</v>
      </c>
    </row>
    <row r="6" spans="1:16" ht="30" customHeight="1" x14ac:dyDescent="0.35">
      <c r="A6" s="6">
        <v>2</v>
      </c>
      <c r="B6" s="7" t="s">
        <v>23</v>
      </c>
      <c r="C6" s="6" t="s">
        <v>24</v>
      </c>
      <c r="D6" s="6" t="s">
        <v>25</v>
      </c>
      <c r="E6" s="8">
        <f>DuLieuBanVe!C7</f>
        <v>3</v>
      </c>
      <c r="F6" s="8">
        <f>DuLieuBanVe!D7</f>
        <v>3</v>
      </c>
      <c r="G6" s="8">
        <f>DuLieuBanVe!E7</f>
        <v>4</v>
      </c>
      <c r="H6" s="8">
        <f>DuLieuBanVe!F7</f>
        <v>3</v>
      </c>
      <c r="I6" s="8">
        <f>DuLieuBanVe!G7</f>
        <v>1</v>
      </c>
      <c r="J6" s="8">
        <f>DuLieuBanVe!H7</f>
        <v>2</v>
      </c>
      <c r="K6" s="8">
        <f>DuLieuBanVe!I7</f>
        <v>4</v>
      </c>
      <c r="L6" s="8">
        <f>DuLieuBanVe!J7</f>
        <v>4</v>
      </c>
      <c r="M6" s="8">
        <f t="shared" si="0"/>
        <v>24</v>
      </c>
      <c r="N6" s="8">
        <f t="shared" si="1"/>
        <v>24</v>
      </c>
      <c r="O6" s="7" t="s">
        <v>21</v>
      </c>
      <c r="P6" s="7" t="s">
        <v>26</v>
      </c>
    </row>
    <row r="7" spans="1:16" ht="78" customHeight="1" x14ac:dyDescent="0.35">
      <c r="A7" s="6">
        <v>3</v>
      </c>
      <c r="B7" s="7" t="s">
        <v>27</v>
      </c>
      <c r="C7" s="7"/>
      <c r="D7" s="6" t="s">
        <v>28</v>
      </c>
      <c r="E7" s="8">
        <f>DuLieuBanVe!C8</f>
        <v>2408</v>
      </c>
      <c r="F7" s="8">
        <f>DuLieuBanVe!D8</f>
        <v>2422</v>
      </c>
      <c r="G7" s="8">
        <f>DuLieuBanVe!E8</f>
        <v>3224</v>
      </c>
      <c r="H7" s="8">
        <f>DuLieuBanVe!F8</f>
        <v>2280</v>
      </c>
      <c r="I7" s="8">
        <f>DuLieuBanVe!G8</f>
        <v>798</v>
      </c>
      <c r="J7" s="8">
        <f>DuLieuBanVe!H8</f>
        <v>1596</v>
      </c>
      <c r="K7" s="8">
        <f>DuLieuBanVe!I8</f>
        <v>2968</v>
      </c>
      <c r="L7" s="8">
        <f>DuLieuBanVe!J8</f>
        <v>2730</v>
      </c>
      <c r="M7" s="8">
        <f t="shared" si="0"/>
        <v>18426</v>
      </c>
      <c r="N7" s="8">
        <f t="shared" si="1"/>
        <v>18426</v>
      </c>
      <c r="O7" s="7" t="s">
        <v>21</v>
      </c>
      <c r="P7" s="7"/>
    </row>
    <row r="8" spans="1:16" ht="78" customHeight="1" x14ac:dyDescent="0.35">
      <c r="A8" s="6">
        <v>4</v>
      </c>
      <c r="B8" s="7" t="s">
        <v>29</v>
      </c>
      <c r="C8" s="7"/>
      <c r="D8" s="6" t="s">
        <v>28</v>
      </c>
      <c r="E8" s="8">
        <f>DuLieuBanVe!C10</f>
        <v>338</v>
      </c>
      <c r="F8" s="8">
        <f>DuLieuBanVe!D10</f>
        <v>350</v>
      </c>
      <c r="G8" s="8">
        <f>DuLieuBanVe!E10</f>
        <v>472</v>
      </c>
      <c r="H8" s="8">
        <f>DuLieuBanVe!F10</f>
        <v>261</v>
      </c>
      <c r="I8" s="8">
        <f>DuLieuBanVe!G10</f>
        <v>225</v>
      </c>
      <c r="J8" s="8">
        <f>DuLieuBanVe!H10</f>
        <v>225</v>
      </c>
      <c r="K8" s="8">
        <f>DuLieuBanVe!I10</f>
        <v>266</v>
      </c>
      <c r="L8" s="8">
        <f>DuLieuBanVe!J10</f>
        <v>366</v>
      </c>
      <c r="M8" s="8">
        <f t="shared" si="0"/>
        <v>2503</v>
      </c>
      <c r="N8" s="8">
        <f t="shared" si="1"/>
        <v>2503</v>
      </c>
      <c r="O8" s="7" t="s">
        <v>21</v>
      </c>
      <c r="P8" s="7" t="s">
        <v>30</v>
      </c>
    </row>
    <row r="9" spans="1:16" ht="78" customHeight="1" x14ac:dyDescent="0.35">
      <c r="A9" s="6">
        <v>5</v>
      </c>
      <c r="B9" s="7" t="s">
        <v>31</v>
      </c>
      <c r="C9" s="7"/>
      <c r="D9" s="6" t="s">
        <v>28</v>
      </c>
      <c r="E9" s="8">
        <f>DuLieuBanVe!C11</f>
        <v>233</v>
      </c>
      <c r="F9" s="8">
        <f>DuLieuBanVe!D11</f>
        <v>345</v>
      </c>
      <c r="G9" s="8">
        <f>DuLieuBanVe!E11</f>
        <v>162</v>
      </c>
      <c r="H9" s="8">
        <f>DuLieuBanVe!F11</f>
        <v>729</v>
      </c>
      <c r="I9" s="8">
        <f>DuLieuBanVe!G11</f>
        <v>225</v>
      </c>
      <c r="J9" s="8">
        <f>DuLieuBanVe!H11</f>
        <v>582</v>
      </c>
      <c r="K9" s="8">
        <f>DuLieuBanVe!I11</f>
        <v>298</v>
      </c>
      <c r="L9" s="8">
        <f>DuLieuBanVe!J11</f>
        <v>237</v>
      </c>
      <c r="M9" s="8">
        <f t="shared" si="0"/>
        <v>2811</v>
      </c>
      <c r="N9" s="8">
        <f t="shared" si="1"/>
        <v>2811</v>
      </c>
      <c r="O9" s="7" t="s">
        <v>21</v>
      </c>
      <c r="P9" s="7"/>
    </row>
    <row r="10" spans="1:16" ht="78" customHeight="1" x14ac:dyDescent="0.35">
      <c r="A10" s="6">
        <v>6</v>
      </c>
      <c r="B10" s="7" t="s">
        <v>32</v>
      </c>
      <c r="C10" s="7"/>
      <c r="D10" s="6" t="s">
        <v>28</v>
      </c>
      <c r="E10" s="8">
        <f>DuLieuBanVe!C12</f>
        <v>0</v>
      </c>
      <c r="F10" s="8">
        <f>DuLieuBanVe!D12</f>
        <v>0</v>
      </c>
      <c r="G10" s="8">
        <f>DuLieuBanVe!E12</f>
        <v>0</v>
      </c>
      <c r="H10" s="8">
        <f>DuLieuBanVe!F12</f>
        <v>261</v>
      </c>
      <c r="I10" s="8">
        <f>DuLieuBanVe!G12</f>
        <v>0</v>
      </c>
      <c r="J10" s="8">
        <f>DuLieuBanVe!H12</f>
        <v>0</v>
      </c>
      <c r="K10" s="8">
        <f>DuLieuBanVe!I12</f>
        <v>0</v>
      </c>
      <c r="L10" s="8">
        <f>DuLieuBanVe!J12</f>
        <v>0</v>
      </c>
      <c r="M10" s="8">
        <f t="shared" si="0"/>
        <v>261</v>
      </c>
      <c r="N10" s="8">
        <f t="shared" si="1"/>
        <v>261</v>
      </c>
      <c r="O10" s="7" t="s">
        <v>21</v>
      </c>
      <c r="P10" s="7" t="s">
        <v>33</v>
      </c>
    </row>
    <row r="11" spans="1:16" ht="30" customHeight="1" x14ac:dyDescent="0.35">
      <c r="A11" s="6">
        <v>7</v>
      </c>
      <c r="B11" s="7" t="s">
        <v>34</v>
      </c>
      <c r="C11" s="6" t="s">
        <v>24</v>
      </c>
      <c r="D11" s="6" t="s">
        <v>28</v>
      </c>
      <c r="E11" s="8">
        <f>DuLieuBanVe!C14</f>
        <v>2979</v>
      </c>
      <c r="F11" s="8">
        <f>DuLieuBanVe!D14</f>
        <v>3117</v>
      </c>
      <c r="G11" s="8">
        <f>DuLieuBanVe!E14</f>
        <v>3858</v>
      </c>
      <c r="H11" s="8">
        <f>DuLieuBanVe!F14</f>
        <v>3531</v>
      </c>
      <c r="I11" s="8">
        <f>DuLieuBanVe!G14</f>
        <v>1248</v>
      </c>
      <c r="J11" s="8">
        <f>DuLieuBanVe!H14</f>
        <v>2403</v>
      </c>
      <c r="K11" s="8">
        <f>DuLieuBanVe!I14</f>
        <v>3532</v>
      </c>
      <c r="L11" s="8">
        <f>DuLieuBanVe!J14</f>
        <v>3333</v>
      </c>
      <c r="M11" s="8">
        <f t="shared" si="0"/>
        <v>24001</v>
      </c>
      <c r="N11" s="8">
        <f t="shared" si="1"/>
        <v>24001</v>
      </c>
      <c r="O11" s="7" t="s">
        <v>21</v>
      </c>
      <c r="P11" s="7"/>
    </row>
    <row r="12" spans="1:16" ht="30" customHeight="1" x14ac:dyDescent="0.35">
      <c r="A12" s="6">
        <v>8</v>
      </c>
      <c r="B12" s="7" t="s">
        <v>35</v>
      </c>
      <c r="C12" s="6" t="s">
        <v>24</v>
      </c>
      <c r="D12" s="6" t="s">
        <v>28</v>
      </c>
      <c r="E12" s="8"/>
      <c r="F12" s="8"/>
      <c r="G12" s="8"/>
      <c r="H12" s="8"/>
      <c r="I12" s="8"/>
      <c r="J12" s="8"/>
      <c r="K12" s="8"/>
      <c r="L12" s="8"/>
      <c r="M12" s="8">
        <f>DuLieuBanVe!K20</f>
        <v>1414</v>
      </c>
      <c r="N12" s="8">
        <f t="shared" si="1"/>
        <v>1414</v>
      </c>
      <c r="O12" s="7" t="s">
        <v>21</v>
      </c>
      <c r="P12" s="7" t="s">
        <v>36</v>
      </c>
    </row>
    <row r="13" spans="1:16" ht="78" customHeight="1" x14ac:dyDescent="0.35">
      <c r="A13" s="6">
        <v>9</v>
      </c>
      <c r="B13" s="7" t="s">
        <v>37</v>
      </c>
      <c r="C13" s="7"/>
      <c r="D13" s="6" t="s">
        <v>25</v>
      </c>
      <c r="E13" s="8">
        <f>ROUNDUP(DuLieuBanVe!C14*GiaDinh!$C$13,0)</f>
        <v>5958</v>
      </c>
      <c r="F13" s="8">
        <f>ROUNDUP(DuLieuBanVe!D14*GiaDinh!$C$13,0)</f>
        <v>6234</v>
      </c>
      <c r="G13" s="8">
        <f>ROUNDUP(DuLieuBanVe!E14*GiaDinh!$C$13,0)</f>
        <v>7716</v>
      </c>
      <c r="H13" s="8">
        <f>ROUNDUP(DuLieuBanVe!F14*GiaDinh!$C$13,0)</f>
        <v>7062</v>
      </c>
      <c r="I13" s="8">
        <f>ROUNDUP(DuLieuBanVe!G14*GiaDinh!$C$13,0)</f>
        <v>2496</v>
      </c>
      <c r="J13" s="8">
        <f>ROUNDUP(DuLieuBanVe!H14*GiaDinh!$C$13,0)</f>
        <v>4806</v>
      </c>
      <c r="K13" s="8">
        <f>ROUNDUP(DuLieuBanVe!I14*GiaDinh!$C$13,0)</f>
        <v>7064</v>
      </c>
      <c r="L13" s="8">
        <f>ROUNDUP(DuLieuBanVe!J14*GiaDinh!$C$13,0)</f>
        <v>6666</v>
      </c>
      <c r="M13" s="8">
        <f>SUM(E13:L13)</f>
        <v>48002</v>
      </c>
      <c r="N13" s="8">
        <f>ROUNDUP(M13*(1+GiaDinh!$C$14/100),0)</f>
        <v>49443</v>
      </c>
      <c r="O13" s="7" t="s">
        <v>38</v>
      </c>
      <c r="P13" s="7" t="s">
        <v>39</v>
      </c>
    </row>
    <row r="14" spans="1:16" ht="15.5" x14ac:dyDescent="0.35">
      <c r="A14" s="3"/>
      <c r="B14" s="4" t="s">
        <v>40</v>
      </c>
      <c r="C14" s="5"/>
      <c r="D14" s="3"/>
      <c r="E14" s="5"/>
      <c r="F14" s="5"/>
      <c r="G14" s="5"/>
      <c r="H14" s="5"/>
      <c r="I14" s="5"/>
      <c r="J14" s="5"/>
      <c r="K14" s="5"/>
      <c r="L14" s="5"/>
      <c r="M14" s="5"/>
      <c r="N14" s="5"/>
      <c r="O14" s="5"/>
      <c r="P14" s="5"/>
    </row>
    <row r="15" spans="1:16" ht="78" customHeight="1" x14ac:dyDescent="0.35">
      <c r="A15" s="6">
        <v>10</v>
      </c>
      <c r="B15" s="7" t="s">
        <v>41</v>
      </c>
      <c r="C15" s="7"/>
      <c r="D15" s="6" t="s">
        <v>42</v>
      </c>
      <c r="E15" s="8">
        <f>DuLieuBanVe!C15</f>
        <v>118</v>
      </c>
      <c r="F15" s="8">
        <f>DuLieuBanVe!D15</f>
        <v>90</v>
      </c>
      <c r="G15" s="8">
        <f>DuLieuBanVe!E15</f>
        <v>186</v>
      </c>
      <c r="H15" s="8">
        <f>DuLieuBanVe!F15</f>
        <v>77</v>
      </c>
      <c r="I15" s="8">
        <f>DuLieuBanVe!G15</f>
        <v>32</v>
      </c>
      <c r="J15" s="8">
        <f>DuLieuBanVe!H15</f>
        <v>65</v>
      </c>
      <c r="K15" s="8">
        <f>DuLieuBanVe!I15</f>
        <v>176</v>
      </c>
      <c r="L15" s="8">
        <f>DuLieuBanVe!J15</f>
        <v>118</v>
      </c>
      <c r="M15" s="8">
        <f t="shared" ref="M15:M20" si="2">SUM(E15:L15)</f>
        <v>862</v>
      </c>
      <c r="N15" s="8">
        <f>M15</f>
        <v>862</v>
      </c>
      <c r="O15" s="7" t="s">
        <v>21</v>
      </c>
      <c r="P15" s="7"/>
    </row>
    <row r="16" spans="1:16" ht="78" customHeight="1" x14ac:dyDescent="0.35">
      <c r="A16" s="6">
        <v>11</v>
      </c>
      <c r="B16" s="7" t="s">
        <v>43</v>
      </c>
      <c r="C16" s="7"/>
      <c r="D16" s="6" t="s">
        <v>44</v>
      </c>
      <c r="E16" s="8">
        <f>DuLieuBanVe!C16</f>
        <v>10103.040000000001</v>
      </c>
      <c r="F16" s="8">
        <f>DuLieuBanVe!D16</f>
        <v>10210.61</v>
      </c>
      <c r="G16" s="8">
        <f>DuLieuBanVe!E16</f>
        <v>13355.7</v>
      </c>
      <c r="H16" s="8">
        <f>DuLieuBanVe!F16</f>
        <v>11690.48</v>
      </c>
      <c r="I16" s="8">
        <f>DuLieuBanVe!G16</f>
        <v>3617.52</v>
      </c>
      <c r="J16" s="8">
        <f>DuLieuBanVe!H16</f>
        <v>7660.56</v>
      </c>
      <c r="K16" s="8">
        <f>DuLieuBanVe!I16</f>
        <v>12283.55</v>
      </c>
      <c r="L16" s="8">
        <f>DuLieuBanVe!J16</f>
        <v>11401.31</v>
      </c>
      <c r="M16" s="8">
        <f t="shared" si="2"/>
        <v>80322.76999999999</v>
      </c>
      <c r="N16" s="8">
        <f>M16</f>
        <v>80322.76999999999</v>
      </c>
      <c r="O16" s="7" t="s">
        <v>21</v>
      </c>
      <c r="P16" s="7" t="s">
        <v>45</v>
      </c>
    </row>
    <row r="17" spans="1:16" ht="78" customHeight="1" x14ac:dyDescent="0.35">
      <c r="A17" s="6">
        <v>12</v>
      </c>
      <c r="B17" s="7" t="s">
        <v>46</v>
      </c>
      <c r="C17" s="7"/>
      <c r="D17" s="6" t="s">
        <v>47</v>
      </c>
      <c r="E17" s="8">
        <f>ROUNDUP(DuLieuBanVe!C16/GiaDinh!$C$4+DuLieuBanVe!C15*GiaDinh!$C$19,0)</f>
        <v>1743</v>
      </c>
      <c r="F17" s="8">
        <f>ROUNDUP(DuLieuBanVe!D16/GiaDinh!$C$4+DuLieuBanVe!D15*GiaDinh!$C$19,0)</f>
        <v>1747</v>
      </c>
      <c r="G17" s="8">
        <f>ROUNDUP(DuLieuBanVe!E16/GiaDinh!$C$4+DuLieuBanVe!E15*GiaDinh!$C$19,0)</f>
        <v>2319</v>
      </c>
      <c r="H17" s="8">
        <f>ROUNDUP(DuLieuBanVe!F16/GiaDinh!$C$4+DuLieuBanVe!F15*GiaDinh!$C$19,0)</f>
        <v>1987</v>
      </c>
      <c r="I17" s="8">
        <f>ROUNDUP(DuLieuBanVe!G16/GiaDinh!$C$4+DuLieuBanVe!G15*GiaDinh!$C$19,0)</f>
        <v>619</v>
      </c>
      <c r="J17" s="8">
        <f>ROUNDUP(DuLieuBanVe!H16/GiaDinh!$C$4+DuLieuBanVe!H15*GiaDinh!$C$19,0)</f>
        <v>1310</v>
      </c>
      <c r="K17" s="8">
        <f>ROUNDUP(DuLieuBanVe!I16/GiaDinh!$C$4+DuLieuBanVe!I15*GiaDinh!$C$19,0)</f>
        <v>2136</v>
      </c>
      <c r="L17" s="8">
        <f>ROUNDUP(DuLieuBanVe!J16/GiaDinh!$C$4+DuLieuBanVe!J15*GiaDinh!$C$19,0)</f>
        <v>1960</v>
      </c>
      <c r="M17" s="8">
        <f t="shared" si="2"/>
        <v>13821</v>
      </c>
      <c r="N17" s="8">
        <f>M17</f>
        <v>13821</v>
      </c>
      <c r="O17" s="7" t="s">
        <v>38</v>
      </c>
      <c r="P17" s="7" t="s">
        <v>48</v>
      </c>
    </row>
    <row r="18" spans="1:16" ht="78" customHeight="1" x14ac:dyDescent="0.35">
      <c r="A18" s="6">
        <v>13</v>
      </c>
      <c r="B18" s="7" t="s">
        <v>49</v>
      </c>
      <c r="C18" s="7"/>
      <c r="D18" s="6" t="s">
        <v>25</v>
      </c>
      <c r="E18" s="8">
        <f t="shared" ref="E18:L18" si="3">E17-E15</f>
        <v>1625</v>
      </c>
      <c r="F18" s="8">
        <f t="shared" si="3"/>
        <v>1657</v>
      </c>
      <c r="G18" s="8">
        <f t="shared" si="3"/>
        <v>2133</v>
      </c>
      <c r="H18" s="8">
        <f t="shared" si="3"/>
        <v>1910</v>
      </c>
      <c r="I18" s="8">
        <f t="shared" si="3"/>
        <v>587</v>
      </c>
      <c r="J18" s="8">
        <f t="shared" si="3"/>
        <v>1245</v>
      </c>
      <c r="K18" s="8">
        <f t="shared" si="3"/>
        <v>1960</v>
      </c>
      <c r="L18" s="8">
        <f t="shared" si="3"/>
        <v>1842</v>
      </c>
      <c r="M18" s="8">
        <f t="shared" si="2"/>
        <v>12959</v>
      </c>
      <c r="N18" s="8">
        <f>ROUNDUP(M18*(1+GiaDinh!$C$14/100),0)</f>
        <v>13348</v>
      </c>
      <c r="O18" s="7" t="s">
        <v>38</v>
      </c>
      <c r="P18" s="7" t="s">
        <v>50</v>
      </c>
    </row>
    <row r="19" spans="1:16" ht="78" customHeight="1" x14ac:dyDescent="0.35">
      <c r="A19" s="6">
        <v>14</v>
      </c>
      <c r="B19" s="7" t="s">
        <v>51</v>
      </c>
      <c r="C19" s="7"/>
      <c r="D19" s="6" t="s">
        <v>52</v>
      </c>
      <c r="E19" s="8">
        <f>DuLieuBanVe!C16*GiaDinh!$C$6</f>
        <v>23843.1744</v>
      </c>
      <c r="F19" s="8">
        <f>DuLieuBanVe!D16*GiaDinh!$C$6</f>
        <v>24097.0396</v>
      </c>
      <c r="G19" s="8">
        <f>DuLieuBanVe!E16*GiaDinh!$C$6</f>
        <v>31519.452000000001</v>
      </c>
      <c r="H19" s="8">
        <f>DuLieuBanVe!F16*GiaDinh!$C$6</f>
        <v>27589.532799999997</v>
      </c>
      <c r="I19" s="8">
        <f>DuLieuBanVe!G16*GiaDinh!$C$6</f>
        <v>8537.3472000000002</v>
      </c>
      <c r="J19" s="8">
        <f>DuLieuBanVe!H16*GiaDinh!$C$6</f>
        <v>18078.921600000001</v>
      </c>
      <c r="K19" s="8">
        <f>DuLieuBanVe!I16*GiaDinh!$C$6</f>
        <v>28989.177999999996</v>
      </c>
      <c r="L19" s="8">
        <f>DuLieuBanVe!J16*GiaDinh!$C$6</f>
        <v>26907.091599999996</v>
      </c>
      <c r="M19" s="8">
        <f t="shared" si="2"/>
        <v>189561.73719999997</v>
      </c>
      <c r="N19" s="8">
        <f>M19</f>
        <v>189561.73719999997</v>
      </c>
      <c r="O19" s="7" t="s">
        <v>38</v>
      </c>
      <c r="P19" s="7" t="s">
        <v>53</v>
      </c>
    </row>
    <row r="20" spans="1:16" ht="78" customHeight="1" x14ac:dyDescent="0.35">
      <c r="A20" s="6">
        <v>15</v>
      </c>
      <c r="B20" s="7" t="s">
        <v>54</v>
      </c>
      <c r="C20" s="7"/>
      <c r="D20" s="6" t="s">
        <v>25</v>
      </c>
      <c r="E20" s="8">
        <f>ROUNDUP(DuLieuBanVe!C16*GiaDinh!$C$20,0)</f>
        <v>5274</v>
      </c>
      <c r="F20" s="8">
        <f>ROUNDUP(DuLieuBanVe!D16*GiaDinh!$C$20,0)</f>
        <v>5330</v>
      </c>
      <c r="G20" s="8">
        <f>ROUNDUP(DuLieuBanVe!E16*GiaDinh!$C$20,0)</f>
        <v>6972</v>
      </c>
      <c r="H20" s="8">
        <f>ROUNDUP(DuLieuBanVe!F16*GiaDinh!$C$20,0)</f>
        <v>6103</v>
      </c>
      <c r="I20" s="8">
        <f>ROUNDUP(DuLieuBanVe!G16*GiaDinh!$C$20,0)</f>
        <v>1889</v>
      </c>
      <c r="J20" s="8">
        <f>ROUNDUP(DuLieuBanVe!H16*GiaDinh!$C$20,0)</f>
        <v>3999</v>
      </c>
      <c r="K20" s="8">
        <f>ROUNDUP(DuLieuBanVe!I16*GiaDinh!$C$20,0)</f>
        <v>6413</v>
      </c>
      <c r="L20" s="8">
        <f>ROUNDUP(DuLieuBanVe!J16*GiaDinh!$C$20,0)</f>
        <v>5952</v>
      </c>
      <c r="M20" s="8">
        <f t="shared" si="2"/>
        <v>41932</v>
      </c>
      <c r="N20" s="8">
        <f>ROUNDUP(M20*(1+GiaDinh!$C$14/100),0)</f>
        <v>43190</v>
      </c>
      <c r="O20" s="7" t="s">
        <v>38</v>
      </c>
      <c r="P20" s="7" t="s">
        <v>55</v>
      </c>
    </row>
    <row r="21" spans="1:16" ht="31" x14ac:dyDescent="0.35">
      <c r="A21" s="3"/>
      <c r="B21" s="4" t="s">
        <v>56</v>
      </c>
      <c r="C21" s="5"/>
      <c r="D21" s="3"/>
      <c r="E21" s="5"/>
      <c r="F21" s="5"/>
      <c r="G21" s="5"/>
      <c r="H21" s="5"/>
      <c r="I21" s="5"/>
      <c r="J21" s="5"/>
      <c r="K21" s="5"/>
      <c r="L21" s="5"/>
      <c r="M21" s="5"/>
      <c r="N21" s="5"/>
      <c r="O21" s="5"/>
      <c r="P21" s="5"/>
    </row>
    <row r="22" spans="1:16" ht="78" customHeight="1" x14ac:dyDescent="0.35">
      <c r="A22" s="6">
        <v>16</v>
      </c>
      <c r="B22" s="7" t="s">
        <v>57</v>
      </c>
      <c r="C22" s="7"/>
      <c r="D22" s="6" t="s">
        <v>42</v>
      </c>
      <c r="E22" s="8">
        <f>DuLieuBanVe!C17</f>
        <v>21</v>
      </c>
      <c r="F22" s="8">
        <f>DuLieuBanVe!D17</f>
        <v>36</v>
      </c>
      <c r="G22" s="8">
        <f>DuLieuBanVe!E17</f>
        <v>19</v>
      </c>
      <c r="H22" s="8">
        <f>DuLieuBanVe!F17</f>
        <v>36</v>
      </c>
      <c r="I22" s="8">
        <f>DuLieuBanVe!G17</f>
        <v>20</v>
      </c>
      <c r="J22" s="8">
        <f>DuLieuBanVe!H17</f>
        <v>20</v>
      </c>
      <c r="K22" s="8">
        <f>DuLieuBanVe!I17</f>
        <v>14</v>
      </c>
      <c r="L22" s="8">
        <f>DuLieuBanVe!J17</f>
        <v>18</v>
      </c>
      <c r="M22" s="8">
        <f t="shared" ref="M22:M27" si="4">SUM(E22:L22)</f>
        <v>184</v>
      </c>
      <c r="N22" s="8">
        <f>M22</f>
        <v>184</v>
      </c>
      <c r="O22" s="7" t="s">
        <v>21</v>
      </c>
      <c r="P22" s="7"/>
    </row>
    <row r="23" spans="1:16" ht="78" customHeight="1" x14ac:dyDescent="0.35">
      <c r="A23" s="6">
        <v>17</v>
      </c>
      <c r="B23" s="7" t="s">
        <v>58</v>
      </c>
      <c r="C23" s="7"/>
      <c r="D23" s="6" t="s">
        <v>44</v>
      </c>
      <c r="E23" s="8">
        <f>DuLieuBanVe!C18</f>
        <v>2278.2800000000002</v>
      </c>
      <c r="F23" s="8">
        <f>DuLieuBanVe!D18</f>
        <v>3979.71</v>
      </c>
      <c r="G23" s="8">
        <f>DuLieuBanVe!E18</f>
        <v>3558.71</v>
      </c>
      <c r="H23" s="8">
        <f>DuLieuBanVe!F18</f>
        <v>2962.08</v>
      </c>
      <c r="I23" s="8">
        <f>DuLieuBanVe!G18</f>
        <v>784.1</v>
      </c>
      <c r="J23" s="8">
        <f>DuLieuBanVe!H18</f>
        <v>1486.4</v>
      </c>
      <c r="K23" s="8">
        <f>DuLieuBanVe!I18</f>
        <v>2851.12</v>
      </c>
      <c r="L23" s="8">
        <f>DuLieuBanVe!J18</f>
        <v>2527.33</v>
      </c>
      <c r="M23" s="8">
        <f t="shared" si="4"/>
        <v>20427.730000000003</v>
      </c>
      <c r="N23" s="8">
        <f>M23</f>
        <v>20427.730000000003</v>
      </c>
      <c r="O23" s="7" t="s">
        <v>21</v>
      </c>
      <c r="P23" s="7" t="s">
        <v>59</v>
      </c>
    </row>
    <row r="24" spans="1:16" ht="78" customHeight="1" x14ac:dyDescent="0.35">
      <c r="A24" s="6">
        <v>18</v>
      </c>
      <c r="B24" s="7" t="s">
        <v>60</v>
      </c>
      <c r="C24" s="7"/>
      <c r="D24" s="6" t="s">
        <v>47</v>
      </c>
      <c r="E24" s="8">
        <f>ROUNDUP(DuLieuBanVe!C18/GiaDinh!$C$5+DuLieuBanVe!C17*GiaDinh!$C$19,0)</f>
        <v>391</v>
      </c>
      <c r="F24" s="8">
        <f>ROUNDUP(DuLieuBanVe!D18/GiaDinh!$C$5+DuLieuBanVe!D17*GiaDinh!$C$19,0)</f>
        <v>682</v>
      </c>
      <c r="G24" s="8">
        <f>ROUNDUP(DuLieuBanVe!E18/GiaDinh!$C$5+DuLieuBanVe!E17*GiaDinh!$C$19,0)</f>
        <v>603</v>
      </c>
      <c r="H24" s="8">
        <f>ROUNDUP(DuLieuBanVe!F18/GiaDinh!$C$5+DuLieuBanVe!F17*GiaDinh!$C$19,0)</f>
        <v>512</v>
      </c>
      <c r="I24" s="8">
        <f>ROUNDUP(DuLieuBanVe!G18/GiaDinh!$C$5+DuLieuBanVe!G17*GiaDinh!$C$19,0)</f>
        <v>141</v>
      </c>
      <c r="J24" s="8">
        <f>ROUNDUP(DuLieuBanVe!H18/GiaDinh!$C$5+DuLieuBanVe!H17*GiaDinh!$C$19,0)</f>
        <v>258</v>
      </c>
      <c r="K24" s="8">
        <f>ROUNDUP(DuLieuBanVe!I18/GiaDinh!$C$5+DuLieuBanVe!I17*GiaDinh!$C$19,0)</f>
        <v>483</v>
      </c>
      <c r="L24" s="8">
        <f>ROUNDUP(DuLieuBanVe!J18/GiaDinh!$C$5+DuLieuBanVe!J17*GiaDinh!$C$19,0)</f>
        <v>431</v>
      </c>
      <c r="M24" s="8">
        <f t="shared" si="4"/>
        <v>3501</v>
      </c>
      <c r="N24" s="8">
        <f>M24</f>
        <v>3501</v>
      </c>
      <c r="O24" s="7" t="s">
        <v>38</v>
      </c>
      <c r="P24" s="7"/>
    </row>
    <row r="25" spans="1:16" ht="78" customHeight="1" x14ac:dyDescent="0.35">
      <c r="A25" s="6">
        <v>19</v>
      </c>
      <c r="B25" s="7" t="s">
        <v>61</v>
      </c>
      <c r="C25" s="7"/>
      <c r="D25" s="6" t="s">
        <v>25</v>
      </c>
      <c r="E25" s="8">
        <f t="shared" ref="E25:L25" si="5">E24-E22</f>
        <v>370</v>
      </c>
      <c r="F25" s="8">
        <f t="shared" si="5"/>
        <v>646</v>
      </c>
      <c r="G25" s="8">
        <f t="shared" si="5"/>
        <v>584</v>
      </c>
      <c r="H25" s="8">
        <f t="shared" si="5"/>
        <v>476</v>
      </c>
      <c r="I25" s="8">
        <f t="shared" si="5"/>
        <v>121</v>
      </c>
      <c r="J25" s="8">
        <f t="shared" si="5"/>
        <v>238</v>
      </c>
      <c r="K25" s="8">
        <f t="shared" si="5"/>
        <v>469</v>
      </c>
      <c r="L25" s="8">
        <f t="shared" si="5"/>
        <v>413</v>
      </c>
      <c r="M25" s="8">
        <f t="shared" si="4"/>
        <v>3317</v>
      </c>
      <c r="N25" s="8">
        <f>ROUNDUP(M25*(1+GiaDinh!$C$14/100),0)</f>
        <v>3417</v>
      </c>
      <c r="O25" s="7" t="s">
        <v>38</v>
      </c>
      <c r="P25" s="7" t="s">
        <v>62</v>
      </c>
    </row>
    <row r="26" spans="1:16" ht="78" customHeight="1" x14ac:dyDescent="0.35">
      <c r="A26" s="6">
        <v>20</v>
      </c>
      <c r="B26" s="7" t="s">
        <v>63</v>
      </c>
      <c r="C26" s="7"/>
      <c r="D26" s="6" t="s">
        <v>52</v>
      </c>
      <c r="E26" s="8">
        <f>DuLieuBanVe!C18*GiaDinh!$C$7</f>
        <v>6857.6228000000001</v>
      </c>
      <c r="F26" s="8">
        <f>DuLieuBanVe!D18*GiaDinh!$C$7</f>
        <v>11978.927099999999</v>
      </c>
      <c r="G26" s="8">
        <f>DuLieuBanVe!E18*GiaDinh!$C$7</f>
        <v>10711.7171</v>
      </c>
      <c r="H26" s="8">
        <f>DuLieuBanVe!F18*GiaDinh!$C$7</f>
        <v>8915.8607999999986</v>
      </c>
      <c r="I26" s="8">
        <f>DuLieuBanVe!G18*GiaDinh!$C$7</f>
        <v>2360.1410000000001</v>
      </c>
      <c r="J26" s="8">
        <f>DuLieuBanVe!H18*GiaDinh!$C$7</f>
        <v>4474.0640000000003</v>
      </c>
      <c r="K26" s="8">
        <f>DuLieuBanVe!I18*GiaDinh!$C$7</f>
        <v>8581.8711999999996</v>
      </c>
      <c r="L26" s="8">
        <f>DuLieuBanVe!J18*GiaDinh!$C$7</f>
        <v>7607.2632999999996</v>
      </c>
      <c r="M26" s="8">
        <f t="shared" si="4"/>
        <v>61487.467300000004</v>
      </c>
      <c r="N26" s="8">
        <f>M26</f>
        <v>61487.467300000004</v>
      </c>
      <c r="O26" s="7" t="s">
        <v>38</v>
      </c>
      <c r="P26" s="7" t="s">
        <v>53</v>
      </c>
    </row>
    <row r="27" spans="1:16" ht="78" customHeight="1" x14ac:dyDescent="0.35">
      <c r="A27" s="6">
        <v>21</v>
      </c>
      <c r="B27" s="7" t="s">
        <v>64</v>
      </c>
      <c r="C27" s="7"/>
      <c r="D27" s="6" t="s">
        <v>25</v>
      </c>
      <c r="E27" s="8">
        <f>ROUNDUP(DuLieuBanVe!C18/GiaDinh!$C$21,0)</f>
        <v>1860</v>
      </c>
      <c r="F27" s="8">
        <f>ROUNDUP(DuLieuBanVe!D18/GiaDinh!$C$21,0)</f>
        <v>3249</v>
      </c>
      <c r="G27" s="8">
        <f>ROUNDUP(DuLieuBanVe!E18/GiaDinh!$C$21,0)</f>
        <v>2906</v>
      </c>
      <c r="H27" s="8">
        <f>ROUNDUP(DuLieuBanVe!F18/GiaDinh!$C$21,0)</f>
        <v>2419</v>
      </c>
      <c r="I27" s="8">
        <f>ROUNDUP(DuLieuBanVe!G18/GiaDinh!$C$21,0)</f>
        <v>641</v>
      </c>
      <c r="J27" s="8">
        <f>ROUNDUP(DuLieuBanVe!H18/GiaDinh!$C$21,0)</f>
        <v>1214</v>
      </c>
      <c r="K27" s="8">
        <f>ROUNDUP(DuLieuBanVe!I18/GiaDinh!$C$21,0)</f>
        <v>2328</v>
      </c>
      <c r="L27" s="8">
        <f>ROUNDUP(DuLieuBanVe!J18/GiaDinh!$C$21,0)</f>
        <v>2064</v>
      </c>
      <c r="M27" s="8">
        <f t="shared" si="4"/>
        <v>16681</v>
      </c>
      <c r="N27" s="8">
        <f>ROUNDUP(M27*(1+GiaDinh!$C$14/100),0)</f>
        <v>17182</v>
      </c>
      <c r="O27" s="7" t="s">
        <v>38</v>
      </c>
      <c r="P27" s="7" t="s">
        <v>65</v>
      </c>
    </row>
    <row r="28" spans="1:16" ht="46.5" x14ac:dyDescent="0.35">
      <c r="A28" s="3"/>
      <c r="B28" s="4" t="s">
        <v>66</v>
      </c>
      <c r="C28" s="5"/>
      <c r="D28" s="3"/>
      <c r="E28" s="5"/>
      <c r="F28" s="5"/>
      <c r="G28" s="5"/>
      <c r="H28" s="5"/>
      <c r="I28" s="5"/>
      <c r="J28" s="5"/>
      <c r="K28" s="5"/>
      <c r="L28" s="5"/>
      <c r="M28" s="5"/>
      <c r="N28" s="5"/>
      <c r="O28" s="5"/>
      <c r="P28" s="5"/>
    </row>
    <row r="29" spans="1:16" ht="78" customHeight="1" x14ac:dyDescent="0.35">
      <c r="A29" s="6">
        <v>22</v>
      </c>
      <c r="B29" s="7" t="s">
        <v>67</v>
      </c>
      <c r="C29" s="7"/>
      <c r="D29" s="6" t="s">
        <v>42</v>
      </c>
      <c r="E29" s="8">
        <f>SUMIF(GiaCuong_UocTinh!$A$4:$A$375,"BÈ 1",GiaCuong_UocTinh!$L$4:$L$375)</f>
        <v>118</v>
      </c>
      <c r="F29" s="8">
        <f>SUMIF(GiaCuong_UocTinh!$A$4:$A$375,"BÈ 2",GiaCuong_UocTinh!$L$4:$L$375)</f>
        <v>69</v>
      </c>
      <c r="G29" s="8">
        <f>SUMIF(GiaCuong_UocTinh!$A$4:$A$375,"BÈ 3",GiaCuong_UocTinh!$L$4:$L$375)</f>
        <v>86</v>
      </c>
      <c r="H29" s="8">
        <f>SUMIF(GiaCuong_UocTinh!$A$4:$A$375,"BÈ 4",GiaCuong_UocTinh!$L$4:$L$375)</f>
        <v>74</v>
      </c>
      <c r="I29" s="8">
        <f>SUMIF(GiaCuong_UocTinh!$A$4:$A$375,"BÈ 5",GiaCuong_UocTinh!$L$4:$L$375)</f>
        <v>38</v>
      </c>
      <c r="J29" s="8">
        <f>SUMIF(GiaCuong_UocTinh!$A$4:$A$375,"BÈ 6",GiaCuong_UocTinh!$L$4:$L$375)</f>
        <v>46</v>
      </c>
      <c r="K29" s="8">
        <f>SUMIF(GiaCuong_UocTinh!$A$4:$A$375,"BÈ 7",GiaCuong_UocTinh!$L$4:$L$375)</f>
        <v>123</v>
      </c>
      <c r="L29" s="8">
        <f>SUMIF(GiaCuong_UocTinh!$A$4:$A$375,"BÈ 8",GiaCuong_UocTinh!$L$4:$L$375)</f>
        <v>114</v>
      </c>
      <c r="M29" s="8">
        <f t="shared" ref="M29:M36" si="6">SUM(E29:L29)</f>
        <v>668</v>
      </c>
      <c r="N29" s="8">
        <f>M29</f>
        <v>668</v>
      </c>
      <c r="O29" s="7" t="s">
        <v>38</v>
      </c>
      <c r="P29" s="7" t="s">
        <v>68</v>
      </c>
    </row>
    <row r="30" spans="1:16" ht="78" customHeight="1" x14ac:dyDescent="0.35">
      <c r="A30" s="6">
        <v>23</v>
      </c>
      <c r="B30" s="7" t="s">
        <v>69</v>
      </c>
      <c r="C30" s="7"/>
      <c r="D30" s="6" t="s">
        <v>44</v>
      </c>
      <c r="E30" s="8">
        <f>SUMIF(GiaCuong_UocTinh!$A$4:$A$375,"BÈ 1",GiaCuong_UocTinh!$M$4:$M$375)</f>
        <v>1770</v>
      </c>
      <c r="F30" s="8">
        <f>SUMIF(GiaCuong_UocTinh!$A$4:$A$375,"BÈ 2",GiaCuong_UocTinh!$M$4:$M$375)</f>
        <v>1035</v>
      </c>
      <c r="G30" s="8">
        <f>SUMIF(GiaCuong_UocTinh!$A$4:$A$375,"BÈ 3",GiaCuong_UocTinh!$M$4:$M$375)</f>
        <v>1290</v>
      </c>
      <c r="H30" s="8">
        <f>SUMIF(GiaCuong_UocTinh!$A$4:$A$375,"BÈ 4",GiaCuong_UocTinh!$M$4:$M$375)</f>
        <v>1110</v>
      </c>
      <c r="I30" s="8">
        <f>SUMIF(GiaCuong_UocTinh!$A$4:$A$375,"BÈ 5",GiaCuong_UocTinh!$M$4:$M$375)</f>
        <v>570</v>
      </c>
      <c r="J30" s="8">
        <f>SUMIF(GiaCuong_UocTinh!$A$4:$A$375,"BÈ 6",GiaCuong_UocTinh!$M$4:$M$375)</f>
        <v>690</v>
      </c>
      <c r="K30" s="8">
        <f>SUMIF(GiaCuong_UocTinh!$A$4:$A$375,"BÈ 7",GiaCuong_UocTinh!$M$4:$M$375)</f>
        <v>1845</v>
      </c>
      <c r="L30" s="8">
        <f>SUMIF(GiaCuong_UocTinh!$A$4:$A$375,"BÈ 8",GiaCuong_UocTinh!$M$4:$M$375)</f>
        <v>1710</v>
      </c>
      <c r="M30" s="8">
        <f t="shared" si="6"/>
        <v>10020</v>
      </c>
      <c r="N30" s="8">
        <f>M30</f>
        <v>10020</v>
      </c>
      <c r="O30" s="7" t="s">
        <v>38</v>
      </c>
      <c r="P30" s="7"/>
    </row>
    <row r="31" spans="1:16" ht="78" customHeight="1" x14ac:dyDescent="0.35">
      <c r="A31" s="6">
        <v>24</v>
      </c>
      <c r="B31" s="7" t="s">
        <v>70</v>
      </c>
      <c r="C31" s="7"/>
      <c r="D31" s="6" t="s">
        <v>47</v>
      </c>
      <c r="E31" s="8">
        <f>SUMIF(GiaCuong_UocTinh!$A$4:$A$375,"BÈ 1",GiaCuong_UocTinh!$N$4:$N$375)</f>
        <v>354</v>
      </c>
      <c r="F31" s="8">
        <f>SUMIF(GiaCuong_UocTinh!$A$4:$A$375,"BÈ 2",GiaCuong_UocTinh!$N$4:$N$375)</f>
        <v>207</v>
      </c>
      <c r="G31" s="8">
        <f>SUMIF(GiaCuong_UocTinh!$A$4:$A$375,"BÈ 3",GiaCuong_UocTinh!$N$4:$N$375)</f>
        <v>258</v>
      </c>
      <c r="H31" s="8">
        <f>SUMIF(GiaCuong_UocTinh!$A$4:$A$375,"BÈ 4",GiaCuong_UocTinh!$N$4:$N$375)</f>
        <v>222</v>
      </c>
      <c r="I31" s="8">
        <f>SUMIF(GiaCuong_UocTinh!$A$4:$A$375,"BÈ 5",GiaCuong_UocTinh!$N$4:$N$375)</f>
        <v>114</v>
      </c>
      <c r="J31" s="8">
        <f>SUMIF(GiaCuong_UocTinh!$A$4:$A$375,"BÈ 6",GiaCuong_UocTinh!$N$4:$N$375)</f>
        <v>138</v>
      </c>
      <c r="K31" s="8">
        <f>SUMIF(GiaCuong_UocTinh!$A$4:$A$375,"BÈ 7",GiaCuong_UocTinh!$N$4:$N$375)</f>
        <v>369</v>
      </c>
      <c r="L31" s="8">
        <f>SUMIF(GiaCuong_UocTinh!$A$4:$A$375,"BÈ 8",GiaCuong_UocTinh!$N$4:$N$375)</f>
        <v>342</v>
      </c>
      <c r="M31" s="8">
        <f t="shared" si="6"/>
        <v>2004</v>
      </c>
      <c r="N31" s="8">
        <f>M31</f>
        <v>2004</v>
      </c>
      <c r="O31" s="7" t="s">
        <v>38</v>
      </c>
      <c r="P31" s="7"/>
    </row>
    <row r="32" spans="1:16" ht="78" customHeight="1" x14ac:dyDescent="0.35">
      <c r="A32" s="6">
        <v>25</v>
      </c>
      <c r="B32" s="7" t="s">
        <v>71</v>
      </c>
      <c r="C32" s="7"/>
      <c r="D32" s="6" t="s">
        <v>25</v>
      </c>
      <c r="E32" s="8">
        <f>SUMIF(GiaCuong_UocTinh!$A$4:$A$375,"BÈ 1",GiaCuong_UocTinh!$O$4:$O$375)</f>
        <v>236</v>
      </c>
      <c r="F32" s="8">
        <f>SUMIF(GiaCuong_UocTinh!$A$4:$A$375,"BÈ 2",GiaCuong_UocTinh!$O$4:$O$375)</f>
        <v>138</v>
      </c>
      <c r="G32" s="8">
        <f>SUMIF(GiaCuong_UocTinh!$A$4:$A$375,"BÈ 3",GiaCuong_UocTinh!$O$4:$O$375)</f>
        <v>172</v>
      </c>
      <c r="H32" s="8">
        <f>SUMIF(GiaCuong_UocTinh!$A$4:$A$375,"BÈ 4",GiaCuong_UocTinh!$O$4:$O$375)</f>
        <v>148</v>
      </c>
      <c r="I32" s="8">
        <f>SUMIF(GiaCuong_UocTinh!$A$4:$A$375,"BÈ 5",GiaCuong_UocTinh!$O$4:$O$375)</f>
        <v>76</v>
      </c>
      <c r="J32" s="8">
        <f>SUMIF(GiaCuong_UocTinh!$A$4:$A$375,"BÈ 6",GiaCuong_UocTinh!$O$4:$O$375)</f>
        <v>92</v>
      </c>
      <c r="K32" s="8">
        <f>SUMIF(GiaCuong_UocTinh!$A$4:$A$375,"BÈ 7",GiaCuong_UocTinh!$O$4:$O$375)</f>
        <v>246</v>
      </c>
      <c r="L32" s="8">
        <f>SUMIF(GiaCuong_UocTinh!$A$4:$A$375,"BÈ 8",GiaCuong_UocTinh!$O$4:$O$375)</f>
        <v>228</v>
      </c>
      <c r="M32" s="8">
        <f t="shared" si="6"/>
        <v>1336</v>
      </c>
      <c r="N32" s="8">
        <f>ROUNDUP(M32*(1+GiaDinh!$C$14/100),0)</f>
        <v>1377</v>
      </c>
      <c r="O32" s="7" t="s">
        <v>38</v>
      </c>
      <c r="P32" s="7"/>
    </row>
    <row r="33" spans="1:16" ht="78" customHeight="1" x14ac:dyDescent="0.35">
      <c r="A33" s="6">
        <v>26</v>
      </c>
      <c r="B33" s="7" t="s">
        <v>72</v>
      </c>
      <c r="C33" s="7"/>
      <c r="D33" s="6" t="s">
        <v>28</v>
      </c>
      <c r="E33" s="8">
        <f>SUMIF(GiaCuong_UocTinh!$A$4:$A$375,"BÈ 1",GiaCuong_UocTinh!$P$4:$P$375)</f>
        <v>1534</v>
      </c>
      <c r="F33" s="8">
        <f>SUMIF(GiaCuong_UocTinh!$A$4:$A$375,"BÈ 2",GiaCuong_UocTinh!$P$4:$P$375)</f>
        <v>897</v>
      </c>
      <c r="G33" s="8">
        <f>SUMIF(GiaCuong_UocTinh!$A$4:$A$375,"BÈ 3",GiaCuong_UocTinh!$P$4:$P$375)</f>
        <v>1118</v>
      </c>
      <c r="H33" s="8">
        <f>SUMIF(GiaCuong_UocTinh!$A$4:$A$375,"BÈ 4",GiaCuong_UocTinh!$P$4:$P$375)</f>
        <v>962</v>
      </c>
      <c r="I33" s="8">
        <f>SUMIF(GiaCuong_UocTinh!$A$4:$A$375,"BÈ 5",GiaCuong_UocTinh!$P$4:$P$375)</f>
        <v>494</v>
      </c>
      <c r="J33" s="8">
        <f>SUMIF(GiaCuong_UocTinh!$A$4:$A$375,"BÈ 6",GiaCuong_UocTinh!$P$4:$P$375)</f>
        <v>598</v>
      </c>
      <c r="K33" s="8">
        <f>SUMIF(GiaCuong_UocTinh!$A$4:$A$375,"BÈ 7",GiaCuong_UocTinh!$P$4:$P$375)</f>
        <v>1599</v>
      </c>
      <c r="L33" s="8">
        <f>SUMIF(GiaCuong_UocTinh!$A$4:$A$375,"BÈ 8",GiaCuong_UocTinh!$P$4:$P$375)</f>
        <v>1482</v>
      </c>
      <c r="M33" s="8">
        <f t="shared" si="6"/>
        <v>8684</v>
      </c>
      <c r="N33" s="8">
        <f>ROUNDUP(M33*(1+GiaDinh!$C$14/100),0)</f>
        <v>8945</v>
      </c>
      <c r="O33" s="7" t="s">
        <v>38</v>
      </c>
      <c r="P33" s="7" t="s">
        <v>73</v>
      </c>
    </row>
    <row r="34" spans="1:16" ht="78" customHeight="1" x14ac:dyDescent="0.35">
      <c r="A34" s="6">
        <v>27</v>
      </c>
      <c r="B34" s="7" t="s">
        <v>74</v>
      </c>
      <c r="C34" s="7"/>
      <c r="D34" s="6" t="s">
        <v>25</v>
      </c>
      <c r="E34" s="8">
        <f>SUMIF(GiaCuong_UocTinh!$A$4:$A$375,"BÈ 1",GiaCuong_UocTinh!$Q$4:$Q$375)</f>
        <v>3068</v>
      </c>
      <c r="F34" s="8">
        <f>SUMIF(GiaCuong_UocTinh!$A$4:$A$375,"BÈ 2",GiaCuong_UocTinh!$Q$4:$Q$375)</f>
        <v>1794</v>
      </c>
      <c r="G34" s="8">
        <f>SUMIF(GiaCuong_UocTinh!$A$4:$A$375,"BÈ 3",GiaCuong_UocTinh!$Q$4:$Q$375)</f>
        <v>2236</v>
      </c>
      <c r="H34" s="8">
        <f>SUMIF(GiaCuong_UocTinh!$A$4:$A$375,"BÈ 4",GiaCuong_UocTinh!$Q$4:$Q$375)</f>
        <v>1924</v>
      </c>
      <c r="I34" s="8">
        <f>SUMIF(GiaCuong_UocTinh!$A$4:$A$375,"BÈ 5",GiaCuong_UocTinh!$Q$4:$Q$375)</f>
        <v>988</v>
      </c>
      <c r="J34" s="8">
        <f>SUMIF(GiaCuong_UocTinh!$A$4:$A$375,"BÈ 6",GiaCuong_UocTinh!$Q$4:$Q$375)</f>
        <v>1196</v>
      </c>
      <c r="K34" s="8">
        <f>SUMIF(GiaCuong_UocTinh!$A$4:$A$375,"BÈ 7",GiaCuong_UocTinh!$Q$4:$Q$375)</f>
        <v>3198</v>
      </c>
      <c r="L34" s="8">
        <f>SUMIF(GiaCuong_UocTinh!$A$4:$A$375,"BÈ 8",GiaCuong_UocTinh!$Q$4:$Q$375)</f>
        <v>2964</v>
      </c>
      <c r="M34" s="8">
        <f t="shared" si="6"/>
        <v>17368</v>
      </c>
      <c r="N34" s="8">
        <f>ROUNDUP(M34*(1+GiaDinh!$C$14/100),0)</f>
        <v>17890</v>
      </c>
      <c r="O34" s="7" t="s">
        <v>38</v>
      </c>
      <c r="P34" s="7" t="s">
        <v>75</v>
      </c>
    </row>
    <row r="35" spans="1:16" ht="78" customHeight="1" x14ac:dyDescent="0.35">
      <c r="A35" s="6">
        <v>28</v>
      </c>
      <c r="B35" s="7" t="s">
        <v>76</v>
      </c>
      <c r="C35" s="7"/>
      <c r="D35" s="6" t="s">
        <v>25</v>
      </c>
      <c r="E35" s="8">
        <f>SUMIF(GiaCuong_UocTinh!$A$4:$A$375,"BÈ 1",GiaCuong_UocTinh!$R$4:$R$375)</f>
        <v>1534</v>
      </c>
      <c r="F35" s="8">
        <f>SUMIF(GiaCuong_UocTinh!$A$4:$A$375,"BÈ 2",GiaCuong_UocTinh!$R$4:$R$375)</f>
        <v>897</v>
      </c>
      <c r="G35" s="8">
        <f>SUMIF(GiaCuong_UocTinh!$A$4:$A$375,"BÈ 3",GiaCuong_UocTinh!$R$4:$R$375)</f>
        <v>1118</v>
      </c>
      <c r="H35" s="8">
        <f>SUMIF(GiaCuong_UocTinh!$A$4:$A$375,"BÈ 4",GiaCuong_UocTinh!$R$4:$R$375)</f>
        <v>962</v>
      </c>
      <c r="I35" s="8">
        <f>SUMIF(GiaCuong_UocTinh!$A$4:$A$375,"BÈ 5",GiaCuong_UocTinh!$R$4:$R$375)</f>
        <v>494</v>
      </c>
      <c r="J35" s="8">
        <f>SUMIF(GiaCuong_UocTinh!$A$4:$A$375,"BÈ 6",GiaCuong_UocTinh!$R$4:$R$375)</f>
        <v>598</v>
      </c>
      <c r="K35" s="8">
        <f>SUMIF(GiaCuong_UocTinh!$A$4:$A$375,"BÈ 7",GiaCuong_UocTinh!$R$4:$R$375)</f>
        <v>1599</v>
      </c>
      <c r="L35" s="8">
        <f>SUMIF(GiaCuong_UocTinh!$A$4:$A$375,"BÈ 8",GiaCuong_UocTinh!$R$4:$R$375)</f>
        <v>1482</v>
      </c>
      <c r="M35" s="8">
        <f t="shared" si="6"/>
        <v>8684</v>
      </c>
      <c r="N35" s="8">
        <f>ROUNDUP(M35*(1+GiaDinh!$C$14/100),0)</f>
        <v>8945</v>
      </c>
      <c r="O35" s="7" t="s">
        <v>38</v>
      </c>
      <c r="P35" s="7" t="s">
        <v>77</v>
      </c>
    </row>
    <row r="36" spans="1:16" ht="78" customHeight="1" x14ac:dyDescent="0.35">
      <c r="A36" s="6">
        <v>29</v>
      </c>
      <c r="B36" s="7" t="s">
        <v>78</v>
      </c>
      <c r="C36" s="7"/>
      <c r="D36" s="6" t="s">
        <v>52</v>
      </c>
      <c r="E36" s="8">
        <f>SUMIF(GiaCuong_UocTinh!$A$4:$A$375,"BÈ 1",GiaCuong_UocTinh!$S$4:$S$375)</f>
        <v>5327.7000000000044</v>
      </c>
      <c r="F36" s="8">
        <f>SUMIF(GiaCuong_UocTinh!$A$4:$A$375,"BÈ 2",GiaCuong_UocTinh!$S$4:$S$375)</f>
        <v>3115.3500000000031</v>
      </c>
      <c r="G36" s="8">
        <f>SUMIF(GiaCuong_UocTinh!$A$4:$A$375,"BÈ 3",GiaCuong_UocTinh!$S$4:$S$375)</f>
        <v>3882.9000000000028</v>
      </c>
      <c r="H36" s="8">
        <f>SUMIF(GiaCuong_UocTinh!$A$4:$A$375,"BÈ 4",GiaCuong_UocTinh!$S$4:$S$375)</f>
        <v>3341.1000000000045</v>
      </c>
      <c r="I36" s="8">
        <f>SUMIF(GiaCuong_UocTinh!$A$4:$A$375,"BÈ 5",GiaCuong_UocTinh!$S$4:$S$375)</f>
        <v>1715.7000000000012</v>
      </c>
      <c r="J36" s="8">
        <f>SUMIF(GiaCuong_UocTinh!$A$4:$A$375,"BÈ 6",GiaCuong_UocTinh!$S$4:$S$375)</f>
        <v>2076.9000000000019</v>
      </c>
      <c r="K36" s="8">
        <f>SUMIF(GiaCuong_UocTinh!$A$4:$A$375,"BÈ 7",GiaCuong_UocTinh!$S$4:$S$375)</f>
        <v>5553.4500000000025</v>
      </c>
      <c r="L36" s="8">
        <f>SUMIF(GiaCuong_UocTinh!$A$4:$A$375,"BÈ 8",GiaCuong_UocTinh!$S$4:$S$375)</f>
        <v>5147.1000000000049</v>
      </c>
      <c r="M36" s="8">
        <f t="shared" si="6"/>
        <v>30160.200000000026</v>
      </c>
      <c r="N36" s="8">
        <f>M36</f>
        <v>30160.200000000026</v>
      </c>
      <c r="O36" s="7" t="s">
        <v>38</v>
      </c>
      <c r="P36" s="7" t="s">
        <v>53</v>
      </c>
    </row>
    <row r="37" spans="1:16" ht="15.5" x14ac:dyDescent="0.35">
      <c r="A37" s="3"/>
      <c r="B37" s="4" t="s">
        <v>79</v>
      </c>
      <c r="C37" s="5"/>
      <c r="D37" s="3"/>
      <c r="E37" s="5"/>
      <c r="F37" s="5"/>
      <c r="G37" s="5"/>
      <c r="H37" s="5"/>
      <c r="I37" s="5"/>
      <c r="J37" s="5"/>
      <c r="K37" s="5"/>
      <c r="L37" s="5"/>
      <c r="M37" s="5"/>
      <c r="N37" s="5"/>
      <c r="O37" s="5"/>
      <c r="P37" s="5"/>
    </row>
    <row r="38" spans="1:16" ht="78" customHeight="1" x14ac:dyDescent="0.35">
      <c r="A38" s="6">
        <v>30</v>
      </c>
      <c r="B38" s="7" t="s">
        <v>80</v>
      </c>
      <c r="C38" s="7"/>
      <c r="D38" s="6" t="s">
        <v>28</v>
      </c>
      <c r="E38" s="8">
        <f>DuLieuBanVe!C4*GiaDinh!$C$8</f>
        <v>4704</v>
      </c>
      <c r="F38" s="8">
        <f>DuLieuBanVe!D4*GiaDinh!$C$8</f>
        <v>4760</v>
      </c>
      <c r="G38" s="8">
        <f>DuLieuBanVe!E4*GiaDinh!$C$8</f>
        <v>6272</v>
      </c>
      <c r="H38" s="8">
        <f>DuLieuBanVe!F4*GiaDinh!$C$8</f>
        <v>4504</v>
      </c>
      <c r="I38" s="8">
        <f>DuLieuBanVe!G4*GiaDinh!$C$8</f>
        <v>1568</v>
      </c>
      <c r="J38" s="8">
        <f>DuLieuBanVe!H4*GiaDinh!$C$8</f>
        <v>3136</v>
      </c>
      <c r="K38" s="8">
        <f>DuLieuBanVe!I4*GiaDinh!$C$8</f>
        <v>5768</v>
      </c>
      <c r="L38" s="8">
        <f>DuLieuBanVe!J4*GiaDinh!$C$8</f>
        <v>5768</v>
      </c>
      <c r="M38" s="8">
        <f>SUM(E38:L38)</f>
        <v>36480</v>
      </c>
      <c r="N38" s="8">
        <f>ROUNDUP(M38*(1+GiaDinh!$C$14/100),0)</f>
        <v>37575</v>
      </c>
      <c r="O38" s="7" t="s">
        <v>38</v>
      </c>
      <c r="P38" s="7"/>
    </row>
    <row r="39" spans="1:16" ht="78" customHeight="1" x14ac:dyDescent="0.35">
      <c r="A39" s="6">
        <v>31</v>
      </c>
      <c r="B39" s="7" t="s">
        <v>81</v>
      </c>
      <c r="C39" s="7"/>
      <c r="D39" s="6" t="s">
        <v>28</v>
      </c>
      <c r="E39" s="8">
        <f>DuLieuBanVe!C4*GiaDinh!$C$9</f>
        <v>4704</v>
      </c>
      <c r="F39" s="8">
        <f>DuLieuBanVe!D4*GiaDinh!$C$9</f>
        <v>4760</v>
      </c>
      <c r="G39" s="8">
        <f>DuLieuBanVe!E4*GiaDinh!$C$9</f>
        <v>6272</v>
      </c>
      <c r="H39" s="8">
        <f>DuLieuBanVe!F4*GiaDinh!$C$9</f>
        <v>4504</v>
      </c>
      <c r="I39" s="8">
        <f>DuLieuBanVe!G4*GiaDinh!$C$9</f>
        <v>1568</v>
      </c>
      <c r="J39" s="8">
        <f>DuLieuBanVe!H4*GiaDinh!$C$9</f>
        <v>3136</v>
      </c>
      <c r="K39" s="8">
        <f>DuLieuBanVe!I4*GiaDinh!$C$9</f>
        <v>5768</v>
      </c>
      <c r="L39" s="8">
        <f>DuLieuBanVe!J4*GiaDinh!$C$9</f>
        <v>5768</v>
      </c>
      <c r="M39" s="8">
        <f>SUM(E39:L39)</f>
        <v>36480</v>
      </c>
      <c r="N39" s="8">
        <f>ROUNDUP(M39*(1+GiaDinh!$C$14/100),0)</f>
        <v>37575</v>
      </c>
      <c r="O39" s="7" t="s">
        <v>38</v>
      </c>
      <c r="P39" s="7"/>
    </row>
    <row r="40" spans="1:16" ht="78" customHeight="1" x14ac:dyDescent="0.35">
      <c r="A40" s="6">
        <v>32</v>
      </c>
      <c r="B40" s="7" t="s">
        <v>82</v>
      </c>
      <c r="C40" s="7"/>
      <c r="D40" s="6" t="s">
        <v>25</v>
      </c>
      <c r="E40" s="8">
        <f>DuLieuBanVe!C4*GiaDinh!$C$10</f>
        <v>4704</v>
      </c>
      <c r="F40" s="8">
        <f>DuLieuBanVe!D4*GiaDinh!$C$10</f>
        <v>4760</v>
      </c>
      <c r="G40" s="8">
        <f>DuLieuBanVe!E4*GiaDinh!$C$10</f>
        <v>6272</v>
      </c>
      <c r="H40" s="8">
        <f>DuLieuBanVe!F4*GiaDinh!$C$10</f>
        <v>4504</v>
      </c>
      <c r="I40" s="8">
        <f>DuLieuBanVe!G4*GiaDinh!$C$10</f>
        <v>1568</v>
      </c>
      <c r="J40" s="8">
        <f>DuLieuBanVe!H4*GiaDinh!$C$10</f>
        <v>3136</v>
      </c>
      <c r="K40" s="8">
        <f>DuLieuBanVe!I4*GiaDinh!$C$10</f>
        <v>5768</v>
      </c>
      <c r="L40" s="8">
        <f>DuLieuBanVe!J4*GiaDinh!$C$10</f>
        <v>5768</v>
      </c>
      <c r="M40" s="8">
        <f>SUM(E40:L40)</f>
        <v>36480</v>
      </c>
      <c r="N40" s="8">
        <f>ROUNDUP(M40*(1+GiaDinh!$C$14/100),0)</f>
        <v>37575</v>
      </c>
      <c r="O40" s="7" t="s">
        <v>38</v>
      </c>
      <c r="P40" s="7"/>
    </row>
    <row r="41" spans="1:16" ht="30" customHeight="1" x14ac:dyDescent="0.35">
      <c r="A41" s="6">
        <v>33</v>
      </c>
      <c r="B41" s="7" t="s">
        <v>83</v>
      </c>
      <c r="C41" s="6" t="s">
        <v>24</v>
      </c>
      <c r="D41" s="6" t="s">
        <v>25</v>
      </c>
      <c r="E41" s="8">
        <f>DuLieuBanVe!C4*GiaDinh!$C$11</f>
        <v>4704</v>
      </c>
      <c r="F41" s="8">
        <f>DuLieuBanVe!D4*GiaDinh!$C$11</f>
        <v>4760</v>
      </c>
      <c r="G41" s="8">
        <f>DuLieuBanVe!E4*GiaDinh!$C$11</f>
        <v>6272</v>
      </c>
      <c r="H41" s="8">
        <f>DuLieuBanVe!F4*GiaDinh!$C$11</f>
        <v>4504</v>
      </c>
      <c r="I41" s="8">
        <f>DuLieuBanVe!G4*GiaDinh!$C$11</f>
        <v>1568</v>
      </c>
      <c r="J41" s="8">
        <f>DuLieuBanVe!H4*GiaDinh!$C$11</f>
        <v>3136</v>
      </c>
      <c r="K41" s="8">
        <f>DuLieuBanVe!I4*GiaDinh!$C$11</f>
        <v>5768</v>
      </c>
      <c r="L41" s="8">
        <f>DuLieuBanVe!J4*GiaDinh!$C$11</f>
        <v>5768</v>
      </c>
      <c r="M41" s="8">
        <f>SUM(E41:L41)</f>
        <v>36480</v>
      </c>
      <c r="N41" s="8">
        <f>ROUNDUP(M41*(1+GiaDinh!$C$14/100),0)</f>
        <v>37575</v>
      </c>
      <c r="O41" s="7" t="s">
        <v>38</v>
      </c>
      <c r="P41" s="7" t="s">
        <v>84</v>
      </c>
    </row>
    <row r="42" spans="1:16" ht="78" customHeight="1" x14ac:dyDescent="0.35">
      <c r="A42" s="6">
        <v>34</v>
      </c>
      <c r="B42" s="7" t="s">
        <v>85</v>
      </c>
      <c r="C42" s="7"/>
      <c r="D42" s="6" t="s">
        <v>25</v>
      </c>
      <c r="E42" s="8">
        <f>DuLieuBanVe!C4*GiaDinh!$C$12</f>
        <v>9408</v>
      </c>
      <c r="F42" s="8">
        <f>DuLieuBanVe!D4*GiaDinh!$C$12</f>
        <v>9520</v>
      </c>
      <c r="G42" s="8">
        <f>DuLieuBanVe!E4*GiaDinh!$C$12</f>
        <v>12544</v>
      </c>
      <c r="H42" s="8">
        <f>DuLieuBanVe!F4*GiaDinh!$C$12</f>
        <v>9008</v>
      </c>
      <c r="I42" s="8">
        <f>DuLieuBanVe!G4*GiaDinh!$C$12</f>
        <v>3136</v>
      </c>
      <c r="J42" s="8">
        <f>DuLieuBanVe!H4*GiaDinh!$C$12</f>
        <v>6272</v>
      </c>
      <c r="K42" s="8">
        <f>DuLieuBanVe!I4*GiaDinh!$C$12</f>
        <v>11536</v>
      </c>
      <c r="L42" s="8">
        <f>DuLieuBanVe!J4*GiaDinh!$C$12</f>
        <v>11536</v>
      </c>
      <c r="M42" s="8">
        <f>SUM(E42:L42)</f>
        <v>72960</v>
      </c>
      <c r="N42" s="8">
        <f>ROUNDUP(M42*(1+GiaDinh!$C$14/100),0)</f>
        <v>75149</v>
      </c>
      <c r="O42" s="7" t="s">
        <v>38</v>
      </c>
      <c r="P42" s="7"/>
    </row>
    <row r="43" spans="1:16" ht="15.5" x14ac:dyDescent="0.35">
      <c r="A43" s="3"/>
      <c r="B43" s="4" t="s">
        <v>86</v>
      </c>
      <c r="C43" s="5"/>
      <c r="D43" s="3"/>
      <c r="E43" s="5"/>
      <c r="F43" s="5"/>
      <c r="G43" s="5"/>
      <c r="H43" s="5"/>
      <c r="I43" s="5"/>
      <c r="J43" s="5"/>
      <c r="K43" s="5"/>
      <c r="L43" s="5"/>
      <c r="M43" s="5"/>
      <c r="N43" s="5"/>
      <c r="O43" s="5"/>
      <c r="P43" s="5"/>
    </row>
    <row r="44" spans="1:16" ht="78" customHeight="1" x14ac:dyDescent="0.35">
      <c r="A44" s="6">
        <v>35</v>
      </c>
      <c r="B44" s="7" t="s">
        <v>87</v>
      </c>
      <c r="C44" s="7"/>
      <c r="D44" s="6" t="s">
        <v>28</v>
      </c>
      <c r="E44" s="8">
        <f>2*DuLieuBanVe!C19</f>
        <v>70</v>
      </c>
      <c r="F44" s="8">
        <f>2*DuLieuBanVe!D19</f>
        <v>70</v>
      </c>
      <c r="G44" s="8">
        <f>2*DuLieuBanVe!E19</f>
        <v>86</v>
      </c>
      <c r="H44" s="8">
        <f>2*DuLieuBanVe!F19</f>
        <v>74</v>
      </c>
      <c r="I44" s="8">
        <f>2*DuLieuBanVe!G19</f>
        <v>42</v>
      </c>
      <c r="J44" s="8">
        <f>2*DuLieuBanVe!H19</f>
        <v>54</v>
      </c>
      <c r="K44" s="8">
        <f>2*DuLieuBanVe!I19</f>
        <v>80</v>
      </c>
      <c r="L44" s="8">
        <f>2*DuLieuBanVe!J19</f>
        <v>66</v>
      </c>
      <c r="M44" s="8">
        <f>SUM(E44:L44)</f>
        <v>542</v>
      </c>
      <c r="N44" s="8">
        <f>ROUNDUP(M44*(1+GiaDinh!$C$14/100),0)</f>
        <v>559</v>
      </c>
      <c r="O44" s="7" t="s">
        <v>88</v>
      </c>
      <c r="P44" s="7" t="s">
        <v>89</v>
      </c>
    </row>
  </sheetData>
  <mergeCells count="2">
    <mergeCell ref="A1:P1"/>
    <mergeCell ref="A2:P2"/>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20"/>
  <sheetViews>
    <sheetView workbookViewId="0"/>
  </sheetViews>
  <sheetFormatPr defaultRowHeight="14.5" x14ac:dyDescent="0.35"/>
  <cols>
    <col min="1" max="1" width="8" customWidth="1"/>
    <col min="2" max="2" width="44" customWidth="1"/>
    <col min="3" max="10" width="11" customWidth="1"/>
    <col min="11" max="11" width="12" customWidth="1"/>
    <col min="12" max="12" width="70" customWidth="1"/>
  </cols>
  <sheetData>
    <row r="1" spans="1:12" ht="17" x14ac:dyDescent="0.4">
      <c r="A1" s="1" t="s">
        <v>90</v>
      </c>
    </row>
    <row r="3" spans="1:12" ht="15.5" x14ac:dyDescent="0.35">
      <c r="A3" s="2" t="s">
        <v>91</v>
      </c>
      <c r="B3" s="2" t="s">
        <v>3</v>
      </c>
      <c r="C3" s="2" t="s">
        <v>6</v>
      </c>
      <c r="D3" s="2" t="s">
        <v>7</v>
      </c>
      <c r="E3" s="2" t="s">
        <v>8</v>
      </c>
      <c r="F3" s="2" t="s">
        <v>9</v>
      </c>
      <c r="G3" s="2" t="s">
        <v>10</v>
      </c>
      <c r="H3" s="2" t="s">
        <v>11</v>
      </c>
      <c r="I3" s="2" t="s">
        <v>12</v>
      </c>
      <c r="J3" s="2" t="s">
        <v>13</v>
      </c>
      <c r="K3" s="2" t="s">
        <v>14</v>
      </c>
      <c r="L3" s="2" t="s">
        <v>16</v>
      </c>
    </row>
    <row r="4" spans="1:12" ht="15.5" x14ac:dyDescent="0.35">
      <c r="A4" s="7" t="s">
        <v>92</v>
      </c>
      <c r="B4" s="7" t="s">
        <v>93</v>
      </c>
      <c r="C4" s="8">
        <v>2352</v>
      </c>
      <c r="D4" s="8">
        <v>2380</v>
      </c>
      <c r="E4" s="8">
        <v>3136</v>
      </c>
      <c r="F4" s="8">
        <v>2252</v>
      </c>
      <c r="G4" s="8">
        <v>784</v>
      </c>
      <c r="H4" s="8">
        <v>1568</v>
      </c>
      <c r="I4" s="8">
        <v>2884</v>
      </c>
      <c r="J4" s="8">
        <v>2884</v>
      </c>
      <c r="K4" s="8">
        <f t="shared" ref="K4:K19" si="0">SUM(C4:J4)</f>
        <v>18240</v>
      </c>
      <c r="L4" s="7" t="s">
        <v>94</v>
      </c>
    </row>
    <row r="5" spans="1:12" ht="15.5" x14ac:dyDescent="0.35">
      <c r="A5" s="7" t="s">
        <v>95</v>
      </c>
      <c r="B5" s="7" t="s">
        <v>96</v>
      </c>
      <c r="C5" s="8">
        <v>84</v>
      </c>
      <c r="D5" s="8">
        <v>98</v>
      </c>
      <c r="E5" s="8">
        <v>117</v>
      </c>
      <c r="F5" s="8">
        <v>89</v>
      </c>
      <c r="G5" s="8">
        <v>56</v>
      </c>
      <c r="H5" s="8">
        <v>56</v>
      </c>
      <c r="I5" s="8">
        <v>103</v>
      </c>
      <c r="J5" s="8">
        <v>110</v>
      </c>
      <c r="K5" s="8">
        <f t="shared" si="0"/>
        <v>713</v>
      </c>
      <c r="L5" s="7" t="s">
        <v>97</v>
      </c>
    </row>
    <row r="6" spans="1:12" ht="15.5" x14ac:dyDescent="0.35">
      <c r="A6" s="7" t="s">
        <v>98</v>
      </c>
      <c r="B6" s="7" t="s">
        <v>99</v>
      </c>
      <c r="C6" s="9">
        <v>84</v>
      </c>
      <c r="D6" s="9">
        <v>85</v>
      </c>
      <c r="E6" s="9">
        <v>112</v>
      </c>
      <c r="F6" s="9">
        <v>80.428571000000005</v>
      </c>
      <c r="G6" s="9">
        <v>28</v>
      </c>
      <c r="H6" s="9">
        <v>56</v>
      </c>
      <c r="I6" s="9">
        <v>103</v>
      </c>
      <c r="J6" s="9">
        <v>103</v>
      </c>
      <c r="K6" s="9">
        <f t="shared" si="0"/>
        <v>651.42857100000003</v>
      </c>
      <c r="L6" s="7" t="s">
        <v>100</v>
      </c>
    </row>
    <row r="7" spans="1:12" ht="15.5" x14ac:dyDescent="0.35">
      <c r="A7" s="7" t="s">
        <v>101</v>
      </c>
      <c r="B7" s="7" t="s">
        <v>102</v>
      </c>
      <c r="C7" s="8">
        <v>3</v>
      </c>
      <c r="D7" s="8">
        <v>3</v>
      </c>
      <c r="E7" s="8">
        <v>4</v>
      </c>
      <c r="F7" s="8">
        <v>3</v>
      </c>
      <c r="G7" s="8">
        <v>1</v>
      </c>
      <c r="H7" s="8">
        <v>2</v>
      </c>
      <c r="I7" s="8">
        <v>4</v>
      </c>
      <c r="J7" s="8">
        <v>4</v>
      </c>
      <c r="K7" s="8">
        <f t="shared" si="0"/>
        <v>24</v>
      </c>
      <c r="L7" s="7" t="s">
        <v>103</v>
      </c>
    </row>
    <row r="8" spans="1:12" ht="15.5" x14ac:dyDescent="0.35">
      <c r="A8" s="7" t="s">
        <v>104</v>
      </c>
      <c r="B8" s="7" t="s">
        <v>105</v>
      </c>
      <c r="C8" s="8">
        <v>2408</v>
      </c>
      <c r="D8" s="8">
        <v>2422</v>
      </c>
      <c r="E8" s="8">
        <v>3224</v>
      </c>
      <c r="F8" s="8">
        <v>2280</v>
      </c>
      <c r="G8" s="8">
        <v>798</v>
      </c>
      <c r="H8" s="8">
        <v>1596</v>
      </c>
      <c r="I8" s="8">
        <v>2968</v>
      </c>
      <c r="J8" s="8">
        <v>2730</v>
      </c>
      <c r="K8" s="8">
        <f t="shared" si="0"/>
        <v>18426</v>
      </c>
      <c r="L8" s="7" t="s">
        <v>106</v>
      </c>
    </row>
    <row r="9" spans="1:12" ht="15.5" x14ac:dyDescent="0.35">
      <c r="A9" s="7" t="s">
        <v>107</v>
      </c>
      <c r="B9" s="7" t="s">
        <v>108</v>
      </c>
      <c r="C9" s="8">
        <v>86</v>
      </c>
      <c r="D9" s="8">
        <v>100</v>
      </c>
      <c r="E9" s="8">
        <v>121</v>
      </c>
      <c r="F9" s="8">
        <v>90</v>
      </c>
      <c r="G9" s="8">
        <v>57</v>
      </c>
      <c r="H9" s="8">
        <v>57</v>
      </c>
      <c r="I9" s="8">
        <v>106</v>
      </c>
      <c r="J9" s="8">
        <v>102</v>
      </c>
      <c r="K9" s="8">
        <f t="shared" si="0"/>
        <v>719</v>
      </c>
      <c r="L9" s="7" t="s">
        <v>97</v>
      </c>
    </row>
    <row r="10" spans="1:12" ht="15.5" x14ac:dyDescent="0.35">
      <c r="A10" s="7" t="s">
        <v>109</v>
      </c>
      <c r="B10" s="7" t="s">
        <v>110</v>
      </c>
      <c r="C10" s="8">
        <v>338</v>
      </c>
      <c r="D10" s="8">
        <v>350</v>
      </c>
      <c r="E10" s="8">
        <v>472</v>
      </c>
      <c r="F10" s="8">
        <v>261</v>
      </c>
      <c r="G10" s="8">
        <v>225</v>
      </c>
      <c r="H10" s="8">
        <v>225</v>
      </c>
      <c r="I10" s="8">
        <v>266</v>
      </c>
      <c r="J10" s="8">
        <v>366</v>
      </c>
      <c r="K10" s="8">
        <f t="shared" si="0"/>
        <v>2503</v>
      </c>
      <c r="L10" s="7" t="s">
        <v>111</v>
      </c>
    </row>
    <row r="11" spans="1:12" ht="15.5" x14ac:dyDescent="0.35">
      <c r="A11" s="7" t="s">
        <v>112</v>
      </c>
      <c r="B11" s="7" t="s">
        <v>113</v>
      </c>
      <c r="C11" s="8">
        <v>233</v>
      </c>
      <c r="D11" s="8">
        <v>345</v>
      </c>
      <c r="E11" s="8">
        <v>162</v>
      </c>
      <c r="F11" s="8">
        <v>729</v>
      </c>
      <c r="G11" s="8">
        <v>225</v>
      </c>
      <c r="H11" s="8">
        <v>582</v>
      </c>
      <c r="I11" s="8">
        <v>298</v>
      </c>
      <c r="J11" s="8">
        <v>237</v>
      </c>
      <c r="K11" s="8">
        <f t="shared" si="0"/>
        <v>2811</v>
      </c>
      <c r="L11" s="7" t="s">
        <v>114</v>
      </c>
    </row>
    <row r="12" spans="1:12" ht="15.5" x14ac:dyDescent="0.35">
      <c r="A12" s="7" t="s">
        <v>115</v>
      </c>
      <c r="B12" s="7" t="s">
        <v>116</v>
      </c>
      <c r="C12" s="8">
        <v>0</v>
      </c>
      <c r="D12" s="8">
        <v>0</v>
      </c>
      <c r="E12" s="8">
        <v>0</v>
      </c>
      <c r="F12" s="8">
        <v>261</v>
      </c>
      <c r="G12" s="8">
        <v>0</v>
      </c>
      <c r="H12" s="8">
        <v>0</v>
      </c>
      <c r="I12" s="8">
        <v>0</v>
      </c>
      <c r="J12" s="8">
        <v>0</v>
      </c>
      <c r="K12" s="8">
        <f t="shared" si="0"/>
        <v>261</v>
      </c>
      <c r="L12" s="7" t="s">
        <v>117</v>
      </c>
    </row>
    <row r="13" spans="1:12" ht="15.5" x14ac:dyDescent="0.35">
      <c r="A13" s="7" t="s">
        <v>118</v>
      </c>
      <c r="B13" s="7" t="s">
        <v>119</v>
      </c>
      <c r="C13" s="8">
        <v>3</v>
      </c>
      <c r="D13" s="8">
        <v>4</v>
      </c>
      <c r="E13" s="8">
        <v>9</v>
      </c>
      <c r="F13" s="8">
        <v>7</v>
      </c>
      <c r="G13" s="8">
        <v>2</v>
      </c>
      <c r="H13" s="8">
        <v>3</v>
      </c>
      <c r="I13" s="8">
        <v>4</v>
      </c>
      <c r="J13" s="8">
        <v>4</v>
      </c>
      <c r="K13" s="8">
        <f t="shared" si="0"/>
        <v>36</v>
      </c>
      <c r="L13" s="7" t="s">
        <v>120</v>
      </c>
    </row>
    <row r="14" spans="1:12" ht="15.5" x14ac:dyDescent="0.35">
      <c r="A14" s="7" t="s">
        <v>121</v>
      </c>
      <c r="B14" s="7" t="s">
        <v>122</v>
      </c>
      <c r="C14" s="8">
        <f t="shared" ref="C14:J14" si="1">C8+C10+C11+C12</f>
        <v>2979</v>
      </c>
      <c r="D14" s="8">
        <f t="shared" si="1"/>
        <v>3117</v>
      </c>
      <c r="E14" s="8">
        <f t="shared" si="1"/>
        <v>3858</v>
      </c>
      <c r="F14" s="8">
        <f t="shared" si="1"/>
        <v>3531</v>
      </c>
      <c r="G14" s="8">
        <f t="shared" si="1"/>
        <v>1248</v>
      </c>
      <c r="H14" s="8">
        <f t="shared" si="1"/>
        <v>2403</v>
      </c>
      <c r="I14" s="8">
        <f t="shared" si="1"/>
        <v>3532</v>
      </c>
      <c r="J14" s="8">
        <f t="shared" si="1"/>
        <v>3333</v>
      </c>
      <c r="K14" s="8">
        <f t="shared" si="0"/>
        <v>24001</v>
      </c>
      <c r="L14" s="7" t="s">
        <v>123</v>
      </c>
    </row>
    <row r="15" spans="1:12" ht="15.5" x14ac:dyDescent="0.35">
      <c r="A15" s="7" t="s">
        <v>124</v>
      </c>
      <c r="B15" s="7" t="s">
        <v>125</v>
      </c>
      <c r="C15" s="8">
        <v>118</v>
      </c>
      <c r="D15" s="8">
        <v>90</v>
      </c>
      <c r="E15" s="8">
        <v>186</v>
      </c>
      <c r="F15" s="8">
        <v>77</v>
      </c>
      <c r="G15" s="8">
        <v>32</v>
      </c>
      <c r="H15" s="8">
        <v>65</v>
      </c>
      <c r="I15" s="8">
        <v>176</v>
      </c>
      <c r="J15" s="8">
        <v>118</v>
      </c>
      <c r="K15" s="8">
        <f t="shared" si="0"/>
        <v>862</v>
      </c>
      <c r="L15" s="7" t="s">
        <v>126</v>
      </c>
    </row>
    <row r="16" spans="1:12" ht="15.5" x14ac:dyDescent="0.35">
      <c r="A16" s="7" t="s">
        <v>127</v>
      </c>
      <c r="B16" s="7" t="s">
        <v>128</v>
      </c>
      <c r="C16" s="10">
        <v>10103.040000000001</v>
      </c>
      <c r="D16" s="10">
        <v>10210.61</v>
      </c>
      <c r="E16" s="10">
        <v>13355.7</v>
      </c>
      <c r="F16" s="10">
        <v>11690.48</v>
      </c>
      <c r="G16" s="10">
        <v>3617.52</v>
      </c>
      <c r="H16" s="10">
        <v>7660.56</v>
      </c>
      <c r="I16" s="10">
        <v>12283.55</v>
      </c>
      <c r="J16" s="10">
        <v>11401.31</v>
      </c>
      <c r="K16" s="10">
        <f t="shared" si="0"/>
        <v>80322.76999999999</v>
      </c>
      <c r="L16" s="7" t="s">
        <v>126</v>
      </c>
    </row>
    <row r="17" spans="1:12" ht="15.5" x14ac:dyDescent="0.35">
      <c r="A17" s="7" t="s">
        <v>129</v>
      </c>
      <c r="B17" s="7" t="s">
        <v>130</v>
      </c>
      <c r="C17" s="8">
        <v>21</v>
      </c>
      <c r="D17" s="8">
        <v>36</v>
      </c>
      <c r="E17" s="8">
        <v>19</v>
      </c>
      <c r="F17" s="8">
        <v>36</v>
      </c>
      <c r="G17" s="8">
        <v>20</v>
      </c>
      <c r="H17" s="8">
        <v>20</v>
      </c>
      <c r="I17" s="8">
        <v>14</v>
      </c>
      <c r="J17" s="8">
        <v>18</v>
      </c>
      <c r="K17" s="8">
        <f t="shared" si="0"/>
        <v>184</v>
      </c>
      <c r="L17" s="7" t="s">
        <v>126</v>
      </c>
    </row>
    <row r="18" spans="1:12" ht="15.5" x14ac:dyDescent="0.35">
      <c r="A18" s="7" t="s">
        <v>131</v>
      </c>
      <c r="B18" s="7" t="s">
        <v>132</v>
      </c>
      <c r="C18" s="10">
        <v>2278.2800000000002</v>
      </c>
      <c r="D18" s="10">
        <v>3979.71</v>
      </c>
      <c r="E18" s="10">
        <v>3558.71</v>
      </c>
      <c r="F18" s="10">
        <v>2962.08</v>
      </c>
      <c r="G18" s="10">
        <v>784.1</v>
      </c>
      <c r="H18" s="10">
        <v>1486.4</v>
      </c>
      <c r="I18" s="10">
        <v>2851.12</v>
      </c>
      <c r="J18" s="10">
        <v>2527.33</v>
      </c>
      <c r="K18" s="10">
        <f t="shared" si="0"/>
        <v>20427.730000000003</v>
      </c>
      <c r="L18" s="7" t="s">
        <v>126</v>
      </c>
    </row>
    <row r="19" spans="1:12" ht="15.5" x14ac:dyDescent="0.35">
      <c r="A19" s="7" t="s">
        <v>133</v>
      </c>
      <c r="B19" s="7" t="s">
        <v>134</v>
      </c>
      <c r="C19" s="8">
        <v>35</v>
      </c>
      <c r="D19" s="8">
        <v>35</v>
      </c>
      <c r="E19" s="8">
        <v>43</v>
      </c>
      <c r="F19" s="8">
        <v>37</v>
      </c>
      <c r="G19" s="8">
        <v>21</v>
      </c>
      <c r="H19" s="8">
        <v>27</v>
      </c>
      <c r="I19" s="8">
        <v>40</v>
      </c>
      <c r="J19" s="8">
        <v>33</v>
      </c>
      <c r="K19" s="8">
        <f t="shared" si="0"/>
        <v>271</v>
      </c>
      <c r="L19" s="7" t="s">
        <v>135</v>
      </c>
    </row>
    <row r="20" spans="1:12" ht="31" x14ac:dyDescent="0.35">
      <c r="A20" s="7" t="s">
        <v>136</v>
      </c>
      <c r="B20" s="7" t="s">
        <v>137</v>
      </c>
      <c r="C20" s="7"/>
      <c r="D20" s="7"/>
      <c r="E20" s="7"/>
      <c r="F20" s="7"/>
      <c r="G20" s="7"/>
      <c r="H20" s="7"/>
      <c r="I20" s="7"/>
      <c r="J20" s="7"/>
      <c r="K20" s="7">
        <v>1414</v>
      </c>
      <c r="L20" s="7" t="s">
        <v>138</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375"/>
  <sheetViews>
    <sheetView workbookViewId="0"/>
  </sheetViews>
  <sheetFormatPr defaultRowHeight="14.5" x14ac:dyDescent="0.35"/>
  <cols>
    <col min="1" max="1" width="8" customWidth="1"/>
    <col min="2" max="2" width="6" customWidth="1"/>
    <col min="3" max="3" width="30" customWidth="1"/>
    <col min="4" max="4" width="34" customWidth="1"/>
    <col min="5" max="5" width="7" customWidth="1"/>
    <col min="6" max="6" width="10" customWidth="1"/>
    <col min="7" max="7" width="14" customWidth="1"/>
    <col min="8" max="8" width="10" customWidth="1"/>
    <col min="9" max="9" width="8" customWidth="1"/>
    <col min="10" max="10" width="9" customWidth="1"/>
    <col min="11" max="11" width="10" customWidth="1"/>
    <col min="12" max="12" width="8" customWidth="1"/>
    <col min="13" max="14" width="9" customWidth="1"/>
    <col min="15" max="15" width="8" customWidth="1"/>
    <col min="16" max="16" width="9" customWidth="1"/>
    <col min="17" max="18" width="10" customWidth="1"/>
    <col min="19" max="19" width="11" customWidth="1"/>
  </cols>
  <sheetData>
    <row r="1" spans="1:19" ht="15.5" x14ac:dyDescent="0.35">
      <c r="A1" s="11" t="s">
        <v>139</v>
      </c>
    </row>
    <row r="2" spans="1:19" ht="48" customHeight="1" x14ac:dyDescent="0.35">
      <c r="A2" s="22" t="s">
        <v>140</v>
      </c>
      <c r="B2" s="20"/>
      <c r="C2" s="20"/>
      <c r="D2" s="20"/>
      <c r="E2" s="20"/>
      <c r="F2" s="20"/>
      <c r="G2" s="20"/>
      <c r="H2" s="20"/>
      <c r="I2" s="20"/>
      <c r="J2" s="20"/>
      <c r="K2" s="20"/>
      <c r="L2" s="20"/>
      <c r="M2" s="20"/>
      <c r="N2" s="20"/>
      <c r="O2" s="20"/>
      <c r="P2" s="20"/>
      <c r="Q2" s="20"/>
      <c r="R2" s="20"/>
      <c r="S2" s="20"/>
    </row>
    <row r="3" spans="1:19" ht="62" customHeight="1" x14ac:dyDescent="0.35">
      <c r="A3" s="2" t="s">
        <v>141</v>
      </c>
      <c r="B3" s="2" t="s">
        <v>142</v>
      </c>
      <c r="C3" s="2" t="s">
        <v>143</v>
      </c>
      <c r="D3" s="2" t="s">
        <v>144</v>
      </c>
      <c r="E3" s="2" t="s">
        <v>145</v>
      </c>
      <c r="F3" s="2" t="s">
        <v>146</v>
      </c>
      <c r="G3" s="2" t="s">
        <v>147</v>
      </c>
      <c r="H3" s="2" t="s">
        <v>148</v>
      </c>
      <c r="I3" s="2" t="s">
        <v>149</v>
      </c>
      <c r="J3" s="2" t="s">
        <v>150</v>
      </c>
      <c r="K3" s="2" t="s">
        <v>151</v>
      </c>
      <c r="L3" s="2" t="s">
        <v>152</v>
      </c>
      <c r="M3" s="2" t="s">
        <v>153</v>
      </c>
      <c r="N3" s="2" t="s">
        <v>154</v>
      </c>
      <c r="O3" s="2" t="s">
        <v>155</v>
      </c>
      <c r="P3" s="2" t="s">
        <v>156</v>
      </c>
      <c r="Q3" s="2" t="s">
        <v>157</v>
      </c>
      <c r="R3" s="2" t="s">
        <v>158</v>
      </c>
      <c r="S3" s="2" t="s">
        <v>159</v>
      </c>
    </row>
    <row r="4" spans="1:19" ht="31" x14ac:dyDescent="0.35">
      <c r="A4" s="7" t="s">
        <v>6</v>
      </c>
      <c r="B4" s="7">
        <v>1</v>
      </c>
      <c r="C4" s="7" t="s">
        <v>160</v>
      </c>
      <c r="D4" s="7" t="s">
        <v>161</v>
      </c>
      <c r="E4" s="7">
        <v>4</v>
      </c>
      <c r="F4" s="7">
        <v>109.1</v>
      </c>
      <c r="G4" s="12">
        <f>E4*F4*GiaDinh!$C$18*GiaDinh!$C$17</f>
        <v>366.57599999999996</v>
      </c>
      <c r="H4" s="7">
        <f>GiaDinh!$C$21</f>
        <v>1.2250000000000001</v>
      </c>
      <c r="I4" s="7">
        <f>GiaDinh!$C$15</f>
        <v>15</v>
      </c>
      <c r="J4" s="7">
        <f t="shared" ref="J4:J67" si="0">ROUNDDOWN(I4/H4,0)+1</f>
        <v>13</v>
      </c>
      <c r="K4" s="12">
        <f>J4*GiaDinh!$C$16</f>
        <v>91</v>
      </c>
      <c r="L4" s="7">
        <f t="shared" ref="L4:L67" si="1">MAX(1,ROUNDUP(G4/K4-0.0005,0))</f>
        <v>5</v>
      </c>
      <c r="M4" s="12">
        <f t="shared" ref="M4:M67" si="2">L4*I4</f>
        <v>75</v>
      </c>
      <c r="N4" s="7">
        <f>L4*ROUNDUP(I4/GiaDinh!$C$5-0.0005,0)</f>
        <v>15</v>
      </c>
      <c r="O4" s="7">
        <f>L4*(ROUNDUP(I4/GiaDinh!$C$5-0.0005,0)-1)</f>
        <v>10</v>
      </c>
      <c r="P4" s="7">
        <f t="shared" ref="P4:P67" si="3">L4*J4</f>
        <v>65</v>
      </c>
      <c r="Q4" s="7">
        <f t="shared" ref="Q4:Q67" si="4">2*P4</f>
        <v>130</v>
      </c>
      <c r="R4" s="7">
        <f t="shared" ref="R4:R67" si="5">P4</f>
        <v>65</v>
      </c>
      <c r="S4" s="13">
        <f>M4*GiaDinh!$C$7</f>
        <v>225.74999999999997</v>
      </c>
    </row>
    <row r="5" spans="1:19" ht="31" x14ac:dyDescent="0.35">
      <c r="A5" s="7" t="s">
        <v>6</v>
      </c>
      <c r="B5" s="7">
        <v>2</v>
      </c>
      <c r="C5" s="7" t="s">
        <v>160</v>
      </c>
      <c r="D5" s="7" t="s">
        <v>162</v>
      </c>
      <c r="E5" s="7">
        <v>4</v>
      </c>
      <c r="F5" s="7">
        <v>109.1</v>
      </c>
      <c r="G5" s="12">
        <f>E5*F5*GiaDinh!$C$18*GiaDinh!$C$17</f>
        <v>366.57599999999996</v>
      </c>
      <c r="H5" s="7">
        <f>GiaDinh!$C$21</f>
        <v>1.2250000000000001</v>
      </c>
      <c r="I5" s="7">
        <f>GiaDinh!$C$15</f>
        <v>15</v>
      </c>
      <c r="J5" s="7">
        <f t="shared" si="0"/>
        <v>13</v>
      </c>
      <c r="K5" s="12">
        <f>J5*GiaDinh!$C$16</f>
        <v>91</v>
      </c>
      <c r="L5" s="7">
        <f t="shared" si="1"/>
        <v>5</v>
      </c>
      <c r="M5" s="12">
        <f t="shared" si="2"/>
        <v>75</v>
      </c>
      <c r="N5" s="7">
        <f>L5*ROUNDUP(I5/GiaDinh!$C$5-0.0005,0)</f>
        <v>15</v>
      </c>
      <c r="O5" s="7">
        <f>L5*(ROUNDUP(I5/GiaDinh!$C$5-0.0005,0)-1)</f>
        <v>10</v>
      </c>
      <c r="P5" s="7">
        <f t="shared" si="3"/>
        <v>65</v>
      </c>
      <c r="Q5" s="7">
        <f t="shared" si="4"/>
        <v>130</v>
      </c>
      <c r="R5" s="7">
        <f t="shared" si="5"/>
        <v>65</v>
      </c>
      <c r="S5" s="13">
        <f>M5*GiaDinh!$C$7</f>
        <v>225.74999999999997</v>
      </c>
    </row>
    <row r="6" spans="1:19" ht="31" x14ac:dyDescent="0.35">
      <c r="A6" s="7" t="s">
        <v>6</v>
      </c>
      <c r="B6" s="7">
        <v>3</v>
      </c>
      <c r="C6" s="7" t="s">
        <v>160</v>
      </c>
      <c r="D6" s="7" t="s">
        <v>163</v>
      </c>
      <c r="E6" s="7">
        <v>2</v>
      </c>
      <c r="F6" s="7">
        <v>109.1</v>
      </c>
      <c r="G6" s="12">
        <f>E6*F6*GiaDinh!$C$18*GiaDinh!$C$17</f>
        <v>183.28799999999998</v>
      </c>
      <c r="H6" s="7">
        <f>GiaDinh!$C$21</f>
        <v>1.2250000000000001</v>
      </c>
      <c r="I6" s="7">
        <f>GiaDinh!$C$15</f>
        <v>15</v>
      </c>
      <c r="J6" s="7">
        <f t="shared" si="0"/>
        <v>13</v>
      </c>
      <c r="K6" s="12">
        <f>J6*GiaDinh!$C$16</f>
        <v>91</v>
      </c>
      <c r="L6" s="7">
        <f t="shared" si="1"/>
        <v>3</v>
      </c>
      <c r="M6" s="12">
        <f t="shared" si="2"/>
        <v>45</v>
      </c>
      <c r="N6" s="7">
        <f>L6*ROUNDUP(I6/GiaDinh!$C$5-0.0005,0)</f>
        <v>9</v>
      </c>
      <c r="O6" s="7">
        <f>L6*(ROUNDUP(I6/GiaDinh!$C$5-0.0005,0)-1)</f>
        <v>6</v>
      </c>
      <c r="P6" s="7">
        <f t="shared" si="3"/>
        <v>39</v>
      </c>
      <c r="Q6" s="7">
        <f t="shared" si="4"/>
        <v>78</v>
      </c>
      <c r="R6" s="7">
        <f t="shared" si="5"/>
        <v>39</v>
      </c>
      <c r="S6" s="13">
        <f>M6*GiaDinh!$C$7</f>
        <v>135.44999999999999</v>
      </c>
    </row>
    <row r="7" spans="1:19" ht="31" x14ac:dyDescent="0.35">
      <c r="A7" s="7" t="s">
        <v>6</v>
      </c>
      <c r="B7" s="7">
        <v>4</v>
      </c>
      <c r="C7" s="7" t="s">
        <v>160</v>
      </c>
      <c r="D7" s="7" t="s">
        <v>164</v>
      </c>
      <c r="E7" s="7">
        <v>2</v>
      </c>
      <c r="F7" s="7">
        <v>109.1</v>
      </c>
      <c r="G7" s="12">
        <f>E7*F7*GiaDinh!$C$18*GiaDinh!$C$17</f>
        <v>183.28799999999998</v>
      </c>
      <c r="H7" s="7">
        <f>GiaDinh!$C$21</f>
        <v>1.2250000000000001</v>
      </c>
      <c r="I7" s="7">
        <f>GiaDinh!$C$15</f>
        <v>15</v>
      </c>
      <c r="J7" s="7">
        <f t="shared" si="0"/>
        <v>13</v>
      </c>
      <c r="K7" s="12">
        <f>J7*GiaDinh!$C$16</f>
        <v>91</v>
      </c>
      <c r="L7" s="7">
        <f t="shared" si="1"/>
        <v>3</v>
      </c>
      <c r="M7" s="12">
        <f t="shared" si="2"/>
        <v>45</v>
      </c>
      <c r="N7" s="7">
        <f>L7*ROUNDUP(I7/GiaDinh!$C$5-0.0005,0)</f>
        <v>9</v>
      </c>
      <c r="O7" s="7">
        <f>L7*(ROUNDUP(I7/GiaDinh!$C$5-0.0005,0)-1)</f>
        <v>6</v>
      </c>
      <c r="P7" s="7">
        <f t="shared" si="3"/>
        <v>39</v>
      </c>
      <c r="Q7" s="7">
        <f t="shared" si="4"/>
        <v>78</v>
      </c>
      <c r="R7" s="7">
        <f t="shared" si="5"/>
        <v>39</v>
      </c>
      <c r="S7" s="13">
        <f>M7*GiaDinh!$C$7</f>
        <v>135.44999999999999</v>
      </c>
    </row>
    <row r="8" spans="1:19" ht="31" x14ac:dyDescent="0.35">
      <c r="A8" s="7" t="s">
        <v>6</v>
      </c>
      <c r="B8" s="7">
        <v>5</v>
      </c>
      <c r="C8" s="7" t="s">
        <v>160</v>
      </c>
      <c r="D8" s="7" t="s">
        <v>165</v>
      </c>
      <c r="E8" s="7">
        <v>2</v>
      </c>
      <c r="F8" s="7">
        <v>109.1</v>
      </c>
      <c r="G8" s="12">
        <f>E8*F8*GiaDinh!$C$18*GiaDinh!$C$17</f>
        <v>183.28799999999998</v>
      </c>
      <c r="H8" s="7">
        <f>GiaDinh!$C$21</f>
        <v>1.2250000000000001</v>
      </c>
      <c r="I8" s="7">
        <f>GiaDinh!$C$15</f>
        <v>15</v>
      </c>
      <c r="J8" s="7">
        <f t="shared" si="0"/>
        <v>13</v>
      </c>
      <c r="K8" s="12">
        <f>J8*GiaDinh!$C$16</f>
        <v>91</v>
      </c>
      <c r="L8" s="7">
        <f t="shared" si="1"/>
        <v>3</v>
      </c>
      <c r="M8" s="12">
        <f t="shared" si="2"/>
        <v>45</v>
      </c>
      <c r="N8" s="7">
        <f>L8*ROUNDUP(I8/GiaDinh!$C$5-0.0005,0)</f>
        <v>9</v>
      </c>
      <c r="O8" s="7">
        <f>L8*(ROUNDUP(I8/GiaDinh!$C$5-0.0005,0)-1)</f>
        <v>6</v>
      </c>
      <c r="P8" s="7">
        <f t="shared" si="3"/>
        <v>39</v>
      </c>
      <c r="Q8" s="7">
        <f t="shared" si="4"/>
        <v>78</v>
      </c>
      <c r="R8" s="7">
        <f t="shared" si="5"/>
        <v>39</v>
      </c>
      <c r="S8" s="13">
        <f>M8*GiaDinh!$C$7</f>
        <v>135.44999999999999</v>
      </c>
    </row>
    <row r="9" spans="1:19" ht="31" x14ac:dyDescent="0.35">
      <c r="A9" s="7" t="s">
        <v>6</v>
      </c>
      <c r="B9" s="7">
        <v>6</v>
      </c>
      <c r="C9" s="7" t="s">
        <v>160</v>
      </c>
      <c r="D9" s="7" t="s">
        <v>166</v>
      </c>
      <c r="E9" s="7">
        <v>2</v>
      </c>
      <c r="F9" s="7">
        <v>109.1</v>
      </c>
      <c r="G9" s="12">
        <f>E9*F9*GiaDinh!$C$18*GiaDinh!$C$17</f>
        <v>183.28799999999998</v>
      </c>
      <c r="H9" s="7">
        <f>GiaDinh!$C$21</f>
        <v>1.2250000000000001</v>
      </c>
      <c r="I9" s="7">
        <f>GiaDinh!$C$15</f>
        <v>15</v>
      </c>
      <c r="J9" s="7">
        <f t="shared" si="0"/>
        <v>13</v>
      </c>
      <c r="K9" s="12">
        <f>J9*GiaDinh!$C$16</f>
        <v>91</v>
      </c>
      <c r="L9" s="7">
        <f t="shared" si="1"/>
        <v>3</v>
      </c>
      <c r="M9" s="12">
        <f t="shared" si="2"/>
        <v>45</v>
      </c>
      <c r="N9" s="7">
        <f>L9*ROUNDUP(I9/GiaDinh!$C$5-0.0005,0)</f>
        <v>9</v>
      </c>
      <c r="O9" s="7">
        <f>L9*(ROUNDUP(I9/GiaDinh!$C$5-0.0005,0)-1)</f>
        <v>6</v>
      </c>
      <c r="P9" s="7">
        <f t="shared" si="3"/>
        <v>39</v>
      </c>
      <c r="Q9" s="7">
        <f t="shared" si="4"/>
        <v>78</v>
      </c>
      <c r="R9" s="7">
        <f t="shared" si="5"/>
        <v>39</v>
      </c>
      <c r="S9" s="13">
        <f>M9*GiaDinh!$C$7</f>
        <v>135.44999999999999</v>
      </c>
    </row>
    <row r="10" spans="1:19" ht="31" x14ac:dyDescent="0.35">
      <c r="A10" s="7" t="s">
        <v>6</v>
      </c>
      <c r="B10" s="7">
        <v>7</v>
      </c>
      <c r="C10" s="7" t="s">
        <v>160</v>
      </c>
      <c r="D10" s="7" t="s">
        <v>167</v>
      </c>
      <c r="E10" s="7">
        <v>2</v>
      </c>
      <c r="F10" s="7">
        <v>109.1</v>
      </c>
      <c r="G10" s="12">
        <f>E10*F10*GiaDinh!$C$18*GiaDinh!$C$17</f>
        <v>183.28799999999998</v>
      </c>
      <c r="H10" s="7">
        <f>GiaDinh!$C$21</f>
        <v>1.2250000000000001</v>
      </c>
      <c r="I10" s="7">
        <f>GiaDinh!$C$15</f>
        <v>15</v>
      </c>
      <c r="J10" s="7">
        <f t="shared" si="0"/>
        <v>13</v>
      </c>
      <c r="K10" s="12">
        <f>J10*GiaDinh!$C$16</f>
        <v>91</v>
      </c>
      <c r="L10" s="7">
        <f t="shared" si="1"/>
        <v>3</v>
      </c>
      <c r="M10" s="12">
        <f t="shared" si="2"/>
        <v>45</v>
      </c>
      <c r="N10" s="7">
        <f>L10*ROUNDUP(I10/GiaDinh!$C$5-0.0005,0)</f>
        <v>9</v>
      </c>
      <c r="O10" s="7">
        <f>L10*(ROUNDUP(I10/GiaDinh!$C$5-0.0005,0)-1)</f>
        <v>6</v>
      </c>
      <c r="P10" s="7">
        <f t="shared" si="3"/>
        <v>39</v>
      </c>
      <c r="Q10" s="7">
        <f t="shared" si="4"/>
        <v>78</v>
      </c>
      <c r="R10" s="7">
        <f t="shared" si="5"/>
        <v>39</v>
      </c>
      <c r="S10" s="13">
        <f>M10*GiaDinh!$C$7</f>
        <v>135.44999999999999</v>
      </c>
    </row>
    <row r="11" spans="1:19" ht="31" x14ac:dyDescent="0.35">
      <c r="A11" s="7" t="s">
        <v>6</v>
      </c>
      <c r="B11" s="7">
        <v>8</v>
      </c>
      <c r="C11" s="7" t="s">
        <v>160</v>
      </c>
      <c r="D11" s="7" t="s">
        <v>168</v>
      </c>
      <c r="E11" s="7">
        <v>2</v>
      </c>
      <c r="F11" s="7">
        <v>109.1</v>
      </c>
      <c r="G11" s="12">
        <f>E11*F11*GiaDinh!$C$18*GiaDinh!$C$17</f>
        <v>183.28799999999998</v>
      </c>
      <c r="H11" s="7">
        <f>GiaDinh!$C$21</f>
        <v>1.2250000000000001</v>
      </c>
      <c r="I11" s="7">
        <f>GiaDinh!$C$15</f>
        <v>15</v>
      </c>
      <c r="J11" s="7">
        <f t="shared" si="0"/>
        <v>13</v>
      </c>
      <c r="K11" s="12">
        <f>J11*GiaDinh!$C$16</f>
        <v>91</v>
      </c>
      <c r="L11" s="7">
        <f t="shared" si="1"/>
        <v>3</v>
      </c>
      <c r="M11" s="12">
        <f t="shared" si="2"/>
        <v>45</v>
      </c>
      <c r="N11" s="7">
        <f>L11*ROUNDUP(I11/GiaDinh!$C$5-0.0005,0)</f>
        <v>9</v>
      </c>
      <c r="O11" s="7">
        <f>L11*(ROUNDUP(I11/GiaDinh!$C$5-0.0005,0)-1)</f>
        <v>6</v>
      </c>
      <c r="P11" s="7">
        <f t="shared" si="3"/>
        <v>39</v>
      </c>
      <c r="Q11" s="7">
        <f t="shared" si="4"/>
        <v>78</v>
      </c>
      <c r="R11" s="7">
        <f t="shared" si="5"/>
        <v>39</v>
      </c>
      <c r="S11" s="13">
        <f>M11*GiaDinh!$C$7</f>
        <v>135.44999999999999</v>
      </c>
    </row>
    <row r="12" spans="1:19" ht="31" x14ac:dyDescent="0.35">
      <c r="A12" s="7" t="s">
        <v>6</v>
      </c>
      <c r="B12" s="7">
        <v>9</v>
      </c>
      <c r="C12" s="7" t="s">
        <v>160</v>
      </c>
      <c r="D12" s="7" t="s">
        <v>169</v>
      </c>
      <c r="E12" s="7">
        <v>2</v>
      </c>
      <c r="F12" s="7">
        <v>109.1</v>
      </c>
      <c r="G12" s="12">
        <f>E12*F12*GiaDinh!$C$18*GiaDinh!$C$17</f>
        <v>183.28799999999998</v>
      </c>
      <c r="H12" s="7">
        <f>GiaDinh!$C$21</f>
        <v>1.2250000000000001</v>
      </c>
      <c r="I12" s="7">
        <f>GiaDinh!$C$15</f>
        <v>15</v>
      </c>
      <c r="J12" s="7">
        <f t="shared" si="0"/>
        <v>13</v>
      </c>
      <c r="K12" s="12">
        <f>J12*GiaDinh!$C$16</f>
        <v>91</v>
      </c>
      <c r="L12" s="7">
        <f t="shared" si="1"/>
        <v>3</v>
      </c>
      <c r="M12" s="12">
        <f t="shared" si="2"/>
        <v>45</v>
      </c>
      <c r="N12" s="7">
        <f>L12*ROUNDUP(I12/GiaDinh!$C$5-0.0005,0)</f>
        <v>9</v>
      </c>
      <c r="O12" s="7">
        <f>L12*(ROUNDUP(I12/GiaDinh!$C$5-0.0005,0)-1)</f>
        <v>6</v>
      </c>
      <c r="P12" s="7">
        <f t="shared" si="3"/>
        <v>39</v>
      </c>
      <c r="Q12" s="7">
        <f t="shared" si="4"/>
        <v>78</v>
      </c>
      <c r="R12" s="7">
        <f t="shared" si="5"/>
        <v>39</v>
      </c>
      <c r="S12" s="13">
        <f>M12*GiaDinh!$C$7</f>
        <v>135.44999999999999</v>
      </c>
    </row>
    <row r="13" spans="1:19" ht="31" x14ac:dyDescent="0.35">
      <c r="A13" s="7" t="s">
        <v>6</v>
      </c>
      <c r="B13" s="7">
        <v>10</v>
      </c>
      <c r="C13" s="7" t="s">
        <v>160</v>
      </c>
      <c r="D13" s="7" t="s">
        <v>170</v>
      </c>
      <c r="E13" s="7">
        <v>2</v>
      </c>
      <c r="F13" s="7">
        <v>109.1</v>
      </c>
      <c r="G13" s="12">
        <f>E13*F13*GiaDinh!$C$18*GiaDinh!$C$17</f>
        <v>183.28799999999998</v>
      </c>
      <c r="H13" s="7">
        <f>GiaDinh!$C$21</f>
        <v>1.2250000000000001</v>
      </c>
      <c r="I13" s="7">
        <f>GiaDinh!$C$15</f>
        <v>15</v>
      </c>
      <c r="J13" s="7">
        <f t="shared" si="0"/>
        <v>13</v>
      </c>
      <c r="K13" s="12">
        <f>J13*GiaDinh!$C$16</f>
        <v>91</v>
      </c>
      <c r="L13" s="7">
        <f t="shared" si="1"/>
        <v>3</v>
      </c>
      <c r="M13" s="12">
        <f t="shared" si="2"/>
        <v>45</v>
      </c>
      <c r="N13" s="7">
        <f>L13*ROUNDUP(I13/GiaDinh!$C$5-0.0005,0)</f>
        <v>9</v>
      </c>
      <c r="O13" s="7">
        <f>L13*(ROUNDUP(I13/GiaDinh!$C$5-0.0005,0)-1)</f>
        <v>6</v>
      </c>
      <c r="P13" s="7">
        <f t="shared" si="3"/>
        <v>39</v>
      </c>
      <c r="Q13" s="7">
        <f t="shared" si="4"/>
        <v>78</v>
      </c>
      <c r="R13" s="7">
        <f t="shared" si="5"/>
        <v>39</v>
      </c>
      <c r="S13" s="13">
        <f>M13*GiaDinh!$C$7</f>
        <v>135.44999999999999</v>
      </c>
    </row>
    <row r="14" spans="1:19" ht="31" x14ac:dyDescent="0.35">
      <c r="A14" s="7" t="s">
        <v>6</v>
      </c>
      <c r="B14" s="7">
        <v>11</v>
      </c>
      <c r="C14" s="7" t="s">
        <v>160</v>
      </c>
      <c r="D14" s="7" t="s">
        <v>171</v>
      </c>
      <c r="E14" s="7">
        <v>2</v>
      </c>
      <c r="F14" s="7">
        <v>109.1</v>
      </c>
      <c r="G14" s="12">
        <f>E14*F14*GiaDinh!$C$18*GiaDinh!$C$17</f>
        <v>183.28799999999998</v>
      </c>
      <c r="H14" s="7">
        <f>GiaDinh!$C$21</f>
        <v>1.2250000000000001</v>
      </c>
      <c r="I14" s="7">
        <f>GiaDinh!$C$15</f>
        <v>15</v>
      </c>
      <c r="J14" s="7">
        <f t="shared" si="0"/>
        <v>13</v>
      </c>
      <c r="K14" s="12">
        <f>J14*GiaDinh!$C$16</f>
        <v>91</v>
      </c>
      <c r="L14" s="7">
        <f t="shared" si="1"/>
        <v>3</v>
      </c>
      <c r="M14" s="12">
        <f t="shared" si="2"/>
        <v>45</v>
      </c>
      <c r="N14" s="7">
        <f>L14*ROUNDUP(I14/GiaDinh!$C$5-0.0005,0)</f>
        <v>9</v>
      </c>
      <c r="O14" s="7">
        <f>L14*(ROUNDUP(I14/GiaDinh!$C$5-0.0005,0)-1)</f>
        <v>6</v>
      </c>
      <c r="P14" s="7">
        <f t="shared" si="3"/>
        <v>39</v>
      </c>
      <c r="Q14" s="7">
        <f t="shared" si="4"/>
        <v>78</v>
      </c>
      <c r="R14" s="7">
        <f t="shared" si="5"/>
        <v>39</v>
      </c>
      <c r="S14" s="13">
        <f>M14*GiaDinh!$C$7</f>
        <v>135.44999999999999</v>
      </c>
    </row>
    <row r="15" spans="1:19" ht="31" x14ac:dyDescent="0.35">
      <c r="A15" s="7" t="s">
        <v>6</v>
      </c>
      <c r="B15" s="7">
        <v>12</v>
      </c>
      <c r="C15" s="7" t="s">
        <v>160</v>
      </c>
      <c r="D15" s="7" t="s">
        <v>172</v>
      </c>
      <c r="E15" s="7">
        <v>2</v>
      </c>
      <c r="F15" s="7">
        <v>109.1</v>
      </c>
      <c r="G15" s="12">
        <f>E15*F15*GiaDinh!$C$18*GiaDinh!$C$17</f>
        <v>183.28799999999998</v>
      </c>
      <c r="H15" s="7">
        <f>GiaDinh!$C$21</f>
        <v>1.2250000000000001</v>
      </c>
      <c r="I15" s="7">
        <f>GiaDinh!$C$15</f>
        <v>15</v>
      </c>
      <c r="J15" s="7">
        <f t="shared" si="0"/>
        <v>13</v>
      </c>
      <c r="K15" s="12">
        <f>J15*GiaDinh!$C$16</f>
        <v>91</v>
      </c>
      <c r="L15" s="7">
        <f t="shared" si="1"/>
        <v>3</v>
      </c>
      <c r="M15" s="12">
        <f t="shared" si="2"/>
        <v>45</v>
      </c>
      <c r="N15" s="7">
        <f>L15*ROUNDUP(I15/GiaDinh!$C$5-0.0005,0)</f>
        <v>9</v>
      </c>
      <c r="O15" s="7">
        <f>L15*(ROUNDUP(I15/GiaDinh!$C$5-0.0005,0)-1)</f>
        <v>6</v>
      </c>
      <c r="P15" s="7">
        <f t="shared" si="3"/>
        <v>39</v>
      </c>
      <c r="Q15" s="7">
        <f t="shared" si="4"/>
        <v>78</v>
      </c>
      <c r="R15" s="7">
        <f t="shared" si="5"/>
        <v>39</v>
      </c>
      <c r="S15" s="13">
        <f>M15*GiaDinh!$C$7</f>
        <v>135.44999999999999</v>
      </c>
    </row>
    <row r="16" spans="1:19" ht="31" x14ac:dyDescent="0.35">
      <c r="A16" s="7" t="s">
        <v>6</v>
      </c>
      <c r="B16" s="7">
        <v>13</v>
      </c>
      <c r="C16" s="7" t="s">
        <v>160</v>
      </c>
      <c r="D16" s="7" t="s">
        <v>173</v>
      </c>
      <c r="E16" s="7">
        <v>2</v>
      </c>
      <c r="F16" s="7">
        <v>109.1</v>
      </c>
      <c r="G16" s="12">
        <f>E16*F16*GiaDinh!$C$18*GiaDinh!$C$17</f>
        <v>183.28799999999998</v>
      </c>
      <c r="H16" s="7">
        <f>GiaDinh!$C$21</f>
        <v>1.2250000000000001</v>
      </c>
      <c r="I16" s="7">
        <f>GiaDinh!$C$15</f>
        <v>15</v>
      </c>
      <c r="J16" s="7">
        <f t="shared" si="0"/>
        <v>13</v>
      </c>
      <c r="K16" s="12">
        <f>J16*GiaDinh!$C$16</f>
        <v>91</v>
      </c>
      <c r="L16" s="7">
        <f t="shared" si="1"/>
        <v>3</v>
      </c>
      <c r="M16" s="12">
        <f t="shared" si="2"/>
        <v>45</v>
      </c>
      <c r="N16" s="7">
        <f>L16*ROUNDUP(I16/GiaDinh!$C$5-0.0005,0)</f>
        <v>9</v>
      </c>
      <c r="O16" s="7">
        <f>L16*(ROUNDUP(I16/GiaDinh!$C$5-0.0005,0)-1)</f>
        <v>6</v>
      </c>
      <c r="P16" s="7">
        <f t="shared" si="3"/>
        <v>39</v>
      </c>
      <c r="Q16" s="7">
        <f t="shared" si="4"/>
        <v>78</v>
      </c>
      <c r="R16" s="7">
        <f t="shared" si="5"/>
        <v>39</v>
      </c>
      <c r="S16" s="13">
        <f>M16*GiaDinh!$C$7</f>
        <v>135.44999999999999</v>
      </c>
    </row>
    <row r="17" spans="1:19" ht="31" x14ac:dyDescent="0.35">
      <c r="A17" s="7" t="s">
        <v>6</v>
      </c>
      <c r="B17" s="7">
        <v>14</v>
      </c>
      <c r="C17" s="7" t="s">
        <v>160</v>
      </c>
      <c r="D17" s="7" t="s">
        <v>174</v>
      </c>
      <c r="E17" s="7">
        <v>2</v>
      </c>
      <c r="F17" s="7">
        <v>109.1</v>
      </c>
      <c r="G17" s="12">
        <f>E17*F17*GiaDinh!$C$18*GiaDinh!$C$17</f>
        <v>183.28799999999998</v>
      </c>
      <c r="H17" s="7">
        <f>GiaDinh!$C$21</f>
        <v>1.2250000000000001</v>
      </c>
      <c r="I17" s="7">
        <f>GiaDinh!$C$15</f>
        <v>15</v>
      </c>
      <c r="J17" s="7">
        <f t="shared" si="0"/>
        <v>13</v>
      </c>
      <c r="K17" s="12">
        <f>J17*GiaDinh!$C$16</f>
        <v>91</v>
      </c>
      <c r="L17" s="7">
        <f t="shared" si="1"/>
        <v>3</v>
      </c>
      <c r="M17" s="12">
        <f t="shared" si="2"/>
        <v>45</v>
      </c>
      <c r="N17" s="7">
        <f>L17*ROUNDUP(I17/GiaDinh!$C$5-0.0005,0)</f>
        <v>9</v>
      </c>
      <c r="O17" s="7">
        <f>L17*(ROUNDUP(I17/GiaDinh!$C$5-0.0005,0)-1)</f>
        <v>6</v>
      </c>
      <c r="P17" s="7">
        <f t="shared" si="3"/>
        <v>39</v>
      </c>
      <c r="Q17" s="7">
        <f t="shared" si="4"/>
        <v>78</v>
      </c>
      <c r="R17" s="7">
        <f t="shared" si="5"/>
        <v>39</v>
      </c>
      <c r="S17" s="13">
        <f>M17*GiaDinh!$C$7</f>
        <v>135.44999999999999</v>
      </c>
    </row>
    <row r="18" spans="1:19" ht="31" x14ac:dyDescent="0.35">
      <c r="A18" s="7" t="s">
        <v>6</v>
      </c>
      <c r="B18" s="7">
        <v>15</v>
      </c>
      <c r="C18" s="7" t="s">
        <v>160</v>
      </c>
      <c r="D18" s="7" t="s">
        <v>175</v>
      </c>
      <c r="E18" s="7">
        <v>2</v>
      </c>
      <c r="F18" s="7">
        <v>109.1</v>
      </c>
      <c r="G18" s="12">
        <f>E18*F18*GiaDinh!$C$18*GiaDinh!$C$17</f>
        <v>183.28799999999998</v>
      </c>
      <c r="H18" s="7">
        <f>GiaDinh!$C$21</f>
        <v>1.2250000000000001</v>
      </c>
      <c r="I18" s="7">
        <f>GiaDinh!$C$15</f>
        <v>15</v>
      </c>
      <c r="J18" s="7">
        <f t="shared" si="0"/>
        <v>13</v>
      </c>
      <c r="K18" s="12">
        <f>J18*GiaDinh!$C$16</f>
        <v>91</v>
      </c>
      <c r="L18" s="7">
        <f t="shared" si="1"/>
        <v>3</v>
      </c>
      <c r="M18" s="12">
        <f t="shared" si="2"/>
        <v>45</v>
      </c>
      <c r="N18" s="7">
        <f>L18*ROUNDUP(I18/GiaDinh!$C$5-0.0005,0)</f>
        <v>9</v>
      </c>
      <c r="O18" s="7">
        <f>L18*(ROUNDUP(I18/GiaDinh!$C$5-0.0005,0)-1)</f>
        <v>6</v>
      </c>
      <c r="P18" s="7">
        <f t="shared" si="3"/>
        <v>39</v>
      </c>
      <c r="Q18" s="7">
        <f t="shared" si="4"/>
        <v>78</v>
      </c>
      <c r="R18" s="7">
        <f t="shared" si="5"/>
        <v>39</v>
      </c>
      <c r="S18" s="13">
        <f>M18*GiaDinh!$C$7</f>
        <v>135.44999999999999</v>
      </c>
    </row>
    <row r="19" spans="1:19" ht="31" x14ac:dyDescent="0.35">
      <c r="A19" s="7" t="s">
        <v>6</v>
      </c>
      <c r="B19" s="7">
        <v>16</v>
      </c>
      <c r="C19" s="7" t="s">
        <v>160</v>
      </c>
      <c r="D19" s="7" t="s">
        <v>176</v>
      </c>
      <c r="E19" s="7">
        <v>2</v>
      </c>
      <c r="F19" s="7">
        <v>109.1</v>
      </c>
      <c r="G19" s="12">
        <f>E19*F19*GiaDinh!$C$18*GiaDinh!$C$17</f>
        <v>183.28799999999998</v>
      </c>
      <c r="H19" s="7">
        <f>GiaDinh!$C$21</f>
        <v>1.2250000000000001</v>
      </c>
      <c r="I19" s="7">
        <f>GiaDinh!$C$15</f>
        <v>15</v>
      </c>
      <c r="J19" s="7">
        <f t="shared" si="0"/>
        <v>13</v>
      </c>
      <c r="K19" s="12">
        <f>J19*GiaDinh!$C$16</f>
        <v>91</v>
      </c>
      <c r="L19" s="7">
        <f t="shared" si="1"/>
        <v>3</v>
      </c>
      <c r="M19" s="12">
        <f t="shared" si="2"/>
        <v>45</v>
      </c>
      <c r="N19" s="7">
        <f>L19*ROUNDUP(I19/GiaDinh!$C$5-0.0005,0)</f>
        <v>9</v>
      </c>
      <c r="O19" s="7">
        <f>L19*(ROUNDUP(I19/GiaDinh!$C$5-0.0005,0)-1)</f>
        <v>6</v>
      </c>
      <c r="P19" s="7">
        <f t="shared" si="3"/>
        <v>39</v>
      </c>
      <c r="Q19" s="7">
        <f t="shared" si="4"/>
        <v>78</v>
      </c>
      <c r="R19" s="7">
        <f t="shared" si="5"/>
        <v>39</v>
      </c>
      <c r="S19" s="13">
        <f>M19*GiaDinh!$C$7</f>
        <v>135.44999999999999</v>
      </c>
    </row>
    <row r="20" spans="1:19" ht="31" x14ac:dyDescent="0.35">
      <c r="A20" s="7" t="s">
        <v>6</v>
      </c>
      <c r="B20" s="7">
        <v>17</v>
      </c>
      <c r="C20" s="7" t="s">
        <v>160</v>
      </c>
      <c r="D20" s="7" t="s">
        <v>177</v>
      </c>
      <c r="E20" s="7">
        <v>2</v>
      </c>
      <c r="F20" s="7">
        <v>109.1</v>
      </c>
      <c r="G20" s="12">
        <f>E20*F20*GiaDinh!$C$18*GiaDinh!$C$17</f>
        <v>183.28799999999998</v>
      </c>
      <c r="H20" s="7">
        <f>GiaDinh!$C$21</f>
        <v>1.2250000000000001</v>
      </c>
      <c r="I20" s="7">
        <f>GiaDinh!$C$15</f>
        <v>15</v>
      </c>
      <c r="J20" s="7">
        <f t="shared" si="0"/>
        <v>13</v>
      </c>
      <c r="K20" s="12">
        <f>J20*GiaDinh!$C$16</f>
        <v>91</v>
      </c>
      <c r="L20" s="7">
        <f t="shared" si="1"/>
        <v>3</v>
      </c>
      <c r="M20" s="12">
        <f t="shared" si="2"/>
        <v>45</v>
      </c>
      <c r="N20" s="7">
        <f>L20*ROUNDUP(I20/GiaDinh!$C$5-0.0005,0)</f>
        <v>9</v>
      </c>
      <c r="O20" s="7">
        <f>L20*(ROUNDUP(I20/GiaDinh!$C$5-0.0005,0)-1)</f>
        <v>6</v>
      </c>
      <c r="P20" s="7">
        <f t="shared" si="3"/>
        <v>39</v>
      </c>
      <c r="Q20" s="7">
        <f t="shared" si="4"/>
        <v>78</v>
      </c>
      <c r="R20" s="7">
        <f t="shared" si="5"/>
        <v>39</v>
      </c>
      <c r="S20" s="13">
        <f>M20*GiaDinh!$C$7</f>
        <v>135.44999999999999</v>
      </c>
    </row>
    <row r="21" spans="1:19" ht="31" x14ac:dyDescent="0.35">
      <c r="A21" s="7" t="s">
        <v>6</v>
      </c>
      <c r="B21" s="7">
        <v>18</v>
      </c>
      <c r="C21" s="7" t="s">
        <v>160</v>
      </c>
      <c r="D21" s="7" t="s">
        <v>178</v>
      </c>
      <c r="E21" s="7">
        <v>2</v>
      </c>
      <c r="F21" s="7">
        <v>109.1</v>
      </c>
      <c r="G21" s="12">
        <f>E21*F21*GiaDinh!$C$18*GiaDinh!$C$17</f>
        <v>183.28799999999998</v>
      </c>
      <c r="H21" s="7">
        <f>GiaDinh!$C$21</f>
        <v>1.2250000000000001</v>
      </c>
      <c r="I21" s="7">
        <f>GiaDinh!$C$15</f>
        <v>15</v>
      </c>
      <c r="J21" s="7">
        <f t="shared" si="0"/>
        <v>13</v>
      </c>
      <c r="K21" s="12">
        <f>J21*GiaDinh!$C$16</f>
        <v>91</v>
      </c>
      <c r="L21" s="7">
        <f t="shared" si="1"/>
        <v>3</v>
      </c>
      <c r="M21" s="12">
        <f t="shared" si="2"/>
        <v>45</v>
      </c>
      <c r="N21" s="7">
        <f>L21*ROUNDUP(I21/GiaDinh!$C$5-0.0005,0)</f>
        <v>9</v>
      </c>
      <c r="O21" s="7">
        <f>L21*(ROUNDUP(I21/GiaDinh!$C$5-0.0005,0)-1)</f>
        <v>6</v>
      </c>
      <c r="P21" s="7">
        <f t="shared" si="3"/>
        <v>39</v>
      </c>
      <c r="Q21" s="7">
        <f t="shared" si="4"/>
        <v>78</v>
      </c>
      <c r="R21" s="7">
        <f t="shared" si="5"/>
        <v>39</v>
      </c>
      <c r="S21" s="13">
        <f>M21*GiaDinh!$C$7</f>
        <v>135.44999999999999</v>
      </c>
    </row>
    <row r="22" spans="1:19" ht="46.5" x14ac:dyDescent="0.35">
      <c r="A22" s="7" t="s">
        <v>6</v>
      </c>
      <c r="B22" s="7">
        <v>19</v>
      </c>
      <c r="C22" s="7" t="s">
        <v>179</v>
      </c>
      <c r="D22" s="7" t="s">
        <v>180</v>
      </c>
      <c r="E22" s="7">
        <v>1</v>
      </c>
      <c r="F22" s="7">
        <v>109.1</v>
      </c>
      <c r="G22" s="12">
        <f>E22*F22*GiaDinh!$C$18*GiaDinh!$C$17</f>
        <v>91.643999999999991</v>
      </c>
      <c r="H22" s="7">
        <f>GiaDinh!$C$21</f>
        <v>1.2250000000000001</v>
      </c>
      <c r="I22" s="7">
        <f>GiaDinh!$C$15</f>
        <v>15</v>
      </c>
      <c r="J22" s="7">
        <f t="shared" si="0"/>
        <v>13</v>
      </c>
      <c r="K22" s="12">
        <f>J22*GiaDinh!$C$16</f>
        <v>91</v>
      </c>
      <c r="L22" s="7">
        <f t="shared" si="1"/>
        <v>2</v>
      </c>
      <c r="M22" s="12">
        <f t="shared" si="2"/>
        <v>30</v>
      </c>
      <c r="N22" s="7">
        <f>L22*ROUNDUP(I22/GiaDinh!$C$5-0.0005,0)</f>
        <v>6</v>
      </c>
      <c r="O22" s="7">
        <f>L22*(ROUNDUP(I22/GiaDinh!$C$5-0.0005,0)-1)</f>
        <v>4</v>
      </c>
      <c r="P22" s="7">
        <f t="shared" si="3"/>
        <v>26</v>
      </c>
      <c r="Q22" s="7">
        <f t="shared" si="4"/>
        <v>52</v>
      </c>
      <c r="R22" s="7">
        <f t="shared" si="5"/>
        <v>26</v>
      </c>
      <c r="S22" s="13">
        <f>M22*GiaDinh!$C$7</f>
        <v>90.3</v>
      </c>
    </row>
    <row r="23" spans="1:19" ht="46.5" x14ac:dyDescent="0.35">
      <c r="A23" s="7" t="s">
        <v>6</v>
      </c>
      <c r="B23" s="7">
        <v>20</v>
      </c>
      <c r="C23" s="7" t="s">
        <v>179</v>
      </c>
      <c r="D23" s="7" t="s">
        <v>181</v>
      </c>
      <c r="E23" s="7">
        <v>1</v>
      </c>
      <c r="F23" s="7">
        <v>109.1</v>
      </c>
      <c r="G23" s="12">
        <f>E23*F23*GiaDinh!$C$18*GiaDinh!$C$17</f>
        <v>91.643999999999991</v>
      </c>
      <c r="H23" s="7">
        <f>GiaDinh!$C$21</f>
        <v>1.2250000000000001</v>
      </c>
      <c r="I23" s="7">
        <f>GiaDinh!$C$15</f>
        <v>15</v>
      </c>
      <c r="J23" s="7">
        <f t="shared" si="0"/>
        <v>13</v>
      </c>
      <c r="K23" s="12">
        <f>J23*GiaDinh!$C$16</f>
        <v>91</v>
      </c>
      <c r="L23" s="7">
        <f t="shared" si="1"/>
        <v>2</v>
      </c>
      <c r="M23" s="12">
        <f t="shared" si="2"/>
        <v>30</v>
      </c>
      <c r="N23" s="7">
        <f>L23*ROUNDUP(I23/GiaDinh!$C$5-0.0005,0)</f>
        <v>6</v>
      </c>
      <c r="O23" s="7">
        <f>L23*(ROUNDUP(I23/GiaDinh!$C$5-0.0005,0)-1)</f>
        <v>4</v>
      </c>
      <c r="P23" s="7">
        <f t="shared" si="3"/>
        <v>26</v>
      </c>
      <c r="Q23" s="7">
        <f t="shared" si="4"/>
        <v>52</v>
      </c>
      <c r="R23" s="7">
        <f t="shared" si="5"/>
        <v>26</v>
      </c>
      <c r="S23" s="13">
        <f>M23*GiaDinh!$C$7</f>
        <v>90.3</v>
      </c>
    </row>
    <row r="24" spans="1:19" ht="46.5" x14ac:dyDescent="0.35">
      <c r="A24" s="7" t="s">
        <v>6</v>
      </c>
      <c r="B24" s="7">
        <v>21</v>
      </c>
      <c r="C24" s="7" t="s">
        <v>179</v>
      </c>
      <c r="D24" s="7" t="s">
        <v>182</v>
      </c>
      <c r="E24" s="7">
        <v>1</v>
      </c>
      <c r="F24" s="7">
        <v>109.1</v>
      </c>
      <c r="G24" s="12">
        <f>E24*F24*GiaDinh!$C$18*GiaDinh!$C$17</f>
        <v>91.643999999999991</v>
      </c>
      <c r="H24" s="7">
        <f>GiaDinh!$C$21</f>
        <v>1.2250000000000001</v>
      </c>
      <c r="I24" s="7">
        <f>GiaDinh!$C$15</f>
        <v>15</v>
      </c>
      <c r="J24" s="7">
        <f t="shared" si="0"/>
        <v>13</v>
      </c>
      <c r="K24" s="12">
        <f>J24*GiaDinh!$C$16</f>
        <v>91</v>
      </c>
      <c r="L24" s="7">
        <f t="shared" si="1"/>
        <v>2</v>
      </c>
      <c r="M24" s="12">
        <f t="shared" si="2"/>
        <v>30</v>
      </c>
      <c r="N24" s="7">
        <f>L24*ROUNDUP(I24/GiaDinh!$C$5-0.0005,0)</f>
        <v>6</v>
      </c>
      <c r="O24" s="7">
        <f>L24*(ROUNDUP(I24/GiaDinh!$C$5-0.0005,0)-1)</f>
        <v>4</v>
      </c>
      <c r="P24" s="7">
        <f t="shared" si="3"/>
        <v>26</v>
      </c>
      <c r="Q24" s="7">
        <f t="shared" si="4"/>
        <v>52</v>
      </c>
      <c r="R24" s="7">
        <f t="shared" si="5"/>
        <v>26</v>
      </c>
      <c r="S24" s="13">
        <f>M24*GiaDinh!$C$7</f>
        <v>90.3</v>
      </c>
    </row>
    <row r="25" spans="1:19" ht="46.5" x14ac:dyDescent="0.35">
      <c r="A25" s="7" t="s">
        <v>6</v>
      </c>
      <c r="B25" s="7">
        <v>22</v>
      </c>
      <c r="C25" s="7" t="s">
        <v>179</v>
      </c>
      <c r="D25" s="7" t="s">
        <v>183</v>
      </c>
      <c r="E25" s="7">
        <v>1</v>
      </c>
      <c r="F25" s="7">
        <v>109.1</v>
      </c>
      <c r="G25" s="12">
        <f>E25*F25*GiaDinh!$C$18*GiaDinh!$C$17</f>
        <v>91.643999999999991</v>
      </c>
      <c r="H25" s="7">
        <f>GiaDinh!$C$21</f>
        <v>1.2250000000000001</v>
      </c>
      <c r="I25" s="7">
        <f>GiaDinh!$C$15</f>
        <v>15</v>
      </c>
      <c r="J25" s="7">
        <f t="shared" si="0"/>
        <v>13</v>
      </c>
      <c r="K25" s="12">
        <f>J25*GiaDinh!$C$16</f>
        <v>91</v>
      </c>
      <c r="L25" s="7">
        <f t="shared" si="1"/>
        <v>2</v>
      </c>
      <c r="M25" s="12">
        <f t="shared" si="2"/>
        <v>30</v>
      </c>
      <c r="N25" s="7">
        <f>L25*ROUNDUP(I25/GiaDinh!$C$5-0.0005,0)</f>
        <v>6</v>
      </c>
      <c r="O25" s="7">
        <f>L25*(ROUNDUP(I25/GiaDinh!$C$5-0.0005,0)-1)</f>
        <v>4</v>
      </c>
      <c r="P25" s="7">
        <f t="shared" si="3"/>
        <v>26</v>
      </c>
      <c r="Q25" s="7">
        <f t="shared" si="4"/>
        <v>52</v>
      </c>
      <c r="R25" s="7">
        <f t="shared" si="5"/>
        <v>26</v>
      </c>
      <c r="S25" s="13">
        <f>M25*GiaDinh!$C$7</f>
        <v>90.3</v>
      </c>
    </row>
    <row r="26" spans="1:19" ht="46.5" x14ac:dyDescent="0.35">
      <c r="A26" s="7" t="s">
        <v>6</v>
      </c>
      <c r="B26" s="7">
        <v>23</v>
      </c>
      <c r="C26" s="7" t="s">
        <v>179</v>
      </c>
      <c r="D26" s="7" t="s">
        <v>184</v>
      </c>
      <c r="E26" s="7">
        <v>1</v>
      </c>
      <c r="F26" s="7">
        <v>109.1</v>
      </c>
      <c r="G26" s="12">
        <f>E26*F26*GiaDinh!$C$18*GiaDinh!$C$17</f>
        <v>91.643999999999991</v>
      </c>
      <c r="H26" s="7">
        <f>GiaDinh!$C$21</f>
        <v>1.2250000000000001</v>
      </c>
      <c r="I26" s="7">
        <f>GiaDinh!$C$15</f>
        <v>15</v>
      </c>
      <c r="J26" s="7">
        <f t="shared" si="0"/>
        <v>13</v>
      </c>
      <c r="K26" s="12">
        <f>J26*GiaDinh!$C$16</f>
        <v>91</v>
      </c>
      <c r="L26" s="7">
        <f t="shared" si="1"/>
        <v>2</v>
      </c>
      <c r="M26" s="12">
        <f t="shared" si="2"/>
        <v>30</v>
      </c>
      <c r="N26" s="7">
        <f>L26*ROUNDUP(I26/GiaDinh!$C$5-0.0005,0)</f>
        <v>6</v>
      </c>
      <c r="O26" s="7">
        <f>L26*(ROUNDUP(I26/GiaDinh!$C$5-0.0005,0)-1)</f>
        <v>4</v>
      </c>
      <c r="P26" s="7">
        <f t="shared" si="3"/>
        <v>26</v>
      </c>
      <c r="Q26" s="7">
        <f t="shared" si="4"/>
        <v>52</v>
      </c>
      <c r="R26" s="7">
        <f t="shared" si="5"/>
        <v>26</v>
      </c>
      <c r="S26" s="13">
        <f>M26*GiaDinh!$C$7</f>
        <v>90.3</v>
      </c>
    </row>
    <row r="27" spans="1:19" ht="46.5" x14ac:dyDescent="0.35">
      <c r="A27" s="7" t="s">
        <v>6</v>
      </c>
      <c r="B27" s="7">
        <v>24</v>
      </c>
      <c r="C27" s="7" t="s">
        <v>179</v>
      </c>
      <c r="D27" s="7" t="s">
        <v>185</v>
      </c>
      <c r="E27" s="7">
        <v>1</v>
      </c>
      <c r="F27" s="7">
        <v>109.1</v>
      </c>
      <c r="G27" s="12">
        <f>E27*F27*GiaDinh!$C$18*GiaDinh!$C$17</f>
        <v>91.643999999999991</v>
      </c>
      <c r="H27" s="7">
        <f>GiaDinh!$C$21</f>
        <v>1.2250000000000001</v>
      </c>
      <c r="I27" s="7">
        <f>GiaDinh!$C$15</f>
        <v>15</v>
      </c>
      <c r="J27" s="7">
        <f t="shared" si="0"/>
        <v>13</v>
      </c>
      <c r="K27" s="12">
        <f>J27*GiaDinh!$C$16</f>
        <v>91</v>
      </c>
      <c r="L27" s="7">
        <f t="shared" si="1"/>
        <v>2</v>
      </c>
      <c r="M27" s="12">
        <f t="shared" si="2"/>
        <v>30</v>
      </c>
      <c r="N27" s="7">
        <f>L27*ROUNDUP(I27/GiaDinh!$C$5-0.0005,0)</f>
        <v>6</v>
      </c>
      <c r="O27" s="7">
        <f>L27*(ROUNDUP(I27/GiaDinh!$C$5-0.0005,0)-1)</f>
        <v>4</v>
      </c>
      <c r="P27" s="7">
        <f t="shared" si="3"/>
        <v>26</v>
      </c>
      <c r="Q27" s="7">
        <f t="shared" si="4"/>
        <v>52</v>
      </c>
      <c r="R27" s="7">
        <f t="shared" si="5"/>
        <v>26</v>
      </c>
      <c r="S27" s="13">
        <f>M27*GiaDinh!$C$7</f>
        <v>90.3</v>
      </c>
    </row>
    <row r="28" spans="1:19" ht="46.5" x14ac:dyDescent="0.35">
      <c r="A28" s="7" t="s">
        <v>6</v>
      </c>
      <c r="B28" s="7">
        <v>25</v>
      </c>
      <c r="C28" s="7" t="s">
        <v>179</v>
      </c>
      <c r="D28" s="7" t="s">
        <v>186</v>
      </c>
      <c r="E28" s="7">
        <v>1</v>
      </c>
      <c r="F28" s="7">
        <v>109.1</v>
      </c>
      <c r="G28" s="12">
        <f>E28*F28*GiaDinh!$C$18*GiaDinh!$C$17</f>
        <v>91.643999999999991</v>
      </c>
      <c r="H28" s="7">
        <f>GiaDinh!$C$21</f>
        <v>1.2250000000000001</v>
      </c>
      <c r="I28" s="7">
        <f>GiaDinh!$C$15</f>
        <v>15</v>
      </c>
      <c r="J28" s="7">
        <f t="shared" si="0"/>
        <v>13</v>
      </c>
      <c r="K28" s="12">
        <f>J28*GiaDinh!$C$16</f>
        <v>91</v>
      </c>
      <c r="L28" s="7">
        <f t="shared" si="1"/>
        <v>2</v>
      </c>
      <c r="M28" s="12">
        <f t="shared" si="2"/>
        <v>30</v>
      </c>
      <c r="N28" s="7">
        <f>L28*ROUNDUP(I28/GiaDinh!$C$5-0.0005,0)</f>
        <v>6</v>
      </c>
      <c r="O28" s="7">
        <f>L28*(ROUNDUP(I28/GiaDinh!$C$5-0.0005,0)-1)</f>
        <v>4</v>
      </c>
      <c r="P28" s="7">
        <f t="shared" si="3"/>
        <v>26</v>
      </c>
      <c r="Q28" s="7">
        <f t="shared" si="4"/>
        <v>52</v>
      </c>
      <c r="R28" s="7">
        <f t="shared" si="5"/>
        <v>26</v>
      </c>
      <c r="S28" s="13">
        <f>M28*GiaDinh!$C$7</f>
        <v>90.3</v>
      </c>
    </row>
    <row r="29" spans="1:19" ht="46.5" x14ac:dyDescent="0.35">
      <c r="A29" s="7" t="s">
        <v>6</v>
      </c>
      <c r="B29" s="7">
        <v>26</v>
      </c>
      <c r="C29" s="7" t="s">
        <v>179</v>
      </c>
      <c r="D29" s="7" t="s">
        <v>187</v>
      </c>
      <c r="E29" s="7">
        <v>1</v>
      </c>
      <c r="F29" s="7">
        <v>109.1</v>
      </c>
      <c r="G29" s="12">
        <f>E29*F29*GiaDinh!$C$18*GiaDinh!$C$17</f>
        <v>91.643999999999991</v>
      </c>
      <c r="H29" s="7">
        <f>GiaDinh!$C$21</f>
        <v>1.2250000000000001</v>
      </c>
      <c r="I29" s="7">
        <f>GiaDinh!$C$15</f>
        <v>15</v>
      </c>
      <c r="J29" s="7">
        <f t="shared" si="0"/>
        <v>13</v>
      </c>
      <c r="K29" s="12">
        <f>J29*GiaDinh!$C$16</f>
        <v>91</v>
      </c>
      <c r="L29" s="7">
        <f t="shared" si="1"/>
        <v>2</v>
      </c>
      <c r="M29" s="12">
        <f t="shared" si="2"/>
        <v>30</v>
      </c>
      <c r="N29" s="7">
        <f>L29*ROUNDUP(I29/GiaDinh!$C$5-0.0005,0)</f>
        <v>6</v>
      </c>
      <c r="O29" s="7">
        <f>L29*(ROUNDUP(I29/GiaDinh!$C$5-0.0005,0)-1)</f>
        <v>4</v>
      </c>
      <c r="P29" s="7">
        <f t="shared" si="3"/>
        <v>26</v>
      </c>
      <c r="Q29" s="7">
        <f t="shared" si="4"/>
        <v>52</v>
      </c>
      <c r="R29" s="7">
        <f t="shared" si="5"/>
        <v>26</v>
      </c>
      <c r="S29" s="13">
        <f>M29*GiaDinh!$C$7</f>
        <v>90.3</v>
      </c>
    </row>
    <row r="30" spans="1:19" ht="46.5" x14ac:dyDescent="0.35">
      <c r="A30" s="7" t="s">
        <v>6</v>
      </c>
      <c r="B30" s="7">
        <v>27</v>
      </c>
      <c r="C30" s="7" t="s">
        <v>179</v>
      </c>
      <c r="D30" s="7" t="s">
        <v>188</v>
      </c>
      <c r="E30" s="7">
        <v>1</v>
      </c>
      <c r="F30" s="7">
        <v>109.1</v>
      </c>
      <c r="G30" s="12">
        <f>E30*F30*GiaDinh!$C$18*GiaDinh!$C$17</f>
        <v>91.643999999999991</v>
      </c>
      <c r="H30" s="7">
        <f>GiaDinh!$C$21</f>
        <v>1.2250000000000001</v>
      </c>
      <c r="I30" s="7">
        <f>GiaDinh!$C$15</f>
        <v>15</v>
      </c>
      <c r="J30" s="7">
        <f t="shared" si="0"/>
        <v>13</v>
      </c>
      <c r="K30" s="12">
        <f>J30*GiaDinh!$C$16</f>
        <v>91</v>
      </c>
      <c r="L30" s="7">
        <f t="shared" si="1"/>
        <v>2</v>
      </c>
      <c r="M30" s="12">
        <f t="shared" si="2"/>
        <v>30</v>
      </c>
      <c r="N30" s="7">
        <f>L30*ROUNDUP(I30/GiaDinh!$C$5-0.0005,0)</f>
        <v>6</v>
      </c>
      <c r="O30" s="7">
        <f>L30*(ROUNDUP(I30/GiaDinh!$C$5-0.0005,0)-1)</f>
        <v>4</v>
      </c>
      <c r="P30" s="7">
        <f t="shared" si="3"/>
        <v>26</v>
      </c>
      <c r="Q30" s="7">
        <f t="shared" si="4"/>
        <v>52</v>
      </c>
      <c r="R30" s="7">
        <f t="shared" si="5"/>
        <v>26</v>
      </c>
      <c r="S30" s="13">
        <f>M30*GiaDinh!$C$7</f>
        <v>90.3</v>
      </c>
    </row>
    <row r="31" spans="1:19" ht="46.5" x14ac:dyDescent="0.35">
      <c r="A31" s="7" t="s">
        <v>6</v>
      </c>
      <c r="B31" s="7">
        <v>28</v>
      </c>
      <c r="C31" s="7" t="s">
        <v>179</v>
      </c>
      <c r="D31" s="7" t="s">
        <v>189</v>
      </c>
      <c r="E31" s="7">
        <v>1</v>
      </c>
      <c r="F31" s="7">
        <v>109.1</v>
      </c>
      <c r="G31" s="12">
        <f>E31*F31*GiaDinh!$C$18*GiaDinh!$C$17</f>
        <v>91.643999999999991</v>
      </c>
      <c r="H31" s="7">
        <f>GiaDinh!$C$21</f>
        <v>1.2250000000000001</v>
      </c>
      <c r="I31" s="7">
        <f>GiaDinh!$C$15</f>
        <v>15</v>
      </c>
      <c r="J31" s="7">
        <f t="shared" si="0"/>
        <v>13</v>
      </c>
      <c r="K31" s="12">
        <f>J31*GiaDinh!$C$16</f>
        <v>91</v>
      </c>
      <c r="L31" s="7">
        <f t="shared" si="1"/>
        <v>2</v>
      </c>
      <c r="M31" s="12">
        <f t="shared" si="2"/>
        <v>30</v>
      </c>
      <c r="N31" s="7">
        <f>L31*ROUNDUP(I31/GiaDinh!$C$5-0.0005,0)</f>
        <v>6</v>
      </c>
      <c r="O31" s="7">
        <f>L31*(ROUNDUP(I31/GiaDinh!$C$5-0.0005,0)-1)</f>
        <v>4</v>
      </c>
      <c r="P31" s="7">
        <f t="shared" si="3"/>
        <v>26</v>
      </c>
      <c r="Q31" s="7">
        <f t="shared" si="4"/>
        <v>52</v>
      </c>
      <c r="R31" s="7">
        <f t="shared" si="5"/>
        <v>26</v>
      </c>
      <c r="S31" s="13">
        <f>M31*GiaDinh!$C$7</f>
        <v>90.3</v>
      </c>
    </row>
    <row r="32" spans="1:19" ht="46.5" x14ac:dyDescent="0.35">
      <c r="A32" s="7" t="s">
        <v>6</v>
      </c>
      <c r="B32" s="7">
        <v>29</v>
      </c>
      <c r="C32" s="7" t="s">
        <v>179</v>
      </c>
      <c r="D32" s="7" t="s">
        <v>190</v>
      </c>
      <c r="E32" s="7">
        <v>1</v>
      </c>
      <c r="F32" s="7">
        <v>109.1</v>
      </c>
      <c r="G32" s="12">
        <f>E32*F32*GiaDinh!$C$18*GiaDinh!$C$17</f>
        <v>91.643999999999991</v>
      </c>
      <c r="H32" s="7">
        <f>GiaDinh!$C$21</f>
        <v>1.2250000000000001</v>
      </c>
      <c r="I32" s="7">
        <f>GiaDinh!$C$15</f>
        <v>15</v>
      </c>
      <c r="J32" s="7">
        <f t="shared" si="0"/>
        <v>13</v>
      </c>
      <c r="K32" s="12">
        <f>J32*GiaDinh!$C$16</f>
        <v>91</v>
      </c>
      <c r="L32" s="7">
        <f t="shared" si="1"/>
        <v>2</v>
      </c>
      <c r="M32" s="12">
        <f t="shared" si="2"/>
        <v>30</v>
      </c>
      <c r="N32" s="7">
        <f>L32*ROUNDUP(I32/GiaDinh!$C$5-0.0005,0)</f>
        <v>6</v>
      </c>
      <c r="O32" s="7">
        <f>L32*(ROUNDUP(I32/GiaDinh!$C$5-0.0005,0)-1)</f>
        <v>4</v>
      </c>
      <c r="P32" s="7">
        <f t="shared" si="3"/>
        <v>26</v>
      </c>
      <c r="Q32" s="7">
        <f t="shared" si="4"/>
        <v>52</v>
      </c>
      <c r="R32" s="7">
        <f t="shared" si="5"/>
        <v>26</v>
      </c>
      <c r="S32" s="13">
        <f>M32*GiaDinh!$C$7</f>
        <v>90.3</v>
      </c>
    </row>
    <row r="33" spans="1:19" ht="46.5" x14ac:dyDescent="0.35">
      <c r="A33" s="7" t="s">
        <v>6</v>
      </c>
      <c r="B33" s="7">
        <v>30</v>
      </c>
      <c r="C33" s="7" t="s">
        <v>179</v>
      </c>
      <c r="D33" s="7" t="s">
        <v>191</v>
      </c>
      <c r="E33" s="7">
        <v>1</v>
      </c>
      <c r="F33" s="7">
        <v>109.1</v>
      </c>
      <c r="G33" s="12">
        <f>E33*F33*GiaDinh!$C$18*GiaDinh!$C$17</f>
        <v>91.643999999999991</v>
      </c>
      <c r="H33" s="7">
        <f>GiaDinh!$C$21</f>
        <v>1.2250000000000001</v>
      </c>
      <c r="I33" s="7">
        <f>GiaDinh!$C$15</f>
        <v>15</v>
      </c>
      <c r="J33" s="7">
        <f t="shared" si="0"/>
        <v>13</v>
      </c>
      <c r="K33" s="12">
        <f>J33*GiaDinh!$C$16</f>
        <v>91</v>
      </c>
      <c r="L33" s="7">
        <f t="shared" si="1"/>
        <v>2</v>
      </c>
      <c r="M33" s="12">
        <f t="shared" si="2"/>
        <v>30</v>
      </c>
      <c r="N33" s="7">
        <f>L33*ROUNDUP(I33/GiaDinh!$C$5-0.0005,0)</f>
        <v>6</v>
      </c>
      <c r="O33" s="7">
        <f>L33*(ROUNDUP(I33/GiaDinh!$C$5-0.0005,0)-1)</f>
        <v>4</v>
      </c>
      <c r="P33" s="7">
        <f t="shared" si="3"/>
        <v>26</v>
      </c>
      <c r="Q33" s="7">
        <f t="shared" si="4"/>
        <v>52</v>
      </c>
      <c r="R33" s="7">
        <f t="shared" si="5"/>
        <v>26</v>
      </c>
      <c r="S33" s="13">
        <f>M33*GiaDinh!$C$7</f>
        <v>90.3</v>
      </c>
    </row>
    <row r="34" spans="1:19" ht="46.5" x14ac:dyDescent="0.35">
      <c r="A34" s="7" t="s">
        <v>6</v>
      </c>
      <c r="B34" s="7">
        <v>31</v>
      </c>
      <c r="C34" s="7" t="s">
        <v>179</v>
      </c>
      <c r="D34" s="7" t="s">
        <v>192</v>
      </c>
      <c r="E34" s="7">
        <v>1</v>
      </c>
      <c r="F34" s="7">
        <v>109.1</v>
      </c>
      <c r="G34" s="12">
        <f>E34*F34*GiaDinh!$C$18*GiaDinh!$C$17</f>
        <v>91.643999999999991</v>
      </c>
      <c r="H34" s="7">
        <f>GiaDinh!$C$21</f>
        <v>1.2250000000000001</v>
      </c>
      <c r="I34" s="7">
        <f>GiaDinh!$C$15</f>
        <v>15</v>
      </c>
      <c r="J34" s="7">
        <f t="shared" si="0"/>
        <v>13</v>
      </c>
      <c r="K34" s="12">
        <f>J34*GiaDinh!$C$16</f>
        <v>91</v>
      </c>
      <c r="L34" s="7">
        <f t="shared" si="1"/>
        <v>2</v>
      </c>
      <c r="M34" s="12">
        <f t="shared" si="2"/>
        <v>30</v>
      </c>
      <c r="N34" s="7">
        <f>L34*ROUNDUP(I34/GiaDinh!$C$5-0.0005,0)</f>
        <v>6</v>
      </c>
      <c r="O34" s="7">
        <f>L34*(ROUNDUP(I34/GiaDinh!$C$5-0.0005,0)-1)</f>
        <v>4</v>
      </c>
      <c r="P34" s="7">
        <f t="shared" si="3"/>
        <v>26</v>
      </c>
      <c r="Q34" s="7">
        <f t="shared" si="4"/>
        <v>52</v>
      </c>
      <c r="R34" s="7">
        <f t="shared" si="5"/>
        <v>26</v>
      </c>
      <c r="S34" s="13">
        <f>M34*GiaDinh!$C$7</f>
        <v>90.3</v>
      </c>
    </row>
    <row r="35" spans="1:19" ht="46.5" x14ac:dyDescent="0.35">
      <c r="A35" s="7" t="s">
        <v>6</v>
      </c>
      <c r="B35" s="7">
        <v>32</v>
      </c>
      <c r="C35" s="7" t="s">
        <v>179</v>
      </c>
      <c r="D35" s="7" t="s">
        <v>193</v>
      </c>
      <c r="E35" s="7">
        <v>1</v>
      </c>
      <c r="F35" s="7">
        <v>109.1</v>
      </c>
      <c r="G35" s="12">
        <f>E35*F35*GiaDinh!$C$18*GiaDinh!$C$17</f>
        <v>91.643999999999991</v>
      </c>
      <c r="H35" s="7">
        <f>GiaDinh!$C$21</f>
        <v>1.2250000000000001</v>
      </c>
      <c r="I35" s="7">
        <f>GiaDinh!$C$15</f>
        <v>15</v>
      </c>
      <c r="J35" s="7">
        <f t="shared" si="0"/>
        <v>13</v>
      </c>
      <c r="K35" s="12">
        <f>J35*GiaDinh!$C$16</f>
        <v>91</v>
      </c>
      <c r="L35" s="7">
        <f t="shared" si="1"/>
        <v>2</v>
      </c>
      <c r="M35" s="12">
        <f t="shared" si="2"/>
        <v>30</v>
      </c>
      <c r="N35" s="7">
        <f>L35*ROUNDUP(I35/GiaDinh!$C$5-0.0005,0)</f>
        <v>6</v>
      </c>
      <c r="O35" s="7">
        <f>L35*(ROUNDUP(I35/GiaDinh!$C$5-0.0005,0)-1)</f>
        <v>4</v>
      </c>
      <c r="P35" s="7">
        <f t="shared" si="3"/>
        <v>26</v>
      </c>
      <c r="Q35" s="7">
        <f t="shared" si="4"/>
        <v>52</v>
      </c>
      <c r="R35" s="7">
        <f t="shared" si="5"/>
        <v>26</v>
      </c>
      <c r="S35" s="13">
        <f>M35*GiaDinh!$C$7</f>
        <v>90.3</v>
      </c>
    </row>
    <row r="36" spans="1:19" ht="46.5" x14ac:dyDescent="0.35">
      <c r="A36" s="7" t="s">
        <v>6</v>
      </c>
      <c r="B36" s="7">
        <v>33</v>
      </c>
      <c r="C36" s="7" t="s">
        <v>179</v>
      </c>
      <c r="D36" s="7" t="s">
        <v>194</v>
      </c>
      <c r="E36" s="7">
        <v>1</v>
      </c>
      <c r="F36" s="7">
        <v>109.1</v>
      </c>
      <c r="G36" s="12">
        <f>E36*F36*GiaDinh!$C$18*GiaDinh!$C$17</f>
        <v>91.643999999999991</v>
      </c>
      <c r="H36" s="7">
        <f>GiaDinh!$C$21</f>
        <v>1.2250000000000001</v>
      </c>
      <c r="I36" s="7">
        <f>GiaDinh!$C$15</f>
        <v>15</v>
      </c>
      <c r="J36" s="7">
        <f t="shared" si="0"/>
        <v>13</v>
      </c>
      <c r="K36" s="12">
        <f>J36*GiaDinh!$C$16</f>
        <v>91</v>
      </c>
      <c r="L36" s="7">
        <f t="shared" si="1"/>
        <v>2</v>
      </c>
      <c r="M36" s="12">
        <f t="shared" si="2"/>
        <v>30</v>
      </c>
      <c r="N36" s="7">
        <f>L36*ROUNDUP(I36/GiaDinh!$C$5-0.0005,0)</f>
        <v>6</v>
      </c>
      <c r="O36" s="7">
        <f>L36*(ROUNDUP(I36/GiaDinh!$C$5-0.0005,0)-1)</f>
        <v>4</v>
      </c>
      <c r="P36" s="7">
        <f t="shared" si="3"/>
        <v>26</v>
      </c>
      <c r="Q36" s="7">
        <f t="shared" si="4"/>
        <v>52</v>
      </c>
      <c r="R36" s="7">
        <f t="shared" si="5"/>
        <v>26</v>
      </c>
      <c r="S36" s="13">
        <f>M36*GiaDinh!$C$7</f>
        <v>90.3</v>
      </c>
    </row>
    <row r="37" spans="1:19" ht="46.5" x14ac:dyDescent="0.35">
      <c r="A37" s="7" t="s">
        <v>6</v>
      </c>
      <c r="B37" s="7">
        <v>34</v>
      </c>
      <c r="C37" s="7" t="s">
        <v>179</v>
      </c>
      <c r="D37" s="7" t="s">
        <v>195</v>
      </c>
      <c r="E37" s="7">
        <v>1</v>
      </c>
      <c r="F37" s="7">
        <v>109.1</v>
      </c>
      <c r="G37" s="12">
        <f>E37*F37*GiaDinh!$C$18*GiaDinh!$C$17</f>
        <v>91.643999999999991</v>
      </c>
      <c r="H37" s="7">
        <f>GiaDinh!$C$21</f>
        <v>1.2250000000000001</v>
      </c>
      <c r="I37" s="7">
        <f>GiaDinh!$C$15</f>
        <v>15</v>
      </c>
      <c r="J37" s="7">
        <f t="shared" si="0"/>
        <v>13</v>
      </c>
      <c r="K37" s="12">
        <f>J37*GiaDinh!$C$16</f>
        <v>91</v>
      </c>
      <c r="L37" s="7">
        <f t="shared" si="1"/>
        <v>2</v>
      </c>
      <c r="M37" s="12">
        <f t="shared" si="2"/>
        <v>30</v>
      </c>
      <c r="N37" s="7">
        <f>L37*ROUNDUP(I37/GiaDinh!$C$5-0.0005,0)</f>
        <v>6</v>
      </c>
      <c r="O37" s="7">
        <f>L37*(ROUNDUP(I37/GiaDinh!$C$5-0.0005,0)-1)</f>
        <v>4</v>
      </c>
      <c r="P37" s="7">
        <f t="shared" si="3"/>
        <v>26</v>
      </c>
      <c r="Q37" s="7">
        <f t="shared" si="4"/>
        <v>52</v>
      </c>
      <c r="R37" s="7">
        <f t="shared" si="5"/>
        <v>26</v>
      </c>
      <c r="S37" s="13">
        <f>M37*GiaDinh!$C$7</f>
        <v>90.3</v>
      </c>
    </row>
    <row r="38" spans="1:19" ht="46.5" x14ac:dyDescent="0.35">
      <c r="A38" s="7" t="s">
        <v>6</v>
      </c>
      <c r="B38" s="7">
        <v>35</v>
      </c>
      <c r="C38" s="7" t="s">
        <v>179</v>
      </c>
      <c r="D38" s="7" t="s">
        <v>196</v>
      </c>
      <c r="E38" s="7">
        <v>1</v>
      </c>
      <c r="F38" s="7">
        <v>109.1</v>
      </c>
      <c r="G38" s="12">
        <f>E38*F38*GiaDinh!$C$18*GiaDinh!$C$17</f>
        <v>91.643999999999991</v>
      </c>
      <c r="H38" s="7">
        <f>GiaDinh!$C$21</f>
        <v>1.2250000000000001</v>
      </c>
      <c r="I38" s="7">
        <f>GiaDinh!$C$15</f>
        <v>15</v>
      </c>
      <c r="J38" s="7">
        <f t="shared" si="0"/>
        <v>13</v>
      </c>
      <c r="K38" s="12">
        <f>J38*GiaDinh!$C$16</f>
        <v>91</v>
      </c>
      <c r="L38" s="7">
        <f t="shared" si="1"/>
        <v>2</v>
      </c>
      <c r="M38" s="12">
        <f t="shared" si="2"/>
        <v>30</v>
      </c>
      <c r="N38" s="7">
        <f>L38*ROUNDUP(I38/GiaDinh!$C$5-0.0005,0)</f>
        <v>6</v>
      </c>
      <c r="O38" s="7">
        <f>L38*(ROUNDUP(I38/GiaDinh!$C$5-0.0005,0)-1)</f>
        <v>4</v>
      </c>
      <c r="P38" s="7">
        <f t="shared" si="3"/>
        <v>26</v>
      </c>
      <c r="Q38" s="7">
        <f t="shared" si="4"/>
        <v>52</v>
      </c>
      <c r="R38" s="7">
        <f t="shared" si="5"/>
        <v>26</v>
      </c>
      <c r="S38" s="13">
        <f>M38*GiaDinh!$C$7</f>
        <v>90.3</v>
      </c>
    </row>
    <row r="39" spans="1:19" ht="46.5" x14ac:dyDescent="0.35">
      <c r="A39" s="7" t="s">
        <v>6</v>
      </c>
      <c r="B39" s="7">
        <v>36</v>
      </c>
      <c r="C39" s="7" t="s">
        <v>179</v>
      </c>
      <c r="D39" s="7" t="s">
        <v>197</v>
      </c>
      <c r="E39" s="7">
        <v>1</v>
      </c>
      <c r="F39" s="7">
        <v>109.1</v>
      </c>
      <c r="G39" s="12">
        <f>E39*F39*GiaDinh!$C$18*GiaDinh!$C$17</f>
        <v>91.643999999999991</v>
      </c>
      <c r="H39" s="7">
        <f>GiaDinh!$C$21</f>
        <v>1.2250000000000001</v>
      </c>
      <c r="I39" s="7">
        <f>GiaDinh!$C$15</f>
        <v>15</v>
      </c>
      <c r="J39" s="7">
        <f t="shared" si="0"/>
        <v>13</v>
      </c>
      <c r="K39" s="12">
        <f>J39*GiaDinh!$C$16</f>
        <v>91</v>
      </c>
      <c r="L39" s="7">
        <f t="shared" si="1"/>
        <v>2</v>
      </c>
      <c r="M39" s="12">
        <f t="shared" si="2"/>
        <v>30</v>
      </c>
      <c r="N39" s="7">
        <f>L39*ROUNDUP(I39/GiaDinh!$C$5-0.0005,0)</f>
        <v>6</v>
      </c>
      <c r="O39" s="7">
        <f>L39*(ROUNDUP(I39/GiaDinh!$C$5-0.0005,0)-1)</f>
        <v>4</v>
      </c>
      <c r="P39" s="7">
        <f t="shared" si="3"/>
        <v>26</v>
      </c>
      <c r="Q39" s="7">
        <f t="shared" si="4"/>
        <v>52</v>
      </c>
      <c r="R39" s="7">
        <f t="shared" si="5"/>
        <v>26</v>
      </c>
      <c r="S39" s="13">
        <f>M39*GiaDinh!$C$7</f>
        <v>90.3</v>
      </c>
    </row>
    <row r="40" spans="1:19" ht="46.5" x14ac:dyDescent="0.35">
      <c r="A40" s="7" t="s">
        <v>6</v>
      </c>
      <c r="B40" s="7">
        <v>37</v>
      </c>
      <c r="C40" s="7" t="s">
        <v>179</v>
      </c>
      <c r="D40" s="7" t="s">
        <v>198</v>
      </c>
      <c r="E40" s="7">
        <v>1</v>
      </c>
      <c r="F40" s="7">
        <v>109.1</v>
      </c>
      <c r="G40" s="12">
        <f>E40*F40*GiaDinh!$C$18*GiaDinh!$C$17</f>
        <v>91.643999999999991</v>
      </c>
      <c r="H40" s="7">
        <f>GiaDinh!$C$21</f>
        <v>1.2250000000000001</v>
      </c>
      <c r="I40" s="7">
        <f>GiaDinh!$C$15</f>
        <v>15</v>
      </c>
      <c r="J40" s="7">
        <f t="shared" si="0"/>
        <v>13</v>
      </c>
      <c r="K40" s="12">
        <f>J40*GiaDinh!$C$16</f>
        <v>91</v>
      </c>
      <c r="L40" s="7">
        <f t="shared" si="1"/>
        <v>2</v>
      </c>
      <c r="M40" s="12">
        <f t="shared" si="2"/>
        <v>30</v>
      </c>
      <c r="N40" s="7">
        <f>L40*ROUNDUP(I40/GiaDinh!$C$5-0.0005,0)</f>
        <v>6</v>
      </c>
      <c r="O40" s="7">
        <f>L40*(ROUNDUP(I40/GiaDinh!$C$5-0.0005,0)-1)</f>
        <v>4</v>
      </c>
      <c r="P40" s="7">
        <f t="shared" si="3"/>
        <v>26</v>
      </c>
      <c r="Q40" s="7">
        <f t="shared" si="4"/>
        <v>52</v>
      </c>
      <c r="R40" s="7">
        <f t="shared" si="5"/>
        <v>26</v>
      </c>
      <c r="S40" s="13">
        <f>M40*GiaDinh!$C$7</f>
        <v>90.3</v>
      </c>
    </row>
    <row r="41" spans="1:19" ht="46.5" x14ac:dyDescent="0.35">
      <c r="A41" s="7" t="s">
        <v>6</v>
      </c>
      <c r="B41" s="7">
        <v>38</v>
      </c>
      <c r="C41" s="7" t="s">
        <v>179</v>
      </c>
      <c r="D41" s="7" t="s">
        <v>199</v>
      </c>
      <c r="E41" s="7">
        <v>1</v>
      </c>
      <c r="F41" s="7">
        <v>109.1</v>
      </c>
      <c r="G41" s="12">
        <f>E41*F41*GiaDinh!$C$18*GiaDinh!$C$17</f>
        <v>91.643999999999991</v>
      </c>
      <c r="H41" s="7">
        <f>GiaDinh!$C$21</f>
        <v>1.2250000000000001</v>
      </c>
      <c r="I41" s="7">
        <f>GiaDinh!$C$15</f>
        <v>15</v>
      </c>
      <c r="J41" s="7">
        <f t="shared" si="0"/>
        <v>13</v>
      </c>
      <c r="K41" s="12">
        <f>J41*GiaDinh!$C$16</f>
        <v>91</v>
      </c>
      <c r="L41" s="7">
        <f t="shared" si="1"/>
        <v>2</v>
      </c>
      <c r="M41" s="12">
        <f t="shared" si="2"/>
        <v>30</v>
      </c>
      <c r="N41" s="7">
        <f>L41*ROUNDUP(I41/GiaDinh!$C$5-0.0005,0)</f>
        <v>6</v>
      </c>
      <c r="O41" s="7">
        <f>L41*(ROUNDUP(I41/GiaDinh!$C$5-0.0005,0)-1)</f>
        <v>4</v>
      </c>
      <c r="P41" s="7">
        <f t="shared" si="3"/>
        <v>26</v>
      </c>
      <c r="Q41" s="7">
        <f t="shared" si="4"/>
        <v>52</v>
      </c>
      <c r="R41" s="7">
        <f t="shared" si="5"/>
        <v>26</v>
      </c>
      <c r="S41" s="13">
        <f>M41*GiaDinh!$C$7</f>
        <v>90.3</v>
      </c>
    </row>
    <row r="42" spans="1:19" ht="46.5" x14ac:dyDescent="0.35">
      <c r="A42" s="7" t="s">
        <v>6</v>
      </c>
      <c r="B42" s="7">
        <v>39</v>
      </c>
      <c r="C42" s="7" t="s">
        <v>179</v>
      </c>
      <c r="D42" s="7" t="s">
        <v>200</v>
      </c>
      <c r="E42" s="7">
        <v>1</v>
      </c>
      <c r="F42" s="7">
        <v>109.1</v>
      </c>
      <c r="G42" s="12">
        <f>E42*F42*GiaDinh!$C$18*GiaDinh!$C$17</f>
        <v>91.643999999999991</v>
      </c>
      <c r="H42" s="7">
        <f>GiaDinh!$C$21</f>
        <v>1.2250000000000001</v>
      </c>
      <c r="I42" s="7">
        <f>GiaDinh!$C$15</f>
        <v>15</v>
      </c>
      <c r="J42" s="7">
        <f t="shared" si="0"/>
        <v>13</v>
      </c>
      <c r="K42" s="12">
        <f>J42*GiaDinh!$C$16</f>
        <v>91</v>
      </c>
      <c r="L42" s="7">
        <f t="shared" si="1"/>
        <v>2</v>
      </c>
      <c r="M42" s="12">
        <f t="shared" si="2"/>
        <v>30</v>
      </c>
      <c r="N42" s="7">
        <f>L42*ROUNDUP(I42/GiaDinh!$C$5-0.0005,0)</f>
        <v>6</v>
      </c>
      <c r="O42" s="7">
        <f>L42*(ROUNDUP(I42/GiaDinh!$C$5-0.0005,0)-1)</f>
        <v>4</v>
      </c>
      <c r="P42" s="7">
        <f t="shared" si="3"/>
        <v>26</v>
      </c>
      <c r="Q42" s="7">
        <f t="shared" si="4"/>
        <v>52</v>
      </c>
      <c r="R42" s="7">
        <f t="shared" si="5"/>
        <v>26</v>
      </c>
      <c r="S42" s="13">
        <f>M42*GiaDinh!$C$7</f>
        <v>90.3</v>
      </c>
    </row>
    <row r="43" spans="1:19" ht="46.5" x14ac:dyDescent="0.35">
      <c r="A43" s="7" t="s">
        <v>6</v>
      </c>
      <c r="B43" s="7">
        <v>40</v>
      </c>
      <c r="C43" s="7" t="s">
        <v>179</v>
      </c>
      <c r="D43" s="7" t="s">
        <v>201</v>
      </c>
      <c r="E43" s="7">
        <v>1</v>
      </c>
      <c r="F43" s="7">
        <v>109.1</v>
      </c>
      <c r="G43" s="12">
        <f>E43*F43*GiaDinh!$C$18*GiaDinh!$C$17</f>
        <v>91.643999999999991</v>
      </c>
      <c r="H43" s="7">
        <f>GiaDinh!$C$21</f>
        <v>1.2250000000000001</v>
      </c>
      <c r="I43" s="7">
        <f>GiaDinh!$C$15</f>
        <v>15</v>
      </c>
      <c r="J43" s="7">
        <f t="shared" si="0"/>
        <v>13</v>
      </c>
      <c r="K43" s="12">
        <f>J43*GiaDinh!$C$16</f>
        <v>91</v>
      </c>
      <c r="L43" s="7">
        <f t="shared" si="1"/>
        <v>2</v>
      </c>
      <c r="M43" s="12">
        <f t="shared" si="2"/>
        <v>30</v>
      </c>
      <c r="N43" s="7">
        <f>L43*ROUNDUP(I43/GiaDinh!$C$5-0.0005,0)</f>
        <v>6</v>
      </c>
      <c r="O43" s="7">
        <f>L43*(ROUNDUP(I43/GiaDinh!$C$5-0.0005,0)-1)</f>
        <v>4</v>
      </c>
      <c r="P43" s="7">
        <f t="shared" si="3"/>
        <v>26</v>
      </c>
      <c r="Q43" s="7">
        <f t="shared" si="4"/>
        <v>52</v>
      </c>
      <c r="R43" s="7">
        <f t="shared" si="5"/>
        <v>26</v>
      </c>
      <c r="S43" s="13">
        <f>M43*GiaDinh!$C$7</f>
        <v>90.3</v>
      </c>
    </row>
    <row r="44" spans="1:19" ht="46.5" x14ac:dyDescent="0.35">
      <c r="A44" s="7" t="s">
        <v>6</v>
      </c>
      <c r="B44" s="7">
        <v>41</v>
      </c>
      <c r="C44" s="7" t="s">
        <v>179</v>
      </c>
      <c r="D44" s="7" t="s">
        <v>202</v>
      </c>
      <c r="E44" s="7">
        <v>1</v>
      </c>
      <c r="F44" s="7">
        <v>109.1</v>
      </c>
      <c r="G44" s="12">
        <f>E44*F44*GiaDinh!$C$18*GiaDinh!$C$17</f>
        <v>91.643999999999991</v>
      </c>
      <c r="H44" s="7">
        <f>GiaDinh!$C$21</f>
        <v>1.2250000000000001</v>
      </c>
      <c r="I44" s="7">
        <f>GiaDinh!$C$15</f>
        <v>15</v>
      </c>
      <c r="J44" s="7">
        <f t="shared" si="0"/>
        <v>13</v>
      </c>
      <c r="K44" s="12">
        <f>J44*GiaDinh!$C$16</f>
        <v>91</v>
      </c>
      <c r="L44" s="7">
        <f t="shared" si="1"/>
        <v>2</v>
      </c>
      <c r="M44" s="12">
        <f t="shared" si="2"/>
        <v>30</v>
      </c>
      <c r="N44" s="7">
        <f>L44*ROUNDUP(I44/GiaDinh!$C$5-0.0005,0)</f>
        <v>6</v>
      </c>
      <c r="O44" s="7">
        <f>L44*(ROUNDUP(I44/GiaDinh!$C$5-0.0005,0)-1)</f>
        <v>4</v>
      </c>
      <c r="P44" s="7">
        <f t="shared" si="3"/>
        <v>26</v>
      </c>
      <c r="Q44" s="7">
        <f t="shared" si="4"/>
        <v>52</v>
      </c>
      <c r="R44" s="7">
        <f t="shared" si="5"/>
        <v>26</v>
      </c>
      <c r="S44" s="13">
        <f>M44*GiaDinh!$C$7</f>
        <v>90.3</v>
      </c>
    </row>
    <row r="45" spans="1:19" ht="46.5" x14ac:dyDescent="0.35">
      <c r="A45" s="7" t="s">
        <v>6</v>
      </c>
      <c r="B45" s="7">
        <v>42</v>
      </c>
      <c r="C45" s="7" t="s">
        <v>179</v>
      </c>
      <c r="D45" s="7" t="s">
        <v>203</v>
      </c>
      <c r="E45" s="7">
        <v>1</v>
      </c>
      <c r="F45" s="7">
        <v>109.1</v>
      </c>
      <c r="G45" s="12">
        <f>E45*F45*GiaDinh!$C$18*GiaDinh!$C$17</f>
        <v>91.643999999999991</v>
      </c>
      <c r="H45" s="7">
        <f>GiaDinh!$C$21</f>
        <v>1.2250000000000001</v>
      </c>
      <c r="I45" s="7">
        <f>GiaDinh!$C$15</f>
        <v>15</v>
      </c>
      <c r="J45" s="7">
        <f t="shared" si="0"/>
        <v>13</v>
      </c>
      <c r="K45" s="12">
        <f>J45*GiaDinh!$C$16</f>
        <v>91</v>
      </c>
      <c r="L45" s="7">
        <f t="shared" si="1"/>
        <v>2</v>
      </c>
      <c r="M45" s="12">
        <f t="shared" si="2"/>
        <v>30</v>
      </c>
      <c r="N45" s="7">
        <f>L45*ROUNDUP(I45/GiaDinh!$C$5-0.0005,0)</f>
        <v>6</v>
      </c>
      <c r="O45" s="7">
        <f>L45*(ROUNDUP(I45/GiaDinh!$C$5-0.0005,0)-1)</f>
        <v>4</v>
      </c>
      <c r="P45" s="7">
        <f t="shared" si="3"/>
        <v>26</v>
      </c>
      <c r="Q45" s="7">
        <f t="shared" si="4"/>
        <v>52</v>
      </c>
      <c r="R45" s="7">
        <f t="shared" si="5"/>
        <v>26</v>
      </c>
      <c r="S45" s="13">
        <f>M45*GiaDinh!$C$7</f>
        <v>90.3</v>
      </c>
    </row>
    <row r="46" spans="1:19" ht="46.5" x14ac:dyDescent="0.35">
      <c r="A46" s="7" t="s">
        <v>6</v>
      </c>
      <c r="B46" s="7">
        <v>43</v>
      </c>
      <c r="C46" s="7" t="s">
        <v>179</v>
      </c>
      <c r="D46" s="7" t="s">
        <v>204</v>
      </c>
      <c r="E46" s="7">
        <v>1</v>
      </c>
      <c r="F46" s="7">
        <v>109.1</v>
      </c>
      <c r="G46" s="12">
        <f>E46*F46*GiaDinh!$C$18*GiaDinh!$C$17</f>
        <v>91.643999999999991</v>
      </c>
      <c r="H46" s="7">
        <f>GiaDinh!$C$21</f>
        <v>1.2250000000000001</v>
      </c>
      <c r="I46" s="7">
        <f>GiaDinh!$C$15</f>
        <v>15</v>
      </c>
      <c r="J46" s="7">
        <f t="shared" si="0"/>
        <v>13</v>
      </c>
      <c r="K46" s="12">
        <f>J46*GiaDinh!$C$16</f>
        <v>91</v>
      </c>
      <c r="L46" s="7">
        <f t="shared" si="1"/>
        <v>2</v>
      </c>
      <c r="M46" s="12">
        <f t="shared" si="2"/>
        <v>30</v>
      </c>
      <c r="N46" s="7">
        <f>L46*ROUNDUP(I46/GiaDinh!$C$5-0.0005,0)</f>
        <v>6</v>
      </c>
      <c r="O46" s="7">
        <f>L46*(ROUNDUP(I46/GiaDinh!$C$5-0.0005,0)-1)</f>
        <v>4</v>
      </c>
      <c r="P46" s="7">
        <f t="shared" si="3"/>
        <v>26</v>
      </c>
      <c r="Q46" s="7">
        <f t="shared" si="4"/>
        <v>52</v>
      </c>
      <c r="R46" s="7">
        <f t="shared" si="5"/>
        <v>26</v>
      </c>
      <c r="S46" s="13">
        <f>M46*GiaDinh!$C$7</f>
        <v>90.3</v>
      </c>
    </row>
    <row r="47" spans="1:19" ht="46.5" x14ac:dyDescent="0.35">
      <c r="A47" s="7" t="s">
        <v>6</v>
      </c>
      <c r="B47" s="7">
        <v>44</v>
      </c>
      <c r="C47" s="7" t="s">
        <v>179</v>
      </c>
      <c r="D47" s="7" t="s">
        <v>205</v>
      </c>
      <c r="E47" s="7">
        <v>1</v>
      </c>
      <c r="F47" s="7">
        <v>109.1</v>
      </c>
      <c r="G47" s="12">
        <f>E47*F47*GiaDinh!$C$18*GiaDinh!$C$17</f>
        <v>91.643999999999991</v>
      </c>
      <c r="H47" s="7">
        <f>GiaDinh!$C$21</f>
        <v>1.2250000000000001</v>
      </c>
      <c r="I47" s="7">
        <f>GiaDinh!$C$15</f>
        <v>15</v>
      </c>
      <c r="J47" s="7">
        <f t="shared" si="0"/>
        <v>13</v>
      </c>
      <c r="K47" s="12">
        <f>J47*GiaDinh!$C$16</f>
        <v>91</v>
      </c>
      <c r="L47" s="7">
        <f t="shared" si="1"/>
        <v>2</v>
      </c>
      <c r="M47" s="12">
        <f t="shared" si="2"/>
        <v>30</v>
      </c>
      <c r="N47" s="7">
        <f>L47*ROUNDUP(I47/GiaDinh!$C$5-0.0005,0)</f>
        <v>6</v>
      </c>
      <c r="O47" s="7">
        <f>L47*(ROUNDUP(I47/GiaDinh!$C$5-0.0005,0)-1)</f>
        <v>4</v>
      </c>
      <c r="P47" s="7">
        <f t="shared" si="3"/>
        <v>26</v>
      </c>
      <c r="Q47" s="7">
        <f t="shared" si="4"/>
        <v>52</v>
      </c>
      <c r="R47" s="7">
        <f t="shared" si="5"/>
        <v>26</v>
      </c>
      <c r="S47" s="13">
        <f>M47*GiaDinh!$C$7</f>
        <v>90.3</v>
      </c>
    </row>
    <row r="48" spans="1:19" ht="46.5" x14ac:dyDescent="0.35">
      <c r="A48" s="7" t="s">
        <v>6</v>
      </c>
      <c r="B48" s="7">
        <v>45</v>
      </c>
      <c r="C48" s="7" t="s">
        <v>179</v>
      </c>
      <c r="D48" s="7" t="s">
        <v>206</v>
      </c>
      <c r="E48" s="7">
        <v>1</v>
      </c>
      <c r="F48" s="7">
        <v>109.1</v>
      </c>
      <c r="G48" s="12">
        <f>E48*F48*GiaDinh!$C$18*GiaDinh!$C$17</f>
        <v>91.643999999999991</v>
      </c>
      <c r="H48" s="7">
        <f>GiaDinh!$C$21</f>
        <v>1.2250000000000001</v>
      </c>
      <c r="I48" s="7">
        <f>GiaDinh!$C$15</f>
        <v>15</v>
      </c>
      <c r="J48" s="7">
        <f t="shared" si="0"/>
        <v>13</v>
      </c>
      <c r="K48" s="12">
        <f>J48*GiaDinh!$C$16</f>
        <v>91</v>
      </c>
      <c r="L48" s="7">
        <f t="shared" si="1"/>
        <v>2</v>
      </c>
      <c r="M48" s="12">
        <f t="shared" si="2"/>
        <v>30</v>
      </c>
      <c r="N48" s="7">
        <f>L48*ROUNDUP(I48/GiaDinh!$C$5-0.0005,0)</f>
        <v>6</v>
      </c>
      <c r="O48" s="7">
        <f>L48*(ROUNDUP(I48/GiaDinh!$C$5-0.0005,0)-1)</f>
        <v>4</v>
      </c>
      <c r="P48" s="7">
        <f t="shared" si="3"/>
        <v>26</v>
      </c>
      <c r="Q48" s="7">
        <f t="shared" si="4"/>
        <v>52</v>
      </c>
      <c r="R48" s="7">
        <f t="shared" si="5"/>
        <v>26</v>
      </c>
      <c r="S48" s="13">
        <f>M48*GiaDinh!$C$7</f>
        <v>90.3</v>
      </c>
    </row>
    <row r="49" spans="1:19" ht="46.5" x14ac:dyDescent="0.35">
      <c r="A49" s="7" t="s">
        <v>6</v>
      </c>
      <c r="B49" s="7">
        <v>46</v>
      </c>
      <c r="C49" s="7" t="s">
        <v>179</v>
      </c>
      <c r="D49" s="7" t="s">
        <v>207</v>
      </c>
      <c r="E49" s="7">
        <v>1</v>
      </c>
      <c r="F49" s="7">
        <v>109.1</v>
      </c>
      <c r="G49" s="12">
        <f>E49*F49*GiaDinh!$C$18*GiaDinh!$C$17</f>
        <v>91.643999999999991</v>
      </c>
      <c r="H49" s="7">
        <f>GiaDinh!$C$21</f>
        <v>1.2250000000000001</v>
      </c>
      <c r="I49" s="7">
        <f>GiaDinh!$C$15</f>
        <v>15</v>
      </c>
      <c r="J49" s="7">
        <f t="shared" si="0"/>
        <v>13</v>
      </c>
      <c r="K49" s="12">
        <f>J49*GiaDinh!$C$16</f>
        <v>91</v>
      </c>
      <c r="L49" s="7">
        <f t="shared" si="1"/>
        <v>2</v>
      </c>
      <c r="M49" s="12">
        <f t="shared" si="2"/>
        <v>30</v>
      </c>
      <c r="N49" s="7">
        <f>L49*ROUNDUP(I49/GiaDinh!$C$5-0.0005,0)</f>
        <v>6</v>
      </c>
      <c r="O49" s="7">
        <f>L49*(ROUNDUP(I49/GiaDinh!$C$5-0.0005,0)-1)</f>
        <v>4</v>
      </c>
      <c r="P49" s="7">
        <f t="shared" si="3"/>
        <v>26</v>
      </c>
      <c r="Q49" s="7">
        <f t="shared" si="4"/>
        <v>52</v>
      </c>
      <c r="R49" s="7">
        <f t="shared" si="5"/>
        <v>26</v>
      </c>
      <c r="S49" s="13">
        <f>M49*GiaDinh!$C$7</f>
        <v>90.3</v>
      </c>
    </row>
    <row r="50" spans="1:19" ht="46.5" x14ac:dyDescent="0.35">
      <c r="A50" s="7" t="s">
        <v>6</v>
      </c>
      <c r="B50" s="7">
        <v>47</v>
      </c>
      <c r="C50" s="7" t="s">
        <v>179</v>
      </c>
      <c r="D50" s="7" t="s">
        <v>208</v>
      </c>
      <c r="E50" s="7">
        <v>1</v>
      </c>
      <c r="F50" s="7">
        <v>109.1</v>
      </c>
      <c r="G50" s="12">
        <f>E50*F50*GiaDinh!$C$18*GiaDinh!$C$17</f>
        <v>91.643999999999991</v>
      </c>
      <c r="H50" s="7">
        <f>GiaDinh!$C$21</f>
        <v>1.2250000000000001</v>
      </c>
      <c r="I50" s="7">
        <f>GiaDinh!$C$15</f>
        <v>15</v>
      </c>
      <c r="J50" s="7">
        <f t="shared" si="0"/>
        <v>13</v>
      </c>
      <c r="K50" s="12">
        <f>J50*GiaDinh!$C$16</f>
        <v>91</v>
      </c>
      <c r="L50" s="7">
        <f t="shared" si="1"/>
        <v>2</v>
      </c>
      <c r="M50" s="12">
        <f t="shared" si="2"/>
        <v>30</v>
      </c>
      <c r="N50" s="7">
        <f>L50*ROUNDUP(I50/GiaDinh!$C$5-0.0005,0)</f>
        <v>6</v>
      </c>
      <c r="O50" s="7">
        <f>L50*(ROUNDUP(I50/GiaDinh!$C$5-0.0005,0)-1)</f>
        <v>4</v>
      </c>
      <c r="P50" s="7">
        <f t="shared" si="3"/>
        <v>26</v>
      </c>
      <c r="Q50" s="7">
        <f t="shared" si="4"/>
        <v>52</v>
      </c>
      <c r="R50" s="7">
        <f t="shared" si="5"/>
        <v>26</v>
      </c>
      <c r="S50" s="13">
        <f>M50*GiaDinh!$C$7</f>
        <v>90.3</v>
      </c>
    </row>
    <row r="51" spans="1:19" ht="46.5" x14ac:dyDescent="0.35">
      <c r="A51" s="7" t="s">
        <v>6</v>
      </c>
      <c r="B51" s="7">
        <v>48</v>
      </c>
      <c r="C51" s="7" t="s">
        <v>179</v>
      </c>
      <c r="D51" s="7" t="s">
        <v>209</v>
      </c>
      <c r="E51" s="7">
        <v>1</v>
      </c>
      <c r="F51" s="7">
        <v>109.1</v>
      </c>
      <c r="G51" s="12">
        <f>E51*F51*GiaDinh!$C$18*GiaDinh!$C$17</f>
        <v>91.643999999999991</v>
      </c>
      <c r="H51" s="7">
        <f>GiaDinh!$C$21</f>
        <v>1.2250000000000001</v>
      </c>
      <c r="I51" s="7">
        <f>GiaDinh!$C$15</f>
        <v>15</v>
      </c>
      <c r="J51" s="7">
        <f t="shared" si="0"/>
        <v>13</v>
      </c>
      <c r="K51" s="12">
        <f>J51*GiaDinh!$C$16</f>
        <v>91</v>
      </c>
      <c r="L51" s="7">
        <f t="shared" si="1"/>
        <v>2</v>
      </c>
      <c r="M51" s="12">
        <f t="shared" si="2"/>
        <v>30</v>
      </c>
      <c r="N51" s="7">
        <f>L51*ROUNDUP(I51/GiaDinh!$C$5-0.0005,0)</f>
        <v>6</v>
      </c>
      <c r="O51" s="7">
        <f>L51*(ROUNDUP(I51/GiaDinh!$C$5-0.0005,0)-1)</f>
        <v>4</v>
      </c>
      <c r="P51" s="7">
        <f t="shared" si="3"/>
        <v>26</v>
      </c>
      <c r="Q51" s="7">
        <f t="shared" si="4"/>
        <v>52</v>
      </c>
      <c r="R51" s="7">
        <f t="shared" si="5"/>
        <v>26</v>
      </c>
      <c r="S51" s="13">
        <f>M51*GiaDinh!$C$7</f>
        <v>90.3</v>
      </c>
    </row>
    <row r="52" spans="1:19" ht="31" x14ac:dyDescent="0.35">
      <c r="A52" s="7" t="s">
        <v>7</v>
      </c>
      <c r="B52" s="7">
        <v>1</v>
      </c>
      <c r="C52" s="7" t="s">
        <v>160</v>
      </c>
      <c r="D52" s="7" t="s">
        <v>210</v>
      </c>
      <c r="E52" s="7">
        <v>4</v>
      </c>
      <c r="F52" s="7">
        <v>73.7</v>
      </c>
      <c r="G52" s="12">
        <f>E52*F52*GiaDinh!$C$18*GiaDinh!$C$17</f>
        <v>247.63199999999998</v>
      </c>
      <c r="H52" s="7">
        <f>GiaDinh!$C$21</f>
        <v>1.2250000000000001</v>
      </c>
      <c r="I52" s="7">
        <f>GiaDinh!$C$15</f>
        <v>15</v>
      </c>
      <c r="J52" s="7">
        <f t="shared" si="0"/>
        <v>13</v>
      </c>
      <c r="K52" s="12">
        <f>J52*GiaDinh!$C$16</f>
        <v>91</v>
      </c>
      <c r="L52" s="7">
        <f t="shared" si="1"/>
        <v>3</v>
      </c>
      <c r="M52" s="12">
        <f t="shared" si="2"/>
        <v>45</v>
      </c>
      <c r="N52" s="7">
        <f>L52*ROUNDUP(I52/GiaDinh!$C$5-0.0005,0)</f>
        <v>9</v>
      </c>
      <c r="O52" s="7">
        <f>L52*(ROUNDUP(I52/GiaDinh!$C$5-0.0005,0)-1)</f>
        <v>6</v>
      </c>
      <c r="P52" s="7">
        <f t="shared" si="3"/>
        <v>39</v>
      </c>
      <c r="Q52" s="7">
        <f t="shared" si="4"/>
        <v>78</v>
      </c>
      <c r="R52" s="7">
        <f t="shared" si="5"/>
        <v>39</v>
      </c>
      <c r="S52" s="13">
        <f>M52*GiaDinh!$C$7</f>
        <v>135.44999999999999</v>
      </c>
    </row>
    <row r="53" spans="1:19" ht="31" x14ac:dyDescent="0.35">
      <c r="A53" s="7" t="s">
        <v>7</v>
      </c>
      <c r="B53" s="7">
        <v>2</v>
      </c>
      <c r="C53" s="7" t="s">
        <v>160</v>
      </c>
      <c r="D53" s="7" t="s">
        <v>211</v>
      </c>
      <c r="E53" s="7">
        <v>2</v>
      </c>
      <c r="F53" s="7">
        <v>73.7</v>
      </c>
      <c r="G53" s="12">
        <f>E53*F53*GiaDinh!$C$18*GiaDinh!$C$17</f>
        <v>123.81599999999999</v>
      </c>
      <c r="H53" s="7">
        <f>GiaDinh!$C$21</f>
        <v>1.2250000000000001</v>
      </c>
      <c r="I53" s="7">
        <f>GiaDinh!$C$15</f>
        <v>15</v>
      </c>
      <c r="J53" s="7">
        <f t="shared" si="0"/>
        <v>13</v>
      </c>
      <c r="K53" s="12">
        <f>J53*GiaDinh!$C$16</f>
        <v>91</v>
      </c>
      <c r="L53" s="7">
        <f t="shared" si="1"/>
        <v>2</v>
      </c>
      <c r="M53" s="12">
        <f t="shared" si="2"/>
        <v>30</v>
      </c>
      <c r="N53" s="7">
        <f>L53*ROUNDUP(I53/GiaDinh!$C$5-0.0005,0)</f>
        <v>6</v>
      </c>
      <c r="O53" s="7">
        <f>L53*(ROUNDUP(I53/GiaDinh!$C$5-0.0005,0)-1)</f>
        <v>4</v>
      </c>
      <c r="P53" s="7">
        <f t="shared" si="3"/>
        <v>26</v>
      </c>
      <c r="Q53" s="7">
        <f t="shared" si="4"/>
        <v>52</v>
      </c>
      <c r="R53" s="7">
        <f t="shared" si="5"/>
        <v>26</v>
      </c>
      <c r="S53" s="13">
        <f>M53*GiaDinh!$C$7</f>
        <v>90.3</v>
      </c>
    </row>
    <row r="54" spans="1:19" ht="31" x14ac:dyDescent="0.35">
      <c r="A54" s="7" t="s">
        <v>7</v>
      </c>
      <c r="B54" s="7">
        <v>3</v>
      </c>
      <c r="C54" s="7" t="s">
        <v>160</v>
      </c>
      <c r="D54" s="7" t="s">
        <v>212</v>
      </c>
      <c r="E54" s="7">
        <v>2</v>
      </c>
      <c r="F54" s="7">
        <v>73.7</v>
      </c>
      <c r="G54" s="12">
        <f>E54*F54*GiaDinh!$C$18*GiaDinh!$C$17</f>
        <v>123.81599999999999</v>
      </c>
      <c r="H54" s="7">
        <f>GiaDinh!$C$21</f>
        <v>1.2250000000000001</v>
      </c>
      <c r="I54" s="7">
        <f>GiaDinh!$C$15</f>
        <v>15</v>
      </c>
      <c r="J54" s="7">
        <f t="shared" si="0"/>
        <v>13</v>
      </c>
      <c r="K54" s="12">
        <f>J54*GiaDinh!$C$16</f>
        <v>91</v>
      </c>
      <c r="L54" s="7">
        <f t="shared" si="1"/>
        <v>2</v>
      </c>
      <c r="M54" s="12">
        <f t="shared" si="2"/>
        <v>30</v>
      </c>
      <c r="N54" s="7">
        <f>L54*ROUNDUP(I54/GiaDinh!$C$5-0.0005,0)</f>
        <v>6</v>
      </c>
      <c r="O54" s="7">
        <f>L54*(ROUNDUP(I54/GiaDinh!$C$5-0.0005,0)-1)</f>
        <v>4</v>
      </c>
      <c r="P54" s="7">
        <f t="shared" si="3"/>
        <v>26</v>
      </c>
      <c r="Q54" s="7">
        <f t="shared" si="4"/>
        <v>52</v>
      </c>
      <c r="R54" s="7">
        <f t="shared" si="5"/>
        <v>26</v>
      </c>
      <c r="S54" s="13">
        <f>M54*GiaDinh!$C$7</f>
        <v>90.3</v>
      </c>
    </row>
    <row r="55" spans="1:19" ht="31" x14ac:dyDescent="0.35">
      <c r="A55" s="7" t="s">
        <v>7</v>
      </c>
      <c r="B55" s="7">
        <v>4</v>
      </c>
      <c r="C55" s="7" t="s">
        <v>160</v>
      </c>
      <c r="D55" s="7" t="s">
        <v>213</v>
      </c>
      <c r="E55" s="7">
        <v>2</v>
      </c>
      <c r="F55" s="7">
        <v>73.7</v>
      </c>
      <c r="G55" s="12">
        <f>E55*F55*GiaDinh!$C$18*GiaDinh!$C$17</f>
        <v>123.81599999999999</v>
      </c>
      <c r="H55" s="7">
        <f>GiaDinh!$C$21</f>
        <v>1.2250000000000001</v>
      </c>
      <c r="I55" s="7">
        <f>GiaDinh!$C$15</f>
        <v>15</v>
      </c>
      <c r="J55" s="7">
        <f t="shared" si="0"/>
        <v>13</v>
      </c>
      <c r="K55" s="12">
        <f>J55*GiaDinh!$C$16</f>
        <v>91</v>
      </c>
      <c r="L55" s="7">
        <f t="shared" si="1"/>
        <v>2</v>
      </c>
      <c r="M55" s="12">
        <f t="shared" si="2"/>
        <v>30</v>
      </c>
      <c r="N55" s="7">
        <f>L55*ROUNDUP(I55/GiaDinh!$C$5-0.0005,0)</f>
        <v>6</v>
      </c>
      <c r="O55" s="7">
        <f>L55*(ROUNDUP(I55/GiaDinh!$C$5-0.0005,0)-1)</f>
        <v>4</v>
      </c>
      <c r="P55" s="7">
        <f t="shared" si="3"/>
        <v>26</v>
      </c>
      <c r="Q55" s="7">
        <f t="shared" si="4"/>
        <v>52</v>
      </c>
      <c r="R55" s="7">
        <f t="shared" si="5"/>
        <v>26</v>
      </c>
      <c r="S55" s="13">
        <f>M55*GiaDinh!$C$7</f>
        <v>90.3</v>
      </c>
    </row>
    <row r="56" spans="1:19" ht="31" x14ac:dyDescent="0.35">
      <c r="A56" s="7" t="s">
        <v>7</v>
      </c>
      <c r="B56" s="7">
        <v>5</v>
      </c>
      <c r="C56" s="7" t="s">
        <v>160</v>
      </c>
      <c r="D56" s="7" t="s">
        <v>214</v>
      </c>
      <c r="E56" s="7">
        <v>2</v>
      </c>
      <c r="F56" s="7">
        <v>73.7</v>
      </c>
      <c r="G56" s="12">
        <f>E56*F56*GiaDinh!$C$18*GiaDinh!$C$17</f>
        <v>123.81599999999999</v>
      </c>
      <c r="H56" s="7">
        <f>GiaDinh!$C$21</f>
        <v>1.2250000000000001</v>
      </c>
      <c r="I56" s="7">
        <f>GiaDinh!$C$15</f>
        <v>15</v>
      </c>
      <c r="J56" s="7">
        <f t="shared" si="0"/>
        <v>13</v>
      </c>
      <c r="K56" s="12">
        <f>J56*GiaDinh!$C$16</f>
        <v>91</v>
      </c>
      <c r="L56" s="7">
        <f t="shared" si="1"/>
        <v>2</v>
      </c>
      <c r="M56" s="12">
        <f t="shared" si="2"/>
        <v>30</v>
      </c>
      <c r="N56" s="7">
        <f>L56*ROUNDUP(I56/GiaDinh!$C$5-0.0005,0)</f>
        <v>6</v>
      </c>
      <c r="O56" s="7">
        <f>L56*(ROUNDUP(I56/GiaDinh!$C$5-0.0005,0)-1)</f>
        <v>4</v>
      </c>
      <c r="P56" s="7">
        <f t="shared" si="3"/>
        <v>26</v>
      </c>
      <c r="Q56" s="7">
        <f t="shared" si="4"/>
        <v>52</v>
      </c>
      <c r="R56" s="7">
        <f t="shared" si="5"/>
        <v>26</v>
      </c>
      <c r="S56" s="13">
        <f>M56*GiaDinh!$C$7</f>
        <v>90.3</v>
      </c>
    </row>
    <row r="57" spans="1:19" ht="31" x14ac:dyDescent="0.35">
      <c r="A57" s="7" t="s">
        <v>7</v>
      </c>
      <c r="B57" s="7">
        <v>6</v>
      </c>
      <c r="C57" s="7" t="s">
        <v>160</v>
      </c>
      <c r="D57" s="7" t="s">
        <v>215</v>
      </c>
      <c r="E57" s="7">
        <v>2</v>
      </c>
      <c r="F57" s="7">
        <v>73.7</v>
      </c>
      <c r="G57" s="12">
        <f>E57*F57*GiaDinh!$C$18*GiaDinh!$C$17</f>
        <v>123.81599999999999</v>
      </c>
      <c r="H57" s="7">
        <f>GiaDinh!$C$21</f>
        <v>1.2250000000000001</v>
      </c>
      <c r="I57" s="7">
        <f>GiaDinh!$C$15</f>
        <v>15</v>
      </c>
      <c r="J57" s="7">
        <f t="shared" si="0"/>
        <v>13</v>
      </c>
      <c r="K57" s="12">
        <f>J57*GiaDinh!$C$16</f>
        <v>91</v>
      </c>
      <c r="L57" s="7">
        <f t="shared" si="1"/>
        <v>2</v>
      </c>
      <c r="M57" s="12">
        <f t="shared" si="2"/>
        <v>30</v>
      </c>
      <c r="N57" s="7">
        <f>L57*ROUNDUP(I57/GiaDinh!$C$5-0.0005,0)</f>
        <v>6</v>
      </c>
      <c r="O57" s="7">
        <f>L57*(ROUNDUP(I57/GiaDinh!$C$5-0.0005,0)-1)</f>
        <v>4</v>
      </c>
      <c r="P57" s="7">
        <f t="shared" si="3"/>
        <v>26</v>
      </c>
      <c r="Q57" s="7">
        <f t="shared" si="4"/>
        <v>52</v>
      </c>
      <c r="R57" s="7">
        <f t="shared" si="5"/>
        <v>26</v>
      </c>
      <c r="S57" s="13">
        <f>M57*GiaDinh!$C$7</f>
        <v>90.3</v>
      </c>
    </row>
    <row r="58" spans="1:19" ht="31" x14ac:dyDescent="0.35">
      <c r="A58" s="7" t="s">
        <v>7</v>
      </c>
      <c r="B58" s="7">
        <v>7</v>
      </c>
      <c r="C58" s="7" t="s">
        <v>160</v>
      </c>
      <c r="D58" s="7" t="s">
        <v>216</v>
      </c>
      <c r="E58" s="7">
        <v>2</v>
      </c>
      <c r="F58" s="7">
        <v>73.7</v>
      </c>
      <c r="G58" s="12">
        <f>E58*F58*GiaDinh!$C$18*GiaDinh!$C$17</f>
        <v>123.81599999999999</v>
      </c>
      <c r="H58" s="7">
        <f>GiaDinh!$C$21</f>
        <v>1.2250000000000001</v>
      </c>
      <c r="I58" s="7">
        <f>GiaDinh!$C$15</f>
        <v>15</v>
      </c>
      <c r="J58" s="7">
        <f t="shared" si="0"/>
        <v>13</v>
      </c>
      <c r="K58" s="12">
        <f>J58*GiaDinh!$C$16</f>
        <v>91</v>
      </c>
      <c r="L58" s="7">
        <f t="shared" si="1"/>
        <v>2</v>
      </c>
      <c r="M58" s="12">
        <f t="shared" si="2"/>
        <v>30</v>
      </c>
      <c r="N58" s="7">
        <f>L58*ROUNDUP(I58/GiaDinh!$C$5-0.0005,0)</f>
        <v>6</v>
      </c>
      <c r="O58" s="7">
        <f>L58*(ROUNDUP(I58/GiaDinh!$C$5-0.0005,0)-1)</f>
        <v>4</v>
      </c>
      <c r="P58" s="7">
        <f t="shared" si="3"/>
        <v>26</v>
      </c>
      <c r="Q58" s="7">
        <f t="shared" si="4"/>
        <v>52</v>
      </c>
      <c r="R58" s="7">
        <f t="shared" si="5"/>
        <v>26</v>
      </c>
      <c r="S58" s="13">
        <f>M58*GiaDinh!$C$7</f>
        <v>90.3</v>
      </c>
    </row>
    <row r="59" spans="1:19" ht="31" x14ac:dyDescent="0.35">
      <c r="A59" s="7" t="s">
        <v>7</v>
      </c>
      <c r="B59" s="7">
        <v>8</v>
      </c>
      <c r="C59" s="7" t="s">
        <v>160</v>
      </c>
      <c r="D59" s="7" t="s">
        <v>217</v>
      </c>
      <c r="E59" s="7">
        <v>2</v>
      </c>
      <c r="F59" s="7">
        <v>73.7</v>
      </c>
      <c r="G59" s="12">
        <f>E59*F59*GiaDinh!$C$18*GiaDinh!$C$17</f>
        <v>123.81599999999999</v>
      </c>
      <c r="H59" s="7">
        <f>GiaDinh!$C$21</f>
        <v>1.2250000000000001</v>
      </c>
      <c r="I59" s="7">
        <f>GiaDinh!$C$15</f>
        <v>15</v>
      </c>
      <c r="J59" s="7">
        <f t="shared" si="0"/>
        <v>13</v>
      </c>
      <c r="K59" s="12">
        <f>J59*GiaDinh!$C$16</f>
        <v>91</v>
      </c>
      <c r="L59" s="7">
        <f t="shared" si="1"/>
        <v>2</v>
      </c>
      <c r="M59" s="12">
        <f t="shared" si="2"/>
        <v>30</v>
      </c>
      <c r="N59" s="7">
        <f>L59*ROUNDUP(I59/GiaDinh!$C$5-0.0005,0)</f>
        <v>6</v>
      </c>
      <c r="O59" s="7">
        <f>L59*(ROUNDUP(I59/GiaDinh!$C$5-0.0005,0)-1)</f>
        <v>4</v>
      </c>
      <c r="P59" s="7">
        <f t="shared" si="3"/>
        <v>26</v>
      </c>
      <c r="Q59" s="7">
        <f t="shared" si="4"/>
        <v>52</v>
      </c>
      <c r="R59" s="7">
        <f t="shared" si="5"/>
        <v>26</v>
      </c>
      <c r="S59" s="13">
        <f>M59*GiaDinh!$C$7</f>
        <v>90.3</v>
      </c>
    </row>
    <row r="60" spans="1:19" ht="31" x14ac:dyDescent="0.35">
      <c r="A60" s="7" t="s">
        <v>7</v>
      </c>
      <c r="B60" s="7">
        <v>9</v>
      </c>
      <c r="C60" s="7" t="s">
        <v>160</v>
      </c>
      <c r="D60" s="7" t="s">
        <v>218</v>
      </c>
      <c r="E60" s="7">
        <v>2</v>
      </c>
      <c r="F60" s="7">
        <v>73.7</v>
      </c>
      <c r="G60" s="12">
        <f>E60*F60*GiaDinh!$C$18*GiaDinh!$C$17</f>
        <v>123.81599999999999</v>
      </c>
      <c r="H60" s="7">
        <f>GiaDinh!$C$21</f>
        <v>1.2250000000000001</v>
      </c>
      <c r="I60" s="7">
        <f>GiaDinh!$C$15</f>
        <v>15</v>
      </c>
      <c r="J60" s="7">
        <f t="shared" si="0"/>
        <v>13</v>
      </c>
      <c r="K60" s="12">
        <f>J60*GiaDinh!$C$16</f>
        <v>91</v>
      </c>
      <c r="L60" s="7">
        <f t="shared" si="1"/>
        <v>2</v>
      </c>
      <c r="M60" s="12">
        <f t="shared" si="2"/>
        <v>30</v>
      </c>
      <c r="N60" s="7">
        <f>L60*ROUNDUP(I60/GiaDinh!$C$5-0.0005,0)</f>
        <v>6</v>
      </c>
      <c r="O60" s="7">
        <f>L60*(ROUNDUP(I60/GiaDinh!$C$5-0.0005,0)-1)</f>
        <v>4</v>
      </c>
      <c r="P60" s="7">
        <f t="shared" si="3"/>
        <v>26</v>
      </c>
      <c r="Q60" s="7">
        <f t="shared" si="4"/>
        <v>52</v>
      </c>
      <c r="R60" s="7">
        <f t="shared" si="5"/>
        <v>26</v>
      </c>
      <c r="S60" s="13">
        <f>M60*GiaDinh!$C$7</f>
        <v>90.3</v>
      </c>
    </row>
    <row r="61" spans="1:19" ht="31" x14ac:dyDescent="0.35">
      <c r="A61" s="7" t="s">
        <v>7</v>
      </c>
      <c r="B61" s="7">
        <v>10</v>
      </c>
      <c r="C61" s="7" t="s">
        <v>160</v>
      </c>
      <c r="D61" s="7" t="s">
        <v>219</v>
      </c>
      <c r="E61" s="7">
        <v>2</v>
      </c>
      <c r="F61" s="7">
        <v>73.7</v>
      </c>
      <c r="G61" s="12">
        <f>E61*F61*GiaDinh!$C$18*GiaDinh!$C$17</f>
        <v>123.81599999999999</v>
      </c>
      <c r="H61" s="7">
        <f>GiaDinh!$C$21</f>
        <v>1.2250000000000001</v>
      </c>
      <c r="I61" s="7">
        <f>GiaDinh!$C$15</f>
        <v>15</v>
      </c>
      <c r="J61" s="7">
        <f t="shared" si="0"/>
        <v>13</v>
      </c>
      <c r="K61" s="12">
        <f>J61*GiaDinh!$C$16</f>
        <v>91</v>
      </c>
      <c r="L61" s="7">
        <f t="shared" si="1"/>
        <v>2</v>
      </c>
      <c r="M61" s="12">
        <f t="shared" si="2"/>
        <v>30</v>
      </c>
      <c r="N61" s="7">
        <f>L61*ROUNDUP(I61/GiaDinh!$C$5-0.0005,0)</f>
        <v>6</v>
      </c>
      <c r="O61" s="7">
        <f>L61*(ROUNDUP(I61/GiaDinh!$C$5-0.0005,0)-1)</f>
        <v>4</v>
      </c>
      <c r="P61" s="7">
        <f t="shared" si="3"/>
        <v>26</v>
      </c>
      <c r="Q61" s="7">
        <f t="shared" si="4"/>
        <v>52</v>
      </c>
      <c r="R61" s="7">
        <f t="shared" si="5"/>
        <v>26</v>
      </c>
      <c r="S61" s="13">
        <f>M61*GiaDinh!$C$7</f>
        <v>90.3</v>
      </c>
    </row>
    <row r="62" spans="1:19" ht="31" x14ac:dyDescent="0.35">
      <c r="A62" s="7" t="s">
        <v>7</v>
      </c>
      <c r="B62" s="7">
        <v>11</v>
      </c>
      <c r="C62" s="7" t="s">
        <v>160</v>
      </c>
      <c r="D62" s="7" t="s">
        <v>220</v>
      </c>
      <c r="E62" s="7">
        <v>2</v>
      </c>
      <c r="F62" s="7">
        <v>73.7</v>
      </c>
      <c r="G62" s="12">
        <f>E62*F62*GiaDinh!$C$18*GiaDinh!$C$17</f>
        <v>123.81599999999999</v>
      </c>
      <c r="H62" s="7">
        <f>GiaDinh!$C$21</f>
        <v>1.2250000000000001</v>
      </c>
      <c r="I62" s="7">
        <f>GiaDinh!$C$15</f>
        <v>15</v>
      </c>
      <c r="J62" s="7">
        <f t="shared" si="0"/>
        <v>13</v>
      </c>
      <c r="K62" s="12">
        <f>J62*GiaDinh!$C$16</f>
        <v>91</v>
      </c>
      <c r="L62" s="7">
        <f t="shared" si="1"/>
        <v>2</v>
      </c>
      <c r="M62" s="12">
        <f t="shared" si="2"/>
        <v>30</v>
      </c>
      <c r="N62" s="7">
        <f>L62*ROUNDUP(I62/GiaDinh!$C$5-0.0005,0)</f>
        <v>6</v>
      </c>
      <c r="O62" s="7">
        <f>L62*(ROUNDUP(I62/GiaDinh!$C$5-0.0005,0)-1)</f>
        <v>4</v>
      </c>
      <c r="P62" s="7">
        <f t="shared" si="3"/>
        <v>26</v>
      </c>
      <c r="Q62" s="7">
        <f t="shared" si="4"/>
        <v>52</v>
      </c>
      <c r="R62" s="7">
        <f t="shared" si="5"/>
        <v>26</v>
      </c>
      <c r="S62" s="13">
        <f>M62*GiaDinh!$C$7</f>
        <v>90.3</v>
      </c>
    </row>
    <row r="63" spans="1:19" ht="31" x14ac:dyDescent="0.35">
      <c r="A63" s="7" t="s">
        <v>7</v>
      </c>
      <c r="B63" s="7">
        <v>12</v>
      </c>
      <c r="C63" s="7" t="s">
        <v>160</v>
      </c>
      <c r="D63" s="7" t="s">
        <v>221</v>
      </c>
      <c r="E63" s="7">
        <v>2</v>
      </c>
      <c r="F63" s="7">
        <v>73.7</v>
      </c>
      <c r="G63" s="12">
        <f>E63*F63*GiaDinh!$C$18*GiaDinh!$C$17</f>
        <v>123.81599999999999</v>
      </c>
      <c r="H63" s="7">
        <f>GiaDinh!$C$21</f>
        <v>1.2250000000000001</v>
      </c>
      <c r="I63" s="7">
        <f>GiaDinh!$C$15</f>
        <v>15</v>
      </c>
      <c r="J63" s="7">
        <f t="shared" si="0"/>
        <v>13</v>
      </c>
      <c r="K63" s="12">
        <f>J63*GiaDinh!$C$16</f>
        <v>91</v>
      </c>
      <c r="L63" s="7">
        <f t="shared" si="1"/>
        <v>2</v>
      </c>
      <c r="M63" s="12">
        <f t="shared" si="2"/>
        <v>30</v>
      </c>
      <c r="N63" s="7">
        <f>L63*ROUNDUP(I63/GiaDinh!$C$5-0.0005,0)</f>
        <v>6</v>
      </c>
      <c r="O63" s="7">
        <f>L63*(ROUNDUP(I63/GiaDinh!$C$5-0.0005,0)-1)</f>
        <v>4</v>
      </c>
      <c r="P63" s="7">
        <f t="shared" si="3"/>
        <v>26</v>
      </c>
      <c r="Q63" s="7">
        <f t="shared" si="4"/>
        <v>52</v>
      </c>
      <c r="R63" s="7">
        <f t="shared" si="5"/>
        <v>26</v>
      </c>
      <c r="S63" s="13">
        <f>M63*GiaDinh!$C$7</f>
        <v>90.3</v>
      </c>
    </row>
    <row r="64" spans="1:19" ht="31" x14ac:dyDescent="0.35">
      <c r="A64" s="7" t="s">
        <v>7</v>
      </c>
      <c r="B64" s="7">
        <v>13</v>
      </c>
      <c r="C64" s="7" t="s">
        <v>160</v>
      </c>
      <c r="D64" s="7" t="s">
        <v>222</v>
      </c>
      <c r="E64" s="7">
        <v>2</v>
      </c>
      <c r="F64" s="7">
        <v>73.7</v>
      </c>
      <c r="G64" s="12">
        <f>E64*F64*GiaDinh!$C$18*GiaDinh!$C$17</f>
        <v>123.81599999999999</v>
      </c>
      <c r="H64" s="7">
        <f>GiaDinh!$C$21</f>
        <v>1.2250000000000001</v>
      </c>
      <c r="I64" s="7">
        <f>GiaDinh!$C$15</f>
        <v>15</v>
      </c>
      <c r="J64" s="7">
        <f t="shared" si="0"/>
        <v>13</v>
      </c>
      <c r="K64" s="12">
        <f>J64*GiaDinh!$C$16</f>
        <v>91</v>
      </c>
      <c r="L64" s="7">
        <f t="shared" si="1"/>
        <v>2</v>
      </c>
      <c r="M64" s="12">
        <f t="shared" si="2"/>
        <v>30</v>
      </c>
      <c r="N64" s="7">
        <f>L64*ROUNDUP(I64/GiaDinh!$C$5-0.0005,0)</f>
        <v>6</v>
      </c>
      <c r="O64" s="7">
        <f>L64*(ROUNDUP(I64/GiaDinh!$C$5-0.0005,0)-1)</f>
        <v>4</v>
      </c>
      <c r="P64" s="7">
        <f t="shared" si="3"/>
        <v>26</v>
      </c>
      <c r="Q64" s="7">
        <f t="shared" si="4"/>
        <v>52</v>
      </c>
      <c r="R64" s="7">
        <f t="shared" si="5"/>
        <v>26</v>
      </c>
      <c r="S64" s="13">
        <f>M64*GiaDinh!$C$7</f>
        <v>90.3</v>
      </c>
    </row>
    <row r="65" spans="1:19" ht="31" x14ac:dyDescent="0.35">
      <c r="A65" s="7" t="s">
        <v>7</v>
      </c>
      <c r="B65" s="7">
        <v>14</v>
      </c>
      <c r="C65" s="7" t="s">
        <v>160</v>
      </c>
      <c r="D65" s="7" t="s">
        <v>223</v>
      </c>
      <c r="E65" s="7">
        <v>2</v>
      </c>
      <c r="F65" s="7">
        <v>73.7</v>
      </c>
      <c r="G65" s="12">
        <f>E65*F65*GiaDinh!$C$18*GiaDinh!$C$17</f>
        <v>123.81599999999999</v>
      </c>
      <c r="H65" s="7">
        <f>GiaDinh!$C$21</f>
        <v>1.2250000000000001</v>
      </c>
      <c r="I65" s="7">
        <f>GiaDinh!$C$15</f>
        <v>15</v>
      </c>
      <c r="J65" s="7">
        <f t="shared" si="0"/>
        <v>13</v>
      </c>
      <c r="K65" s="12">
        <f>J65*GiaDinh!$C$16</f>
        <v>91</v>
      </c>
      <c r="L65" s="7">
        <f t="shared" si="1"/>
        <v>2</v>
      </c>
      <c r="M65" s="12">
        <f t="shared" si="2"/>
        <v>30</v>
      </c>
      <c r="N65" s="7">
        <f>L65*ROUNDUP(I65/GiaDinh!$C$5-0.0005,0)</f>
        <v>6</v>
      </c>
      <c r="O65" s="7">
        <f>L65*(ROUNDUP(I65/GiaDinh!$C$5-0.0005,0)-1)</f>
        <v>4</v>
      </c>
      <c r="P65" s="7">
        <f t="shared" si="3"/>
        <v>26</v>
      </c>
      <c r="Q65" s="7">
        <f t="shared" si="4"/>
        <v>52</v>
      </c>
      <c r="R65" s="7">
        <f t="shared" si="5"/>
        <v>26</v>
      </c>
      <c r="S65" s="13">
        <f>M65*GiaDinh!$C$7</f>
        <v>90.3</v>
      </c>
    </row>
    <row r="66" spans="1:19" ht="46.5" x14ac:dyDescent="0.35">
      <c r="A66" s="7" t="s">
        <v>7</v>
      </c>
      <c r="B66" s="7">
        <v>15</v>
      </c>
      <c r="C66" s="7" t="s">
        <v>179</v>
      </c>
      <c r="D66" s="7" t="s">
        <v>224</v>
      </c>
      <c r="E66" s="7">
        <v>1</v>
      </c>
      <c r="F66" s="7">
        <v>73.7</v>
      </c>
      <c r="G66" s="12">
        <f>E66*F66*GiaDinh!$C$18*GiaDinh!$C$17</f>
        <v>61.907999999999994</v>
      </c>
      <c r="H66" s="7">
        <f>GiaDinh!$C$21</f>
        <v>1.2250000000000001</v>
      </c>
      <c r="I66" s="7">
        <f>GiaDinh!$C$15</f>
        <v>15</v>
      </c>
      <c r="J66" s="7">
        <f t="shared" si="0"/>
        <v>13</v>
      </c>
      <c r="K66" s="12">
        <f>J66*GiaDinh!$C$16</f>
        <v>91</v>
      </c>
      <c r="L66" s="7">
        <f t="shared" si="1"/>
        <v>1</v>
      </c>
      <c r="M66" s="12">
        <f t="shared" si="2"/>
        <v>15</v>
      </c>
      <c r="N66" s="7">
        <f>L66*ROUNDUP(I66/GiaDinh!$C$5-0.0005,0)</f>
        <v>3</v>
      </c>
      <c r="O66" s="7">
        <f>L66*(ROUNDUP(I66/GiaDinh!$C$5-0.0005,0)-1)</f>
        <v>2</v>
      </c>
      <c r="P66" s="7">
        <f t="shared" si="3"/>
        <v>13</v>
      </c>
      <c r="Q66" s="7">
        <f t="shared" si="4"/>
        <v>26</v>
      </c>
      <c r="R66" s="7">
        <f t="shared" si="5"/>
        <v>13</v>
      </c>
      <c r="S66" s="13">
        <f>M66*GiaDinh!$C$7</f>
        <v>45.15</v>
      </c>
    </row>
    <row r="67" spans="1:19" ht="46.5" x14ac:dyDescent="0.35">
      <c r="A67" s="7" t="s">
        <v>7</v>
      </c>
      <c r="B67" s="7">
        <v>16</v>
      </c>
      <c r="C67" s="7" t="s">
        <v>179</v>
      </c>
      <c r="D67" s="7" t="s">
        <v>225</v>
      </c>
      <c r="E67" s="7">
        <v>1</v>
      </c>
      <c r="F67" s="7">
        <v>73.7</v>
      </c>
      <c r="G67" s="12">
        <f>E67*F67*GiaDinh!$C$18*GiaDinh!$C$17</f>
        <v>61.907999999999994</v>
      </c>
      <c r="H67" s="7">
        <f>GiaDinh!$C$21</f>
        <v>1.2250000000000001</v>
      </c>
      <c r="I67" s="7">
        <f>GiaDinh!$C$15</f>
        <v>15</v>
      </c>
      <c r="J67" s="7">
        <f t="shared" si="0"/>
        <v>13</v>
      </c>
      <c r="K67" s="12">
        <f>J67*GiaDinh!$C$16</f>
        <v>91</v>
      </c>
      <c r="L67" s="7">
        <f t="shared" si="1"/>
        <v>1</v>
      </c>
      <c r="M67" s="12">
        <f t="shared" si="2"/>
        <v>15</v>
      </c>
      <c r="N67" s="7">
        <f>L67*ROUNDUP(I67/GiaDinh!$C$5-0.0005,0)</f>
        <v>3</v>
      </c>
      <c r="O67" s="7">
        <f>L67*(ROUNDUP(I67/GiaDinh!$C$5-0.0005,0)-1)</f>
        <v>2</v>
      </c>
      <c r="P67" s="7">
        <f t="shared" si="3"/>
        <v>13</v>
      </c>
      <c r="Q67" s="7">
        <f t="shared" si="4"/>
        <v>26</v>
      </c>
      <c r="R67" s="7">
        <f t="shared" si="5"/>
        <v>13</v>
      </c>
      <c r="S67" s="13">
        <f>M67*GiaDinh!$C$7</f>
        <v>45.15</v>
      </c>
    </row>
    <row r="68" spans="1:19" ht="46.5" x14ac:dyDescent="0.35">
      <c r="A68" s="7" t="s">
        <v>7</v>
      </c>
      <c r="B68" s="7">
        <v>17</v>
      </c>
      <c r="C68" s="7" t="s">
        <v>179</v>
      </c>
      <c r="D68" s="7" t="s">
        <v>226</v>
      </c>
      <c r="E68" s="7">
        <v>1</v>
      </c>
      <c r="F68" s="7">
        <v>73.7</v>
      </c>
      <c r="G68" s="12">
        <f>E68*F68*GiaDinh!$C$18*GiaDinh!$C$17</f>
        <v>61.907999999999994</v>
      </c>
      <c r="H68" s="7">
        <f>GiaDinh!$C$21</f>
        <v>1.2250000000000001</v>
      </c>
      <c r="I68" s="7">
        <f>GiaDinh!$C$15</f>
        <v>15</v>
      </c>
      <c r="J68" s="7">
        <f t="shared" ref="J68:J131" si="6">ROUNDDOWN(I68/H68,0)+1</f>
        <v>13</v>
      </c>
      <c r="K68" s="12">
        <f>J68*GiaDinh!$C$16</f>
        <v>91</v>
      </c>
      <c r="L68" s="7">
        <f t="shared" ref="L68:L131" si="7">MAX(1,ROUNDUP(G68/K68-0.0005,0))</f>
        <v>1</v>
      </c>
      <c r="M68" s="12">
        <f t="shared" ref="M68:M131" si="8">L68*I68</f>
        <v>15</v>
      </c>
      <c r="N68" s="7">
        <f>L68*ROUNDUP(I68/GiaDinh!$C$5-0.0005,0)</f>
        <v>3</v>
      </c>
      <c r="O68" s="7">
        <f>L68*(ROUNDUP(I68/GiaDinh!$C$5-0.0005,0)-1)</f>
        <v>2</v>
      </c>
      <c r="P68" s="7">
        <f t="shared" ref="P68:P131" si="9">L68*J68</f>
        <v>13</v>
      </c>
      <c r="Q68" s="7">
        <f t="shared" ref="Q68:Q131" si="10">2*P68</f>
        <v>26</v>
      </c>
      <c r="R68" s="7">
        <f t="shared" ref="R68:R131" si="11">P68</f>
        <v>13</v>
      </c>
      <c r="S68" s="13">
        <f>M68*GiaDinh!$C$7</f>
        <v>45.15</v>
      </c>
    </row>
    <row r="69" spans="1:19" ht="46.5" x14ac:dyDescent="0.35">
      <c r="A69" s="7" t="s">
        <v>7</v>
      </c>
      <c r="B69" s="7">
        <v>18</v>
      </c>
      <c r="C69" s="7" t="s">
        <v>179</v>
      </c>
      <c r="D69" s="7" t="s">
        <v>227</v>
      </c>
      <c r="E69" s="7">
        <v>1</v>
      </c>
      <c r="F69" s="7">
        <v>73.7</v>
      </c>
      <c r="G69" s="12">
        <f>E69*F69*GiaDinh!$C$18*GiaDinh!$C$17</f>
        <v>61.907999999999994</v>
      </c>
      <c r="H69" s="7">
        <f>GiaDinh!$C$21</f>
        <v>1.2250000000000001</v>
      </c>
      <c r="I69" s="7">
        <f>GiaDinh!$C$15</f>
        <v>15</v>
      </c>
      <c r="J69" s="7">
        <f t="shared" si="6"/>
        <v>13</v>
      </c>
      <c r="K69" s="12">
        <f>J69*GiaDinh!$C$16</f>
        <v>91</v>
      </c>
      <c r="L69" s="7">
        <f t="shared" si="7"/>
        <v>1</v>
      </c>
      <c r="M69" s="12">
        <f t="shared" si="8"/>
        <v>15</v>
      </c>
      <c r="N69" s="7">
        <f>L69*ROUNDUP(I69/GiaDinh!$C$5-0.0005,0)</f>
        <v>3</v>
      </c>
      <c r="O69" s="7">
        <f>L69*(ROUNDUP(I69/GiaDinh!$C$5-0.0005,0)-1)</f>
        <v>2</v>
      </c>
      <c r="P69" s="7">
        <f t="shared" si="9"/>
        <v>13</v>
      </c>
      <c r="Q69" s="7">
        <f t="shared" si="10"/>
        <v>26</v>
      </c>
      <c r="R69" s="7">
        <f t="shared" si="11"/>
        <v>13</v>
      </c>
      <c r="S69" s="13">
        <f>M69*GiaDinh!$C$7</f>
        <v>45.15</v>
      </c>
    </row>
    <row r="70" spans="1:19" ht="46.5" x14ac:dyDescent="0.35">
      <c r="A70" s="7" t="s">
        <v>7</v>
      </c>
      <c r="B70" s="7">
        <v>19</v>
      </c>
      <c r="C70" s="7" t="s">
        <v>179</v>
      </c>
      <c r="D70" s="7" t="s">
        <v>228</v>
      </c>
      <c r="E70" s="7">
        <v>1</v>
      </c>
      <c r="F70" s="7">
        <v>73.7</v>
      </c>
      <c r="G70" s="12">
        <f>E70*F70*GiaDinh!$C$18*GiaDinh!$C$17</f>
        <v>61.907999999999994</v>
      </c>
      <c r="H70" s="7">
        <f>GiaDinh!$C$21</f>
        <v>1.2250000000000001</v>
      </c>
      <c r="I70" s="7">
        <f>GiaDinh!$C$15</f>
        <v>15</v>
      </c>
      <c r="J70" s="7">
        <f t="shared" si="6"/>
        <v>13</v>
      </c>
      <c r="K70" s="12">
        <f>J70*GiaDinh!$C$16</f>
        <v>91</v>
      </c>
      <c r="L70" s="7">
        <f t="shared" si="7"/>
        <v>1</v>
      </c>
      <c r="M70" s="12">
        <f t="shared" si="8"/>
        <v>15</v>
      </c>
      <c r="N70" s="7">
        <f>L70*ROUNDUP(I70/GiaDinh!$C$5-0.0005,0)</f>
        <v>3</v>
      </c>
      <c r="O70" s="7">
        <f>L70*(ROUNDUP(I70/GiaDinh!$C$5-0.0005,0)-1)</f>
        <v>2</v>
      </c>
      <c r="P70" s="7">
        <f t="shared" si="9"/>
        <v>13</v>
      </c>
      <c r="Q70" s="7">
        <f t="shared" si="10"/>
        <v>26</v>
      </c>
      <c r="R70" s="7">
        <f t="shared" si="11"/>
        <v>13</v>
      </c>
      <c r="S70" s="13">
        <f>M70*GiaDinh!$C$7</f>
        <v>45.15</v>
      </c>
    </row>
    <row r="71" spans="1:19" ht="46.5" x14ac:dyDescent="0.35">
      <c r="A71" s="7" t="s">
        <v>7</v>
      </c>
      <c r="B71" s="7">
        <v>20</v>
      </c>
      <c r="C71" s="7" t="s">
        <v>179</v>
      </c>
      <c r="D71" s="7" t="s">
        <v>229</v>
      </c>
      <c r="E71" s="7">
        <v>1</v>
      </c>
      <c r="F71" s="7">
        <v>73.7</v>
      </c>
      <c r="G71" s="12">
        <f>E71*F71*GiaDinh!$C$18*GiaDinh!$C$17</f>
        <v>61.907999999999994</v>
      </c>
      <c r="H71" s="7">
        <f>GiaDinh!$C$21</f>
        <v>1.2250000000000001</v>
      </c>
      <c r="I71" s="7">
        <f>GiaDinh!$C$15</f>
        <v>15</v>
      </c>
      <c r="J71" s="7">
        <f t="shared" si="6"/>
        <v>13</v>
      </c>
      <c r="K71" s="12">
        <f>J71*GiaDinh!$C$16</f>
        <v>91</v>
      </c>
      <c r="L71" s="7">
        <f t="shared" si="7"/>
        <v>1</v>
      </c>
      <c r="M71" s="12">
        <f t="shared" si="8"/>
        <v>15</v>
      </c>
      <c r="N71" s="7">
        <f>L71*ROUNDUP(I71/GiaDinh!$C$5-0.0005,0)</f>
        <v>3</v>
      </c>
      <c r="O71" s="7">
        <f>L71*(ROUNDUP(I71/GiaDinh!$C$5-0.0005,0)-1)</f>
        <v>2</v>
      </c>
      <c r="P71" s="7">
        <f t="shared" si="9"/>
        <v>13</v>
      </c>
      <c r="Q71" s="7">
        <f t="shared" si="10"/>
        <v>26</v>
      </c>
      <c r="R71" s="7">
        <f t="shared" si="11"/>
        <v>13</v>
      </c>
      <c r="S71" s="13">
        <f>M71*GiaDinh!$C$7</f>
        <v>45.15</v>
      </c>
    </row>
    <row r="72" spans="1:19" ht="46.5" x14ac:dyDescent="0.35">
      <c r="A72" s="7" t="s">
        <v>7</v>
      </c>
      <c r="B72" s="7">
        <v>21</v>
      </c>
      <c r="C72" s="7" t="s">
        <v>179</v>
      </c>
      <c r="D72" s="7" t="s">
        <v>230</v>
      </c>
      <c r="E72" s="7">
        <v>1</v>
      </c>
      <c r="F72" s="7">
        <v>73.7</v>
      </c>
      <c r="G72" s="12">
        <f>E72*F72*GiaDinh!$C$18*GiaDinh!$C$17</f>
        <v>61.907999999999994</v>
      </c>
      <c r="H72" s="7">
        <f>GiaDinh!$C$21</f>
        <v>1.2250000000000001</v>
      </c>
      <c r="I72" s="7">
        <f>GiaDinh!$C$15</f>
        <v>15</v>
      </c>
      <c r="J72" s="7">
        <f t="shared" si="6"/>
        <v>13</v>
      </c>
      <c r="K72" s="12">
        <f>J72*GiaDinh!$C$16</f>
        <v>91</v>
      </c>
      <c r="L72" s="7">
        <f t="shared" si="7"/>
        <v>1</v>
      </c>
      <c r="M72" s="12">
        <f t="shared" si="8"/>
        <v>15</v>
      </c>
      <c r="N72" s="7">
        <f>L72*ROUNDUP(I72/GiaDinh!$C$5-0.0005,0)</f>
        <v>3</v>
      </c>
      <c r="O72" s="7">
        <f>L72*(ROUNDUP(I72/GiaDinh!$C$5-0.0005,0)-1)</f>
        <v>2</v>
      </c>
      <c r="P72" s="7">
        <f t="shared" si="9"/>
        <v>13</v>
      </c>
      <c r="Q72" s="7">
        <f t="shared" si="10"/>
        <v>26</v>
      </c>
      <c r="R72" s="7">
        <f t="shared" si="11"/>
        <v>13</v>
      </c>
      <c r="S72" s="13">
        <f>M72*GiaDinh!$C$7</f>
        <v>45.15</v>
      </c>
    </row>
    <row r="73" spans="1:19" ht="46.5" x14ac:dyDescent="0.35">
      <c r="A73" s="7" t="s">
        <v>7</v>
      </c>
      <c r="B73" s="7">
        <v>22</v>
      </c>
      <c r="C73" s="7" t="s">
        <v>179</v>
      </c>
      <c r="D73" s="7" t="s">
        <v>231</v>
      </c>
      <c r="E73" s="7">
        <v>1</v>
      </c>
      <c r="F73" s="7">
        <v>73.7</v>
      </c>
      <c r="G73" s="12">
        <f>E73*F73*GiaDinh!$C$18*GiaDinh!$C$17</f>
        <v>61.907999999999994</v>
      </c>
      <c r="H73" s="7">
        <f>GiaDinh!$C$21</f>
        <v>1.2250000000000001</v>
      </c>
      <c r="I73" s="7">
        <f>GiaDinh!$C$15</f>
        <v>15</v>
      </c>
      <c r="J73" s="7">
        <f t="shared" si="6"/>
        <v>13</v>
      </c>
      <c r="K73" s="12">
        <f>J73*GiaDinh!$C$16</f>
        <v>91</v>
      </c>
      <c r="L73" s="7">
        <f t="shared" si="7"/>
        <v>1</v>
      </c>
      <c r="M73" s="12">
        <f t="shared" si="8"/>
        <v>15</v>
      </c>
      <c r="N73" s="7">
        <f>L73*ROUNDUP(I73/GiaDinh!$C$5-0.0005,0)</f>
        <v>3</v>
      </c>
      <c r="O73" s="7">
        <f>L73*(ROUNDUP(I73/GiaDinh!$C$5-0.0005,0)-1)</f>
        <v>2</v>
      </c>
      <c r="P73" s="7">
        <f t="shared" si="9"/>
        <v>13</v>
      </c>
      <c r="Q73" s="7">
        <f t="shared" si="10"/>
        <v>26</v>
      </c>
      <c r="R73" s="7">
        <f t="shared" si="11"/>
        <v>13</v>
      </c>
      <c r="S73" s="13">
        <f>M73*GiaDinh!$C$7</f>
        <v>45.15</v>
      </c>
    </row>
    <row r="74" spans="1:19" ht="46.5" x14ac:dyDescent="0.35">
      <c r="A74" s="7" t="s">
        <v>7</v>
      </c>
      <c r="B74" s="7">
        <v>23</v>
      </c>
      <c r="C74" s="7" t="s">
        <v>179</v>
      </c>
      <c r="D74" s="7" t="s">
        <v>232</v>
      </c>
      <c r="E74" s="7">
        <v>1</v>
      </c>
      <c r="F74" s="7">
        <v>73.7</v>
      </c>
      <c r="G74" s="12">
        <f>E74*F74*GiaDinh!$C$18*GiaDinh!$C$17</f>
        <v>61.907999999999994</v>
      </c>
      <c r="H74" s="7">
        <f>GiaDinh!$C$21</f>
        <v>1.2250000000000001</v>
      </c>
      <c r="I74" s="7">
        <f>GiaDinh!$C$15</f>
        <v>15</v>
      </c>
      <c r="J74" s="7">
        <f t="shared" si="6"/>
        <v>13</v>
      </c>
      <c r="K74" s="12">
        <f>J74*GiaDinh!$C$16</f>
        <v>91</v>
      </c>
      <c r="L74" s="7">
        <f t="shared" si="7"/>
        <v>1</v>
      </c>
      <c r="M74" s="12">
        <f t="shared" si="8"/>
        <v>15</v>
      </c>
      <c r="N74" s="7">
        <f>L74*ROUNDUP(I74/GiaDinh!$C$5-0.0005,0)</f>
        <v>3</v>
      </c>
      <c r="O74" s="7">
        <f>L74*(ROUNDUP(I74/GiaDinh!$C$5-0.0005,0)-1)</f>
        <v>2</v>
      </c>
      <c r="P74" s="7">
        <f t="shared" si="9"/>
        <v>13</v>
      </c>
      <c r="Q74" s="7">
        <f t="shared" si="10"/>
        <v>26</v>
      </c>
      <c r="R74" s="7">
        <f t="shared" si="11"/>
        <v>13</v>
      </c>
      <c r="S74" s="13">
        <f>M74*GiaDinh!$C$7</f>
        <v>45.15</v>
      </c>
    </row>
    <row r="75" spans="1:19" ht="46.5" x14ac:dyDescent="0.35">
      <c r="A75" s="7" t="s">
        <v>7</v>
      </c>
      <c r="B75" s="7">
        <v>24</v>
      </c>
      <c r="C75" s="7" t="s">
        <v>179</v>
      </c>
      <c r="D75" s="7" t="s">
        <v>233</v>
      </c>
      <c r="E75" s="7">
        <v>1</v>
      </c>
      <c r="F75" s="7">
        <v>73.7</v>
      </c>
      <c r="G75" s="12">
        <f>E75*F75*GiaDinh!$C$18*GiaDinh!$C$17</f>
        <v>61.907999999999994</v>
      </c>
      <c r="H75" s="7">
        <f>GiaDinh!$C$21</f>
        <v>1.2250000000000001</v>
      </c>
      <c r="I75" s="7">
        <f>GiaDinh!$C$15</f>
        <v>15</v>
      </c>
      <c r="J75" s="7">
        <f t="shared" si="6"/>
        <v>13</v>
      </c>
      <c r="K75" s="12">
        <f>J75*GiaDinh!$C$16</f>
        <v>91</v>
      </c>
      <c r="L75" s="7">
        <f t="shared" si="7"/>
        <v>1</v>
      </c>
      <c r="M75" s="12">
        <f t="shared" si="8"/>
        <v>15</v>
      </c>
      <c r="N75" s="7">
        <f>L75*ROUNDUP(I75/GiaDinh!$C$5-0.0005,0)</f>
        <v>3</v>
      </c>
      <c r="O75" s="7">
        <f>L75*(ROUNDUP(I75/GiaDinh!$C$5-0.0005,0)-1)</f>
        <v>2</v>
      </c>
      <c r="P75" s="7">
        <f t="shared" si="9"/>
        <v>13</v>
      </c>
      <c r="Q75" s="7">
        <f t="shared" si="10"/>
        <v>26</v>
      </c>
      <c r="R75" s="7">
        <f t="shared" si="11"/>
        <v>13</v>
      </c>
      <c r="S75" s="13">
        <f>M75*GiaDinh!$C$7</f>
        <v>45.15</v>
      </c>
    </row>
    <row r="76" spans="1:19" ht="46.5" x14ac:dyDescent="0.35">
      <c r="A76" s="7" t="s">
        <v>7</v>
      </c>
      <c r="B76" s="7">
        <v>25</v>
      </c>
      <c r="C76" s="7" t="s">
        <v>179</v>
      </c>
      <c r="D76" s="7" t="s">
        <v>234</v>
      </c>
      <c r="E76" s="7">
        <v>1</v>
      </c>
      <c r="F76" s="7">
        <v>73.7</v>
      </c>
      <c r="G76" s="12">
        <f>E76*F76*GiaDinh!$C$18*GiaDinh!$C$17</f>
        <v>61.907999999999994</v>
      </c>
      <c r="H76" s="7">
        <f>GiaDinh!$C$21</f>
        <v>1.2250000000000001</v>
      </c>
      <c r="I76" s="7">
        <f>GiaDinh!$C$15</f>
        <v>15</v>
      </c>
      <c r="J76" s="7">
        <f t="shared" si="6"/>
        <v>13</v>
      </c>
      <c r="K76" s="12">
        <f>J76*GiaDinh!$C$16</f>
        <v>91</v>
      </c>
      <c r="L76" s="7">
        <f t="shared" si="7"/>
        <v>1</v>
      </c>
      <c r="M76" s="12">
        <f t="shared" si="8"/>
        <v>15</v>
      </c>
      <c r="N76" s="7">
        <f>L76*ROUNDUP(I76/GiaDinh!$C$5-0.0005,0)</f>
        <v>3</v>
      </c>
      <c r="O76" s="7">
        <f>L76*(ROUNDUP(I76/GiaDinh!$C$5-0.0005,0)-1)</f>
        <v>2</v>
      </c>
      <c r="P76" s="7">
        <f t="shared" si="9"/>
        <v>13</v>
      </c>
      <c r="Q76" s="7">
        <f t="shared" si="10"/>
        <v>26</v>
      </c>
      <c r="R76" s="7">
        <f t="shared" si="11"/>
        <v>13</v>
      </c>
      <c r="S76" s="13">
        <f>M76*GiaDinh!$C$7</f>
        <v>45.15</v>
      </c>
    </row>
    <row r="77" spans="1:19" ht="46.5" x14ac:dyDescent="0.35">
      <c r="A77" s="7" t="s">
        <v>7</v>
      </c>
      <c r="B77" s="7">
        <v>26</v>
      </c>
      <c r="C77" s="7" t="s">
        <v>179</v>
      </c>
      <c r="D77" s="7" t="s">
        <v>235</v>
      </c>
      <c r="E77" s="7">
        <v>1</v>
      </c>
      <c r="F77" s="7">
        <v>73.7</v>
      </c>
      <c r="G77" s="12">
        <f>E77*F77*GiaDinh!$C$18*GiaDinh!$C$17</f>
        <v>61.907999999999994</v>
      </c>
      <c r="H77" s="7">
        <f>GiaDinh!$C$21</f>
        <v>1.2250000000000001</v>
      </c>
      <c r="I77" s="7">
        <f>GiaDinh!$C$15</f>
        <v>15</v>
      </c>
      <c r="J77" s="7">
        <f t="shared" si="6"/>
        <v>13</v>
      </c>
      <c r="K77" s="12">
        <f>J77*GiaDinh!$C$16</f>
        <v>91</v>
      </c>
      <c r="L77" s="7">
        <f t="shared" si="7"/>
        <v>1</v>
      </c>
      <c r="M77" s="12">
        <f t="shared" si="8"/>
        <v>15</v>
      </c>
      <c r="N77" s="7">
        <f>L77*ROUNDUP(I77/GiaDinh!$C$5-0.0005,0)</f>
        <v>3</v>
      </c>
      <c r="O77" s="7">
        <f>L77*(ROUNDUP(I77/GiaDinh!$C$5-0.0005,0)-1)</f>
        <v>2</v>
      </c>
      <c r="P77" s="7">
        <f t="shared" si="9"/>
        <v>13</v>
      </c>
      <c r="Q77" s="7">
        <f t="shared" si="10"/>
        <v>26</v>
      </c>
      <c r="R77" s="7">
        <f t="shared" si="11"/>
        <v>13</v>
      </c>
      <c r="S77" s="13">
        <f>M77*GiaDinh!$C$7</f>
        <v>45.15</v>
      </c>
    </row>
    <row r="78" spans="1:19" ht="46.5" x14ac:dyDescent="0.35">
      <c r="A78" s="7" t="s">
        <v>7</v>
      </c>
      <c r="B78" s="7">
        <v>27</v>
      </c>
      <c r="C78" s="7" t="s">
        <v>179</v>
      </c>
      <c r="D78" s="7" t="s">
        <v>236</v>
      </c>
      <c r="E78" s="7">
        <v>1</v>
      </c>
      <c r="F78" s="7">
        <v>73.7</v>
      </c>
      <c r="G78" s="12">
        <f>E78*F78*GiaDinh!$C$18*GiaDinh!$C$17</f>
        <v>61.907999999999994</v>
      </c>
      <c r="H78" s="7">
        <f>GiaDinh!$C$21</f>
        <v>1.2250000000000001</v>
      </c>
      <c r="I78" s="7">
        <f>GiaDinh!$C$15</f>
        <v>15</v>
      </c>
      <c r="J78" s="7">
        <f t="shared" si="6"/>
        <v>13</v>
      </c>
      <c r="K78" s="12">
        <f>J78*GiaDinh!$C$16</f>
        <v>91</v>
      </c>
      <c r="L78" s="7">
        <f t="shared" si="7"/>
        <v>1</v>
      </c>
      <c r="M78" s="12">
        <f t="shared" si="8"/>
        <v>15</v>
      </c>
      <c r="N78" s="7">
        <f>L78*ROUNDUP(I78/GiaDinh!$C$5-0.0005,0)</f>
        <v>3</v>
      </c>
      <c r="O78" s="7">
        <f>L78*(ROUNDUP(I78/GiaDinh!$C$5-0.0005,0)-1)</f>
        <v>2</v>
      </c>
      <c r="P78" s="7">
        <f t="shared" si="9"/>
        <v>13</v>
      </c>
      <c r="Q78" s="7">
        <f t="shared" si="10"/>
        <v>26</v>
      </c>
      <c r="R78" s="7">
        <f t="shared" si="11"/>
        <v>13</v>
      </c>
      <c r="S78" s="13">
        <f>M78*GiaDinh!$C$7</f>
        <v>45.15</v>
      </c>
    </row>
    <row r="79" spans="1:19" ht="46.5" x14ac:dyDescent="0.35">
      <c r="A79" s="7" t="s">
        <v>7</v>
      </c>
      <c r="B79" s="7">
        <v>28</v>
      </c>
      <c r="C79" s="7" t="s">
        <v>179</v>
      </c>
      <c r="D79" s="7" t="s">
        <v>237</v>
      </c>
      <c r="E79" s="7">
        <v>1</v>
      </c>
      <c r="F79" s="7">
        <v>73.7</v>
      </c>
      <c r="G79" s="12">
        <f>E79*F79*GiaDinh!$C$18*GiaDinh!$C$17</f>
        <v>61.907999999999994</v>
      </c>
      <c r="H79" s="7">
        <f>GiaDinh!$C$21</f>
        <v>1.2250000000000001</v>
      </c>
      <c r="I79" s="7">
        <f>GiaDinh!$C$15</f>
        <v>15</v>
      </c>
      <c r="J79" s="7">
        <f t="shared" si="6"/>
        <v>13</v>
      </c>
      <c r="K79" s="12">
        <f>J79*GiaDinh!$C$16</f>
        <v>91</v>
      </c>
      <c r="L79" s="7">
        <f t="shared" si="7"/>
        <v>1</v>
      </c>
      <c r="M79" s="12">
        <f t="shared" si="8"/>
        <v>15</v>
      </c>
      <c r="N79" s="7">
        <f>L79*ROUNDUP(I79/GiaDinh!$C$5-0.0005,0)</f>
        <v>3</v>
      </c>
      <c r="O79" s="7">
        <f>L79*(ROUNDUP(I79/GiaDinh!$C$5-0.0005,0)-1)</f>
        <v>2</v>
      </c>
      <c r="P79" s="7">
        <f t="shared" si="9"/>
        <v>13</v>
      </c>
      <c r="Q79" s="7">
        <f t="shared" si="10"/>
        <v>26</v>
      </c>
      <c r="R79" s="7">
        <f t="shared" si="11"/>
        <v>13</v>
      </c>
      <c r="S79" s="13">
        <f>M79*GiaDinh!$C$7</f>
        <v>45.15</v>
      </c>
    </row>
    <row r="80" spans="1:19" ht="46.5" x14ac:dyDescent="0.35">
      <c r="A80" s="7" t="s">
        <v>7</v>
      </c>
      <c r="B80" s="7">
        <v>29</v>
      </c>
      <c r="C80" s="7" t="s">
        <v>179</v>
      </c>
      <c r="D80" s="7" t="s">
        <v>238</v>
      </c>
      <c r="E80" s="7">
        <v>1</v>
      </c>
      <c r="F80" s="7">
        <v>73.7</v>
      </c>
      <c r="G80" s="12">
        <f>E80*F80*GiaDinh!$C$18*GiaDinh!$C$17</f>
        <v>61.907999999999994</v>
      </c>
      <c r="H80" s="7">
        <f>GiaDinh!$C$21</f>
        <v>1.2250000000000001</v>
      </c>
      <c r="I80" s="7">
        <f>GiaDinh!$C$15</f>
        <v>15</v>
      </c>
      <c r="J80" s="7">
        <f t="shared" si="6"/>
        <v>13</v>
      </c>
      <c r="K80" s="12">
        <f>J80*GiaDinh!$C$16</f>
        <v>91</v>
      </c>
      <c r="L80" s="7">
        <f t="shared" si="7"/>
        <v>1</v>
      </c>
      <c r="M80" s="12">
        <f t="shared" si="8"/>
        <v>15</v>
      </c>
      <c r="N80" s="7">
        <f>L80*ROUNDUP(I80/GiaDinh!$C$5-0.0005,0)</f>
        <v>3</v>
      </c>
      <c r="O80" s="7">
        <f>L80*(ROUNDUP(I80/GiaDinh!$C$5-0.0005,0)-1)</f>
        <v>2</v>
      </c>
      <c r="P80" s="7">
        <f t="shared" si="9"/>
        <v>13</v>
      </c>
      <c r="Q80" s="7">
        <f t="shared" si="10"/>
        <v>26</v>
      </c>
      <c r="R80" s="7">
        <f t="shared" si="11"/>
        <v>13</v>
      </c>
      <c r="S80" s="13">
        <f>M80*GiaDinh!$C$7</f>
        <v>45.15</v>
      </c>
    </row>
    <row r="81" spans="1:19" ht="46.5" x14ac:dyDescent="0.35">
      <c r="A81" s="7" t="s">
        <v>7</v>
      </c>
      <c r="B81" s="7">
        <v>30</v>
      </c>
      <c r="C81" s="7" t="s">
        <v>179</v>
      </c>
      <c r="D81" s="7" t="s">
        <v>239</v>
      </c>
      <c r="E81" s="7">
        <v>1</v>
      </c>
      <c r="F81" s="7">
        <v>73.7</v>
      </c>
      <c r="G81" s="12">
        <f>E81*F81*GiaDinh!$C$18*GiaDinh!$C$17</f>
        <v>61.907999999999994</v>
      </c>
      <c r="H81" s="7">
        <f>GiaDinh!$C$21</f>
        <v>1.2250000000000001</v>
      </c>
      <c r="I81" s="7">
        <f>GiaDinh!$C$15</f>
        <v>15</v>
      </c>
      <c r="J81" s="7">
        <f t="shared" si="6"/>
        <v>13</v>
      </c>
      <c r="K81" s="12">
        <f>J81*GiaDinh!$C$16</f>
        <v>91</v>
      </c>
      <c r="L81" s="7">
        <f t="shared" si="7"/>
        <v>1</v>
      </c>
      <c r="M81" s="12">
        <f t="shared" si="8"/>
        <v>15</v>
      </c>
      <c r="N81" s="7">
        <f>L81*ROUNDUP(I81/GiaDinh!$C$5-0.0005,0)</f>
        <v>3</v>
      </c>
      <c r="O81" s="7">
        <f>L81*(ROUNDUP(I81/GiaDinh!$C$5-0.0005,0)-1)</f>
        <v>2</v>
      </c>
      <c r="P81" s="7">
        <f t="shared" si="9"/>
        <v>13</v>
      </c>
      <c r="Q81" s="7">
        <f t="shared" si="10"/>
        <v>26</v>
      </c>
      <c r="R81" s="7">
        <f t="shared" si="11"/>
        <v>13</v>
      </c>
      <c r="S81" s="13">
        <f>M81*GiaDinh!$C$7</f>
        <v>45.15</v>
      </c>
    </row>
    <row r="82" spans="1:19" ht="46.5" x14ac:dyDescent="0.35">
      <c r="A82" s="7" t="s">
        <v>7</v>
      </c>
      <c r="B82" s="7">
        <v>31</v>
      </c>
      <c r="C82" s="7" t="s">
        <v>179</v>
      </c>
      <c r="D82" s="7" t="s">
        <v>240</v>
      </c>
      <c r="E82" s="7">
        <v>1</v>
      </c>
      <c r="F82" s="7">
        <v>73.7</v>
      </c>
      <c r="G82" s="12">
        <f>E82*F82*GiaDinh!$C$18*GiaDinh!$C$17</f>
        <v>61.907999999999994</v>
      </c>
      <c r="H82" s="7">
        <f>GiaDinh!$C$21</f>
        <v>1.2250000000000001</v>
      </c>
      <c r="I82" s="7">
        <f>GiaDinh!$C$15</f>
        <v>15</v>
      </c>
      <c r="J82" s="7">
        <f t="shared" si="6"/>
        <v>13</v>
      </c>
      <c r="K82" s="12">
        <f>J82*GiaDinh!$C$16</f>
        <v>91</v>
      </c>
      <c r="L82" s="7">
        <f t="shared" si="7"/>
        <v>1</v>
      </c>
      <c r="M82" s="12">
        <f t="shared" si="8"/>
        <v>15</v>
      </c>
      <c r="N82" s="7">
        <f>L82*ROUNDUP(I82/GiaDinh!$C$5-0.0005,0)</f>
        <v>3</v>
      </c>
      <c r="O82" s="7">
        <f>L82*(ROUNDUP(I82/GiaDinh!$C$5-0.0005,0)-1)</f>
        <v>2</v>
      </c>
      <c r="P82" s="7">
        <f t="shared" si="9"/>
        <v>13</v>
      </c>
      <c r="Q82" s="7">
        <f t="shared" si="10"/>
        <v>26</v>
      </c>
      <c r="R82" s="7">
        <f t="shared" si="11"/>
        <v>13</v>
      </c>
      <c r="S82" s="13">
        <f>M82*GiaDinh!$C$7</f>
        <v>45.15</v>
      </c>
    </row>
    <row r="83" spans="1:19" ht="46.5" x14ac:dyDescent="0.35">
      <c r="A83" s="7" t="s">
        <v>7</v>
      </c>
      <c r="B83" s="7">
        <v>32</v>
      </c>
      <c r="C83" s="7" t="s">
        <v>179</v>
      </c>
      <c r="D83" s="7" t="s">
        <v>241</v>
      </c>
      <c r="E83" s="7">
        <v>1</v>
      </c>
      <c r="F83" s="7">
        <v>73.7</v>
      </c>
      <c r="G83" s="12">
        <f>E83*F83*GiaDinh!$C$18*GiaDinh!$C$17</f>
        <v>61.907999999999994</v>
      </c>
      <c r="H83" s="7">
        <f>GiaDinh!$C$21</f>
        <v>1.2250000000000001</v>
      </c>
      <c r="I83" s="7">
        <f>GiaDinh!$C$15</f>
        <v>15</v>
      </c>
      <c r="J83" s="7">
        <f t="shared" si="6"/>
        <v>13</v>
      </c>
      <c r="K83" s="12">
        <f>J83*GiaDinh!$C$16</f>
        <v>91</v>
      </c>
      <c r="L83" s="7">
        <f t="shared" si="7"/>
        <v>1</v>
      </c>
      <c r="M83" s="12">
        <f t="shared" si="8"/>
        <v>15</v>
      </c>
      <c r="N83" s="7">
        <f>L83*ROUNDUP(I83/GiaDinh!$C$5-0.0005,0)</f>
        <v>3</v>
      </c>
      <c r="O83" s="7">
        <f>L83*(ROUNDUP(I83/GiaDinh!$C$5-0.0005,0)-1)</f>
        <v>2</v>
      </c>
      <c r="P83" s="7">
        <f t="shared" si="9"/>
        <v>13</v>
      </c>
      <c r="Q83" s="7">
        <f t="shared" si="10"/>
        <v>26</v>
      </c>
      <c r="R83" s="7">
        <f t="shared" si="11"/>
        <v>13</v>
      </c>
      <c r="S83" s="13">
        <f>M83*GiaDinh!$C$7</f>
        <v>45.15</v>
      </c>
    </row>
    <row r="84" spans="1:19" ht="46.5" x14ac:dyDescent="0.35">
      <c r="A84" s="7" t="s">
        <v>7</v>
      </c>
      <c r="B84" s="7">
        <v>33</v>
      </c>
      <c r="C84" s="7" t="s">
        <v>179</v>
      </c>
      <c r="D84" s="7" t="s">
        <v>242</v>
      </c>
      <c r="E84" s="7">
        <v>1</v>
      </c>
      <c r="F84" s="7">
        <v>73.7</v>
      </c>
      <c r="G84" s="12">
        <f>E84*F84*GiaDinh!$C$18*GiaDinh!$C$17</f>
        <v>61.907999999999994</v>
      </c>
      <c r="H84" s="7">
        <f>GiaDinh!$C$21</f>
        <v>1.2250000000000001</v>
      </c>
      <c r="I84" s="7">
        <f>GiaDinh!$C$15</f>
        <v>15</v>
      </c>
      <c r="J84" s="7">
        <f t="shared" si="6"/>
        <v>13</v>
      </c>
      <c r="K84" s="12">
        <f>J84*GiaDinh!$C$16</f>
        <v>91</v>
      </c>
      <c r="L84" s="7">
        <f t="shared" si="7"/>
        <v>1</v>
      </c>
      <c r="M84" s="12">
        <f t="shared" si="8"/>
        <v>15</v>
      </c>
      <c r="N84" s="7">
        <f>L84*ROUNDUP(I84/GiaDinh!$C$5-0.0005,0)</f>
        <v>3</v>
      </c>
      <c r="O84" s="7">
        <f>L84*(ROUNDUP(I84/GiaDinh!$C$5-0.0005,0)-1)</f>
        <v>2</v>
      </c>
      <c r="P84" s="7">
        <f t="shared" si="9"/>
        <v>13</v>
      </c>
      <c r="Q84" s="7">
        <f t="shared" si="10"/>
        <v>26</v>
      </c>
      <c r="R84" s="7">
        <f t="shared" si="11"/>
        <v>13</v>
      </c>
      <c r="S84" s="13">
        <f>M84*GiaDinh!$C$7</f>
        <v>45.15</v>
      </c>
    </row>
    <row r="85" spans="1:19" ht="46.5" x14ac:dyDescent="0.35">
      <c r="A85" s="7" t="s">
        <v>7</v>
      </c>
      <c r="B85" s="7">
        <v>34</v>
      </c>
      <c r="C85" s="7" t="s">
        <v>179</v>
      </c>
      <c r="D85" s="7" t="s">
        <v>243</v>
      </c>
      <c r="E85" s="7">
        <v>1</v>
      </c>
      <c r="F85" s="7">
        <v>73.7</v>
      </c>
      <c r="G85" s="12">
        <f>E85*F85*GiaDinh!$C$18*GiaDinh!$C$17</f>
        <v>61.907999999999994</v>
      </c>
      <c r="H85" s="7">
        <f>GiaDinh!$C$21</f>
        <v>1.2250000000000001</v>
      </c>
      <c r="I85" s="7">
        <f>GiaDinh!$C$15</f>
        <v>15</v>
      </c>
      <c r="J85" s="7">
        <f t="shared" si="6"/>
        <v>13</v>
      </c>
      <c r="K85" s="12">
        <f>J85*GiaDinh!$C$16</f>
        <v>91</v>
      </c>
      <c r="L85" s="7">
        <f t="shared" si="7"/>
        <v>1</v>
      </c>
      <c r="M85" s="12">
        <f t="shared" si="8"/>
        <v>15</v>
      </c>
      <c r="N85" s="7">
        <f>L85*ROUNDUP(I85/GiaDinh!$C$5-0.0005,0)</f>
        <v>3</v>
      </c>
      <c r="O85" s="7">
        <f>L85*(ROUNDUP(I85/GiaDinh!$C$5-0.0005,0)-1)</f>
        <v>2</v>
      </c>
      <c r="P85" s="7">
        <f t="shared" si="9"/>
        <v>13</v>
      </c>
      <c r="Q85" s="7">
        <f t="shared" si="10"/>
        <v>26</v>
      </c>
      <c r="R85" s="7">
        <f t="shared" si="11"/>
        <v>13</v>
      </c>
      <c r="S85" s="13">
        <f>M85*GiaDinh!$C$7</f>
        <v>45.15</v>
      </c>
    </row>
    <row r="86" spans="1:19" ht="46.5" x14ac:dyDescent="0.35">
      <c r="A86" s="7" t="s">
        <v>7</v>
      </c>
      <c r="B86" s="7">
        <v>35</v>
      </c>
      <c r="C86" s="7" t="s">
        <v>179</v>
      </c>
      <c r="D86" s="7" t="s">
        <v>244</v>
      </c>
      <c r="E86" s="7">
        <v>1</v>
      </c>
      <c r="F86" s="7">
        <v>73.7</v>
      </c>
      <c r="G86" s="12">
        <f>E86*F86*GiaDinh!$C$18*GiaDinh!$C$17</f>
        <v>61.907999999999994</v>
      </c>
      <c r="H86" s="7">
        <f>GiaDinh!$C$21</f>
        <v>1.2250000000000001</v>
      </c>
      <c r="I86" s="7">
        <f>GiaDinh!$C$15</f>
        <v>15</v>
      </c>
      <c r="J86" s="7">
        <f t="shared" si="6"/>
        <v>13</v>
      </c>
      <c r="K86" s="12">
        <f>J86*GiaDinh!$C$16</f>
        <v>91</v>
      </c>
      <c r="L86" s="7">
        <f t="shared" si="7"/>
        <v>1</v>
      </c>
      <c r="M86" s="12">
        <f t="shared" si="8"/>
        <v>15</v>
      </c>
      <c r="N86" s="7">
        <f>L86*ROUNDUP(I86/GiaDinh!$C$5-0.0005,0)</f>
        <v>3</v>
      </c>
      <c r="O86" s="7">
        <f>L86*(ROUNDUP(I86/GiaDinh!$C$5-0.0005,0)-1)</f>
        <v>2</v>
      </c>
      <c r="P86" s="7">
        <f t="shared" si="9"/>
        <v>13</v>
      </c>
      <c r="Q86" s="7">
        <f t="shared" si="10"/>
        <v>26</v>
      </c>
      <c r="R86" s="7">
        <f t="shared" si="11"/>
        <v>13</v>
      </c>
      <c r="S86" s="13">
        <f>M86*GiaDinh!$C$7</f>
        <v>45.15</v>
      </c>
    </row>
    <row r="87" spans="1:19" ht="46.5" x14ac:dyDescent="0.35">
      <c r="A87" s="7" t="s">
        <v>7</v>
      </c>
      <c r="B87" s="7">
        <v>36</v>
      </c>
      <c r="C87" s="7" t="s">
        <v>179</v>
      </c>
      <c r="D87" s="7" t="s">
        <v>245</v>
      </c>
      <c r="E87" s="7">
        <v>1</v>
      </c>
      <c r="F87" s="7">
        <v>73.7</v>
      </c>
      <c r="G87" s="12">
        <f>E87*F87*GiaDinh!$C$18*GiaDinh!$C$17</f>
        <v>61.907999999999994</v>
      </c>
      <c r="H87" s="7">
        <f>GiaDinh!$C$21</f>
        <v>1.2250000000000001</v>
      </c>
      <c r="I87" s="7">
        <f>GiaDinh!$C$15</f>
        <v>15</v>
      </c>
      <c r="J87" s="7">
        <f t="shared" si="6"/>
        <v>13</v>
      </c>
      <c r="K87" s="12">
        <f>J87*GiaDinh!$C$16</f>
        <v>91</v>
      </c>
      <c r="L87" s="7">
        <f t="shared" si="7"/>
        <v>1</v>
      </c>
      <c r="M87" s="12">
        <f t="shared" si="8"/>
        <v>15</v>
      </c>
      <c r="N87" s="7">
        <f>L87*ROUNDUP(I87/GiaDinh!$C$5-0.0005,0)</f>
        <v>3</v>
      </c>
      <c r="O87" s="7">
        <f>L87*(ROUNDUP(I87/GiaDinh!$C$5-0.0005,0)-1)</f>
        <v>2</v>
      </c>
      <c r="P87" s="7">
        <f t="shared" si="9"/>
        <v>13</v>
      </c>
      <c r="Q87" s="7">
        <f t="shared" si="10"/>
        <v>26</v>
      </c>
      <c r="R87" s="7">
        <f t="shared" si="11"/>
        <v>13</v>
      </c>
      <c r="S87" s="13">
        <f>M87*GiaDinh!$C$7</f>
        <v>45.15</v>
      </c>
    </row>
    <row r="88" spans="1:19" ht="46.5" x14ac:dyDescent="0.35">
      <c r="A88" s="7" t="s">
        <v>7</v>
      </c>
      <c r="B88" s="7">
        <v>37</v>
      </c>
      <c r="C88" s="7" t="s">
        <v>179</v>
      </c>
      <c r="D88" s="7" t="s">
        <v>246</v>
      </c>
      <c r="E88" s="7">
        <v>1</v>
      </c>
      <c r="F88" s="7">
        <v>73.7</v>
      </c>
      <c r="G88" s="12">
        <f>E88*F88*GiaDinh!$C$18*GiaDinh!$C$17</f>
        <v>61.907999999999994</v>
      </c>
      <c r="H88" s="7">
        <f>GiaDinh!$C$21</f>
        <v>1.2250000000000001</v>
      </c>
      <c r="I88" s="7">
        <f>GiaDinh!$C$15</f>
        <v>15</v>
      </c>
      <c r="J88" s="7">
        <f t="shared" si="6"/>
        <v>13</v>
      </c>
      <c r="K88" s="12">
        <f>J88*GiaDinh!$C$16</f>
        <v>91</v>
      </c>
      <c r="L88" s="7">
        <f t="shared" si="7"/>
        <v>1</v>
      </c>
      <c r="M88" s="12">
        <f t="shared" si="8"/>
        <v>15</v>
      </c>
      <c r="N88" s="7">
        <f>L88*ROUNDUP(I88/GiaDinh!$C$5-0.0005,0)</f>
        <v>3</v>
      </c>
      <c r="O88" s="7">
        <f>L88*(ROUNDUP(I88/GiaDinh!$C$5-0.0005,0)-1)</f>
        <v>2</v>
      </c>
      <c r="P88" s="7">
        <f t="shared" si="9"/>
        <v>13</v>
      </c>
      <c r="Q88" s="7">
        <f t="shared" si="10"/>
        <v>26</v>
      </c>
      <c r="R88" s="7">
        <f t="shared" si="11"/>
        <v>13</v>
      </c>
      <c r="S88" s="13">
        <f>M88*GiaDinh!$C$7</f>
        <v>45.15</v>
      </c>
    </row>
    <row r="89" spans="1:19" ht="46.5" x14ac:dyDescent="0.35">
      <c r="A89" s="7" t="s">
        <v>7</v>
      </c>
      <c r="B89" s="7">
        <v>38</v>
      </c>
      <c r="C89" s="7" t="s">
        <v>179</v>
      </c>
      <c r="D89" s="7" t="s">
        <v>247</v>
      </c>
      <c r="E89" s="7">
        <v>1</v>
      </c>
      <c r="F89" s="7">
        <v>73.7</v>
      </c>
      <c r="G89" s="12">
        <f>E89*F89*GiaDinh!$C$18*GiaDinh!$C$17</f>
        <v>61.907999999999994</v>
      </c>
      <c r="H89" s="7">
        <f>GiaDinh!$C$21</f>
        <v>1.2250000000000001</v>
      </c>
      <c r="I89" s="7">
        <f>GiaDinh!$C$15</f>
        <v>15</v>
      </c>
      <c r="J89" s="7">
        <f t="shared" si="6"/>
        <v>13</v>
      </c>
      <c r="K89" s="12">
        <f>J89*GiaDinh!$C$16</f>
        <v>91</v>
      </c>
      <c r="L89" s="7">
        <f t="shared" si="7"/>
        <v>1</v>
      </c>
      <c r="M89" s="12">
        <f t="shared" si="8"/>
        <v>15</v>
      </c>
      <c r="N89" s="7">
        <f>L89*ROUNDUP(I89/GiaDinh!$C$5-0.0005,0)</f>
        <v>3</v>
      </c>
      <c r="O89" s="7">
        <f>L89*(ROUNDUP(I89/GiaDinh!$C$5-0.0005,0)-1)</f>
        <v>2</v>
      </c>
      <c r="P89" s="7">
        <f t="shared" si="9"/>
        <v>13</v>
      </c>
      <c r="Q89" s="7">
        <f t="shared" si="10"/>
        <v>26</v>
      </c>
      <c r="R89" s="7">
        <f t="shared" si="11"/>
        <v>13</v>
      </c>
      <c r="S89" s="13">
        <f>M89*GiaDinh!$C$7</f>
        <v>45.15</v>
      </c>
    </row>
    <row r="90" spans="1:19" ht="46.5" x14ac:dyDescent="0.35">
      <c r="A90" s="7" t="s">
        <v>7</v>
      </c>
      <c r="B90" s="7">
        <v>39</v>
      </c>
      <c r="C90" s="7" t="s">
        <v>179</v>
      </c>
      <c r="D90" s="7" t="s">
        <v>248</v>
      </c>
      <c r="E90" s="7">
        <v>1</v>
      </c>
      <c r="F90" s="7">
        <v>73.7</v>
      </c>
      <c r="G90" s="12">
        <f>E90*F90*GiaDinh!$C$18*GiaDinh!$C$17</f>
        <v>61.907999999999994</v>
      </c>
      <c r="H90" s="7">
        <f>GiaDinh!$C$21</f>
        <v>1.2250000000000001</v>
      </c>
      <c r="I90" s="7">
        <f>GiaDinh!$C$15</f>
        <v>15</v>
      </c>
      <c r="J90" s="7">
        <f t="shared" si="6"/>
        <v>13</v>
      </c>
      <c r="K90" s="12">
        <f>J90*GiaDinh!$C$16</f>
        <v>91</v>
      </c>
      <c r="L90" s="7">
        <f t="shared" si="7"/>
        <v>1</v>
      </c>
      <c r="M90" s="12">
        <f t="shared" si="8"/>
        <v>15</v>
      </c>
      <c r="N90" s="7">
        <f>L90*ROUNDUP(I90/GiaDinh!$C$5-0.0005,0)</f>
        <v>3</v>
      </c>
      <c r="O90" s="7">
        <f>L90*(ROUNDUP(I90/GiaDinh!$C$5-0.0005,0)-1)</f>
        <v>2</v>
      </c>
      <c r="P90" s="7">
        <f t="shared" si="9"/>
        <v>13</v>
      </c>
      <c r="Q90" s="7">
        <f t="shared" si="10"/>
        <v>26</v>
      </c>
      <c r="R90" s="7">
        <f t="shared" si="11"/>
        <v>13</v>
      </c>
      <c r="S90" s="13">
        <f>M90*GiaDinh!$C$7</f>
        <v>45.15</v>
      </c>
    </row>
    <row r="91" spans="1:19" ht="46.5" x14ac:dyDescent="0.35">
      <c r="A91" s="7" t="s">
        <v>7</v>
      </c>
      <c r="B91" s="7">
        <v>40</v>
      </c>
      <c r="C91" s="7" t="s">
        <v>179</v>
      </c>
      <c r="D91" s="7" t="s">
        <v>249</v>
      </c>
      <c r="E91" s="7">
        <v>1</v>
      </c>
      <c r="F91" s="7">
        <v>73.7</v>
      </c>
      <c r="G91" s="12">
        <f>E91*F91*GiaDinh!$C$18*GiaDinh!$C$17</f>
        <v>61.907999999999994</v>
      </c>
      <c r="H91" s="7">
        <f>GiaDinh!$C$21</f>
        <v>1.2250000000000001</v>
      </c>
      <c r="I91" s="7">
        <f>GiaDinh!$C$15</f>
        <v>15</v>
      </c>
      <c r="J91" s="7">
        <f t="shared" si="6"/>
        <v>13</v>
      </c>
      <c r="K91" s="12">
        <f>J91*GiaDinh!$C$16</f>
        <v>91</v>
      </c>
      <c r="L91" s="7">
        <f t="shared" si="7"/>
        <v>1</v>
      </c>
      <c r="M91" s="12">
        <f t="shared" si="8"/>
        <v>15</v>
      </c>
      <c r="N91" s="7">
        <f>L91*ROUNDUP(I91/GiaDinh!$C$5-0.0005,0)</f>
        <v>3</v>
      </c>
      <c r="O91" s="7">
        <f>L91*(ROUNDUP(I91/GiaDinh!$C$5-0.0005,0)-1)</f>
        <v>2</v>
      </c>
      <c r="P91" s="7">
        <f t="shared" si="9"/>
        <v>13</v>
      </c>
      <c r="Q91" s="7">
        <f t="shared" si="10"/>
        <v>26</v>
      </c>
      <c r="R91" s="7">
        <f t="shared" si="11"/>
        <v>13</v>
      </c>
      <c r="S91" s="13">
        <f>M91*GiaDinh!$C$7</f>
        <v>45.15</v>
      </c>
    </row>
    <row r="92" spans="1:19" ht="46.5" x14ac:dyDescent="0.35">
      <c r="A92" s="7" t="s">
        <v>7</v>
      </c>
      <c r="B92" s="7">
        <v>41</v>
      </c>
      <c r="C92" s="7" t="s">
        <v>179</v>
      </c>
      <c r="D92" s="7" t="s">
        <v>250</v>
      </c>
      <c r="E92" s="7">
        <v>1</v>
      </c>
      <c r="F92" s="7">
        <v>73.7</v>
      </c>
      <c r="G92" s="12">
        <f>E92*F92*GiaDinh!$C$18*GiaDinh!$C$17</f>
        <v>61.907999999999994</v>
      </c>
      <c r="H92" s="7">
        <f>GiaDinh!$C$21</f>
        <v>1.2250000000000001</v>
      </c>
      <c r="I92" s="7">
        <f>GiaDinh!$C$15</f>
        <v>15</v>
      </c>
      <c r="J92" s="7">
        <f t="shared" si="6"/>
        <v>13</v>
      </c>
      <c r="K92" s="12">
        <f>J92*GiaDinh!$C$16</f>
        <v>91</v>
      </c>
      <c r="L92" s="7">
        <f t="shared" si="7"/>
        <v>1</v>
      </c>
      <c r="M92" s="12">
        <f t="shared" si="8"/>
        <v>15</v>
      </c>
      <c r="N92" s="7">
        <f>L92*ROUNDUP(I92/GiaDinh!$C$5-0.0005,0)</f>
        <v>3</v>
      </c>
      <c r="O92" s="7">
        <f>L92*(ROUNDUP(I92/GiaDinh!$C$5-0.0005,0)-1)</f>
        <v>2</v>
      </c>
      <c r="P92" s="7">
        <f t="shared" si="9"/>
        <v>13</v>
      </c>
      <c r="Q92" s="7">
        <f t="shared" si="10"/>
        <v>26</v>
      </c>
      <c r="R92" s="7">
        <f t="shared" si="11"/>
        <v>13</v>
      </c>
      <c r="S92" s="13">
        <f>M92*GiaDinh!$C$7</f>
        <v>45.15</v>
      </c>
    </row>
    <row r="93" spans="1:19" ht="46.5" x14ac:dyDescent="0.35">
      <c r="A93" s="7" t="s">
        <v>7</v>
      </c>
      <c r="B93" s="7">
        <v>42</v>
      </c>
      <c r="C93" s="7" t="s">
        <v>179</v>
      </c>
      <c r="D93" s="7" t="s">
        <v>251</v>
      </c>
      <c r="E93" s="7">
        <v>1</v>
      </c>
      <c r="F93" s="7">
        <v>73.7</v>
      </c>
      <c r="G93" s="12">
        <f>E93*F93*GiaDinh!$C$18*GiaDinh!$C$17</f>
        <v>61.907999999999994</v>
      </c>
      <c r="H93" s="7">
        <f>GiaDinh!$C$21</f>
        <v>1.2250000000000001</v>
      </c>
      <c r="I93" s="7">
        <f>GiaDinh!$C$15</f>
        <v>15</v>
      </c>
      <c r="J93" s="7">
        <f t="shared" si="6"/>
        <v>13</v>
      </c>
      <c r="K93" s="12">
        <f>J93*GiaDinh!$C$16</f>
        <v>91</v>
      </c>
      <c r="L93" s="7">
        <f t="shared" si="7"/>
        <v>1</v>
      </c>
      <c r="M93" s="12">
        <f t="shared" si="8"/>
        <v>15</v>
      </c>
      <c r="N93" s="7">
        <f>L93*ROUNDUP(I93/GiaDinh!$C$5-0.0005,0)</f>
        <v>3</v>
      </c>
      <c r="O93" s="7">
        <f>L93*(ROUNDUP(I93/GiaDinh!$C$5-0.0005,0)-1)</f>
        <v>2</v>
      </c>
      <c r="P93" s="7">
        <f t="shared" si="9"/>
        <v>13</v>
      </c>
      <c r="Q93" s="7">
        <f t="shared" si="10"/>
        <v>26</v>
      </c>
      <c r="R93" s="7">
        <f t="shared" si="11"/>
        <v>13</v>
      </c>
      <c r="S93" s="13">
        <f>M93*GiaDinh!$C$7</f>
        <v>45.15</v>
      </c>
    </row>
    <row r="94" spans="1:19" ht="46.5" x14ac:dyDescent="0.35">
      <c r="A94" s="7" t="s">
        <v>7</v>
      </c>
      <c r="B94" s="7">
        <v>43</v>
      </c>
      <c r="C94" s="7" t="s">
        <v>179</v>
      </c>
      <c r="D94" s="7" t="s">
        <v>252</v>
      </c>
      <c r="E94" s="7">
        <v>1</v>
      </c>
      <c r="F94" s="7">
        <v>73.7</v>
      </c>
      <c r="G94" s="12">
        <f>E94*F94*GiaDinh!$C$18*GiaDinh!$C$17</f>
        <v>61.907999999999994</v>
      </c>
      <c r="H94" s="7">
        <f>GiaDinh!$C$21</f>
        <v>1.2250000000000001</v>
      </c>
      <c r="I94" s="7">
        <f>GiaDinh!$C$15</f>
        <v>15</v>
      </c>
      <c r="J94" s="7">
        <f t="shared" si="6"/>
        <v>13</v>
      </c>
      <c r="K94" s="12">
        <f>J94*GiaDinh!$C$16</f>
        <v>91</v>
      </c>
      <c r="L94" s="7">
        <f t="shared" si="7"/>
        <v>1</v>
      </c>
      <c r="M94" s="12">
        <f t="shared" si="8"/>
        <v>15</v>
      </c>
      <c r="N94" s="7">
        <f>L94*ROUNDUP(I94/GiaDinh!$C$5-0.0005,0)</f>
        <v>3</v>
      </c>
      <c r="O94" s="7">
        <f>L94*(ROUNDUP(I94/GiaDinh!$C$5-0.0005,0)-1)</f>
        <v>2</v>
      </c>
      <c r="P94" s="7">
        <f t="shared" si="9"/>
        <v>13</v>
      </c>
      <c r="Q94" s="7">
        <f t="shared" si="10"/>
        <v>26</v>
      </c>
      <c r="R94" s="7">
        <f t="shared" si="11"/>
        <v>13</v>
      </c>
      <c r="S94" s="13">
        <f>M94*GiaDinh!$C$7</f>
        <v>45.15</v>
      </c>
    </row>
    <row r="95" spans="1:19" ht="46.5" x14ac:dyDescent="0.35">
      <c r="A95" s="7" t="s">
        <v>7</v>
      </c>
      <c r="B95" s="7">
        <v>44</v>
      </c>
      <c r="C95" s="7" t="s">
        <v>179</v>
      </c>
      <c r="D95" s="7" t="s">
        <v>253</v>
      </c>
      <c r="E95" s="7">
        <v>1</v>
      </c>
      <c r="F95" s="7">
        <v>73.7</v>
      </c>
      <c r="G95" s="12">
        <f>E95*F95*GiaDinh!$C$18*GiaDinh!$C$17</f>
        <v>61.907999999999994</v>
      </c>
      <c r="H95" s="7">
        <f>GiaDinh!$C$21</f>
        <v>1.2250000000000001</v>
      </c>
      <c r="I95" s="7">
        <f>GiaDinh!$C$15</f>
        <v>15</v>
      </c>
      <c r="J95" s="7">
        <f t="shared" si="6"/>
        <v>13</v>
      </c>
      <c r="K95" s="12">
        <f>J95*GiaDinh!$C$16</f>
        <v>91</v>
      </c>
      <c r="L95" s="7">
        <f t="shared" si="7"/>
        <v>1</v>
      </c>
      <c r="M95" s="12">
        <f t="shared" si="8"/>
        <v>15</v>
      </c>
      <c r="N95" s="7">
        <f>L95*ROUNDUP(I95/GiaDinh!$C$5-0.0005,0)</f>
        <v>3</v>
      </c>
      <c r="O95" s="7">
        <f>L95*(ROUNDUP(I95/GiaDinh!$C$5-0.0005,0)-1)</f>
        <v>2</v>
      </c>
      <c r="P95" s="7">
        <f t="shared" si="9"/>
        <v>13</v>
      </c>
      <c r="Q95" s="7">
        <f t="shared" si="10"/>
        <v>26</v>
      </c>
      <c r="R95" s="7">
        <f t="shared" si="11"/>
        <v>13</v>
      </c>
      <c r="S95" s="13">
        <f>M95*GiaDinh!$C$7</f>
        <v>45.15</v>
      </c>
    </row>
    <row r="96" spans="1:19" ht="46.5" x14ac:dyDescent="0.35">
      <c r="A96" s="7" t="s">
        <v>7</v>
      </c>
      <c r="B96" s="7">
        <v>45</v>
      </c>
      <c r="C96" s="7" t="s">
        <v>179</v>
      </c>
      <c r="D96" s="7" t="s">
        <v>254</v>
      </c>
      <c r="E96" s="7">
        <v>1</v>
      </c>
      <c r="F96" s="7">
        <v>73.7</v>
      </c>
      <c r="G96" s="12">
        <f>E96*F96*GiaDinh!$C$18*GiaDinh!$C$17</f>
        <v>61.907999999999994</v>
      </c>
      <c r="H96" s="7">
        <f>GiaDinh!$C$21</f>
        <v>1.2250000000000001</v>
      </c>
      <c r="I96" s="7">
        <f>GiaDinh!$C$15</f>
        <v>15</v>
      </c>
      <c r="J96" s="7">
        <f t="shared" si="6"/>
        <v>13</v>
      </c>
      <c r="K96" s="12">
        <f>J96*GiaDinh!$C$16</f>
        <v>91</v>
      </c>
      <c r="L96" s="7">
        <f t="shared" si="7"/>
        <v>1</v>
      </c>
      <c r="M96" s="12">
        <f t="shared" si="8"/>
        <v>15</v>
      </c>
      <c r="N96" s="7">
        <f>L96*ROUNDUP(I96/GiaDinh!$C$5-0.0005,0)</f>
        <v>3</v>
      </c>
      <c r="O96" s="7">
        <f>L96*(ROUNDUP(I96/GiaDinh!$C$5-0.0005,0)-1)</f>
        <v>2</v>
      </c>
      <c r="P96" s="7">
        <f t="shared" si="9"/>
        <v>13</v>
      </c>
      <c r="Q96" s="7">
        <f t="shared" si="10"/>
        <v>26</v>
      </c>
      <c r="R96" s="7">
        <f t="shared" si="11"/>
        <v>13</v>
      </c>
      <c r="S96" s="13">
        <f>M96*GiaDinh!$C$7</f>
        <v>45.15</v>
      </c>
    </row>
    <row r="97" spans="1:19" ht="46.5" x14ac:dyDescent="0.35">
      <c r="A97" s="7" t="s">
        <v>7</v>
      </c>
      <c r="B97" s="7">
        <v>46</v>
      </c>
      <c r="C97" s="7" t="s">
        <v>179</v>
      </c>
      <c r="D97" s="7" t="s">
        <v>255</v>
      </c>
      <c r="E97" s="7">
        <v>1</v>
      </c>
      <c r="F97" s="7">
        <v>73.7</v>
      </c>
      <c r="G97" s="12">
        <f>E97*F97*GiaDinh!$C$18*GiaDinh!$C$17</f>
        <v>61.907999999999994</v>
      </c>
      <c r="H97" s="7">
        <f>GiaDinh!$C$21</f>
        <v>1.2250000000000001</v>
      </c>
      <c r="I97" s="7">
        <f>GiaDinh!$C$15</f>
        <v>15</v>
      </c>
      <c r="J97" s="7">
        <f t="shared" si="6"/>
        <v>13</v>
      </c>
      <c r="K97" s="12">
        <f>J97*GiaDinh!$C$16</f>
        <v>91</v>
      </c>
      <c r="L97" s="7">
        <f t="shared" si="7"/>
        <v>1</v>
      </c>
      <c r="M97" s="12">
        <f t="shared" si="8"/>
        <v>15</v>
      </c>
      <c r="N97" s="7">
        <f>L97*ROUNDUP(I97/GiaDinh!$C$5-0.0005,0)</f>
        <v>3</v>
      </c>
      <c r="O97" s="7">
        <f>L97*(ROUNDUP(I97/GiaDinh!$C$5-0.0005,0)-1)</f>
        <v>2</v>
      </c>
      <c r="P97" s="7">
        <f t="shared" si="9"/>
        <v>13</v>
      </c>
      <c r="Q97" s="7">
        <f t="shared" si="10"/>
        <v>26</v>
      </c>
      <c r="R97" s="7">
        <f t="shared" si="11"/>
        <v>13</v>
      </c>
      <c r="S97" s="13">
        <f>M97*GiaDinh!$C$7</f>
        <v>45.15</v>
      </c>
    </row>
    <row r="98" spans="1:19" ht="46.5" x14ac:dyDescent="0.35">
      <c r="A98" s="7" t="s">
        <v>7</v>
      </c>
      <c r="B98" s="7">
        <v>47</v>
      </c>
      <c r="C98" s="7" t="s">
        <v>179</v>
      </c>
      <c r="D98" s="7" t="s">
        <v>256</v>
      </c>
      <c r="E98" s="7">
        <v>1</v>
      </c>
      <c r="F98" s="7">
        <v>73.7</v>
      </c>
      <c r="G98" s="12">
        <f>E98*F98*GiaDinh!$C$18*GiaDinh!$C$17</f>
        <v>61.907999999999994</v>
      </c>
      <c r="H98" s="7">
        <f>GiaDinh!$C$21</f>
        <v>1.2250000000000001</v>
      </c>
      <c r="I98" s="7">
        <f>GiaDinh!$C$15</f>
        <v>15</v>
      </c>
      <c r="J98" s="7">
        <f t="shared" si="6"/>
        <v>13</v>
      </c>
      <c r="K98" s="12">
        <f>J98*GiaDinh!$C$16</f>
        <v>91</v>
      </c>
      <c r="L98" s="7">
        <f t="shared" si="7"/>
        <v>1</v>
      </c>
      <c r="M98" s="12">
        <f t="shared" si="8"/>
        <v>15</v>
      </c>
      <c r="N98" s="7">
        <f>L98*ROUNDUP(I98/GiaDinh!$C$5-0.0005,0)</f>
        <v>3</v>
      </c>
      <c r="O98" s="7">
        <f>L98*(ROUNDUP(I98/GiaDinh!$C$5-0.0005,0)-1)</f>
        <v>2</v>
      </c>
      <c r="P98" s="7">
        <f t="shared" si="9"/>
        <v>13</v>
      </c>
      <c r="Q98" s="7">
        <f t="shared" si="10"/>
        <v>26</v>
      </c>
      <c r="R98" s="7">
        <f t="shared" si="11"/>
        <v>13</v>
      </c>
      <c r="S98" s="13">
        <f>M98*GiaDinh!$C$7</f>
        <v>45.15</v>
      </c>
    </row>
    <row r="99" spans="1:19" ht="46.5" x14ac:dyDescent="0.35">
      <c r="A99" s="7" t="s">
        <v>7</v>
      </c>
      <c r="B99" s="7">
        <v>48</v>
      </c>
      <c r="C99" s="7" t="s">
        <v>179</v>
      </c>
      <c r="D99" s="7" t="s">
        <v>257</v>
      </c>
      <c r="E99" s="7">
        <v>1</v>
      </c>
      <c r="F99" s="7">
        <v>73.7</v>
      </c>
      <c r="G99" s="12">
        <f>E99*F99*GiaDinh!$C$18*GiaDinh!$C$17</f>
        <v>61.907999999999994</v>
      </c>
      <c r="H99" s="7">
        <f>GiaDinh!$C$21</f>
        <v>1.2250000000000001</v>
      </c>
      <c r="I99" s="7">
        <f>GiaDinh!$C$15</f>
        <v>15</v>
      </c>
      <c r="J99" s="7">
        <f t="shared" si="6"/>
        <v>13</v>
      </c>
      <c r="K99" s="12">
        <f>J99*GiaDinh!$C$16</f>
        <v>91</v>
      </c>
      <c r="L99" s="7">
        <f t="shared" si="7"/>
        <v>1</v>
      </c>
      <c r="M99" s="12">
        <f t="shared" si="8"/>
        <v>15</v>
      </c>
      <c r="N99" s="7">
        <f>L99*ROUNDUP(I99/GiaDinh!$C$5-0.0005,0)</f>
        <v>3</v>
      </c>
      <c r="O99" s="7">
        <f>L99*(ROUNDUP(I99/GiaDinh!$C$5-0.0005,0)-1)</f>
        <v>2</v>
      </c>
      <c r="P99" s="7">
        <f t="shared" si="9"/>
        <v>13</v>
      </c>
      <c r="Q99" s="7">
        <f t="shared" si="10"/>
        <v>26</v>
      </c>
      <c r="R99" s="7">
        <f t="shared" si="11"/>
        <v>13</v>
      </c>
      <c r="S99" s="13">
        <f>M99*GiaDinh!$C$7</f>
        <v>45.15</v>
      </c>
    </row>
    <row r="100" spans="1:19" ht="46.5" x14ac:dyDescent="0.35">
      <c r="A100" s="7" t="s">
        <v>7</v>
      </c>
      <c r="B100" s="7">
        <v>49</v>
      </c>
      <c r="C100" s="7" t="s">
        <v>179</v>
      </c>
      <c r="D100" s="7" t="s">
        <v>258</v>
      </c>
      <c r="E100" s="7">
        <v>1</v>
      </c>
      <c r="F100" s="7">
        <v>73.7</v>
      </c>
      <c r="G100" s="12">
        <f>E100*F100*GiaDinh!$C$18*GiaDinh!$C$17</f>
        <v>61.907999999999994</v>
      </c>
      <c r="H100" s="7">
        <f>GiaDinh!$C$21</f>
        <v>1.2250000000000001</v>
      </c>
      <c r="I100" s="7">
        <f>GiaDinh!$C$15</f>
        <v>15</v>
      </c>
      <c r="J100" s="7">
        <f t="shared" si="6"/>
        <v>13</v>
      </c>
      <c r="K100" s="12">
        <f>J100*GiaDinh!$C$16</f>
        <v>91</v>
      </c>
      <c r="L100" s="7">
        <f t="shared" si="7"/>
        <v>1</v>
      </c>
      <c r="M100" s="12">
        <f t="shared" si="8"/>
        <v>15</v>
      </c>
      <c r="N100" s="7">
        <f>L100*ROUNDUP(I100/GiaDinh!$C$5-0.0005,0)</f>
        <v>3</v>
      </c>
      <c r="O100" s="7">
        <f>L100*(ROUNDUP(I100/GiaDinh!$C$5-0.0005,0)-1)</f>
        <v>2</v>
      </c>
      <c r="P100" s="7">
        <f t="shared" si="9"/>
        <v>13</v>
      </c>
      <c r="Q100" s="7">
        <f t="shared" si="10"/>
        <v>26</v>
      </c>
      <c r="R100" s="7">
        <f t="shared" si="11"/>
        <v>13</v>
      </c>
      <c r="S100" s="13">
        <f>M100*GiaDinh!$C$7</f>
        <v>45.15</v>
      </c>
    </row>
    <row r="101" spans="1:19" ht="46.5" x14ac:dyDescent="0.35">
      <c r="A101" s="7" t="s">
        <v>7</v>
      </c>
      <c r="B101" s="7">
        <v>50</v>
      </c>
      <c r="C101" s="7" t="s">
        <v>179</v>
      </c>
      <c r="D101" s="7" t="s">
        <v>259</v>
      </c>
      <c r="E101" s="7">
        <v>1</v>
      </c>
      <c r="F101" s="7">
        <v>73.7</v>
      </c>
      <c r="G101" s="12">
        <f>E101*F101*GiaDinh!$C$18*GiaDinh!$C$17</f>
        <v>61.907999999999994</v>
      </c>
      <c r="H101" s="7">
        <f>GiaDinh!$C$21</f>
        <v>1.2250000000000001</v>
      </c>
      <c r="I101" s="7">
        <f>GiaDinh!$C$15</f>
        <v>15</v>
      </c>
      <c r="J101" s="7">
        <f t="shared" si="6"/>
        <v>13</v>
      </c>
      <c r="K101" s="12">
        <f>J101*GiaDinh!$C$16</f>
        <v>91</v>
      </c>
      <c r="L101" s="7">
        <f t="shared" si="7"/>
        <v>1</v>
      </c>
      <c r="M101" s="12">
        <f t="shared" si="8"/>
        <v>15</v>
      </c>
      <c r="N101" s="7">
        <f>L101*ROUNDUP(I101/GiaDinh!$C$5-0.0005,0)</f>
        <v>3</v>
      </c>
      <c r="O101" s="7">
        <f>L101*(ROUNDUP(I101/GiaDinh!$C$5-0.0005,0)-1)</f>
        <v>2</v>
      </c>
      <c r="P101" s="7">
        <f t="shared" si="9"/>
        <v>13</v>
      </c>
      <c r="Q101" s="7">
        <f t="shared" si="10"/>
        <v>26</v>
      </c>
      <c r="R101" s="7">
        <f t="shared" si="11"/>
        <v>13</v>
      </c>
      <c r="S101" s="13">
        <f>M101*GiaDinh!$C$7</f>
        <v>45.15</v>
      </c>
    </row>
    <row r="102" spans="1:19" ht="46.5" x14ac:dyDescent="0.35">
      <c r="A102" s="7" t="s">
        <v>7</v>
      </c>
      <c r="B102" s="7">
        <v>51</v>
      </c>
      <c r="C102" s="7" t="s">
        <v>179</v>
      </c>
      <c r="D102" s="7" t="s">
        <v>260</v>
      </c>
      <c r="E102" s="7">
        <v>1</v>
      </c>
      <c r="F102" s="7">
        <v>73.7</v>
      </c>
      <c r="G102" s="12">
        <f>E102*F102*GiaDinh!$C$18*GiaDinh!$C$17</f>
        <v>61.907999999999994</v>
      </c>
      <c r="H102" s="7">
        <f>GiaDinh!$C$21</f>
        <v>1.2250000000000001</v>
      </c>
      <c r="I102" s="7">
        <f>GiaDinh!$C$15</f>
        <v>15</v>
      </c>
      <c r="J102" s="7">
        <f t="shared" si="6"/>
        <v>13</v>
      </c>
      <c r="K102" s="12">
        <f>J102*GiaDinh!$C$16</f>
        <v>91</v>
      </c>
      <c r="L102" s="7">
        <f t="shared" si="7"/>
        <v>1</v>
      </c>
      <c r="M102" s="12">
        <f t="shared" si="8"/>
        <v>15</v>
      </c>
      <c r="N102" s="7">
        <f>L102*ROUNDUP(I102/GiaDinh!$C$5-0.0005,0)</f>
        <v>3</v>
      </c>
      <c r="O102" s="7">
        <f>L102*(ROUNDUP(I102/GiaDinh!$C$5-0.0005,0)-1)</f>
        <v>2</v>
      </c>
      <c r="P102" s="7">
        <f t="shared" si="9"/>
        <v>13</v>
      </c>
      <c r="Q102" s="7">
        <f t="shared" si="10"/>
        <v>26</v>
      </c>
      <c r="R102" s="7">
        <f t="shared" si="11"/>
        <v>13</v>
      </c>
      <c r="S102" s="13">
        <f>M102*GiaDinh!$C$7</f>
        <v>45.15</v>
      </c>
    </row>
    <row r="103" spans="1:19" ht="46.5" x14ac:dyDescent="0.35">
      <c r="A103" s="7" t="s">
        <v>7</v>
      </c>
      <c r="B103" s="7">
        <v>52</v>
      </c>
      <c r="C103" s="7" t="s">
        <v>179</v>
      </c>
      <c r="D103" s="7" t="s">
        <v>261</v>
      </c>
      <c r="E103" s="7">
        <v>1</v>
      </c>
      <c r="F103" s="7">
        <v>73.7</v>
      </c>
      <c r="G103" s="12">
        <f>E103*F103*GiaDinh!$C$18*GiaDinh!$C$17</f>
        <v>61.907999999999994</v>
      </c>
      <c r="H103" s="7">
        <f>GiaDinh!$C$21</f>
        <v>1.2250000000000001</v>
      </c>
      <c r="I103" s="7">
        <f>GiaDinh!$C$15</f>
        <v>15</v>
      </c>
      <c r="J103" s="7">
        <f t="shared" si="6"/>
        <v>13</v>
      </c>
      <c r="K103" s="12">
        <f>J103*GiaDinh!$C$16</f>
        <v>91</v>
      </c>
      <c r="L103" s="7">
        <f t="shared" si="7"/>
        <v>1</v>
      </c>
      <c r="M103" s="12">
        <f t="shared" si="8"/>
        <v>15</v>
      </c>
      <c r="N103" s="7">
        <f>L103*ROUNDUP(I103/GiaDinh!$C$5-0.0005,0)</f>
        <v>3</v>
      </c>
      <c r="O103" s="7">
        <f>L103*(ROUNDUP(I103/GiaDinh!$C$5-0.0005,0)-1)</f>
        <v>2</v>
      </c>
      <c r="P103" s="7">
        <f t="shared" si="9"/>
        <v>13</v>
      </c>
      <c r="Q103" s="7">
        <f t="shared" si="10"/>
        <v>26</v>
      </c>
      <c r="R103" s="7">
        <f t="shared" si="11"/>
        <v>13</v>
      </c>
      <c r="S103" s="13">
        <f>M103*GiaDinh!$C$7</f>
        <v>45.15</v>
      </c>
    </row>
    <row r="104" spans="1:19" ht="46.5" x14ac:dyDescent="0.35">
      <c r="A104" s="7" t="s">
        <v>7</v>
      </c>
      <c r="B104" s="7">
        <v>53</v>
      </c>
      <c r="C104" s="7" t="s">
        <v>179</v>
      </c>
      <c r="D104" s="7" t="s">
        <v>262</v>
      </c>
      <c r="E104" s="7">
        <v>1</v>
      </c>
      <c r="F104" s="7">
        <v>73.7</v>
      </c>
      <c r="G104" s="12">
        <f>E104*F104*GiaDinh!$C$18*GiaDinh!$C$17</f>
        <v>61.907999999999994</v>
      </c>
      <c r="H104" s="7">
        <f>GiaDinh!$C$21</f>
        <v>1.2250000000000001</v>
      </c>
      <c r="I104" s="7">
        <f>GiaDinh!$C$15</f>
        <v>15</v>
      </c>
      <c r="J104" s="7">
        <f t="shared" si="6"/>
        <v>13</v>
      </c>
      <c r="K104" s="12">
        <f>J104*GiaDinh!$C$16</f>
        <v>91</v>
      </c>
      <c r="L104" s="7">
        <f t="shared" si="7"/>
        <v>1</v>
      </c>
      <c r="M104" s="12">
        <f t="shared" si="8"/>
        <v>15</v>
      </c>
      <c r="N104" s="7">
        <f>L104*ROUNDUP(I104/GiaDinh!$C$5-0.0005,0)</f>
        <v>3</v>
      </c>
      <c r="O104" s="7">
        <f>L104*(ROUNDUP(I104/GiaDinh!$C$5-0.0005,0)-1)</f>
        <v>2</v>
      </c>
      <c r="P104" s="7">
        <f t="shared" si="9"/>
        <v>13</v>
      </c>
      <c r="Q104" s="7">
        <f t="shared" si="10"/>
        <v>26</v>
      </c>
      <c r="R104" s="7">
        <f t="shared" si="11"/>
        <v>13</v>
      </c>
      <c r="S104" s="13">
        <f>M104*GiaDinh!$C$7</f>
        <v>45.15</v>
      </c>
    </row>
    <row r="105" spans="1:19" ht="46.5" x14ac:dyDescent="0.35">
      <c r="A105" s="7" t="s">
        <v>7</v>
      </c>
      <c r="B105" s="7">
        <v>54</v>
      </c>
      <c r="C105" s="7" t="s">
        <v>179</v>
      </c>
      <c r="D105" s="7" t="s">
        <v>263</v>
      </c>
      <c r="E105" s="7">
        <v>1</v>
      </c>
      <c r="F105" s="7">
        <v>73.7</v>
      </c>
      <c r="G105" s="12">
        <f>E105*F105*GiaDinh!$C$18*GiaDinh!$C$17</f>
        <v>61.907999999999994</v>
      </c>
      <c r="H105" s="7">
        <f>GiaDinh!$C$21</f>
        <v>1.2250000000000001</v>
      </c>
      <c r="I105" s="7">
        <f>GiaDinh!$C$15</f>
        <v>15</v>
      </c>
      <c r="J105" s="7">
        <f t="shared" si="6"/>
        <v>13</v>
      </c>
      <c r="K105" s="12">
        <f>J105*GiaDinh!$C$16</f>
        <v>91</v>
      </c>
      <c r="L105" s="7">
        <f t="shared" si="7"/>
        <v>1</v>
      </c>
      <c r="M105" s="12">
        <f t="shared" si="8"/>
        <v>15</v>
      </c>
      <c r="N105" s="7">
        <f>L105*ROUNDUP(I105/GiaDinh!$C$5-0.0005,0)</f>
        <v>3</v>
      </c>
      <c r="O105" s="7">
        <f>L105*(ROUNDUP(I105/GiaDinh!$C$5-0.0005,0)-1)</f>
        <v>2</v>
      </c>
      <c r="P105" s="7">
        <f t="shared" si="9"/>
        <v>13</v>
      </c>
      <c r="Q105" s="7">
        <f t="shared" si="10"/>
        <v>26</v>
      </c>
      <c r="R105" s="7">
        <f t="shared" si="11"/>
        <v>13</v>
      </c>
      <c r="S105" s="13">
        <f>M105*GiaDinh!$C$7</f>
        <v>45.15</v>
      </c>
    </row>
    <row r="106" spans="1:19" ht="31" x14ac:dyDescent="0.35">
      <c r="A106" s="7" t="s">
        <v>8</v>
      </c>
      <c r="B106" s="7">
        <v>1</v>
      </c>
      <c r="C106" s="7" t="s">
        <v>160</v>
      </c>
      <c r="D106" s="7" t="s">
        <v>264</v>
      </c>
      <c r="E106" s="7">
        <v>2</v>
      </c>
      <c r="F106" s="7">
        <v>106.9</v>
      </c>
      <c r="G106" s="12">
        <f>E106*F106*GiaDinh!$C$18*GiaDinh!$C$17</f>
        <v>179.59199999999998</v>
      </c>
      <c r="H106" s="7">
        <f>GiaDinh!$C$21</f>
        <v>1.2250000000000001</v>
      </c>
      <c r="I106" s="7">
        <f>GiaDinh!$C$15</f>
        <v>15</v>
      </c>
      <c r="J106" s="7">
        <f t="shared" si="6"/>
        <v>13</v>
      </c>
      <c r="K106" s="12">
        <f>J106*GiaDinh!$C$16</f>
        <v>91</v>
      </c>
      <c r="L106" s="7">
        <f t="shared" si="7"/>
        <v>2</v>
      </c>
      <c r="M106" s="12">
        <f t="shared" si="8"/>
        <v>30</v>
      </c>
      <c r="N106" s="7">
        <f>L106*ROUNDUP(I106/GiaDinh!$C$5-0.0005,0)</f>
        <v>6</v>
      </c>
      <c r="O106" s="7">
        <f>L106*(ROUNDUP(I106/GiaDinh!$C$5-0.0005,0)-1)</f>
        <v>4</v>
      </c>
      <c r="P106" s="7">
        <f t="shared" si="9"/>
        <v>26</v>
      </c>
      <c r="Q106" s="7">
        <f t="shared" si="10"/>
        <v>52</v>
      </c>
      <c r="R106" s="7">
        <f t="shared" si="11"/>
        <v>26</v>
      </c>
      <c r="S106" s="13">
        <f>M106*GiaDinh!$C$7</f>
        <v>90.3</v>
      </c>
    </row>
    <row r="107" spans="1:19" ht="31" x14ac:dyDescent="0.35">
      <c r="A107" s="7" t="s">
        <v>8</v>
      </c>
      <c r="B107" s="7">
        <v>2</v>
      </c>
      <c r="C107" s="7" t="s">
        <v>160</v>
      </c>
      <c r="D107" s="7" t="s">
        <v>265</v>
      </c>
      <c r="E107" s="7">
        <v>4</v>
      </c>
      <c r="F107" s="7">
        <v>106.9</v>
      </c>
      <c r="G107" s="12">
        <f>E107*F107*GiaDinh!$C$18*GiaDinh!$C$17</f>
        <v>359.18399999999997</v>
      </c>
      <c r="H107" s="7">
        <f>GiaDinh!$C$21</f>
        <v>1.2250000000000001</v>
      </c>
      <c r="I107" s="7">
        <f>GiaDinh!$C$15</f>
        <v>15</v>
      </c>
      <c r="J107" s="7">
        <f t="shared" si="6"/>
        <v>13</v>
      </c>
      <c r="K107" s="12">
        <f>J107*GiaDinh!$C$16</f>
        <v>91</v>
      </c>
      <c r="L107" s="7">
        <f t="shared" si="7"/>
        <v>4</v>
      </c>
      <c r="M107" s="12">
        <f t="shared" si="8"/>
        <v>60</v>
      </c>
      <c r="N107" s="7">
        <f>L107*ROUNDUP(I107/GiaDinh!$C$5-0.0005,0)</f>
        <v>12</v>
      </c>
      <c r="O107" s="7">
        <f>L107*(ROUNDUP(I107/GiaDinh!$C$5-0.0005,0)-1)</f>
        <v>8</v>
      </c>
      <c r="P107" s="7">
        <f t="shared" si="9"/>
        <v>52</v>
      </c>
      <c r="Q107" s="7">
        <f t="shared" si="10"/>
        <v>104</v>
      </c>
      <c r="R107" s="7">
        <f t="shared" si="11"/>
        <v>52</v>
      </c>
      <c r="S107" s="13">
        <f>M107*GiaDinh!$C$7</f>
        <v>180.6</v>
      </c>
    </row>
    <row r="108" spans="1:19" ht="31" x14ac:dyDescent="0.35">
      <c r="A108" s="7" t="s">
        <v>8</v>
      </c>
      <c r="B108" s="7">
        <v>3</v>
      </c>
      <c r="C108" s="7" t="s">
        <v>160</v>
      </c>
      <c r="D108" s="7" t="s">
        <v>266</v>
      </c>
      <c r="E108" s="7">
        <v>2</v>
      </c>
      <c r="F108" s="7">
        <v>106.9</v>
      </c>
      <c r="G108" s="12">
        <f>E108*F108*GiaDinh!$C$18*GiaDinh!$C$17</f>
        <v>179.59199999999998</v>
      </c>
      <c r="H108" s="7">
        <f>GiaDinh!$C$21</f>
        <v>1.2250000000000001</v>
      </c>
      <c r="I108" s="7">
        <f>GiaDinh!$C$15</f>
        <v>15</v>
      </c>
      <c r="J108" s="7">
        <f t="shared" si="6"/>
        <v>13</v>
      </c>
      <c r="K108" s="12">
        <f>J108*GiaDinh!$C$16</f>
        <v>91</v>
      </c>
      <c r="L108" s="7">
        <f t="shared" si="7"/>
        <v>2</v>
      </c>
      <c r="M108" s="12">
        <f t="shared" si="8"/>
        <v>30</v>
      </c>
      <c r="N108" s="7">
        <f>L108*ROUNDUP(I108/GiaDinh!$C$5-0.0005,0)</f>
        <v>6</v>
      </c>
      <c r="O108" s="7">
        <f>L108*(ROUNDUP(I108/GiaDinh!$C$5-0.0005,0)-1)</f>
        <v>4</v>
      </c>
      <c r="P108" s="7">
        <f t="shared" si="9"/>
        <v>26</v>
      </c>
      <c r="Q108" s="7">
        <f t="shared" si="10"/>
        <v>52</v>
      </c>
      <c r="R108" s="7">
        <f t="shared" si="11"/>
        <v>26</v>
      </c>
      <c r="S108" s="13">
        <f>M108*GiaDinh!$C$7</f>
        <v>90.3</v>
      </c>
    </row>
    <row r="109" spans="1:19" ht="31" x14ac:dyDescent="0.35">
      <c r="A109" s="7" t="s">
        <v>8</v>
      </c>
      <c r="B109" s="7">
        <v>4</v>
      </c>
      <c r="C109" s="7" t="s">
        <v>160</v>
      </c>
      <c r="D109" s="7" t="s">
        <v>267</v>
      </c>
      <c r="E109" s="7">
        <v>2</v>
      </c>
      <c r="F109" s="7">
        <v>106.9</v>
      </c>
      <c r="G109" s="12">
        <f>E109*F109*GiaDinh!$C$18*GiaDinh!$C$17</f>
        <v>179.59199999999998</v>
      </c>
      <c r="H109" s="7">
        <f>GiaDinh!$C$21</f>
        <v>1.2250000000000001</v>
      </c>
      <c r="I109" s="7">
        <f>GiaDinh!$C$15</f>
        <v>15</v>
      </c>
      <c r="J109" s="7">
        <f t="shared" si="6"/>
        <v>13</v>
      </c>
      <c r="K109" s="12">
        <f>J109*GiaDinh!$C$16</f>
        <v>91</v>
      </c>
      <c r="L109" s="7">
        <f t="shared" si="7"/>
        <v>2</v>
      </c>
      <c r="M109" s="12">
        <f t="shared" si="8"/>
        <v>30</v>
      </c>
      <c r="N109" s="7">
        <f>L109*ROUNDUP(I109/GiaDinh!$C$5-0.0005,0)</f>
        <v>6</v>
      </c>
      <c r="O109" s="7">
        <f>L109*(ROUNDUP(I109/GiaDinh!$C$5-0.0005,0)-1)</f>
        <v>4</v>
      </c>
      <c r="P109" s="7">
        <f t="shared" si="9"/>
        <v>26</v>
      </c>
      <c r="Q109" s="7">
        <f t="shared" si="10"/>
        <v>52</v>
      </c>
      <c r="R109" s="7">
        <f t="shared" si="11"/>
        <v>26</v>
      </c>
      <c r="S109" s="13">
        <f>M109*GiaDinh!$C$7</f>
        <v>90.3</v>
      </c>
    </row>
    <row r="110" spans="1:19" ht="31" x14ac:dyDescent="0.35">
      <c r="A110" s="7" t="s">
        <v>8</v>
      </c>
      <c r="B110" s="7">
        <v>5</v>
      </c>
      <c r="C110" s="7" t="s">
        <v>160</v>
      </c>
      <c r="D110" s="7" t="s">
        <v>268</v>
      </c>
      <c r="E110" s="7">
        <v>4</v>
      </c>
      <c r="F110" s="7">
        <v>106.9</v>
      </c>
      <c r="G110" s="12">
        <f>E110*F110*GiaDinh!$C$18*GiaDinh!$C$17</f>
        <v>359.18399999999997</v>
      </c>
      <c r="H110" s="7">
        <f>GiaDinh!$C$21</f>
        <v>1.2250000000000001</v>
      </c>
      <c r="I110" s="7">
        <f>GiaDinh!$C$15</f>
        <v>15</v>
      </c>
      <c r="J110" s="7">
        <f t="shared" si="6"/>
        <v>13</v>
      </c>
      <c r="K110" s="12">
        <f>J110*GiaDinh!$C$16</f>
        <v>91</v>
      </c>
      <c r="L110" s="7">
        <f t="shared" si="7"/>
        <v>4</v>
      </c>
      <c r="M110" s="12">
        <f t="shared" si="8"/>
        <v>60</v>
      </c>
      <c r="N110" s="7">
        <f>L110*ROUNDUP(I110/GiaDinh!$C$5-0.0005,0)</f>
        <v>12</v>
      </c>
      <c r="O110" s="7">
        <f>L110*(ROUNDUP(I110/GiaDinh!$C$5-0.0005,0)-1)</f>
        <v>8</v>
      </c>
      <c r="P110" s="7">
        <f t="shared" si="9"/>
        <v>52</v>
      </c>
      <c r="Q110" s="7">
        <f t="shared" si="10"/>
        <v>104</v>
      </c>
      <c r="R110" s="7">
        <f t="shared" si="11"/>
        <v>52</v>
      </c>
      <c r="S110" s="13">
        <f>M110*GiaDinh!$C$7</f>
        <v>180.6</v>
      </c>
    </row>
    <row r="111" spans="1:19" ht="31" x14ac:dyDescent="0.35">
      <c r="A111" s="7" t="s">
        <v>8</v>
      </c>
      <c r="B111" s="7">
        <v>6</v>
      </c>
      <c r="C111" s="7" t="s">
        <v>160</v>
      </c>
      <c r="D111" s="7" t="s">
        <v>269</v>
      </c>
      <c r="E111" s="7">
        <v>4</v>
      </c>
      <c r="F111" s="7">
        <v>106.9</v>
      </c>
      <c r="G111" s="12">
        <f>E111*F111*GiaDinh!$C$18*GiaDinh!$C$17</f>
        <v>359.18399999999997</v>
      </c>
      <c r="H111" s="7">
        <f>GiaDinh!$C$21</f>
        <v>1.2250000000000001</v>
      </c>
      <c r="I111" s="7">
        <f>GiaDinh!$C$15</f>
        <v>15</v>
      </c>
      <c r="J111" s="7">
        <f t="shared" si="6"/>
        <v>13</v>
      </c>
      <c r="K111" s="12">
        <f>J111*GiaDinh!$C$16</f>
        <v>91</v>
      </c>
      <c r="L111" s="7">
        <f t="shared" si="7"/>
        <v>4</v>
      </c>
      <c r="M111" s="12">
        <f t="shared" si="8"/>
        <v>60</v>
      </c>
      <c r="N111" s="7">
        <f>L111*ROUNDUP(I111/GiaDinh!$C$5-0.0005,0)</f>
        <v>12</v>
      </c>
      <c r="O111" s="7">
        <f>L111*(ROUNDUP(I111/GiaDinh!$C$5-0.0005,0)-1)</f>
        <v>8</v>
      </c>
      <c r="P111" s="7">
        <f t="shared" si="9"/>
        <v>52</v>
      </c>
      <c r="Q111" s="7">
        <f t="shared" si="10"/>
        <v>104</v>
      </c>
      <c r="R111" s="7">
        <f t="shared" si="11"/>
        <v>52</v>
      </c>
      <c r="S111" s="13">
        <f>M111*GiaDinh!$C$7</f>
        <v>180.6</v>
      </c>
    </row>
    <row r="112" spans="1:19" ht="31" x14ac:dyDescent="0.35">
      <c r="A112" s="7" t="s">
        <v>8</v>
      </c>
      <c r="B112" s="7">
        <v>7</v>
      </c>
      <c r="C112" s="7" t="s">
        <v>160</v>
      </c>
      <c r="D112" s="7" t="s">
        <v>270</v>
      </c>
      <c r="E112" s="7">
        <v>2</v>
      </c>
      <c r="F112" s="7">
        <v>106.9</v>
      </c>
      <c r="G112" s="12">
        <f>E112*F112*GiaDinh!$C$18*GiaDinh!$C$17</f>
        <v>179.59199999999998</v>
      </c>
      <c r="H112" s="7">
        <f>GiaDinh!$C$21</f>
        <v>1.2250000000000001</v>
      </c>
      <c r="I112" s="7">
        <f>GiaDinh!$C$15</f>
        <v>15</v>
      </c>
      <c r="J112" s="7">
        <f t="shared" si="6"/>
        <v>13</v>
      </c>
      <c r="K112" s="12">
        <f>J112*GiaDinh!$C$16</f>
        <v>91</v>
      </c>
      <c r="L112" s="7">
        <f t="shared" si="7"/>
        <v>2</v>
      </c>
      <c r="M112" s="12">
        <f t="shared" si="8"/>
        <v>30</v>
      </c>
      <c r="N112" s="7">
        <f>L112*ROUNDUP(I112/GiaDinh!$C$5-0.0005,0)</f>
        <v>6</v>
      </c>
      <c r="O112" s="7">
        <f>L112*(ROUNDUP(I112/GiaDinh!$C$5-0.0005,0)-1)</f>
        <v>4</v>
      </c>
      <c r="P112" s="7">
        <f t="shared" si="9"/>
        <v>26</v>
      </c>
      <c r="Q112" s="7">
        <f t="shared" si="10"/>
        <v>52</v>
      </c>
      <c r="R112" s="7">
        <f t="shared" si="11"/>
        <v>26</v>
      </c>
      <c r="S112" s="13">
        <f>M112*GiaDinh!$C$7</f>
        <v>90.3</v>
      </c>
    </row>
    <row r="113" spans="1:19" ht="31" x14ac:dyDescent="0.35">
      <c r="A113" s="7" t="s">
        <v>8</v>
      </c>
      <c r="B113" s="7">
        <v>8</v>
      </c>
      <c r="C113" s="7" t="s">
        <v>160</v>
      </c>
      <c r="D113" s="7" t="s">
        <v>271</v>
      </c>
      <c r="E113" s="7">
        <v>2</v>
      </c>
      <c r="F113" s="7">
        <v>106.9</v>
      </c>
      <c r="G113" s="12">
        <f>E113*F113*GiaDinh!$C$18*GiaDinh!$C$17</f>
        <v>179.59199999999998</v>
      </c>
      <c r="H113" s="7">
        <f>GiaDinh!$C$21</f>
        <v>1.2250000000000001</v>
      </c>
      <c r="I113" s="7">
        <f>GiaDinh!$C$15</f>
        <v>15</v>
      </c>
      <c r="J113" s="7">
        <f t="shared" si="6"/>
        <v>13</v>
      </c>
      <c r="K113" s="12">
        <f>J113*GiaDinh!$C$16</f>
        <v>91</v>
      </c>
      <c r="L113" s="7">
        <f t="shared" si="7"/>
        <v>2</v>
      </c>
      <c r="M113" s="12">
        <f t="shared" si="8"/>
        <v>30</v>
      </c>
      <c r="N113" s="7">
        <f>L113*ROUNDUP(I113/GiaDinh!$C$5-0.0005,0)</f>
        <v>6</v>
      </c>
      <c r="O113" s="7">
        <f>L113*(ROUNDUP(I113/GiaDinh!$C$5-0.0005,0)-1)</f>
        <v>4</v>
      </c>
      <c r="P113" s="7">
        <f t="shared" si="9"/>
        <v>26</v>
      </c>
      <c r="Q113" s="7">
        <f t="shared" si="10"/>
        <v>52</v>
      </c>
      <c r="R113" s="7">
        <f t="shared" si="11"/>
        <v>26</v>
      </c>
      <c r="S113" s="13">
        <f>M113*GiaDinh!$C$7</f>
        <v>90.3</v>
      </c>
    </row>
    <row r="114" spans="1:19" ht="31" x14ac:dyDescent="0.35">
      <c r="A114" s="7" t="s">
        <v>8</v>
      </c>
      <c r="B114" s="7">
        <v>9</v>
      </c>
      <c r="C114" s="7" t="s">
        <v>160</v>
      </c>
      <c r="D114" s="7" t="s">
        <v>272</v>
      </c>
      <c r="E114" s="7">
        <v>2</v>
      </c>
      <c r="F114" s="7">
        <v>106.9</v>
      </c>
      <c r="G114" s="12">
        <f>E114*F114*GiaDinh!$C$18*GiaDinh!$C$17</f>
        <v>179.59199999999998</v>
      </c>
      <c r="H114" s="7">
        <f>GiaDinh!$C$21</f>
        <v>1.2250000000000001</v>
      </c>
      <c r="I114" s="7">
        <f>GiaDinh!$C$15</f>
        <v>15</v>
      </c>
      <c r="J114" s="7">
        <f t="shared" si="6"/>
        <v>13</v>
      </c>
      <c r="K114" s="12">
        <f>J114*GiaDinh!$C$16</f>
        <v>91</v>
      </c>
      <c r="L114" s="7">
        <f t="shared" si="7"/>
        <v>2</v>
      </c>
      <c r="M114" s="12">
        <f t="shared" si="8"/>
        <v>30</v>
      </c>
      <c r="N114" s="7">
        <f>L114*ROUNDUP(I114/GiaDinh!$C$5-0.0005,0)</f>
        <v>6</v>
      </c>
      <c r="O114" s="7">
        <f>L114*(ROUNDUP(I114/GiaDinh!$C$5-0.0005,0)-1)</f>
        <v>4</v>
      </c>
      <c r="P114" s="7">
        <f t="shared" si="9"/>
        <v>26</v>
      </c>
      <c r="Q114" s="7">
        <f t="shared" si="10"/>
        <v>52</v>
      </c>
      <c r="R114" s="7">
        <f t="shared" si="11"/>
        <v>26</v>
      </c>
      <c r="S114" s="13">
        <f>M114*GiaDinh!$C$7</f>
        <v>90.3</v>
      </c>
    </row>
    <row r="115" spans="1:19" ht="31" x14ac:dyDescent="0.35">
      <c r="A115" s="7" t="s">
        <v>8</v>
      </c>
      <c r="B115" s="7">
        <v>10</v>
      </c>
      <c r="C115" s="7" t="s">
        <v>160</v>
      </c>
      <c r="D115" s="7" t="s">
        <v>273</v>
      </c>
      <c r="E115" s="7">
        <v>2</v>
      </c>
      <c r="F115" s="7">
        <v>106.9</v>
      </c>
      <c r="G115" s="12">
        <f>E115*F115*GiaDinh!$C$18*GiaDinh!$C$17</f>
        <v>179.59199999999998</v>
      </c>
      <c r="H115" s="7">
        <f>GiaDinh!$C$21</f>
        <v>1.2250000000000001</v>
      </c>
      <c r="I115" s="7">
        <f>GiaDinh!$C$15</f>
        <v>15</v>
      </c>
      <c r="J115" s="7">
        <f t="shared" si="6"/>
        <v>13</v>
      </c>
      <c r="K115" s="12">
        <f>J115*GiaDinh!$C$16</f>
        <v>91</v>
      </c>
      <c r="L115" s="7">
        <f t="shared" si="7"/>
        <v>2</v>
      </c>
      <c r="M115" s="12">
        <f t="shared" si="8"/>
        <v>30</v>
      </c>
      <c r="N115" s="7">
        <f>L115*ROUNDUP(I115/GiaDinh!$C$5-0.0005,0)</f>
        <v>6</v>
      </c>
      <c r="O115" s="7">
        <f>L115*(ROUNDUP(I115/GiaDinh!$C$5-0.0005,0)-1)</f>
        <v>4</v>
      </c>
      <c r="P115" s="7">
        <f t="shared" si="9"/>
        <v>26</v>
      </c>
      <c r="Q115" s="7">
        <f t="shared" si="10"/>
        <v>52</v>
      </c>
      <c r="R115" s="7">
        <f t="shared" si="11"/>
        <v>26</v>
      </c>
      <c r="S115" s="13">
        <f>M115*GiaDinh!$C$7</f>
        <v>90.3</v>
      </c>
    </row>
    <row r="116" spans="1:19" ht="31" x14ac:dyDescent="0.35">
      <c r="A116" s="7" t="s">
        <v>8</v>
      </c>
      <c r="B116" s="7">
        <v>11</v>
      </c>
      <c r="C116" s="7" t="s">
        <v>160</v>
      </c>
      <c r="D116" s="7" t="s">
        <v>274</v>
      </c>
      <c r="E116" s="7">
        <v>4</v>
      </c>
      <c r="F116" s="7">
        <v>106.9</v>
      </c>
      <c r="G116" s="12">
        <f>E116*F116*GiaDinh!$C$18*GiaDinh!$C$17</f>
        <v>359.18399999999997</v>
      </c>
      <c r="H116" s="7">
        <f>GiaDinh!$C$21</f>
        <v>1.2250000000000001</v>
      </c>
      <c r="I116" s="7">
        <f>GiaDinh!$C$15</f>
        <v>15</v>
      </c>
      <c r="J116" s="7">
        <f t="shared" si="6"/>
        <v>13</v>
      </c>
      <c r="K116" s="12">
        <f>J116*GiaDinh!$C$16</f>
        <v>91</v>
      </c>
      <c r="L116" s="7">
        <f t="shared" si="7"/>
        <v>4</v>
      </c>
      <c r="M116" s="12">
        <f t="shared" si="8"/>
        <v>60</v>
      </c>
      <c r="N116" s="7">
        <f>L116*ROUNDUP(I116/GiaDinh!$C$5-0.0005,0)</f>
        <v>12</v>
      </c>
      <c r="O116" s="7">
        <f>L116*(ROUNDUP(I116/GiaDinh!$C$5-0.0005,0)-1)</f>
        <v>8</v>
      </c>
      <c r="P116" s="7">
        <f t="shared" si="9"/>
        <v>52</v>
      </c>
      <c r="Q116" s="7">
        <f t="shared" si="10"/>
        <v>104</v>
      </c>
      <c r="R116" s="7">
        <f t="shared" si="11"/>
        <v>52</v>
      </c>
      <c r="S116" s="13">
        <f>M116*GiaDinh!$C$7</f>
        <v>180.6</v>
      </c>
    </row>
    <row r="117" spans="1:19" ht="31" x14ac:dyDescent="0.35">
      <c r="A117" s="7" t="s">
        <v>8</v>
      </c>
      <c r="B117" s="7">
        <v>12</v>
      </c>
      <c r="C117" s="7" t="s">
        <v>160</v>
      </c>
      <c r="D117" s="7" t="s">
        <v>275</v>
      </c>
      <c r="E117" s="7">
        <v>2</v>
      </c>
      <c r="F117" s="7">
        <v>106.9</v>
      </c>
      <c r="G117" s="12">
        <f>E117*F117*GiaDinh!$C$18*GiaDinh!$C$17</f>
        <v>179.59199999999998</v>
      </c>
      <c r="H117" s="7">
        <f>GiaDinh!$C$21</f>
        <v>1.2250000000000001</v>
      </c>
      <c r="I117" s="7">
        <f>GiaDinh!$C$15</f>
        <v>15</v>
      </c>
      <c r="J117" s="7">
        <f t="shared" si="6"/>
        <v>13</v>
      </c>
      <c r="K117" s="12">
        <f>J117*GiaDinh!$C$16</f>
        <v>91</v>
      </c>
      <c r="L117" s="7">
        <f t="shared" si="7"/>
        <v>2</v>
      </c>
      <c r="M117" s="12">
        <f t="shared" si="8"/>
        <v>30</v>
      </c>
      <c r="N117" s="7">
        <f>L117*ROUNDUP(I117/GiaDinh!$C$5-0.0005,0)</f>
        <v>6</v>
      </c>
      <c r="O117" s="7">
        <f>L117*(ROUNDUP(I117/GiaDinh!$C$5-0.0005,0)-1)</f>
        <v>4</v>
      </c>
      <c r="P117" s="7">
        <f t="shared" si="9"/>
        <v>26</v>
      </c>
      <c r="Q117" s="7">
        <f t="shared" si="10"/>
        <v>52</v>
      </c>
      <c r="R117" s="7">
        <f t="shared" si="11"/>
        <v>26</v>
      </c>
      <c r="S117" s="13">
        <f>M117*GiaDinh!$C$7</f>
        <v>90.3</v>
      </c>
    </row>
    <row r="118" spans="1:19" ht="31" x14ac:dyDescent="0.35">
      <c r="A118" s="7" t="s">
        <v>8</v>
      </c>
      <c r="B118" s="7">
        <v>13</v>
      </c>
      <c r="C118" s="7" t="s">
        <v>160</v>
      </c>
      <c r="D118" s="7" t="s">
        <v>276</v>
      </c>
      <c r="E118" s="7">
        <v>2</v>
      </c>
      <c r="F118" s="7">
        <v>106.9</v>
      </c>
      <c r="G118" s="12">
        <f>E118*F118*GiaDinh!$C$18*GiaDinh!$C$17</f>
        <v>179.59199999999998</v>
      </c>
      <c r="H118" s="7">
        <f>GiaDinh!$C$21</f>
        <v>1.2250000000000001</v>
      </c>
      <c r="I118" s="7">
        <f>GiaDinh!$C$15</f>
        <v>15</v>
      </c>
      <c r="J118" s="7">
        <f t="shared" si="6"/>
        <v>13</v>
      </c>
      <c r="K118" s="12">
        <f>J118*GiaDinh!$C$16</f>
        <v>91</v>
      </c>
      <c r="L118" s="7">
        <f t="shared" si="7"/>
        <v>2</v>
      </c>
      <c r="M118" s="12">
        <f t="shared" si="8"/>
        <v>30</v>
      </c>
      <c r="N118" s="7">
        <f>L118*ROUNDUP(I118/GiaDinh!$C$5-0.0005,0)</f>
        <v>6</v>
      </c>
      <c r="O118" s="7">
        <f>L118*(ROUNDUP(I118/GiaDinh!$C$5-0.0005,0)-1)</f>
        <v>4</v>
      </c>
      <c r="P118" s="7">
        <f t="shared" si="9"/>
        <v>26</v>
      </c>
      <c r="Q118" s="7">
        <f t="shared" si="10"/>
        <v>52</v>
      </c>
      <c r="R118" s="7">
        <f t="shared" si="11"/>
        <v>26</v>
      </c>
      <c r="S118" s="13">
        <f>M118*GiaDinh!$C$7</f>
        <v>90.3</v>
      </c>
    </row>
    <row r="119" spans="1:19" ht="31" x14ac:dyDescent="0.35">
      <c r="A119" s="7" t="s">
        <v>8</v>
      </c>
      <c r="B119" s="7">
        <v>14</v>
      </c>
      <c r="C119" s="7" t="s">
        <v>160</v>
      </c>
      <c r="D119" s="7" t="s">
        <v>277</v>
      </c>
      <c r="E119" s="7">
        <v>2</v>
      </c>
      <c r="F119" s="7">
        <v>106.9</v>
      </c>
      <c r="G119" s="12">
        <f>E119*F119*GiaDinh!$C$18*GiaDinh!$C$17</f>
        <v>179.59199999999998</v>
      </c>
      <c r="H119" s="7">
        <f>GiaDinh!$C$21</f>
        <v>1.2250000000000001</v>
      </c>
      <c r="I119" s="7">
        <f>GiaDinh!$C$15</f>
        <v>15</v>
      </c>
      <c r="J119" s="7">
        <f t="shared" si="6"/>
        <v>13</v>
      </c>
      <c r="K119" s="12">
        <f>J119*GiaDinh!$C$16</f>
        <v>91</v>
      </c>
      <c r="L119" s="7">
        <f t="shared" si="7"/>
        <v>2</v>
      </c>
      <c r="M119" s="12">
        <f t="shared" si="8"/>
        <v>30</v>
      </c>
      <c r="N119" s="7">
        <f>L119*ROUNDUP(I119/GiaDinh!$C$5-0.0005,0)</f>
        <v>6</v>
      </c>
      <c r="O119" s="7">
        <f>L119*(ROUNDUP(I119/GiaDinh!$C$5-0.0005,0)-1)</f>
        <v>4</v>
      </c>
      <c r="P119" s="7">
        <f t="shared" si="9"/>
        <v>26</v>
      </c>
      <c r="Q119" s="7">
        <f t="shared" si="10"/>
        <v>52</v>
      </c>
      <c r="R119" s="7">
        <f t="shared" si="11"/>
        <v>26</v>
      </c>
      <c r="S119" s="13">
        <f>M119*GiaDinh!$C$7</f>
        <v>90.3</v>
      </c>
    </row>
    <row r="120" spans="1:19" ht="31" x14ac:dyDescent="0.35">
      <c r="A120" s="7" t="s">
        <v>8</v>
      </c>
      <c r="B120" s="7">
        <v>15</v>
      </c>
      <c r="C120" s="7" t="s">
        <v>160</v>
      </c>
      <c r="D120" s="7" t="s">
        <v>278</v>
      </c>
      <c r="E120" s="7">
        <v>4</v>
      </c>
      <c r="F120" s="7">
        <v>106.9</v>
      </c>
      <c r="G120" s="12">
        <f>E120*F120*GiaDinh!$C$18*GiaDinh!$C$17</f>
        <v>359.18399999999997</v>
      </c>
      <c r="H120" s="7">
        <f>GiaDinh!$C$21</f>
        <v>1.2250000000000001</v>
      </c>
      <c r="I120" s="7">
        <f>GiaDinh!$C$15</f>
        <v>15</v>
      </c>
      <c r="J120" s="7">
        <f t="shared" si="6"/>
        <v>13</v>
      </c>
      <c r="K120" s="12">
        <f>J120*GiaDinh!$C$16</f>
        <v>91</v>
      </c>
      <c r="L120" s="7">
        <f t="shared" si="7"/>
        <v>4</v>
      </c>
      <c r="M120" s="12">
        <f t="shared" si="8"/>
        <v>60</v>
      </c>
      <c r="N120" s="7">
        <f>L120*ROUNDUP(I120/GiaDinh!$C$5-0.0005,0)</f>
        <v>12</v>
      </c>
      <c r="O120" s="7">
        <f>L120*(ROUNDUP(I120/GiaDinh!$C$5-0.0005,0)-1)</f>
        <v>8</v>
      </c>
      <c r="P120" s="7">
        <f t="shared" si="9"/>
        <v>52</v>
      </c>
      <c r="Q120" s="7">
        <f t="shared" si="10"/>
        <v>104</v>
      </c>
      <c r="R120" s="7">
        <f t="shared" si="11"/>
        <v>52</v>
      </c>
      <c r="S120" s="13">
        <f>M120*GiaDinh!$C$7</f>
        <v>180.6</v>
      </c>
    </row>
    <row r="121" spans="1:19" ht="31" x14ac:dyDescent="0.35">
      <c r="A121" s="7" t="s">
        <v>8</v>
      </c>
      <c r="B121" s="7">
        <v>16</v>
      </c>
      <c r="C121" s="7" t="s">
        <v>160</v>
      </c>
      <c r="D121" s="7" t="s">
        <v>279</v>
      </c>
      <c r="E121" s="7">
        <v>2</v>
      </c>
      <c r="F121" s="7">
        <v>106.9</v>
      </c>
      <c r="G121" s="12">
        <f>E121*F121*GiaDinh!$C$18*GiaDinh!$C$17</f>
        <v>179.59199999999998</v>
      </c>
      <c r="H121" s="7">
        <f>GiaDinh!$C$21</f>
        <v>1.2250000000000001</v>
      </c>
      <c r="I121" s="7">
        <f>GiaDinh!$C$15</f>
        <v>15</v>
      </c>
      <c r="J121" s="7">
        <f t="shared" si="6"/>
        <v>13</v>
      </c>
      <c r="K121" s="12">
        <f>J121*GiaDinh!$C$16</f>
        <v>91</v>
      </c>
      <c r="L121" s="7">
        <f t="shared" si="7"/>
        <v>2</v>
      </c>
      <c r="M121" s="12">
        <f t="shared" si="8"/>
        <v>30</v>
      </c>
      <c r="N121" s="7">
        <f>L121*ROUNDUP(I121/GiaDinh!$C$5-0.0005,0)</f>
        <v>6</v>
      </c>
      <c r="O121" s="7">
        <f>L121*(ROUNDUP(I121/GiaDinh!$C$5-0.0005,0)-1)</f>
        <v>4</v>
      </c>
      <c r="P121" s="7">
        <f t="shared" si="9"/>
        <v>26</v>
      </c>
      <c r="Q121" s="7">
        <f t="shared" si="10"/>
        <v>52</v>
      </c>
      <c r="R121" s="7">
        <f t="shared" si="11"/>
        <v>26</v>
      </c>
      <c r="S121" s="13">
        <f>M121*GiaDinh!$C$7</f>
        <v>90.3</v>
      </c>
    </row>
    <row r="122" spans="1:19" ht="31" x14ac:dyDescent="0.35">
      <c r="A122" s="7" t="s">
        <v>8</v>
      </c>
      <c r="B122" s="7">
        <v>17</v>
      </c>
      <c r="C122" s="7" t="s">
        <v>160</v>
      </c>
      <c r="D122" s="7" t="s">
        <v>280</v>
      </c>
      <c r="E122" s="7">
        <v>4</v>
      </c>
      <c r="F122" s="7">
        <v>106.9</v>
      </c>
      <c r="G122" s="12">
        <f>E122*F122*GiaDinh!$C$18*GiaDinh!$C$17</f>
        <v>359.18399999999997</v>
      </c>
      <c r="H122" s="7">
        <f>GiaDinh!$C$21</f>
        <v>1.2250000000000001</v>
      </c>
      <c r="I122" s="7">
        <f>GiaDinh!$C$15</f>
        <v>15</v>
      </c>
      <c r="J122" s="7">
        <f t="shared" si="6"/>
        <v>13</v>
      </c>
      <c r="K122" s="12">
        <f>J122*GiaDinh!$C$16</f>
        <v>91</v>
      </c>
      <c r="L122" s="7">
        <f t="shared" si="7"/>
        <v>4</v>
      </c>
      <c r="M122" s="12">
        <f t="shared" si="8"/>
        <v>60</v>
      </c>
      <c r="N122" s="7">
        <f>L122*ROUNDUP(I122/GiaDinh!$C$5-0.0005,0)</f>
        <v>12</v>
      </c>
      <c r="O122" s="7">
        <f>L122*(ROUNDUP(I122/GiaDinh!$C$5-0.0005,0)-1)</f>
        <v>8</v>
      </c>
      <c r="P122" s="7">
        <f t="shared" si="9"/>
        <v>52</v>
      </c>
      <c r="Q122" s="7">
        <f t="shared" si="10"/>
        <v>104</v>
      </c>
      <c r="R122" s="7">
        <f t="shared" si="11"/>
        <v>52</v>
      </c>
      <c r="S122" s="13">
        <f>M122*GiaDinh!$C$7</f>
        <v>180.6</v>
      </c>
    </row>
    <row r="123" spans="1:19" ht="31" x14ac:dyDescent="0.35">
      <c r="A123" s="7" t="s">
        <v>8</v>
      </c>
      <c r="B123" s="7">
        <v>18</v>
      </c>
      <c r="C123" s="7" t="s">
        <v>160</v>
      </c>
      <c r="D123" s="7" t="s">
        <v>281</v>
      </c>
      <c r="E123" s="7">
        <v>2</v>
      </c>
      <c r="F123" s="7">
        <v>106.9</v>
      </c>
      <c r="G123" s="12">
        <f>E123*F123*GiaDinh!$C$18*GiaDinh!$C$17</f>
        <v>179.59199999999998</v>
      </c>
      <c r="H123" s="7">
        <f>GiaDinh!$C$21</f>
        <v>1.2250000000000001</v>
      </c>
      <c r="I123" s="7">
        <f>GiaDinh!$C$15</f>
        <v>15</v>
      </c>
      <c r="J123" s="7">
        <f t="shared" si="6"/>
        <v>13</v>
      </c>
      <c r="K123" s="12">
        <f>J123*GiaDinh!$C$16</f>
        <v>91</v>
      </c>
      <c r="L123" s="7">
        <f t="shared" si="7"/>
        <v>2</v>
      </c>
      <c r="M123" s="12">
        <f t="shared" si="8"/>
        <v>30</v>
      </c>
      <c r="N123" s="7">
        <f>L123*ROUNDUP(I123/GiaDinh!$C$5-0.0005,0)</f>
        <v>6</v>
      </c>
      <c r="O123" s="7">
        <f>L123*(ROUNDUP(I123/GiaDinh!$C$5-0.0005,0)-1)</f>
        <v>4</v>
      </c>
      <c r="P123" s="7">
        <f t="shared" si="9"/>
        <v>26</v>
      </c>
      <c r="Q123" s="7">
        <f t="shared" si="10"/>
        <v>52</v>
      </c>
      <c r="R123" s="7">
        <f t="shared" si="11"/>
        <v>26</v>
      </c>
      <c r="S123" s="13">
        <f>M123*GiaDinh!$C$7</f>
        <v>90.3</v>
      </c>
    </row>
    <row r="124" spans="1:19" ht="31" x14ac:dyDescent="0.35">
      <c r="A124" s="7" t="s">
        <v>8</v>
      </c>
      <c r="B124" s="7">
        <v>19</v>
      </c>
      <c r="C124" s="7" t="s">
        <v>160</v>
      </c>
      <c r="D124" s="7" t="s">
        <v>282</v>
      </c>
      <c r="E124" s="7">
        <v>4</v>
      </c>
      <c r="F124" s="7">
        <v>106.9</v>
      </c>
      <c r="G124" s="12">
        <f>E124*F124*GiaDinh!$C$18*GiaDinh!$C$17</f>
        <v>359.18399999999997</v>
      </c>
      <c r="H124" s="7">
        <f>GiaDinh!$C$21</f>
        <v>1.2250000000000001</v>
      </c>
      <c r="I124" s="7">
        <f>GiaDinh!$C$15</f>
        <v>15</v>
      </c>
      <c r="J124" s="7">
        <f t="shared" si="6"/>
        <v>13</v>
      </c>
      <c r="K124" s="12">
        <f>J124*GiaDinh!$C$16</f>
        <v>91</v>
      </c>
      <c r="L124" s="7">
        <f t="shared" si="7"/>
        <v>4</v>
      </c>
      <c r="M124" s="12">
        <f t="shared" si="8"/>
        <v>60</v>
      </c>
      <c r="N124" s="7">
        <f>L124*ROUNDUP(I124/GiaDinh!$C$5-0.0005,0)</f>
        <v>12</v>
      </c>
      <c r="O124" s="7">
        <f>L124*(ROUNDUP(I124/GiaDinh!$C$5-0.0005,0)-1)</f>
        <v>8</v>
      </c>
      <c r="P124" s="7">
        <f t="shared" si="9"/>
        <v>52</v>
      </c>
      <c r="Q124" s="7">
        <f t="shared" si="10"/>
        <v>104</v>
      </c>
      <c r="R124" s="7">
        <f t="shared" si="11"/>
        <v>52</v>
      </c>
      <c r="S124" s="13">
        <f>M124*GiaDinh!$C$7</f>
        <v>180.6</v>
      </c>
    </row>
    <row r="125" spans="1:19" ht="31" x14ac:dyDescent="0.35">
      <c r="A125" s="7" t="s">
        <v>8</v>
      </c>
      <c r="B125" s="7">
        <v>20</v>
      </c>
      <c r="C125" s="7" t="s">
        <v>160</v>
      </c>
      <c r="D125" s="7" t="s">
        <v>283</v>
      </c>
      <c r="E125" s="7">
        <v>2</v>
      </c>
      <c r="F125" s="7">
        <v>106.9</v>
      </c>
      <c r="G125" s="12">
        <f>E125*F125*GiaDinh!$C$18*GiaDinh!$C$17</f>
        <v>179.59199999999998</v>
      </c>
      <c r="H125" s="7">
        <f>GiaDinh!$C$21</f>
        <v>1.2250000000000001</v>
      </c>
      <c r="I125" s="7">
        <f>GiaDinh!$C$15</f>
        <v>15</v>
      </c>
      <c r="J125" s="7">
        <f t="shared" si="6"/>
        <v>13</v>
      </c>
      <c r="K125" s="12">
        <f>J125*GiaDinh!$C$16</f>
        <v>91</v>
      </c>
      <c r="L125" s="7">
        <f t="shared" si="7"/>
        <v>2</v>
      </c>
      <c r="M125" s="12">
        <f t="shared" si="8"/>
        <v>30</v>
      </c>
      <c r="N125" s="7">
        <f>L125*ROUNDUP(I125/GiaDinh!$C$5-0.0005,0)</f>
        <v>6</v>
      </c>
      <c r="O125" s="7">
        <f>L125*(ROUNDUP(I125/GiaDinh!$C$5-0.0005,0)-1)</f>
        <v>4</v>
      </c>
      <c r="P125" s="7">
        <f t="shared" si="9"/>
        <v>26</v>
      </c>
      <c r="Q125" s="7">
        <f t="shared" si="10"/>
        <v>52</v>
      </c>
      <c r="R125" s="7">
        <f t="shared" si="11"/>
        <v>26</v>
      </c>
      <c r="S125" s="13">
        <f>M125*GiaDinh!$C$7</f>
        <v>90.3</v>
      </c>
    </row>
    <row r="126" spans="1:19" ht="31" x14ac:dyDescent="0.35">
      <c r="A126" s="7" t="s">
        <v>8</v>
      </c>
      <c r="B126" s="7">
        <v>21</v>
      </c>
      <c r="C126" s="7" t="s">
        <v>160</v>
      </c>
      <c r="D126" s="7" t="s">
        <v>284</v>
      </c>
      <c r="E126" s="7">
        <v>2</v>
      </c>
      <c r="F126" s="7">
        <v>106.9</v>
      </c>
      <c r="G126" s="12">
        <f>E126*F126*GiaDinh!$C$18*GiaDinh!$C$17</f>
        <v>179.59199999999998</v>
      </c>
      <c r="H126" s="7">
        <f>GiaDinh!$C$21</f>
        <v>1.2250000000000001</v>
      </c>
      <c r="I126" s="7">
        <f>GiaDinh!$C$15</f>
        <v>15</v>
      </c>
      <c r="J126" s="7">
        <f t="shared" si="6"/>
        <v>13</v>
      </c>
      <c r="K126" s="12">
        <f>J126*GiaDinh!$C$16</f>
        <v>91</v>
      </c>
      <c r="L126" s="7">
        <f t="shared" si="7"/>
        <v>2</v>
      </c>
      <c r="M126" s="12">
        <f t="shared" si="8"/>
        <v>30</v>
      </c>
      <c r="N126" s="7">
        <f>L126*ROUNDUP(I126/GiaDinh!$C$5-0.0005,0)</f>
        <v>6</v>
      </c>
      <c r="O126" s="7">
        <f>L126*(ROUNDUP(I126/GiaDinh!$C$5-0.0005,0)-1)</f>
        <v>4</v>
      </c>
      <c r="P126" s="7">
        <f t="shared" si="9"/>
        <v>26</v>
      </c>
      <c r="Q126" s="7">
        <f t="shared" si="10"/>
        <v>52</v>
      </c>
      <c r="R126" s="7">
        <f t="shared" si="11"/>
        <v>26</v>
      </c>
      <c r="S126" s="13">
        <f>M126*GiaDinh!$C$7</f>
        <v>90.3</v>
      </c>
    </row>
    <row r="127" spans="1:19" ht="31" x14ac:dyDescent="0.35">
      <c r="A127" s="7" t="s">
        <v>8</v>
      </c>
      <c r="B127" s="7">
        <v>22</v>
      </c>
      <c r="C127" s="7" t="s">
        <v>160</v>
      </c>
      <c r="D127" s="7" t="s">
        <v>285</v>
      </c>
      <c r="E127" s="7">
        <v>2</v>
      </c>
      <c r="F127" s="7">
        <v>106.9</v>
      </c>
      <c r="G127" s="12">
        <f>E127*F127*GiaDinh!$C$18*GiaDinh!$C$17</f>
        <v>179.59199999999998</v>
      </c>
      <c r="H127" s="7">
        <f>GiaDinh!$C$21</f>
        <v>1.2250000000000001</v>
      </c>
      <c r="I127" s="7">
        <f>GiaDinh!$C$15</f>
        <v>15</v>
      </c>
      <c r="J127" s="7">
        <f t="shared" si="6"/>
        <v>13</v>
      </c>
      <c r="K127" s="12">
        <f>J127*GiaDinh!$C$16</f>
        <v>91</v>
      </c>
      <c r="L127" s="7">
        <f t="shared" si="7"/>
        <v>2</v>
      </c>
      <c r="M127" s="12">
        <f t="shared" si="8"/>
        <v>30</v>
      </c>
      <c r="N127" s="7">
        <f>L127*ROUNDUP(I127/GiaDinh!$C$5-0.0005,0)</f>
        <v>6</v>
      </c>
      <c r="O127" s="7">
        <f>L127*(ROUNDUP(I127/GiaDinh!$C$5-0.0005,0)-1)</f>
        <v>4</v>
      </c>
      <c r="P127" s="7">
        <f t="shared" si="9"/>
        <v>26</v>
      </c>
      <c r="Q127" s="7">
        <f t="shared" si="10"/>
        <v>52</v>
      </c>
      <c r="R127" s="7">
        <f t="shared" si="11"/>
        <v>26</v>
      </c>
      <c r="S127" s="13">
        <f>M127*GiaDinh!$C$7</f>
        <v>90.3</v>
      </c>
    </row>
    <row r="128" spans="1:19" ht="31" x14ac:dyDescent="0.35">
      <c r="A128" s="7" t="s">
        <v>8</v>
      </c>
      <c r="B128" s="7">
        <v>23</v>
      </c>
      <c r="C128" s="7" t="s">
        <v>160</v>
      </c>
      <c r="D128" s="7" t="s">
        <v>286</v>
      </c>
      <c r="E128" s="7">
        <v>2</v>
      </c>
      <c r="F128" s="7">
        <v>106.9</v>
      </c>
      <c r="G128" s="12">
        <f>E128*F128*GiaDinh!$C$18*GiaDinh!$C$17</f>
        <v>179.59199999999998</v>
      </c>
      <c r="H128" s="7">
        <f>GiaDinh!$C$21</f>
        <v>1.2250000000000001</v>
      </c>
      <c r="I128" s="7">
        <f>GiaDinh!$C$15</f>
        <v>15</v>
      </c>
      <c r="J128" s="7">
        <f t="shared" si="6"/>
        <v>13</v>
      </c>
      <c r="K128" s="12">
        <f>J128*GiaDinh!$C$16</f>
        <v>91</v>
      </c>
      <c r="L128" s="7">
        <f t="shared" si="7"/>
        <v>2</v>
      </c>
      <c r="M128" s="12">
        <f t="shared" si="8"/>
        <v>30</v>
      </c>
      <c r="N128" s="7">
        <f>L128*ROUNDUP(I128/GiaDinh!$C$5-0.0005,0)</f>
        <v>6</v>
      </c>
      <c r="O128" s="7">
        <f>L128*(ROUNDUP(I128/GiaDinh!$C$5-0.0005,0)-1)</f>
        <v>4</v>
      </c>
      <c r="P128" s="7">
        <f t="shared" si="9"/>
        <v>26</v>
      </c>
      <c r="Q128" s="7">
        <f t="shared" si="10"/>
        <v>52</v>
      </c>
      <c r="R128" s="7">
        <f t="shared" si="11"/>
        <v>26</v>
      </c>
      <c r="S128" s="13">
        <f>M128*GiaDinh!$C$7</f>
        <v>90.3</v>
      </c>
    </row>
    <row r="129" spans="1:19" ht="31" x14ac:dyDescent="0.35">
      <c r="A129" s="7" t="s">
        <v>8</v>
      </c>
      <c r="B129" s="7">
        <v>24</v>
      </c>
      <c r="C129" s="7" t="s">
        <v>160</v>
      </c>
      <c r="D129" s="7" t="s">
        <v>287</v>
      </c>
      <c r="E129" s="7">
        <v>2</v>
      </c>
      <c r="F129" s="7">
        <v>106.9</v>
      </c>
      <c r="G129" s="12">
        <f>E129*F129*GiaDinh!$C$18*GiaDinh!$C$17</f>
        <v>179.59199999999998</v>
      </c>
      <c r="H129" s="7">
        <f>GiaDinh!$C$21</f>
        <v>1.2250000000000001</v>
      </c>
      <c r="I129" s="7">
        <f>GiaDinh!$C$15</f>
        <v>15</v>
      </c>
      <c r="J129" s="7">
        <f t="shared" si="6"/>
        <v>13</v>
      </c>
      <c r="K129" s="12">
        <f>J129*GiaDinh!$C$16</f>
        <v>91</v>
      </c>
      <c r="L129" s="7">
        <f t="shared" si="7"/>
        <v>2</v>
      </c>
      <c r="M129" s="12">
        <f t="shared" si="8"/>
        <v>30</v>
      </c>
      <c r="N129" s="7">
        <f>L129*ROUNDUP(I129/GiaDinh!$C$5-0.0005,0)</f>
        <v>6</v>
      </c>
      <c r="O129" s="7">
        <f>L129*(ROUNDUP(I129/GiaDinh!$C$5-0.0005,0)-1)</f>
        <v>4</v>
      </c>
      <c r="P129" s="7">
        <f t="shared" si="9"/>
        <v>26</v>
      </c>
      <c r="Q129" s="7">
        <f t="shared" si="10"/>
        <v>52</v>
      </c>
      <c r="R129" s="7">
        <f t="shared" si="11"/>
        <v>26</v>
      </c>
      <c r="S129" s="13">
        <f>M129*GiaDinh!$C$7</f>
        <v>90.3</v>
      </c>
    </row>
    <row r="130" spans="1:19" ht="46.5" x14ac:dyDescent="0.35">
      <c r="A130" s="7" t="s">
        <v>8</v>
      </c>
      <c r="B130" s="7">
        <v>25</v>
      </c>
      <c r="C130" s="7" t="s">
        <v>179</v>
      </c>
      <c r="D130" s="7" t="s">
        <v>288</v>
      </c>
      <c r="E130" s="7">
        <v>1</v>
      </c>
      <c r="F130" s="7">
        <v>106.9</v>
      </c>
      <c r="G130" s="12">
        <f>E130*F130*GiaDinh!$C$18*GiaDinh!$C$17</f>
        <v>89.795999999999992</v>
      </c>
      <c r="H130" s="7">
        <f>GiaDinh!$C$21</f>
        <v>1.2250000000000001</v>
      </c>
      <c r="I130" s="7">
        <f>GiaDinh!$C$15</f>
        <v>15</v>
      </c>
      <c r="J130" s="7">
        <f t="shared" si="6"/>
        <v>13</v>
      </c>
      <c r="K130" s="12">
        <f>J130*GiaDinh!$C$16</f>
        <v>91</v>
      </c>
      <c r="L130" s="7">
        <f t="shared" si="7"/>
        <v>1</v>
      </c>
      <c r="M130" s="12">
        <f t="shared" si="8"/>
        <v>15</v>
      </c>
      <c r="N130" s="7">
        <f>L130*ROUNDUP(I130/GiaDinh!$C$5-0.0005,0)</f>
        <v>3</v>
      </c>
      <c r="O130" s="7">
        <f>L130*(ROUNDUP(I130/GiaDinh!$C$5-0.0005,0)-1)</f>
        <v>2</v>
      </c>
      <c r="P130" s="7">
        <f t="shared" si="9"/>
        <v>13</v>
      </c>
      <c r="Q130" s="7">
        <f t="shared" si="10"/>
        <v>26</v>
      </c>
      <c r="R130" s="7">
        <f t="shared" si="11"/>
        <v>13</v>
      </c>
      <c r="S130" s="13">
        <f>M130*GiaDinh!$C$7</f>
        <v>45.15</v>
      </c>
    </row>
    <row r="131" spans="1:19" ht="46.5" x14ac:dyDescent="0.35">
      <c r="A131" s="7" t="s">
        <v>8</v>
      </c>
      <c r="B131" s="7">
        <v>26</v>
      </c>
      <c r="C131" s="7" t="s">
        <v>179</v>
      </c>
      <c r="D131" s="7" t="s">
        <v>289</v>
      </c>
      <c r="E131" s="7">
        <v>1</v>
      </c>
      <c r="F131" s="7">
        <v>106.9</v>
      </c>
      <c r="G131" s="12">
        <f>E131*F131*GiaDinh!$C$18*GiaDinh!$C$17</f>
        <v>89.795999999999992</v>
      </c>
      <c r="H131" s="7">
        <f>GiaDinh!$C$21</f>
        <v>1.2250000000000001</v>
      </c>
      <c r="I131" s="7">
        <f>GiaDinh!$C$15</f>
        <v>15</v>
      </c>
      <c r="J131" s="7">
        <f t="shared" si="6"/>
        <v>13</v>
      </c>
      <c r="K131" s="12">
        <f>J131*GiaDinh!$C$16</f>
        <v>91</v>
      </c>
      <c r="L131" s="7">
        <f t="shared" si="7"/>
        <v>1</v>
      </c>
      <c r="M131" s="12">
        <f t="shared" si="8"/>
        <v>15</v>
      </c>
      <c r="N131" s="7">
        <f>L131*ROUNDUP(I131/GiaDinh!$C$5-0.0005,0)</f>
        <v>3</v>
      </c>
      <c r="O131" s="7">
        <f>L131*(ROUNDUP(I131/GiaDinh!$C$5-0.0005,0)-1)</f>
        <v>2</v>
      </c>
      <c r="P131" s="7">
        <f t="shared" si="9"/>
        <v>13</v>
      </c>
      <c r="Q131" s="7">
        <f t="shared" si="10"/>
        <v>26</v>
      </c>
      <c r="R131" s="7">
        <f t="shared" si="11"/>
        <v>13</v>
      </c>
      <c r="S131" s="13">
        <f>M131*GiaDinh!$C$7</f>
        <v>45.15</v>
      </c>
    </row>
    <row r="132" spans="1:19" ht="46.5" x14ac:dyDescent="0.35">
      <c r="A132" s="7" t="s">
        <v>8</v>
      </c>
      <c r="B132" s="7">
        <v>27</v>
      </c>
      <c r="C132" s="7" t="s">
        <v>179</v>
      </c>
      <c r="D132" s="7" t="s">
        <v>290</v>
      </c>
      <c r="E132" s="7">
        <v>1</v>
      </c>
      <c r="F132" s="7">
        <v>106.9</v>
      </c>
      <c r="G132" s="12">
        <f>E132*F132*GiaDinh!$C$18*GiaDinh!$C$17</f>
        <v>89.795999999999992</v>
      </c>
      <c r="H132" s="7">
        <f>GiaDinh!$C$21</f>
        <v>1.2250000000000001</v>
      </c>
      <c r="I132" s="7">
        <f>GiaDinh!$C$15</f>
        <v>15</v>
      </c>
      <c r="J132" s="7">
        <f t="shared" ref="J132:J195" si="12">ROUNDDOWN(I132/H132,0)+1</f>
        <v>13</v>
      </c>
      <c r="K132" s="12">
        <f>J132*GiaDinh!$C$16</f>
        <v>91</v>
      </c>
      <c r="L132" s="7">
        <f t="shared" ref="L132:L195" si="13">MAX(1,ROUNDUP(G132/K132-0.0005,0))</f>
        <v>1</v>
      </c>
      <c r="M132" s="12">
        <f t="shared" ref="M132:M195" si="14">L132*I132</f>
        <v>15</v>
      </c>
      <c r="N132" s="7">
        <f>L132*ROUNDUP(I132/GiaDinh!$C$5-0.0005,0)</f>
        <v>3</v>
      </c>
      <c r="O132" s="7">
        <f>L132*(ROUNDUP(I132/GiaDinh!$C$5-0.0005,0)-1)</f>
        <v>2</v>
      </c>
      <c r="P132" s="7">
        <f t="shared" ref="P132:P195" si="15">L132*J132</f>
        <v>13</v>
      </c>
      <c r="Q132" s="7">
        <f t="shared" ref="Q132:Q195" si="16">2*P132</f>
        <v>26</v>
      </c>
      <c r="R132" s="7">
        <f t="shared" ref="R132:R195" si="17">P132</f>
        <v>13</v>
      </c>
      <c r="S132" s="13">
        <f>M132*GiaDinh!$C$7</f>
        <v>45.15</v>
      </c>
    </row>
    <row r="133" spans="1:19" ht="46.5" x14ac:dyDescent="0.35">
      <c r="A133" s="7" t="s">
        <v>8</v>
      </c>
      <c r="B133" s="7">
        <v>28</v>
      </c>
      <c r="C133" s="7" t="s">
        <v>179</v>
      </c>
      <c r="D133" s="7" t="s">
        <v>291</v>
      </c>
      <c r="E133" s="7">
        <v>1</v>
      </c>
      <c r="F133" s="7">
        <v>106.9</v>
      </c>
      <c r="G133" s="12">
        <f>E133*F133*GiaDinh!$C$18*GiaDinh!$C$17</f>
        <v>89.795999999999992</v>
      </c>
      <c r="H133" s="7">
        <f>GiaDinh!$C$21</f>
        <v>1.2250000000000001</v>
      </c>
      <c r="I133" s="7">
        <f>GiaDinh!$C$15</f>
        <v>15</v>
      </c>
      <c r="J133" s="7">
        <f t="shared" si="12"/>
        <v>13</v>
      </c>
      <c r="K133" s="12">
        <f>J133*GiaDinh!$C$16</f>
        <v>91</v>
      </c>
      <c r="L133" s="7">
        <f t="shared" si="13"/>
        <v>1</v>
      </c>
      <c r="M133" s="12">
        <f t="shared" si="14"/>
        <v>15</v>
      </c>
      <c r="N133" s="7">
        <f>L133*ROUNDUP(I133/GiaDinh!$C$5-0.0005,0)</f>
        <v>3</v>
      </c>
      <c r="O133" s="7">
        <f>L133*(ROUNDUP(I133/GiaDinh!$C$5-0.0005,0)-1)</f>
        <v>2</v>
      </c>
      <c r="P133" s="7">
        <f t="shared" si="15"/>
        <v>13</v>
      </c>
      <c r="Q133" s="7">
        <f t="shared" si="16"/>
        <v>26</v>
      </c>
      <c r="R133" s="7">
        <f t="shared" si="17"/>
        <v>13</v>
      </c>
      <c r="S133" s="13">
        <f>M133*GiaDinh!$C$7</f>
        <v>45.15</v>
      </c>
    </row>
    <row r="134" spans="1:19" ht="46.5" x14ac:dyDescent="0.35">
      <c r="A134" s="7" t="s">
        <v>8</v>
      </c>
      <c r="B134" s="7">
        <v>29</v>
      </c>
      <c r="C134" s="7" t="s">
        <v>179</v>
      </c>
      <c r="D134" s="7" t="s">
        <v>292</v>
      </c>
      <c r="E134" s="7">
        <v>1</v>
      </c>
      <c r="F134" s="7">
        <v>106.9</v>
      </c>
      <c r="G134" s="12">
        <f>E134*F134*GiaDinh!$C$18*GiaDinh!$C$17</f>
        <v>89.795999999999992</v>
      </c>
      <c r="H134" s="7">
        <f>GiaDinh!$C$21</f>
        <v>1.2250000000000001</v>
      </c>
      <c r="I134" s="7">
        <f>GiaDinh!$C$15</f>
        <v>15</v>
      </c>
      <c r="J134" s="7">
        <f t="shared" si="12"/>
        <v>13</v>
      </c>
      <c r="K134" s="12">
        <f>J134*GiaDinh!$C$16</f>
        <v>91</v>
      </c>
      <c r="L134" s="7">
        <f t="shared" si="13"/>
        <v>1</v>
      </c>
      <c r="M134" s="12">
        <f t="shared" si="14"/>
        <v>15</v>
      </c>
      <c r="N134" s="7">
        <f>L134*ROUNDUP(I134/GiaDinh!$C$5-0.0005,0)</f>
        <v>3</v>
      </c>
      <c r="O134" s="7">
        <f>L134*(ROUNDUP(I134/GiaDinh!$C$5-0.0005,0)-1)</f>
        <v>2</v>
      </c>
      <c r="P134" s="7">
        <f t="shared" si="15"/>
        <v>13</v>
      </c>
      <c r="Q134" s="7">
        <f t="shared" si="16"/>
        <v>26</v>
      </c>
      <c r="R134" s="7">
        <f t="shared" si="17"/>
        <v>13</v>
      </c>
      <c r="S134" s="13">
        <f>M134*GiaDinh!$C$7</f>
        <v>45.15</v>
      </c>
    </row>
    <row r="135" spans="1:19" ht="46.5" x14ac:dyDescent="0.35">
      <c r="A135" s="7" t="s">
        <v>8</v>
      </c>
      <c r="B135" s="7">
        <v>30</v>
      </c>
      <c r="C135" s="7" t="s">
        <v>179</v>
      </c>
      <c r="D135" s="7" t="s">
        <v>293</v>
      </c>
      <c r="E135" s="7">
        <v>1</v>
      </c>
      <c r="F135" s="7">
        <v>106.9</v>
      </c>
      <c r="G135" s="12">
        <f>E135*F135*GiaDinh!$C$18*GiaDinh!$C$17</f>
        <v>89.795999999999992</v>
      </c>
      <c r="H135" s="7">
        <f>GiaDinh!$C$21</f>
        <v>1.2250000000000001</v>
      </c>
      <c r="I135" s="7">
        <f>GiaDinh!$C$15</f>
        <v>15</v>
      </c>
      <c r="J135" s="7">
        <f t="shared" si="12"/>
        <v>13</v>
      </c>
      <c r="K135" s="12">
        <f>J135*GiaDinh!$C$16</f>
        <v>91</v>
      </c>
      <c r="L135" s="7">
        <f t="shared" si="13"/>
        <v>1</v>
      </c>
      <c r="M135" s="12">
        <f t="shared" si="14"/>
        <v>15</v>
      </c>
      <c r="N135" s="7">
        <f>L135*ROUNDUP(I135/GiaDinh!$C$5-0.0005,0)</f>
        <v>3</v>
      </c>
      <c r="O135" s="7">
        <f>L135*(ROUNDUP(I135/GiaDinh!$C$5-0.0005,0)-1)</f>
        <v>2</v>
      </c>
      <c r="P135" s="7">
        <f t="shared" si="15"/>
        <v>13</v>
      </c>
      <c r="Q135" s="7">
        <f t="shared" si="16"/>
        <v>26</v>
      </c>
      <c r="R135" s="7">
        <f t="shared" si="17"/>
        <v>13</v>
      </c>
      <c r="S135" s="13">
        <f>M135*GiaDinh!$C$7</f>
        <v>45.15</v>
      </c>
    </row>
    <row r="136" spans="1:19" ht="46.5" x14ac:dyDescent="0.35">
      <c r="A136" s="7" t="s">
        <v>8</v>
      </c>
      <c r="B136" s="7">
        <v>31</v>
      </c>
      <c r="C136" s="7" t="s">
        <v>179</v>
      </c>
      <c r="D136" s="7" t="s">
        <v>294</v>
      </c>
      <c r="E136" s="7">
        <v>1</v>
      </c>
      <c r="F136" s="7">
        <v>106.9</v>
      </c>
      <c r="G136" s="12">
        <f>E136*F136*GiaDinh!$C$18*GiaDinh!$C$17</f>
        <v>89.795999999999992</v>
      </c>
      <c r="H136" s="7">
        <f>GiaDinh!$C$21</f>
        <v>1.2250000000000001</v>
      </c>
      <c r="I136" s="7">
        <f>GiaDinh!$C$15</f>
        <v>15</v>
      </c>
      <c r="J136" s="7">
        <f t="shared" si="12"/>
        <v>13</v>
      </c>
      <c r="K136" s="12">
        <f>J136*GiaDinh!$C$16</f>
        <v>91</v>
      </c>
      <c r="L136" s="7">
        <f t="shared" si="13"/>
        <v>1</v>
      </c>
      <c r="M136" s="12">
        <f t="shared" si="14"/>
        <v>15</v>
      </c>
      <c r="N136" s="7">
        <f>L136*ROUNDUP(I136/GiaDinh!$C$5-0.0005,0)</f>
        <v>3</v>
      </c>
      <c r="O136" s="7">
        <f>L136*(ROUNDUP(I136/GiaDinh!$C$5-0.0005,0)-1)</f>
        <v>2</v>
      </c>
      <c r="P136" s="7">
        <f t="shared" si="15"/>
        <v>13</v>
      </c>
      <c r="Q136" s="7">
        <f t="shared" si="16"/>
        <v>26</v>
      </c>
      <c r="R136" s="7">
        <f t="shared" si="17"/>
        <v>13</v>
      </c>
      <c r="S136" s="13">
        <f>M136*GiaDinh!$C$7</f>
        <v>45.15</v>
      </c>
    </row>
    <row r="137" spans="1:19" ht="46.5" x14ac:dyDescent="0.35">
      <c r="A137" s="7" t="s">
        <v>8</v>
      </c>
      <c r="B137" s="7">
        <v>32</v>
      </c>
      <c r="C137" s="7" t="s">
        <v>179</v>
      </c>
      <c r="D137" s="7" t="s">
        <v>295</v>
      </c>
      <c r="E137" s="7">
        <v>1</v>
      </c>
      <c r="F137" s="7">
        <v>106.9</v>
      </c>
      <c r="G137" s="12">
        <f>E137*F137*GiaDinh!$C$18*GiaDinh!$C$17</f>
        <v>89.795999999999992</v>
      </c>
      <c r="H137" s="7">
        <f>GiaDinh!$C$21</f>
        <v>1.2250000000000001</v>
      </c>
      <c r="I137" s="7">
        <f>GiaDinh!$C$15</f>
        <v>15</v>
      </c>
      <c r="J137" s="7">
        <f t="shared" si="12"/>
        <v>13</v>
      </c>
      <c r="K137" s="12">
        <f>J137*GiaDinh!$C$16</f>
        <v>91</v>
      </c>
      <c r="L137" s="7">
        <f t="shared" si="13"/>
        <v>1</v>
      </c>
      <c r="M137" s="12">
        <f t="shared" si="14"/>
        <v>15</v>
      </c>
      <c r="N137" s="7">
        <f>L137*ROUNDUP(I137/GiaDinh!$C$5-0.0005,0)</f>
        <v>3</v>
      </c>
      <c r="O137" s="7">
        <f>L137*(ROUNDUP(I137/GiaDinh!$C$5-0.0005,0)-1)</f>
        <v>2</v>
      </c>
      <c r="P137" s="7">
        <f t="shared" si="15"/>
        <v>13</v>
      </c>
      <c r="Q137" s="7">
        <f t="shared" si="16"/>
        <v>26</v>
      </c>
      <c r="R137" s="7">
        <f t="shared" si="17"/>
        <v>13</v>
      </c>
      <c r="S137" s="13">
        <f>M137*GiaDinh!$C$7</f>
        <v>45.15</v>
      </c>
    </row>
    <row r="138" spans="1:19" ht="46.5" x14ac:dyDescent="0.35">
      <c r="A138" s="7" t="s">
        <v>8</v>
      </c>
      <c r="B138" s="7">
        <v>33</v>
      </c>
      <c r="C138" s="7" t="s">
        <v>179</v>
      </c>
      <c r="D138" s="7" t="s">
        <v>296</v>
      </c>
      <c r="E138" s="7">
        <v>1</v>
      </c>
      <c r="F138" s="7">
        <v>106.9</v>
      </c>
      <c r="G138" s="12">
        <f>E138*F138*GiaDinh!$C$18*GiaDinh!$C$17</f>
        <v>89.795999999999992</v>
      </c>
      <c r="H138" s="7">
        <f>GiaDinh!$C$21</f>
        <v>1.2250000000000001</v>
      </c>
      <c r="I138" s="7">
        <f>GiaDinh!$C$15</f>
        <v>15</v>
      </c>
      <c r="J138" s="7">
        <f t="shared" si="12"/>
        <v>13</v>
      </c>
      <c r="K138" s="12">
        <f>J138*GiaDinh!$C$16</f>
        <v>91</v>
      </c>
      <c r="L138" s="7">
        <f t="shared" si="13"/>
        <v>1</v>
      </c>
      <c r="M138" s="12">
        <f t="shared" si="14"/>
        <v>15</v>
      </c>
      <c r="N138" s="7">
        <f>L138*ROUNDUP(I138/GiaDinh!$C$5-0.0005,0)</f>
        <v>3</v>
      </c>
      <c r="O138" s="7">
        <f>L138*(ROUNDUP(I138/GiaDinh!$C$5-0.0005,0)-1)</f>
        <v>2</v>
      </c>
      <c r="P138" s="7">
        <f t="shared" si="15"/>
        <v>13</v>
      </c>
      <c r="Q138" s="7">
        <f t="shared" si="16"/>
        <v>26</v>
      </c>
      <c r="R138" s="7">
        <f t="shared" si="17"/>
        <v>13</v>
      </c>
      <c r="S138" s="13">
        <f>M138*GiaDinh!$C$7</f>
        <v>45.15</v>
      </c>
    </row>
    <row r="139" spans="1:19" ht="46.5" x14ac:dyDescent="0.35">
      <c r="A139" s="7" t="s">
        <v>8</v>
      </c>
      <c r="B139" s="7">
        <v>34</v>
      </c>
      <c r="C139" s="7" t="s">
        <v>179</v>
      </c>
      <c r="D139" s="7" t="s">
        <v>297</v>
      </c>
      <c r="E139" s="7">
        <v>1</v>
      </c>
      <c r="F139" s="7">
        <v>106.9</v>
      </c>
      <c r="G139" s="12">
        <f>E139*F139*GiaDinh!$C$18*GiaDinh!$C$17</f>
        <v>89.795999999999992</v>
      </c>
      <c r="H139" s="7">
        <f>GiaDinh!$C$21</f>
        <v>1.2250000000000001</v>
      </c>
      <c r="I139" s="7">
        <f>GiaDinh!$C$15</f>
        <v>15</v>
      </c>
      <c r="J139" s="7">
        <f t="shared" si="12"/>
        <v>13</v>
      </c>
      <c r="K139" s="12">
        <f>J139*GiaDinh!$C$16</f>
        <v>91</v>
      </c>
      <c r="L139" s="7">
        <f t="shared" si="13"/>
        <v>1</v>
      </c>
      <c r="M139" s="12">
        <f t="shared" si="14"/>
        <v>15</v>
      </c>
      <c r="N139" s="7">
        <f>L139*ROUNDUP(I139/GiaDinh!$C$5-0.0005,0)</f>
        <v>3</v>
      </c>
      <c r="O139" s="7">
        <f>L139*(ROUNDUP(I139/GiaDinh!$C$5-0.0005,0)-1)</f>
        <v>2</v>
      </c>
      <c r="P139" s="7">
        <f t="shared" si="15"/>
        <v>13</v>
      </c>
      <c r="Q139" s="7">
        <f t="shared" si="16"/>
        <v>26</v>
      </c>
      <c r="R139" s="7">
        <f t="shared" si="17"/>
        <v>13</v>
      </c>
      <c r="S139" s="13">
        <f>M139*GiaDinh!$C$7</f>
        <v>45.15</v>
      </c>
    </row>
    <row r="140" spans="1:19" ht="46.5" x14ac:dyDescent="0.35">
      <c r="A140" s="7" t="s">
        <v>8</v>
      </c>
      <c r="B140" s="7">
        <v>35</v>
      </c>
      <c r="C140" s="7" t="s">
        <v>179</v>
      </c>
      <c r="D140" s="7" t="s">
        <v>298</v>
      </c>
      <c r="E140" s="7">
        <v>1</v>
      </c>
      <c r="F140" s="7">
        <v>106.9</v>
      </c>
      <c r="G140" s="12">
        <f>E140*F140*GiaDinh!$C$18*GiaDinh!$C$17</f>
        <v>89.795999999999992</v>
      </c>
      <c r="H140" s="7">
        <f>GiaDinh!$C$21</f>
        <v>1.2250000000000001</v>
      </c>
      <c r="I140" s="7">
        <f>GiaDinh!$C$15</f>
        <v>15</v>
      </c>
      <c r="J140" s="7">
        <f t="shared" si="12"/>
        <v>13</v>
      </c>
      <c r="K140" s="12">
        <f>J140*GiaDinh!$C$16</f>
        <v>91</v>
      </c>
      <c r="L140" s="7">
        <f t="shared" si="13"/>
        <v>1</v>
      </c>
      <c r="M140" s="12">
        <f t="shared" si="14"/>
        <v>15</v>
      </c>
      <c r="N140" s="7">
        <f>L140*ROUNDUP(I140/GiaDinh!$C$5-0.0005,0)</f>
        <v>3</v>
      </c>
      <c r="O140" s="7">
        <f>L140*(ROUNDUP(I140/GiaDinh!$C$5-0.0005,0)-1)</f>
        <v>2</v>
      </c>
      <c r="P140" s="7">
        <f t="shared" si="15"/>
        <v>13</v>
      </c>
      <c r="Q140" s="7">
        <f t="shared" si="16"/>
        <v>26</v>
      </c>
      <c r="R140" s="7">
        <f t="shared" si="17"/>
        <v>13</v>
      </c>
      <c r="S140" s="13">
        <f>M140*GiaDinh!$C$7</f>
        <v>45.15</v>
      </c>
    </row>
    <row r="141" spans="1:19" ht="46.5" x14ac:dyDescent="0.35">
      <c r="A141" s="7" t="s">
        <v>8</v>
      </c>
      <c r="B141" s="7">
        <v>36</v>
      </c>
      <c r="C141" s="7" t="s">
        <v>179</v>
      </c>
      <c r="D141" s="7" t="s">
        <v>299</v>
      </c>
      <c r="E141" s="7">
        <v>1</v>
      </c>
      <c r="F141" s="7">
        <v>106.9</v>
      </c>
      <c r="G141" s="12">
        <f>E141*F141*GiaDinh!$C$18*GiaDinh!$C$17</f>
        <v>89.795999999999992</v>
      </c>
      <c r="H141" s="7">
        <f>GiaDinh!$C$21</f>
        <v>1.2250000000000001</v>
      </c>
      <c r="I141" s="7">
        <f>GiaDinh!$C$15</f>
        <v>15</v>
      </c>
      <c r="J141" s="7">
        <f t="shared" si="12"/>
        <v>13</v>
      </c>
      <c r="K141" s="12">
        <f>J141*GiaDinh!$C$16</f>
        <v>91</v>
      </c>
      <c r="L141" s="7">
        <f t="shared" si="13"/>
        <v>1</v>
      </c>
      <c r="M141" s="12">
        <f t="shared" si="14"/>
        <v>15</v>
      </c>
      <c r="N141" s="7">
        <f>L141*ROUNDUP(I141/GiaDinh!$C$5-0.0005,0)</f>
        <v>3</v>
      </c>
      <c r="O141" s="7">
        <f>L141*(ROUNDUP(I141/GiaDinh!$C$5-0.0005,0)-1)</f>
        <v>2</v>
      </c>
      <c r="P141" s="7">
        <f t="shared" si="15"/>
        <v>13</v>
      </c>
      <c r="Q141" s="7">
        <f t="shared" si="16"/>
        <v>26</v>
      </c>
      <c r="R141" s="7">
        <f t="shared" si="17"/>
        <v>13</v>
      </c>
      <c r="S141" s="13">
        <f>M141*GiaDinh!$C$7</f>
        <v>45.15</v>
      </c>
    </row>
    <row r="142" spans="1:19" ht="46.5" x14ac:dyDescent="0.35">
      <c r="A142" s="7" t="s">
        <v>8</v>
      </c>
      <c r="B142" s="7">
        <v>37</v>
      </c>
      <c r="C142" s="7" t="s">
        <v>179</v>
      </c>
      <c r="D142" s="7" t="s">
        <v>300</v>
      </c>
      <c r="E142" s="7">
        <v>1</v>
      </c>
      <c r="F142" s="7">
        <v>106.9</v>
      </c>
      <c r="G142" s="12">
        <f>E142*F142*GiaDinh!$C$18*GiaDinh!$C$17</f>
        <v>89.795999999999992</v>
      </c>
      <c r="H142" s="7">
        <f>GiaDinh!$C$21</f>
        <v>1.2250000000000001</v>
      </c>
      <c r="I142" s="7">
        <f>GiaDinh!$C$15</f>
        <v>15</v>
      </c>
      <c r="J142" s="7">
        <f t="shared" si="12"/>
        <v>13</v>
      </c>
      <c r="K142" s="12">
        <f>J142*GiaDinh!$C$16</f>
        <v>91</v>
      </c>
      <c r="L142" s="7">
        <f t="shared" si="13"/>
        <v>1</v>
      </c>
      <c r="M142" s="12">
        <f t="shared" si="14"/>
        <v>15</v>
      </c>
      <c r="N142" s="7">
        <f>L142*ROUNDUP(I142/GiaDinh!$C$5-0.0005,0)</f>
        <v>3</v>
      </c>
      <c r="O142" s="7">
        <f>L142*(ROUNDUP(I142/GiaDinh!$C$5-0.0005,0)-1)</f>
        <v>2</v>
      </c>
      <c r="P142" s="7">
        <f t="shared" si="15"/>
        <v>13</v>
      </c>
      <c r="Q142" s="7">
        <f t="shared" si="16"/>
        <v>26</v>
      </c>
      <c r="R142" s="7">
        <f t="shared" si="17"/>
        <v>13</v>
      </c>
      <c r="S142" s="13">
        <f>M142*GiaDinh!$C$7</f>
        <v>45.15</v>
      </c>
    </row>
    <row r="143" spans="1:19" ht="46.5" x14ac:dyDescent="0.35">
      <c r="A143" s="7" t="s">
        <v>8</v>
      </c>
      <c r="B143" s="7">
        <v>38</v>
      </c>
      <c r="C143" s="7" t="s">
        <v>179</v>
      </c>
      <c r="D143" s="7" t="s">
        <v>301</v>
      </c>
      <c r="E143" s="7">
        <v>1</v>
      </c>
      <c r="F143" s="7">
        <v>106.9</v>
      </c>
      <c r="G143" s="12">
        <f>E143*F143*GiaDinh!$C$18*GiaDinh!$C$17</f>
        <v>89.795999999999992</v>
      </c>
      <c r="H143" s="7">
        <f>GiaDinh!$C$21</f>
        <v>1.2250000000000001</v>
      </c>
      <c r="I143" s="7">
        <f>GiaDinh!$C$15</f>
        <v>15</v>
      </c>
      <c r="J143" s="7">
        <f t="shared" si="12"/>
        <v>13</v>
      </c>
      <c r="K143" s="12">
        <f>J143*GiaDinh!$C$16</f>
        <v>91</v>
      </c>
      <c r="L143" s="7">
        <f t="shared" si="13"/>
        <v>1</v>
      </c>
      <c r="M143" s="12">
        <f t="shared" si="14"/>
        <v>15</v>
      </c>
      <c r="N143" s="7">
        <f>L143*ROUNDUP(I143/GiaDinh!$C$5-0.0005,0)</f>
        <v>3</v>
      </c>
      <c r="O143" s="7">
        <f>L143*(ROUNDUP(I143/GiaDinh!$C$5-0.0005,0)-1)</f>
        <v>2</v>
      </c>
      <c r="P143" s="7">
        <f t="shared" si="15"/>
        <v>13</v>
      </c>
      <c r="Q143" s="7">
        <f t="shared" si="16"/>
        <v>26</v>
      </c>
      <c r="R143" s="7">
        <f t="shared" si="17"/>
        <v>13</v>
      </c>
      <c r="S143" s="13">
        <f>M143*GiaDinh!$C$7</f>
        <v>45.15</v>
      </c>
    </row>
    <row r="144" spans="1:19" ht="46.5" x14ac:dyDescent="0.35">
      <c r="A144" s="7" t="s">
        <v>8</v>
      </c>
      <c r="B144" s="7">
        <v>39</v>
      </c>
      <c r="C144" s="7" t="s">
        <v>179</v>
      </c>
      <c r="D144" s="7" t="s">
        <v>302</v>
      </c>
      <c r="E144" s="7">
        <v>1</v>
      </c>
      <c r="F144" s="7">
        <v>106.9</v>
      </c>
      <c r="G144" s="12">
        <f>E144*F144*GiaDinh!$C$18*GiaDinh!$C$17</f>
        <v>89.795999999999992</v>
      </c>
      <c r="H144" s="7">
        <f>GiaDinh!$C$21</f>
        <v>1.2250000000000001</v>
      </c>
      <c r="I144" s="7">
        <f>GiaDinh!$C$15</f>
        <v>15</v>
      </c>
      <c r="J144" s="7">
        <f t="shared" si="12"/>
        <v>13</v>
      </c>
      <c r="K144" s="12">
        <f>J144*GiaDinh!$C$16</f>
        <v>91</v>
      </c>
      <c r="L144" s="7">
        <f t="shared" si="13"/>
        <v>1</v>
      </c>
      <c r="M144" s="12">
        <f t="shared" si="14"/>
        <v>15</v>
      </c>
      <c r="N144" s="7">
        <f>L144*ROUNDUP(I144/GiaDinh!$C$5-0.0005,0)</f>
        <v>3</v>
      </c>
      <c r="O144" s="7">
        <f>L144*(ROUNDUP(I144/GiaDinh!$C$5-0.0005,0)-1)</f>
        <v>2</v>
      </c>
      <c r="P144" s="7">
        <f t="shared" si="15"/>
        <v>13</v>
      </c>
      <c r="Q144" s="7">
        <f t="shared" si="16"/>
        <v>26</v>
      </c>
      <c r="R144" s="7">
        <f t="shared" si="17"/>
        <v>13</v>
      </c>
      <c r="S144" s="13">
        <f>M144*GiaDinh!$C$7</f>
        <v>45.15</v>
      </c>
    </row>
    <row r="145" spans="1:19" ht="46.5" x14ac:dyDescent="0.35">
      <c r="A145" s="7" t="s">
        <v>8</v>
      </c>
      <c r="B145" s="7">
        <v>40</v>
      </c>
      <c r="C145" s="7" t="s">
        <v>179</v>
      </c>
      <c r="D145" s="7" t="s">
        <v>303</v>
      </c>
      <c r="E145" s="7">
        <v>1</v>
      </c>
      <c r="F145" s="7">
        <v>106.9</v>
      </c>
      <c r="G145" s="12">
        <f>E145*F145*GiaDinh!$C$18*GiaDinh!$C$17</f>
        <v>89.795999999999992</v>
      </c>
      <c r="H145" s="7">
        <f>GiaDinh!$C$21</f>
        <v>1.2250000000000001</v>
      </c>
      <c r="I145" s="7">
        <f>GiaDinh!$C$15</f>
        <v>15</v>
      </c>
      <c r="J145" s="7">
        <f t="shared" si="12"/>
        <v>13</v>
      </c>
      <c r="K145" s="12">
        <f>J145*GiaDinh!$C$16</f>
        <v>91</v>
      </c>
      <c r="L145" s="7">
        <f t="shared" si="13"/>
        <v>1</v>
      </c>
      <c r="M145" s="12">
        <f t="shared" si="14"/>
        <v>15</v>
      </c>
      <c r="N145" s="7">
        <f>L145*ROUNDUP(I145/GiaDinh!$C$5-0.0005,0)</f>
        <v>3</v>
      </c>
      <c r="O145" s="7">
        <f>L145*(ROUNDUP(I145/GiaDinh!$C$5-0.0005,0)-1)</f>
        <v>2</v>
      </c>
      <c r="P145" s="7">
        <f t="shared" si="15"/>
        <v>13</v>
      </c>
      <c r="Q145" s="7">
        <f t="shared" si="16"/>
        <v>26</v>
      </c>
      <c r="R145" s="7">
        <f t="shared" si="17"/>
        <v>13</v>
      </c>
      <c r="S145" s="13">
        <f>M145*GiaDinh!$C$7</f>
        <v>45.15</v>
      </c>
    </row>
    <row r="146" spans="1:19" ht="46.5" x14ac:dyDescent="0.35">
      <c r="A146" s="7" t="s">
        <v>8</v>
      </c>
      <c r="B146" s="7">
        <v>41</v>
      </c>
      <c r="C146" s="7" t="s">
        <v>179</v>
      </c>
      <c r="D146" s="7" t="s">
        <v>304</v>
      </c>
      <c r="E146" s="7">
        <v>1</v>
      </c>
      <c r="F146" s="7">
        <v>106.9</v>
      </c>
      <c r="G146" s="12">
        <f>E146*F146*GiaDinh!$C$18*GiaDinh!$C$17</f>
        <v>89.795999999999992</v>
      </c>
      <c r="H146" s="7">
        <f>GiaDinh!$C$21</f>
        <v>1.2250000000000001</v>
      </c>
      <c r="I146" s="7">
        <f>GiaDinh!$C$15</f>
        <v>15</v>
      </c>
      <c r="J146" s="7">
        <f t="shared" si="12"/>
        <v>13</v>
      </c>
      <c r="K146" s="12">
        <f>J146*GiaDinh!$C$16</f>
        <v>91</v>
      </c>
      <c r="L146" s="7">
        <f t="shared" si="13"/>
        <v>1</v>
      </c>
      <c r="M146" s="12">
        <f t="shared" si="14"/>
        <v>15</v>
      </c>
      <c r="N146" s="7">
        <f>L146*ROUNDUP(I146/GiaDinh!$C$5-0.0005,0)</f>
        <v>3</v>
      </c>
      <c r="O146" s="7">
        <f>L146*(ROUNDUP(I146/GiaDinh!$C$5-0.0005,0)-1)</f>
        <v>2</v>
      </c>
      <c r="P146" s="7">
        <f t="shared" si="15"/>
        <v>13</v>
      </c>
      <c r="Q146" s="7">
        <f t="shared" si="16"/>
        <v>26</v>
      </c>
      <c r="R146" s="7">
        <f t="shared" si="17"/>
        <v>13</v>
      </c>
      <c r="S146" s="13">
        <f>M146*GiaDinh!$C$7</f>
        <v>45.15</v>
      </c>
    </row>
    <row r="147" spans="1:19" ht="46.5" x14ac:dyDescent="0.35">
      <c r="A147" s="7" t="s">
        <v>8</v>
      </c>
      <c r="B147" s="7">
        <v>42</v>
      </c>
      <c r="C147" s="7" t="s">
        <v>179</v>
      </c>
      <c r="D147" s="7" t="s">
        <v>305</v>
      </c>
      <c r="E147" s="7">
        <v>1</v>
      </c>
      <c r="F147" s="7">
        <v>106.9</v>
      </c>
      <c r="G147" s="12">
        <f>E147*F147*GiaDinh!$C$18*GiaDinh!$C$17</f>
        <v>89.795999999999992</v>
      </c>
      <c r="H147" s="7">
        <f>GiaDinh!$C$21</f>
        <v>1.2250000000000001</v>
      </c>
      <c r="I147" s="7">
        <f>GiaDinh!$C$15</f>
        <v>15</v>
      </c>
      <c r="J147" s="7">
        <f t="shared" si="12"/>
        <v>13</v>
      </c>
      <c r="K147" s="12">
        <f>J147*GiaDinh!$C$16</f>
        <v>91</v>
      </c>
      <c r="L147" s="7">
        <f t="shared" si="13"/>
        <v>1</v>
      </c>
      <c r="M147" s="12">
        <f t="shared" si="14"/>
        <v>15</v>
      </c>
      <c r="N147" s="7">
        <f>L147*ROUNDUP(I147/GiaDinh!$C$5-0.0005,0)</f>
        <v>3</v>
      </c>
      <c r="O147" s="7">
        <f>L147*(ROUNDUP(I147/GiaDinh!$C$5-0.0005,0)-1)</f>
        <v>2</v>
      </c>
      <c r="P147" s="7">
        <f t="shared" si="15"/>
        <v>13</v>
      </c>
      <c r="Q147" s="7">
        <f t="shared" si="16"/>
        <v>26</v>
      </c>
      <c r="R147" s="7">
        <f t="shared" si="17"/>
        <v>13</v>
      </c>
      <c r="S147" s="13">
        <f>M147*GiaDinh!$C$7</f>
        <v>45.15</v>
      </c>
    </row>
    <row r="148" spans="1:19" ht="46.5" x14ac:dyDescent="0.35">
      <c r="A148" s="7" t="s">
        <v>8</v>
      </c>
      <c r="B148" s="7">
        <v>43</v>
      </c>
      <c r="C148" s="7" t="s">
        <v>179</v>
      </c>
      <c r="D148" s="7" t="s">
        <v>306</v>
      </c>
      <c r="E148" s="7">
        <v>1</v>
      </c>
      <c r="F148" s="7">
        <v>106.9</v>
      </c>
      <c r="G148" s="12">
        <f>E148*F148*GiaDinh!$C$18*GiaDinh!$C$17</f>
        <v>89.795999999999992</v>
      </c>
      <c r="H148" s="7">
        <f>GiaDinh!$C$21</f>
        <v>1.2250000000000001</v>
      </c>
      <c r="I148" s="7">
        <f>GiaDinh!$C$15</f>
        <v>15</v>
      </c>
      <c r="J148" s="7">
        <f t="shared" si="12"/>
        <v>13</v>
      </c>
      <c r="K148" s="12">
        <f>J148*GiaDinh!$C$16</f>
        <v>91</v>
      </c>
      <c r="L148" s="7">
        <f t="shared" si="13"/>
        <v>1</v>
      </c>
      <c r="M148" s="12">
        <f t="shared" si="14"/>
        <v>15</v>
      </c>
      <c r="N148" s="7">
        <f>L148*ROUNDUP(I148/GiaDinh!$C$5-0.0005,0)</f>
        <v>3</v>
      </c>
      <c r="O148" s="7">
        <f>L148*(ROUNDUP(I148/GiaDinh!$C$5-0.0005,0)-1)</f>
        <v>2</v>
      </c>
      <c r="P148" s="7">
        <f t="shared" si="15"/>
        <v>13</v>
      </c>
      <c r="Q148" s="7">
        <f t="shared" si="16"/>
        <v>26</v>
      </c>
      <c r="R148" s="7">
        <f t="shared" si="17"/>
        <v>13</v>
      </c>
      <c r="S148" s="13">
        <f>M148*GiaDinh!$C$7</f>
        <v>45.15</v>
      </c>
    </row>
    <row r="149" spans="1:19" ht="46.5" x14ac:dyDescent="0.35">
      <c r="A149" s="7" t="s">
        <v>8</v>
      </c>
      <c r="B149" s="7">
        <v>44</v>
      </c>
      <c r="C149" s="7" t="s">
        <v>179</v>
      </c>
      <c r="D149" s="7" t="s">
        <v>307</v>
      </c>
      <c r="E149" s="7">
        <v>1</v>
      </c>
      <c r="F149" s="7">
        <v>106.9</v>
      </c>
      <c r="G149" s="12">
        <f>E149*F149*GiaDinh!$C$18*GiaDinh!$C$17</f>
        <v>89.795999999999992</v>
      </c>
      <c r="H149" s="7">
        <f>GiaDinh!$C$21</f>
        <v>1.2250000000000001</v>
      </c>
      <c r="I149" s="7">
        <f>GiaDinh!$C$15</f>
        <v>15</v>
      </c>
      <c r="J149" s="7">
        <f t="shared" si="12"/>
        <v>13</v>
      </c>
      <c r="K149" s="12">
        <f>J149*GiaDinh!$C$16</f>
        <v>91</v>
      </c>
      <c r="L149" s="7">
        <f t="shared" si="13"/>
        <v>1</v>
      </c>
      <c r="M149" s="12">
        <f t="shared" si="14"/>
        <v>15</v>
      </c>
      <c r="N149" s="7">
        <f>L149*ROUNDUP(I149/GiaDinh!$C$5-0.0005,0)</f>
        <v>3</v>
      </c>
      <c r="O149" s="7">
        <f>L149*(ROUNDUP(I149/GiaDinh!$C$5-0.0005,0)-1)</f>
        <v>2</v>
      </c>
      <c r="P149" s="7">
        <f t="shared" si="15"/>
        <v>13</v>
      </c>
      <c r="Q149" s="7">
        <f t="shared" si="16"/>
        <v>26</v>
      </c>
      <c r="R149" s="7">
        <f t="shared" si="17"/>
        <v>13</v>
      </c>
      <c r="S149" s="13">
        <f>M149*GiaDinh!$C$7</f>
        <v>45.15</v>
      </c>
    </row>
    <row r="150" spans="1:19" ht="46.5" x14ac:dyDescent="0.35">
      <c r="A150" s="7" t="s">
        <v>8</v>
      </c>
      <c r="B150" s="7">
        <v>45</v>
      </c>
      <c r="C150" s="7" t="s">
        <v>179</v>
      </c>
      <c r="D150" s="7" t="s">
        <v>308</v>
      </c>
      <c r="E150" s="7">
        <v>1</v>
      </c>
      <c r="F150" s="7">
        <v>106.9</v>
      </c>
      <c r="G150" s="12">
        <f>E150*F150*GiaDinh!$C$18*GiaDinh!$C$17</f>
        <v>89.795999999999992</v>
      </c>
      <c r="H150" s="7">
        <f>GiaDinh!$C$21</f>
        <v>1.2250000000000001</v>
      </c>
      <c r="I150" s="7">
        <f>GiaDinh!$C$15</f>
        <v>15</v>
      </c>
      <c r="J150" s="7">
        <f t="shared" si="12"/>
        <v>13</v>
      </c>
      <c r="K150" s="12">
        <f>J150*GiaDinh!$C$16</f>
        <v>91</v>
      </c>
      <c r="L150" s="7">
        <f t="shared" si="13"/>
        <v>1</v>
      </c>
      <c r="M150" s="12">
        <f t="shared" si="14"/>
        <v>15</v>
      </c>
      <c r="N150" s="7">
        <f>L150*ROUNDUP(I150/GiaDinh!$C$5-0.0005,0)</f>
        <v>3</v>
      </c>
      <c r="O150" s="7">
        <f>L150*(ROUNDUP(I150/GiaDinh!$C$5-0.0005,0)-1)</f>
        <v>2</v>
      </c>
      <c r="P150" s="7">
        <f t="shared" si="15"/>
        <v>13</v>
      </c>
      <c r="Q150" s="7">
        <f t="shared" si="16"/>
        <v>26</v>
      </c>
      <c r="R150" s="7">
        <f t="shared" si="17"/>
        <v>13</v>
      </c>
      <c r="S150" s="13">
        <f>M150*GiaDinh!$C$7</f>
        <v>45.15</v>
      </c>
    </row>
    <row r="151" spans="1:19" ht="46.5" x14ac:dyDescent="0.35">
      <c r="A151" s="7" t="s">
        <v>8</v>
      </c>
      <c r="B151" s="7">
        <v>46</v>
      </c>
      <c r="C151" s="7" t="s">
        <v>179</v>
      </c>
      <c r="D151" s="7" t="s">
        <v>309</v>
      </c>
      <c r="E151" s="7">
        <v>1</v>
      </c>
      <c r="F151" s="7">
        <v>106.9</v>
      </c>
      <c r="G151" s="12">
        <f>E151*F151*GiaDinh!$C$18*GiaDinh!$C$17</f>
        <v>89.795999999999992</v>
      </c>
      <c r="H151" s="7">
        <f>GiaDinh!$C$21</f>
        <v>1.2250000000000001</v>
      </c>
      <c r="I151" s="7">
        <f>GiaDinh!$C$15</f>
        <v>15</v>
      </c>
      <c r="J151" s="7">
        <f t="shared" si="12"/>
        <v>13</v>
      </c>
      <c r="K151" s="12">
        <f>J151*GiaDinh!$C$16</f>
        <v>91</v>
      </c>
      <c r="L151" s="7">
        <f t="shared" si="13"/>
        <v>1</v>
      </c>
      <c r="M151" s="12">
        <f t="shared" si="14"/>
        <v>15</v>
      </c>
      <c r="N151" s="7">
        <f>L151*ROUNDUP(I151/GiaDinh!$C$5-0.0005,0)</f>
        <v>3</v>
      </c>
      <c r="O151" s="7">
        <f>L151*(ROUNDUP(I151/GiaDinh!$C$5-0.0005,0)-1)</f>
        <v>2</v>
      </c>
      <c r="P151" s="7">
        <f t="shared" si="15"/>
        <v>13</v>
      </c>
      <c r="Q151" s="7">
        <f t="shared" si="16"/>
        <v>26</v>
      </c>
      <c r="R151" s="7">
        <f t="shared" si="17"/>
        <v>13</v>
      </c>
      <c r="S151" s="13">
        <f>M151*GiaDinh!$C$7</f>
        <v>45.15</v>
      </c>
    </row>
    <row r="152" spans="1:19" ht="46.5" x14ac:dyDescent="0.35">
      <c r="A152" s="7" t="s">
        <v>8</v>
      </c>
      <c r="B152" s="7">
        <v>47</v>
      </c>
      <c r="C152" s="7" t="s">
        <v>179</v>
      </c>
      <c r="D152" s="7" t="s">
        <v>310</v>
      </c>
      <c r="E152" s="7">
        <v>1</v>
      </c>
      <c r="F152" s="7">
        <v>106.9</v>
      </c>
      <c r="G152" s="12">
        <f>E152*F152*GiaDinh!$C$18*GiaDinh!$C$17</f>
        <v>89.795999999999992</v>
      </c>
      <c r="H152" s="7">
        <f>GiaDinh!$C$21</f>
        <v>1.2250000000000001</v>
      </c>
      <c r="I152" s="7">
        <f>GiaDinh!$C$15</f>
        <v>15</v>
      </c>
      <c r="J152" s="7">
        <f t="shared" si="12"/>
        <v>13</v>
      </c>
      <c r="K152" s="12">
        <f>J152*GiaDinh!$C$16</f>
        <v>91</v>
      </c>
      <c r="L152" s="7">
        <f t="shared" si="13"/>
        <v>1</v>
      </c>
      <c r="M152" s="12">
        <f t="shared" si="14"/>
        <v>15</v>
      </c>
      <c r="N152" s="7">
        <f>L152*ROUNDUP(I152/GiaDinh!$C$5-0.0005,0)</f>
        <v>3</v>
      </c>
      <c r="O152" s="7">
        <f>L152*(ROUNDUP(I152/GiaDinh!$C$5-0.0005,0)-1)</f>
        <v>2</v>
      </c>
      <c r="P152" s="7">
        <f t="shared" si="15"/>
        <v>13</v>
      </c>
      <c r="Q152" s="7">
        <f t="shared" si="16"/>
        <v>26</v>
      </c>
      <c r="R152" s="7">
        <f t="shared" si="17"/>
        <v>13</v>
      </c>
      <c r="S152" s="13">
        <f>M152*GiaDinh!$C$7</f>
        <v>45.15</v>
      </c>
    </row>
    <row r="153" spans="1:19" ht="46.5" x14ac:dyDescent="0.35">
      <c r="A153" s="7" t="s">
        <v>8</v>
      </c>
      <c r="B153" s="7">
        <v>48</v>
      </c>
      <c r="C153" s="7" t="s">
        <v>179</v>
      </c>
      <c r="D153" s="7" t="s">
        <v>311</v>
      </c>
      <c r="E153" s="7">
        <v>1</v>
      </c>
      <c r="F153" s="7">
        <v>106.9</v>
      </c>
      <c r="G153" s="12">
        <f>E153*F153*GiaDinh!$C$18*GiaDinh!$C$17</f>
        <v>89.795999999999992</v>
      </c>
      <c r="H153" s="7">
        <f>GiaDinh!$C$21</f>
        <v>1.2250000000000001</v>
      </c>
      <c r="I153" s="7">
        <f>GiaDinh!$C$15</f>
        <v>15</v>
      </c>
      <c r="J153" s="7">
        <f t="shared" si="12"/>
        <v>13</v>
      </c>
      <c r="K153" s="12">
        <f>J153*GiaDinh!$C$16</f>
        <v>91</v>
      </c>
      <c r="L153" s="7">
        <f t="shared" si="13"/>
        <v>1</v>
      </c>
      <c r="M153" s="12">
        <f t="shared" si="14"/>
        <v>15</v>
      </c>
      <c r="N153" s="7">
        <f>L153*ROUNDUP(I153/GiaDinh!$C$5-0.0005,0)</f>
        <v>3</v>
      </c>
      <c r="O153" s="7">
        <f>L153*(ROUNDUP(I153/GiaDinh!$C$5-0.0005,0)-1)</f>
        <v>2</v>
      </c>
      <c r="P153" s="7">
        <f t="shared" si="15"/>
        <v>13</v>
      </c>
      <c r="Q153" s="7">
        <f t="shared" si="16"/>
        <v>26</v>
      </c>
      <c r="R153" s="7">
        <f t="shared" si="17"/>
        <v>13</v>
      </c>
      <c r="S153" s="13">
        <f>M153*GiaDinh!$C$7</f>
        <v>45.15</v>
      </c>
    </row>
    <row r="154" spans="1:19" ht="31" x14ac:dyDescent="0.35">
      <c r="A154" s="7" t="s">
        <v>9</v>
      </c>
      <c r="B154" s="7">
        <v>1</v>
      </c>
      <c r="C154" s="7" t="s">
        <v>160</v>
      </c>
      <c r="D154" s="7" t="s">
        <v>312</v>
      </c>
      <c r="E154" s="7">
        <v>4</v>
      </c>
      <c r="F154" s="7">
        <v>94.6</v>
      </c>
      <c r="G154" s="12">
        <f>E154*F154*GiaDinh!$C$18*GiaDinh!$C$17</f>
        <v>317.85599999999999</v>
      </c>
      <c r="H154" s="7">
        <f>GiaDinh!$C$21</f>
        <v>1.2250000000000001</v>
      </c>
      <c r="I154" s="7">
        <f>GiaDinh!$C$15</f>
        <v>15</v>
      </c>
      <c r="J154" s="7">
        <f t="shared" si="12"/>
        <v>13</v>
      </c>
      <c r="K154" s="12">
        <f>J154*GiaDinh!$C$16</f>
        <v>91</v>
      </c>
      <c r="L154" s="7">
        <f t="shared" si="13"/>
        <v>4</v>
      </c>
      <c r="M154" s="12">
        <f t="shared" si="14"/>
        <v>60</v>
      </c>
      <c r="N154" s="7">
        <f>L154*ROUNDUP(I154/GiaDinh!$C$5-0.0005,0)</f>
        <v>12</v>
      </c>
      <c r="O154" s="7">
        <f>L154*(ROUNDUP(I154/GiaDinh!$C$5-0.0005,0)-1)</f>
        <v>8</v>
      </c>
      <c r="P154" s="7">
        <f t="shared" si="15"/>
        <v>52</v>
      </c>
      <c r="Q154" s="7">
        <f t="shared" si="16"/>
        <v>104</v>
      </c>
      <c r="R154" s="7">
        <f t="shared" si="17"/>
        <v>52</v>
      </c>
      <c r="S154" s="13">
        <f>M154*GiaDinh!$C$7</f>
        <v>180.6</v>
      </c>
    </row>
    <row r="155" spans="1:19" ht="31" x14ac:dyDescent="0.35">
      <c r="A155" s="7" t="s">
        <v>9</v>
      </c>
      <c r="B155" s="7">
        <v>2</v>
      </c>
      <c r="C155" s="7" t="s">
        <v>160</v>
      </c>
      <c r="D155" s="7" t="s">
        <v>313</v>
      </c>
      <c r="E155" s="7">
        <v>2</v>
      </c>
      <c r="F155" s="7">
        <v>94.6</v>
      </c>
      <c r="G155" s="12">
        <f>E155*F155*GiaDinh!$C$18*GiaDinh!$C$17</f>
        <v>158.928</v>
      </c>
      <c r="H155" s="7">
        <f>GiaDinh!$C$21</f>
        <v>1.2250000000000001</v>
      </c>
      <c r="I155" s="7">
        <f>GiaDinh!$C$15</f>
        <v>15</v>
      </c>
      <c r="J155" s="7">
        <f t="shared" si="12"/>
        <v>13</v>
      </c>
      <c r="K155" s="12">
        <f>J155*GiaDinh!$C$16</f>
        <v>91</v>
      </c>
      <c r="L155" s="7">
        <f t="shared" si="13"/>
        <v>2</v>
      </c>
      <c r="M155" s="12">
        <f t="shared" si="14"/>
        <v>30</v>
      </c>
      <c r="N155" s="7">
        <f>L155*ROUNDUP(I155/GiaDinh!$C$5-0.0005,0)</f>
        <v>6</v>
      </c>
      <c r="O155" s="7">
        <f>L155*(ROUNDUP(I155/GiaDinh!$C$5-0.0005,0)-1)</f>
        <v>4</v>
      </c>
      <c r="P155" s="7">
        <f t="shared" si="15"/>
        <v>26</v>
      </c>
      <c r="Q155" s="7">
        <f t="shared" si="16"/>
        <v>52</v>
      </c>
      <c r="R155" s="7">
        <f t="shared" si="17"/>
        <v>26</v>
      </c>
      <c r="S155" s="13">
        <f>M155*GiaDinh!$C$7</f>
        <v>90.3</v>
      </c>
    </row>
    <row r="156" spans="1:19" ht="31" x14ac:dyDescent="0.35">
      <c r="A156" s="7" t="s">
        <v>9</v>
      </c>
      <c r="B156" s="7">
        <v>3</v>
      </c>
      <c r="C156" s="7" t="s">
        <v>160</v>
      </c>
      <c r="D156" s="7" t="s">
        <v>314</v>
      </c>
      <c r="E156" s="7">
        <v>2</v>
      </c>
      <c r="F156" s="7">
        <v>94.6</v>
      </c>
      <c r="G156" s="12">
        <f>E156*F156*GiaDinh!$C$18*GiaDinh!$C$17</f>
        <v>158.928</v>
      </c>
      <c r="H156" s="7">
        <f>GiaDinh!$C$21</f>
        <v>1.2250000000000001</v>
      </c>
      <c r="I156" s="7">
        <f>GiaDinh!$C$15</f>
        <v>15</v>
      </c>
      <c r="J156" s="7">
        <f t="shared" si="12"/>
        <v>13</v>
      </c>
      <c r="K156" s="12">
        <f>J156*GiaDinh!$C$16</f>
        <v>91</v>
      </c>
      <c r="L156" s="7">
        <f t="shared" si="13"/>
        <v>2</v>
      </c>
      <c r="M156" s="12">
        <f t="shared" si="14"/>
        <v>30</v>
      </c>
      <c r="N156" s="7">
        <f>L156*ROUNDUP(I156/GiaDinh!$C$5-0.0005,0)</f>
        <v>6</v>
      </c>
      <c r="O156" s="7">
        <f>L156*(ROUNDUP(I156/GiaDinh!$C$5-0.0005,0)-1)</f>
        <v>4</v>
      </c>
      <c r="P156" s="7">
        <f t="shared" si="15"/>
        <v>26</v>
      </c>
      <c r="Q156" s="7">
        <f t="shared" si="16"/>
        <v>52</v>
      </c>
      <c r="R156" s="7">
        <f t="shared" si="17"/>
        <v>26</v>
      </c>
      <c r="S156" s="13">
        <f>M156*GiaDinh!$C$7</f>
        <v>90.3</v>
      </c>
    </row>
    <row r="157" spans="1:19" ht="31" x14ac:dyDescent="0.35">
      <c r="A157" s="7" t="s">
        <v>9</v>
      </c>
      <c r="B157" s="7">
        <v>4</v>
      </c>
      <c r="C157" s="7" t="s">
        <v>160</v>
      </c>
      <c r="D157" s="7" t="s">
        <v>315</v>
      </c>
      <c r="E157" s="7">
        <v>2</v>
      </c>
      <c r="F157" s="7">
        <v>94.6</v>
      </c>
      <c r="G157" s="12">
        <f>E157*F157*GiaDinh!$C$18*GiaDinh!$C$17</f>
        <v>158.928</v>
      </c>
      <c r="H157" s="7">
        <f>GiaDinh!$C$21</f>
        <v>1.2250000000000001</v>
      </c>
      <c r="I157" s="7">
        <f>GiaDinh!$C$15</f>
        <v>15</v>
      </c>
      <c r="J157" s="7">
        <f t="shared" si="12"/>
        <v>13</v>
      </c>
      <c r="K157" s="12">
        <f>J157*GiaDinh!$C$16</f>
        <v>91</v>
      </c>
      <c r="L157" s="7">
        <f t="shared" si="13"/>
        <v>2</v>
      </c>
      <c r="M157" s="12">
        <f t="shared" si="14"/>
        <v>30</v>
      </c>
      <c r="N157" s="7">
        <f>L157*ROUNDUP(I157/GiaDinh!$C$5-0.0005,0)</f>
        <v>6</v>
      </c>
      <c r="O157" s="7">
        <f>L157*(ROUNDUP(I157/GiaDinh!$C$5-0.0005,0)-1)</f>
        <v>4</v>
      </c>
      <c r="P157" s="7">
        <f t="shared" si="15"/>
        <v>26</v>
      </c>
      <c r="Q157" s="7">
        <f t="shared" si="16"/>
        <v>52</v>
      </c>
      <c r="R157" s="7">
        <f t="shared" si="17"/>
        <v>26</v>
      </c>
      <c r="S157" s="13">
        <f>M157*GiaDinh!$C$7</f>
        <v>90.3</v>
      </c>
    </row>
    <row r="158" spans="1:19" ht="31" x14ac:dyDescent="0.35">
      <c r="A158" s="7" t="s">
        <v>9</v>
      </c>
      <c r="B158" s="7">
        <v>5</v>
      </c>
      <c r="C158" s="7" t="s">
        <v>160</v>
      </c>
      <c r="D158" s="7" t="s">
        <v>316</v>
      </c>
      <c r="E158" s="7">
        <v>2</v>
      </c>
      <c r="F158" s="7">
        <v>94.6</v>
      </c>
      <c r="G158" s="12">
        <f>E158*F158*GiaDinh!$C$18*GiaDinh!$C$17</f>
        <v>158.928</v>
      </c>
      <c r="H158" s="7">
        <f>GiaDinh!$C$21</f>
        <v>1.2250000000000001</v>
      </c>
      <c r="I158" s="7">
        <f>GiaDinh!$C$15</f>
        <v>15</v>
      </c>
      <c r="J158" s="7">
        <f t="shared" si="12"/>
        <v>13</v>
      </c>
      <c r="K158" s="12">
        <f>J158*GiaDinh!$C$16</f>
        <v>91</v>
      </c>
      <c r="L158" s="7">
        <f t="shared" si="13"/>
        <v>2</v>
      </c>
      <c r="M158" s="12">
        <f t="shared" si="14"/>
        <v>30</v>
      </c>
      <c r="N158" s="7">
        <f>L158*ROUNDUP(I158/GiaDinh!$C$5-0.0005,0)</f>
        <v>6</v>
      </c>
      <c r="O158" s="7">
        <f>L158*(ROUNDUP(I158/GiaDinh!$C$5-0.0005,0)-1)</f>
        <v>4</v>
      </c>
      <c r="P158" s="7">
        <f t="shared" si="15"/>
        <v>26</v>
      </c>
      <c r="Q158" s="7">
        <f t="shared" si="16"/>
        <v>52</v>
      </c>
      <c r="R158" s="7">
        <f t="shared" si="17"/>
        <v>26</v>
      </c>
      <c r="S158" s="13">
        <f>M158*GiaDinh!$C$7</f>
        <v>90.3</v>
      </c>
    </row>
    <row r="159" spans="1:19" ht="31" x14ac:dyDescent="0.35">
      <c r="A159" s="7" t="s">
        <v>9</v>
      </c>
      <c r="B159" s="7">
        <v>6</v>
      </c>
      <c r="C159" s="7" t="s">
        <v>160</v>
      </c>
      <c r="D159" s="7" t="s">
        <v>317</v>
      </c>
      <c r="E159" s="7">
        <v>4</v>
      </c>
      <c r="F159" s="7">
        <v>94.6</v>
      </c>
      <c r="G159" s="12">
        <f>E159*F159*GiaDinh!$C$18*GiaDinh!$C$17</f>
        <v>317.85599999999999</v>
      </c>
      <c r="H159" s="7">
        <f>GiaDinh!$C$21</f>
        <v>1.2250000000000001</v>
      </c>
      <c r="I159" s="7">
        <f>GiaDinh!$C$15</f>
        <v>15</v>
      </c>
      <c r="J159" s="7">
        <f t="shared" si="12"/>
        <v>13</v>
      </c>
      <c r="K159" s="12">
        <f>J159*GiaDinh!$C$16</f>
        <v>91</v>
      </c>
      <c r="L159" s="7">
        <f t="shared" si="13"/>
        <v>4</v>
      </c>
      <c r="M159" s="12">
        <f t="shared" si="14"/>
        <v>60</v>
      </c>
      <c r="N159" s="7">
        <f>L159*ROUNDUP(I159/GiaDinh!$C$5-0.0005,0)</f>
        <v>12</v>
      </c>
      <c r="O159" s="7">
        <f>L159*(ROUNDUP(I159/GiaDinh!$C$5-0.0005,0)-1)</f>
        <v>8</v>
      </c>
      <c r="P159" s="7">
        <f t="shared" si="15"/>
        <v>52</v>
      </c>
      <c r="Q159" s="7">
        <f t="shared" si="16"/>
        <v>104</v>
      </c>
      <c r="R159" s="7">
        <f t="shared" si="17"/>
        <v>52</v>
      </c>
      <c r="S159" s="13">
        <f>M159*GiaDinh!$C$7</f>
        <v>180.6</v>
      </c>
    </row>
    <row r="160" spans="1:19" ht="31" x14ac:dyDescent="0.35">
      <c r="A160" s="7" t="s">
        <v>9</v>
      </c>
      <c r="B160" s="7">
        <v>7</v>
      </c>
      <c r="C160" s="7" t="s">
        <v>160</v>
      </c>
      <c r="D160" s="7" t="s">
        <v>318</v>
      </c>
      <c r="E160" s="7">
        <v>2</v>
      </c>
      <c r="F160" s="7">
        <v>94.6</v>
      </c>
      <c r="G160" s="12">
        <f>E160*F160*GiaDinh!$C$18*GiaDinh!$C$17</f>
        <v>158.928</v>
      </c>
      <c r="H160" s="7">
        <f>GiaDinh!$C$21</f>
        <v>1.2250000000000001</v>
      </c>
      <c r="I160" s="7">
        <f>GiaDinh!$C$15</f>
        <v>15</v>
      </c>
      <c r="J160" s="7">
        <f t="shared" si="12"/>
        <v>13</v>
      </c>
      <c r="K160" s="12">
        <f>J160*GiaDinh!$C$16</f>
        <v>91</v>
      </c>
      <c r="L160" s="7">
        <f t="shared" si="13"/>
        <v>2</v>
      </c>
      <c r="M160" s="12">
        <f t="shared" si="14"/>
        <v>30</v>
      </c>
      <c r="N160" s="7">
        <f>L160*ROUNDUP(I160/GiaDinh!$C$5-0.0005,0)</f>
        <v>6</v>
      </c>
      <c r="O160" s="7">
        <f>L160*(ROUNDUP(I160/GiaDinh!$C$5-0.0005,0)-1)</f>
        <v>4</v>
      </c>
      <c r="P160" s="7">
        <f t="shared" si="15"/>
        <v>26</v>
      </c>
      <c r="Q160" s="7">
        <f t="shared" si="16"/>
        <v>52</v>
      </c>
      <c r="R160" s="7">
        <f t="shared" si="17"/>
        <v>26</v>
      </c>
      <c r="S160" s="13">
        <f>M160*GiaDinh!$C$7</f>
        <v>90.3</v>
      </c>
    </row>
    <row r="161" spans="1:19" ht="31" x14ac:dyDescent="0.35">
      <c r="A161" s="7" t="s">
        <v>9</v>
      </c>
      <c r="B161" s="7">
        <v>8</v>
      </c>
      <c r="C161" s="7" t="s">
        <v>160</v>
      </c>
      <c r="D161" s="7" t="s">
        <v>319</v>
      </c>
      <c r="E161" s="7">
        <v>2</v>
      </c>
      <c r="F161" s="7">
        <v>94.6</v>
      </c>
      <c r="G161" s="12">
        <f>E161*F161*GiaDinh!$C$18*GiaDinh!$C$17</f>
        <v>158.928</v>
      </c>
      <c r="H161" s="7">
        <f>GiaDinh!$C$21</f>
        <v>1.2250000000000001</v>
      </c>
      <c r="I161" s="7">
        <f>GiaDinh!$C$15</f>
        <v>15</v>
      </c>
      <c r="J161" s="7">
        <f t="shared" si="12"/>
        <v>13</v>
      </c>
      <c r="K161" s="12">
        <f>J161*GiaDinh!$C$16</f>
        <v>91</v>
      </c>
      <c r="L161" s="7">
        <f t="shared" si="13"/>
        <v>2</v>
      </c>
      <c r="M161" s="12">
        <f t="shared" si="14"/>
        <v>30</v>
      </c>
      <c r="N161" s="7">
        <f>L161*ROUNDUP(I161/GiaDinh!$C$5-0.0005,0)</f>
        <v>6</v>
      </c>
      <c r="O161" s="7">
        <f>L161*(ROUNDUP(I161/GiaDinh!$C$5-0.0005,0)-1)</f>
        <v>4</v>
      </c>
      <c r="P161" s="7">
        <f t="shared" si="15"/>
        <v>26</v>
      </c>
      <c r="Q161" s="7">
        <f t="shared" si="16"/>
        <v>52</v>
      </c>
      <c r="R161" s="7">
        <f t="shared" si="17"/>
        <v>26</v>
      </c>
      <c r="S161" s="13">
        <f>M161*GiaDinh!$C$7</f>
        <v>90.3</v>
      </c>
    </row>
    <row r="162" spans="1:19" ht="31" x14ac:dyDescent="0.35">
      <c r="A162" s="7" t="s">
        <v>9</v>
      </c>
      <c r="B162" s="7">
        <v>9</v>
      </c>
      <c r="C162" s="7" t="s">
        <v>160</v>
      </c>
      <c r="D162" s="7" t="s">
        <v>320</v>
      </c>
      <c r="E162" s="7">
        <v>2</v>
      </c>
      <c r="F162" s="7">
        <v>94.6</v>
      </c>
      <c r="G162" s="12">
        <f>E162*F162*GiaDinh!$C$18*GiaDinh!$C$17</f>
        <v>158.928</v>
      </c>
      <c r="H162" s="7">
        <f>GiaDinh!$C$21</f>
        <v>1.2250000000000001</v>
      </c>
      <c r="I162" s="7">
        <f>GiaDinh!$C$15</f>
        <v>15</v>
      </c>
      <c r="J162" s="7">
        <f t="shared" si="12"/>
        <v>13</v>
      </c>
      <c r="K162" s="12">
        <f>J162*GiaDinh!$C$16</f>
        <v>91</v>
      </c>
      <c r="L162" s="7">
        <f t="shared" si="13"/>
        <v>2</v>
      </c>
      <c r="M162" s="12">
        <f t="shared" si="14"/>
        <v>30</v>
      </c>
      <c r="N162" s="7">
        <f>L162*ROUNDUP(I162/GiaDinh!$C$5-0.0005,0)</f>
        <v>6</v>
      </c>
      <c r="O162" s="7">
        <f>L162*(ROUNDUP(I162/GiaDinh!$C$5-0.0005,0)-1)</f>
        <v>4</v>
      </c>
      <c r="P162" s="7">
        <f t="shared" si="15"/>
        <v>26</v>
      </c>
      <c r="Q162" s="7">
        <f t="shared" si="16"/>
        <v>52</v>
      </c>
      <c r="R162" s="7">
        <f t="shared" si="17"/>
        <v>26</v>
      </c>
      <c r="S162" s="13">
        <f>M162*GiaDinh!$C$7</f>
        <v>90.3</v>
      </c>
    </row>
    <row r="163" spans="1:19" ht="31" x14ac:dyDescent="0.35">
      <c r="A163" s="7" t="s">
        <v>9</v>
      </c>
      <c r="B163" s="7">
        <v>10</v>
      </c>
      <c r="C163" s="7" t="s">
        <v>160</v>
      </c>
      <c r="D163" s="7" t="s">
        <v>321</v>
      </c>
      <c r="E163" s="7">
        <v>2</v>
      </c>
      <c r="F163" s="7">
        <v>94.6</v>
      </c>
      <c r="G163" s="12">
        <f>E163*F163*GiaDinh!$C$18*GiaDinh!$C$17</f>
        <v>158.928</v>
      </c>
      <c r="H163" s="7">
        <f>GiaDinh!$C$21</f>
        <v>1.2250000000000001</v>
      </c>
      <c r="I163" s="7">
        <f>GiaDinh!$C$15</f>
        <v>15</v>
      </c>
      <c r="J163" s="7">
        <f t="shared" si="12"/>
        <v>13</v>
      </c>
      <c r="K163" s="12">
        <f>J163*GiaDinh!$C$16</f>
        <v>91</v>
      </c>
      <c r="L163" s="7">
        <f t="shared" si="13"/>
        <v>2</v>
      </c>
      <c r="M163" s="12">
        <f t="shared" si="14"/>
        <v>30</v>
      </c>
      <c r="N163" s="7">
        <f>L163*ROUNDUP(I163/GiaDinh!$C$5-0.0005,0)</f>
        <v>6</v>
      </c>
      <c r="O163" s="7">
        <f>L163*(ROUNDUP(I163/GiaDinh!$C$5-0.0005,0)-1)</f>
        <v>4</v>
      </c>
      <c r="P163" s="7">
        <f t="shared" si="15"/>
        <v>26</v>
      </c>
      <c r="Q163" s="7">
        <f t="shared" si="16"/>
        <v>52</v>
      </c>
      <c r="R163" s="7">
        <f t="shared" si="17"/>
        <v>26</v>
      </c>
      <c r="S163" s="13">
        <f>M163*GiaDinh!$C$7</f>
        <v>90.3</v>
      </c>
    </row>
    <row r="164" spans="1:19" ht="46.5" x14ac:dyDescent="0.35">
      <c r="A164" s="7" t="s">
        <v>9</v>
      </c>
      <c r="B164" s="7">
        <v>11</v>
      </c>
      <c r="C164" s="7" t="s">
        <v>179</v>
      </c>
      <c r="D164" s="7" t="s">
        <v>322</v>
      </c>
      <c r="E164" s="7">
        <v>1</v>
      </c>
      <c r="F164" s="7">
        <v>94.6</v>
      </c>
      <c r="G164" s="12">
        <f>E164*F164*GiaDinh!$C$18*GiaDinh!$C$17</f>
        <v>79.463999999999999</v>
      </c>
      <c r="H164" s="7">
        <f>GiaDinh!$C$21</f>
        <v>1.2250000000000001</v>
      </c>
      <c r="I164" s="7">
        <f>GiaDinh!$C$15</f>
        <v>15</v>
      </c>
      <c r="J164" s="7">
        <f t="shared" si="12"/>
        <v>13</v>
      </c>
      <c r="K164" s="12">
        <f>J164*GiaDinh!$C$16</f>
        <v>91</v>
      </c>
      <c r="L164" s="7">
        <f t="shared" si="13"/>
        <v>1</v>
      </c>
      <c r="M164" s="12">
        <f t="shared" si="14"/>
        <v>15</v>
      </c>
      <c r="N164" s="7">
        <f>L164*ROUNDUP(I164/GiaDinh!$C$5-0.0005,0)</f>
        <v>3</v>
      </c>
      <c r="O164" s="7">
        <f>L164*(ROUNDUP(I164/GiaDinh!$C$5-0.0005,0)-1)</f>
        <v>2</v>
      </c>
      <c r="P164" s="7">
        <f t="shared" si="15"/>
        <v>13</v>
      </c>
      <c r="Q164" s="7">
        <f t="shared" si="16"/>
        <v>26</v>
      </c>
      <c r="R164" s="7">
        <f t="shared" si="17"/>
        <v>13</v>
      </c>
      <c r="S164" s="13">
        <f>M164*GiaDinh!$C$7</f>
        <v>45.15</v>
      </c>
    </row>
    <row r="165" spans="1:19" ht="46.5" x14ac:dyDescent="0.35">
      <c r="A165" s="7" t="s">
        <v>9</v>
      </c>
      <c r="B165" s="7">
        <v>12</v>
      </c>
      <c r="C165" s="7" t="s">
        <v>179</v>
      </c>
      <c r="D165" s="7" t="s">
        <v>323</v>
      </c>
      <c r="E165" s="7">
        <v>1</v>
      </c>
      <c r="F165" s="7">
        <v>94.6</v>
      </c>
      <c r="G165" s="12">
        <f>E165*F165*GiaDinh!$C$18*GiaDinh!$C$17</f>
        <v>79.463999999999999</v>
      </c>
      <c r="H165" s="7">
        <f>GiaDinh!$C$21</f>
        <v>1.2250000000000001</v>
      </c>
      <c r="I165" s="7">
        <f>GiaDinh!$C$15</f>
        <v>15</v>
      </c>
      <c r="J165" s="7">
        <f t="shared" si="12"/>
        <v>13</v>
      </c>
      <c r="K165" s="12">
        <f>J165*GiaDinh!$C$16</f>
        <v>91</v>
      </c>
      <c r="L165" s="7">
        <f t="shared" si="13"/>
        <v>1</v>
      </c>
      <c r="M165" s="12">
        <f t="shared" si="14"/>
        <v>15</v>
      </c>
      <c r="N165" s="7">
        <f>L165*ROUNDUP(I165/GiaDinh!$C$5-0.0005,0)</f>
        <v>3</v>
      </c>
      <c r="O165" s="7">
        <f>L165*(ROUNDUP(I165/GiaDinh!$C$5-0.0005,0)-1)</f>
        <v>2</v>
      </c>
      <c r="P165" s="7">
        <f t="shared" si="15"/>
        <v>13</v>
      </c>
      <c r="Q165" s="7">
        <f t="shared" si="16"/>
        <v>26</v>
      </c>
      <c r="R165" s="7">
        <f t="shared" si="17"/>
        <v>13</v>
      </c>
      <c r="S165" s="13">
        <f>M165*GiaDinh!$C$7</f>
        <v>45.15</v>
      </c>
    </row>
    <row r="166" spans="1:19" ht="46.5" x14ac:dyDescent="0.35">
      <c r="A166" s="7" t="s">
        <v>9</v>
      </c>
      <c r="B166" s="7">
        <v>13</v>
      </c>
      <c r="C166" s="7" t="s">
        <v>179</v>
      </c>
      <c r="D166" s="7" t="s">
        <v>324</v>
      </c>
      <c r="E166" s="7">
        <v>1</v>
      </c>
      <c r="F166" s="7">
        <v>94.6</v>
      </c>
      <c r="G166" s="12">
        <f>E166*F166*GiaDinh!$C$18*GiaDinh!$C$17</f>
        <v>79.463999999999999</v>
      </c>
      <c r="H166" s="7">
        <f>GiaDinh!$C$21</f>
        <v>1.2250000000000001</v>
      </c>
      <c r="I166" s="7">
        <f>GiaDinh!$C$15</f>
        <v>15</v>
      </c>
      <c r="J166" s="7">
        <f t="shared" si="12"/>
        <v>13</v>
      </c>
      <c r="K166" s="12">
        <f>J166*GiaDinh!$C$16</f>
        <v>91</v>
      </c>
      <c r="L166" s="7">
        <f t="shared" si="13"/>
        <v>1</v>
      </c>
      <c r="M166" s="12">
        <f t="shared" si="14"/>
        <v>15</v>
      </c>
      <c r="N166" s="7">
        <f>L166*ROUNDUP(I166/GiaDinh!$C$5-0.0005,0)</f>
        <v>3</v>
      </c>
      <c r="O166" s="7">
        <f>L166*(ROUNDUP(I166/GiaDinh!$C$5-0.0005,0)-1)</f>
        <v>2</v>
      </c>
      <c r="P166" s="7">
        <f t="shared" si="15"/>
        <v>13</v>
      </c>
      <c r="Q166" s="7">
        <f t="shared" si="16"/>
        <v>26</v>
      </c>
      <c r="R166" s="7">
        <f t="shared" si="17"/>
        <v>13</v>
      </c>
      <c r="S166" s="13">
        <f>M166*GiaDinh!$C$7</f>
        <v>45.15</v>
      </c>
    </row>
    <row r="167" spans="1:19" ht="46.5" x14ac:dyDescent="0.35">
      <c r="A167" s="7" t="s">
        <v>9</v>
      </c>
      <c r="B167" s="7">
        <v>14</v>
      </c>
      <c r="C167" s="7" t="s">
        <v>179</v>
      </c>
      <c r="D167" s="7" t="s">
        <v>325</v>
      </c>
      <c r="E167" s="7">
        <v>1</v>
      </c>
      <c r="F167" s="7">
        <v>94.6</v>
      </c>
      <c r="G167" s="12">
        <f>E167*F167*GiaDinh!$C$18*GiaDinh!$C$17</f>
        <v>79.463999999999999</v>
      </c>
      <c r="H167" s="7">
        <f>GiaDinh!$C$21</f>
        <v>1.2250000000000001</v>
      </c>
      <c r="I167" s="7">
        <f>GiaDinh!$C$15</f>
        <v>15</v>
      </c>
      <c r="J167" s="7">
        <f t="shared" si="12"/>
        <v>13</v>
      </c>
      <c r="K167" s="12">
        <f>J167*GiaDinh!$C$16</f>
        <v>91</v>
      </c>
      <c r="L167" s="7">
        <f t="shared" si="13"/>
        <v>1</v>
      </c>
      <c r="M167" s="12">
        <f t="shared" si="14"/>
        <v>15</v>
      </c>
      <c r="N167" s="7">
        <f>L167*ROUNDUP(I167/GiaDinh!$C$5-0.0005,0)</f>
        <v>3</v>
      </c>
      <c r="O167" s="7">
        <f>L167*(ROUNDUP(I167/GiaDinh!$C$5-0.0005,0)-1)</f>
        <v>2</v>
      </c>
      <c r="P167" s="7">
        <f t="shared" si="15"/>
        <v>13</v>
      </c>
      <c r="Q167" s="7">
        <f t="shared" si="16"/>
        <v>26</v>
      </c>
      <c r="R167" s="7">
        <f t="shared" si="17"/>
        <v>13</v>
      </c>
      <c r="S167" s="13">
        <f>M167*GiaDinh!$C$7</f>
        <v>45.15</v>
      </c>
    </row>
    <row r="168" spans="1:19" ht="46.5" x14ac:dyDescent="0.35">
      <c r="A168" s="7" t="s">
        <v>9</v>
      </c>
      <c r="B168" s="7">
        <v>15</v>
      </c>
      <c r="C168" s="7" t="s">
        <v>179</v>
      </c>
      <c r="D168" s="7" t="s">
        <v>326</v>
      </c>
      <c r="E168" s="7">
        <v>1</v>
      </c>
      <c r="F168" s="7">
        <v>94.6</v>
      </c>
      <c r="G168" s="12">
        <f>E168*F168*GiaDinh!$C$18*GiaDinh!$C$17</f>
        <v>79.463999999999999</v>
      </c>
      <c r="H168" s="7">
        <f>GiaDinh!$C$21</f>
        <v>1.2250000000000001</v>
      </c>
      <c r="I168" s="7">
        <f>GiaDinh!$C$15</f>
        <v>15</v>
      </c>
      <c r="J168" s="7">
        <f t="shared" si="12"/>
        <v>13</v>
      </c>
      <c r="K168" s="12">
        <f>J168*GiaDinh!$C$16</f>
        <v>91</v>
      </c>
      <c r="L168" s="7">
        <f t="shared" si="13"/>
        <v>1</v>
      </c>
      <c r="M168" s="12">
        <f t="shared" si="14"/>
        <v>15</v>
      </c>
      <c r="N168" s="7">
        <f>L168*ROUNDUP(I168/GiaDinh!$C$5-0.0005,0)</f>
        <v>3</v>
      </c>
      <c r="O168" s="7">
        <f>L168*(ROUNDUP(I168/GiaDinh!$C$5-0.0005,0)-1)</f>
        <v>2</v>
      </c>
      <c r="P168" s="7">
        <f t="shared" si="15"/>
        <v>13</v>
      </c>
      <c r="Q168" s="7">
        <f t="shared" si="16"/>
        <v>26</v>
      </c>
      <c r="R168" s="7">
        <f t="shared" si="17"/>
        <v>13</v>
      </c>
      <c r="S168" s="13">
        <f>M168*GiaDinh!$C$7</f>
        <v>45.15</v>
      </c>
    </row>
    <row r="169" spans="1:19" ht="46.5" x14ac:dyDescent="0.35">
      <c r="A169" s="7" t="s">
        <v>9</v>
      </c>
      <c r="B169" s="7">
        <v>16</v>
      </c>
      <c r="C169" s="7" t="s">
        <v>179</v>
      </c>
      <c r="D169" s="7" t="s">
        <v>327</v>
      </c>
      <c r="E169" s="7">
        <v>1</v>
      </c>
      <c r="F169" s="7">
        <v>94.6</v>
      </c>
      <c r="G169" s="12">
        <f>E169*F169*GiaDinh!$C$18*GiaDinh!$C$17</f>
        <v>79.463999999999999</v>
      </c>
      <c r="H169" s="7">
        <f>GiaDinh!$C$21</f>
        <v>1.2250000000000001</v>
      </c>
      <c r="I169" s="7">
        <f>GiaDinh!$C$15</f>
        <v>15</v>
      </c>
      <c r="J169" s="7">
        <f t="shared" si="12"/>
        <v>13</v>
      </c>
      <c r="K169" s="12">
        <f>J169*GiaDinh!$C$16</f>
        <v>91</v>
      </c>
      <c r="L169" s="7">
        <f t="shared" si="13"/>
        <v>1</v>
      </c>
      <c r="M169" s="12">
        <f t="shared" si="14"/>
        <v>15</v>
      </c>
      <c r="N169" s="7">
        <f>L169*ROUNDUP(I169/GiaDinh!$C$5-0.0005,0)</f>
        <v>3</v>
      </c>
      <c r="O169" s="7">
        <f>L169*(ROUNDUP(I169/GiaDinh!$C$5-0.0005,0)-1)</f>
        <v>2</v>
      </c>
      <c r="P169" s="7">
        <f t="shared" si="15"/>
        <v>13</v>
      </c>
      <c r="Q169" s="7">
        <f t="shared" si="16"/>
        <v>26</v>
      </c>
      <c r="R169" s="7">
        <f t="shared" si="17"/>
        <v>13</v>
      </c>
      <c r="S169" s="13">
        <f>M169*GiaDinh!$C$7</f>
        <v>45.15</v>
      </c>
    </row>
    <row r="170" spans="1:19" ht="46.5" x14ac:dyDescent="0.35">
      <c r="A170" s="7" t="s">
        <v>9</v>
      </c>
      <c r="B170" s="7">
        <v>17</v>
      </c>
      <c r="C170" s="7" t="s">
        <v>179</v>
      </c>
      <c r="D170" s="7" t="s">
        <v>328</v>
      </c>
      <c r="E170" s="7">
        <v>1</v>
      </c>
      <c r="F170" s="7">
        <v>94.6</v>
      </c>
      <c r="G170" s="12">
        <f>E170*F170*GiaDinh!$C$18*GiaDinh!$C$17</f>
        <v>79.463999999999999</v>
      </c>
      <c r="H170" s="7">
        <f>GiaDinh!$C$21</f>
        <v>1.2250000000000001</v>
      </c>
      <c r="I170" s="7">
        <f>GiaDinh!$C$15</f>
        <v>15</v>
      </c>
      <c r="J170" s="7">
        <f t="shared" si="12"/>
        <v>13</v>
      </c>
      <c r="K170" s="12">
        <f>J170*GiaDinh!$C$16</f>
        <v>91</v>
      </c>
      <c r="L170" s="7">
        <f t="shared" si="13"/>
        <v>1</v>
      </c>
      <c r="M170" s="12">
        <f t="shared" si="14"/>
        <v>15</v>
      </c>
      <c r="N170" s="7">
        <f>L170*ROUNDUP(I170/GiaDinh!$C$5-0.0005,0)</f>
        <v>3</v>
      </c>
      <c r="O170" s="7">
        <f>L170*(ROUNDUP(I170/GiaDinh!$C$5-0.0005,0)-1)</f>
        <v>2</v>
      </c>
      <c r="P170" s="7">
        <f t="shared" si="15"/>
        <v>13</v>
      </c>
      <c r="Q170" s="7">
        <f t="shared" si="16"/>
        <v>26</v>
      </c>
      <c r="R170" s="7">
        <f t="shared" si="17"/>
        <v>13</v>
      </c>
      <c r="S170" s="13">
        <f>M170*GiaDinh!$C$7</f>
        <v>45.15</v>
      </c>
    </row>
    <row r="171" spans="1:19" ht="46.5" x14ac:dyDescent="0.35">
      <c r="A171" s="7" t="s">
        <v>9</v>
      </c>
      <c r="B171" s="7">
        <v>18</v>
      </c>
      <c r="C171" s="7" t="s">
        <v>179</v>
      </c>
      <c r="D171" s="7" t="s">
        <v>329</v>
      </c>
      <c r="E171" s="7">
        <v>1</v>
      </c>
      <c r="F171" s="7">
        <v>94.6</v>
      </c>
      <c r="G171" s="12">
        <f>E171*F171*GiaDinh!$C$18*GiaDinh!$C$17</f>
        <v>79.463999999999999</v>
      </c>
      <c r="H171" s="7">
        <f>GiaDinh!$C$21</f>
        <v>1.2250000000000001</v>
      </c>
      <c r="I171" s="7">
        <f>GiaDinh!$C$15</f>
        <v>15</v>
      </c>
      <c r="J171" s="7">
        <f t="shared" si="12"/>
        <v>13</v>
      </c>
      <c r="K171" s="12">
        <f>J171*GiaDinh!$C$16</f>
        <v>91</v>
      </c>
      <c r="L171" s="7">
        <f t="shared" si="13"/>
        <v>1</v>
      </c>
      <c r="M171" s="12">
        <f t="shared" si="14"/>
        <v>15</v>
      </c>
      <c r="N171" s="7">
        <f>L171*ROUNDUP(I171/GiaDinh!$C$5-0.0005,0)</f>
        <v>3</v>
      </c>
      <c r="O171" s="7">
        <f>L171*(ROUNDUP(I171/GiaDinh!$C$5-0.0005,0)-1)</f>
        <v>2</v>
      </c>
      <c r="P171" s="7">
        <f t="shared" si="15"/>
        <v>13</v>
      </c>
      <c r="Q171" s="7">
        <f t="shared" si="16"/>
        <v>26</v>
      </c>
      <c r="R171" s="7">
        <f t="shared" si="17"/>
        <v>13</v>
      </c>
      <c r="S171" s="13">
        <f>M171*GiaDinh!$C$7</f>
        <v>45.15</v>
      </c>
    </row>
    <row r="172" spans="1:19" ht="46.5" x14ac:dyDescent="0.35">
      <c r="A172" s="7" t="s">
        <v>9</v>
      </c>
      <c r="B172" s="7">
        <v>19</v>
      </c>
      <c r="C172" s="7" t="s">
        <v>179</v>
      </c>
      <c r="D172" s="7" t="s">
        <v>330</v>
      </c>
      <c r="E172" s="7">
        <v>1</v>
      </c>
      <c r="F172" s="7">
        <v>94.6</v>
      </c>
      <c r="G172" s="12">
        <f>E172*F172*GiaDinh!$C$18*GiaDinh!$C$17</f>
        <v>79.463999999999999</v>
      </c>
      <c r="H172" s="7">
        <f>GiaDinh!$C$21</f>
        <v>1.2250000000000001</v>
      </c>
      <c r="I172" s="7">
        <f>GiaDinh!$C$15</f>
        <v>15</v>
      </c>
      <c r="J172" s="7">
        <f t="shared" si="12"/>
        <v>13</v>
      </c>
      <c r="K172" s="12">
        <f>J172*GiaDinh!$C$16</f>
        <v>91</v>
      </c>
      <c r="L172" s="7">
        <f t="shared" si="13"/>
        <v>1</v>
      </c>
      <c r="M172" s="12">
        <f t="shared" si="14"/>
        <v>15</v>
      </c>
      <c r="N172" s="7">
        <f>L172*ROUNDUP(I172/GiaDinh!$C$5-0.0005,0)</f>
        <v>3</v>
      </c>
      <c r="O172" s="7">
        <f>L172*(ROUNDUP(I172/GiaDinh!$C$5-0.0005,0)-1)</f>
        <v>2</v>
      </c>
      <c r="P172" s="7">
        <f t="shared" si="15"/>
        <v>13</v>
      </c>
      <c r="Q172" s="7">
        <f t="shared" si="16"/>
        <v>26</v>
      </c>
      <c r="R172" s="7">
        <f t="shared" si="17"/>
        <v>13</v>
      </c>
      <c r="S172" s="13">
        <f>M172*GiaDinh!$C$7</f>
        <v>45.15</v>
      </c>
    </row>
    <row r="173" spans="1:19" ht="46.5" x14ac:dyDescent="0.35">
      <c r="A173" s="7" t="s">
        <v>9</v>
      </c>
      <c r="B173" s="7">
        <v>20</v>
      </c>
      <c r="C173" s="7" t="s">
        <v>179</v>
      </c>
      <c r="D173" s="7" t="s">
        <v>331</v>
      </c>
      <c r="E173" s="7">
        <v>1</v>
      </c>
      <c r="F173" s="7">
        <v>94.6</v>
      </c>
      <c r="G173" s="12">
        <f>E173*F173*GiaDinh!$C$18*GiaDinh!$C$17</f>
        <v>79.463999999999999</v>
      </c>
      <c r="H173" s="7">
        <f>GiaDinh!$C$21</f>
        <v>1.2250000000000001</v>
      </c>
      <c r="I173" s="7">
        <f>GiaDinh!$C$15</f>
        <v>15</v>
      </c>
      <c r="J173" s="7">
        <f t="shared" si="12"/>
        <v>13</v>
      </c>
      <c r="K173" s="12">
        <f>J173*GiaDinh!$C$16</f>
        <v>91</v>
      </c>
      <c r="L173" s="7">
        <f t="shared" si="13"/>
        <v>1</v>
      </c>
      <c r="M173" s="12">
        <f t="shared" si="14"/>
        <v>15</v>
      </c>
      <c r="N173" s="7">
        <f>L173*ROUNDUP(I173/GiaDinh!$C$5-0.0005,0)</f>
        <v>3</v>
      </c>
      <c r="O173" s="7">
        <f>L173*(ROUNDUP(I173/GiaDinh!$C$5-0.0005,0)-1)</f>
        <v>2</v>
      </c>
      <c r="P173" s="7">
        <f t="shared" si="15"/>
        <v>13</v>
      </c>
      <c r="Q173" s="7">
        <f t="shared" si="16"/>
        <v>26</v>
      </c>
      <c r="R173" s="7">
        <f t="shared" si="17"/>
        <v>13</v>
      </c>
      <c r="S173" s="13">
        <f>M173*GiaDinh!$C$7</f>
        <v>45.15</v>
      </c>
    </row>
    <row r="174" spans="1:19" ht="46.5" x14ac:dyDescent="0.35">
      <c r="A174" s="7" t="s">
        <v>9</v>
      </c>
      <c r="B174" s="7">
        <v>21</v>
      </c>
      <c r="C174" s="7" t="s">
        <v>179</v>
      </c>
      <c r="D174" s="7" t="s">
        <v>332</v>
      </c>
      <c r="E174" s="7">
        <v>1</v>
      </c>
      <c r="F174" s="7">
        <v>94.6</v>
      </c>
      <c r="G174" s="12">
        <f>E174*F174*GiaDinh!$C$18*GiaDinh!$C$17</f>
        <v>79.463999999999999</v>
      </c>
      <c r="H174" s="7">
        <f>GiaDinh!$C$21</f>
        <v>1.2250000000000001</v>
      </c>
      <c r="I174" s="7">
        <f>GiaDinh!$C$15</f>
        <v>15</v>
      </c>
      <c r="J174" s="7">
        <f t="shared" si="12"/>
        <v>13</v>
      </c>
      <c r="K174" s="12">
        <f>J174*GiaDinh!$C$16</f>
        <v>91</v>
      </c>
      <c r="L174" s="7">
        <f t="shared" si="13"/>
        <v>1</v>
      </c>
      <c r="M174" s="12">
        <f t="shared" si="14"/>
        <v>15</v>
      </c>
      <c r="N174" s="7">
        <f>L174*ROUNDUP(I174/GiaDinh!$C$5-0.0005,0)</f>
        <v>3</v>
      </c>
      <c r="O174" s="7">
        <f>L174*(ROUNDUP(I174/GiaDinh!$C$5-0.0005,0)-1)</f>
        <v>2</v>
      </c>
      <c r="P174" s="7">
        <f t="shared" si="15"/>
        <v>13</v>
      </c>
      <c r="Q174" s="7">
        <f t="shared" si="16"/>
        <v>26</v>
      </c>
      <c r="R174" s="7">
        <f t="shared" si="17"/>
        <v>13</v>
      </c>
      <c r="S174" s="13">
        <f>M174*GiaDinh!$C$7</f>
        <v>45.15</v>
      </c>
    </row>
    <row r="175" spans="1:19" ht="46.5" x14ac:dyDescent="0.35">
      <c r="A175" s="7" t="s">
        <v>9</v>
      </c>
      <c r="B175" s="7">
        <v>22</v>
      </c>
      <c r="C175" s="7" t="s">
        <v>179</v>
      </c>
      <c r="D175" s="7" t="s">
        <v>333</v>
      </c>
      <c r="E175" s="7">
        <v>1</v>
      </c>
      <c r="F175" s="7">
        <v>94.6</v>
      </c>
      <c r="G175" s="12">
        <f>E175*F175*GiaDinh!$C$18*GiaDinh!$C$17</f>
        <v>79.463999999999999</v>
      </c>
      <c r="H175" s="7">
        <f>GiaDinh!$C$21</f>
        <v>1.2250000000000001</v>
      </c>
      <c r="I175" s="7">
        <f>GiaDinh!$C$15</f>
        <v>15</v>
      </c>
      <c r="J175" s="7">
        <f t="shared" si="12"/>
        <v>13</v>
      </c>
      <c r="K175" s="12">
        <f>J175*GiaDinh!$C$16</f>
        <v>91</v>
      </c>
      <c r="L175" s="7">
        <f t="shared" si="13"/>
        <v>1</v>
      </c>
      <c r="M175" s="12">
        <f t="shared" si="14"/>
        <v>15</v>
      </c>
      <c r="N175" s="7">
        <f>L175*ROUNDUP(I175/GiaDinh!$C$5-0.0005,0)</f>
        <v>3</v>
      </c>
      <c r="O175" s="7">
        <f>L175*(ROUNDUP(I175/GiaDinh!$C$5-0.0005,0)-1)</f>
        <v>2</v>
      </c>
      <c r="P175" s="7">
        <f t="shared" si="15"/>
        <v>13</v>
      </c>
      <c r="Q175" s="7">
        <f t="shared" si="16"/>
        <v>26</v>
      </c>
      <c r="R175" s="7">
        <f t="shared" si="17"/>
        <v>13</v>
      </c>
      <c r="S175" s="13">
        <f>M175*GiaDinh!$C$7</f>
        <v>45.15</v>
      </c>
    </row>
    <row r="176" spans="1:19" ht="46.5" x14ac:dyDescent="0.35">
      <c r="A176" s="7" t="s">
        <v>9</v>
      </c>
      <c r="B176" s="7">
        <v>23</v>
      </c>
      <c r="C176" s="7" t="s">
        <v>179</v>
      </c>
      <c r="D176" s="7" t="s">
        <v>334</v>
      </c>
      <c r="E176" s="7">
        <v>1</v>
      </c>
      <c r="F176" s="7">
        <v>94.6</v>
      </c>
      <c r="G176" s="12">
        <f>E176*F176*GiaDinh!$C$18*GiaDinh!$C$17</f>
        <v>79.463999999999999</v>
      </c>
      <c r="H176" s="7">
        <f>GiaDinh!$C$21</f>
        <v>1.2250000000000001</v>
      </c>
      <c r="I176" s="7">
        <f>GiaDinh!$C$15</f>
        <v>15</v>
      </c>
      <c r="J176" s="7">
        <f t="shared" si="12"/>
        <v>13</v>
      </c>
      <c r="K176" s="12">
        <f>J176*GiaDinh!$C$16</f>
        <v>91</v>
      </c>
      <c r="L176" s="7">
        <f t="shared" si="13"/>
        <v>1</v>
      </c>
      <c r="M176" s="12">
        <f t="shared" si="14"/>
        <v>15</v>
      </c>
      <c r="N176" s="7">
        <f>L176*ROUNDUP(I176/GiaDinh!$C$5-0.0005,0)</f>
        <v>3</v>
      </c>
      <c r="O176" s="7">
        <f>L176*(ROUNDUP(I176/GiaDinh!$C$5-0.0005,0)-1)</f>
        <v>2</v>
      </c>
      <c r="P176" s="7">
        <f t="shared" si="15"/>
        <v>13</v>
      </c>
      <c r="Q176" s="7">
        <f t="shared" si="16"/>
        <v>26</v>
      </c>
      <c r="R176" s="7">
        <f t="shared" si="17"/>
        <v>13</v>
      </c>
      <c r="S176" s="13">
        <f>M176*GiaDinh!$C$7</f>
        <v>45.15</v>
      </c>
    </row>
    <row r="177" spans="1:19" ht="46.5" x14ac:dyDescent="0.35">
      <c r="A177" s="7" t="s">
        <v>9</v>
      </c>
      <c r="B177" s="7">
        <v>24</v>
      </c>
      <c r="C177" s="7" t="s">
        <v>179</v>
      </c>
      <c r="D177" s="7" t="s">
        <v>335</v>
      </c>
      <c r="E177" s="7">
        <v>1</v>
      </c>
      <c r="F177" s="7">
        <v>94.6</v>
      </c>
      <c r="G177" s="12">
        <f>E177*F177*GiaDinh!$C$18*GiaDinh!$C$17</f>
        <v>79.463999999999999</v>
      </c>
      <c r="H177" s="7">
        <f>GiaDinh!$C$21</f>
        <v>1.2250000000000001</v>
      </c>
      <c r="I177" s="7">
        <f>GiaDinh!$C$15</f>
        <v>15</v>
      </c>
      <c r="J177" s="7">
        <f t="shared" si="12"/>
        <v>13</v>
      </c>
      <c r="K177" s="12">
        <f>J177*GiaDinh!$C$16</f>
        <v>91</v>
      </c>
      <c r="L177" s="7">
        <f t="shared" si="13"/>
        <v>1</v>
      </c>
      <c r="M177" s="12">
        <f t="shared" si="14"/>
        <v>15</v>
      </c>
      <c r="N177" s="7">
        <f>L177*ROUNDUP(I177/GiaDinh!$C$5-0.0005,0)</f>
        <v>3</v>
      </c>
      <c r="O177" s="7">
        <f>L177*(ROUNDUP(I177/GiaDinh!$C$5-0.0005,0)-1)</f>
        <v>2</v>
      </c>
      <c r="P177" s="7">
        <f t="shared" si="15"/>
        <v>13</v>
      </c>
      <c r="Q177" s="7">
        <f t="shared" si="16"/>
        <v>26</v>
      </c>
      <c r="R177" s="7">
        <f t="shared" si="17"/>
        <v>13</v>
      </c>
      <c r="S177" s="13">
        <f>M177*GiaDinh!$C$7</f>
        <v>45.15</v>
      </c>
    </row>
    <row r="178" spans="1:19" ht="46.5" x14ac:dyDescent="0.35">
      <c r="A178" s="7" t="s">
        <v>9</v>
      </c>
      <c r="B178" s="7">
        <v>25</v>
      </c>
      <c r="C178" s="7" t="s">
        <v>179</v>
      </c>
      <c r="D178" s="7" t="s">
        <v>336</v>
      </c>
      <c r="E178" s="7">
        <v>1</v>
      </c>
      <c r="F178" s="7">
        <v>94.6</v>
      </c>
      <c r="G178" s="12">
        <f>E178*F178*GiaDinh!$C$18*GiaDinh!$C$17</f>
        <v>79.463999999999999</v>
      </c>
      <c r="H178" s="7">
        <f>GiaDinh!$C$21</f>
        <v>1.2250000000000001</v>
      </c>
      <c r="I178" s="7">
        <f>GiaDinh!$C$15</f>
        <v>15</v>
      </c>
      <c r="J178" s="7">
        <f t="shared" si="12"/>
        <v>13</v>
      </c>
      <c r="K178" s="12">
        <f>J178*GiaDinh!$C$16</f>
        <v>91</v>
      </c>
      <c r="L178" s="7">
        <f t="shared" si="13"/>
        <v>1</v>
      </c>
      <c r="M178" s="12">
        <f t="shared" si="14"/>
        <v>15</v>
      </c>
      <c r="N178" s="7">
        <f>L178*ROUNDUP(I178/GiaDinh!$C$5-0.0005,0)</f>
        <v>3</v>
      </c>
      <c r="O178" s="7">
        <f>L178*(ROUNDUP(I178/GiaDinh!$C$5-0.0005,0)-1)</f>
        <v>2</v>
      </c>
      <c r="P178" s="7">
        <f t="shared" si="15"/>
        <v>13</v>
      </c>
      <c r="Q178" s="7">
        <f t="shared" si="16"/>
        <v>26</v>
      </c>
      <c r="R178" s="7">
        <f t="shared" si="17"/>
        <v>13</v>
      </c>
      <c r="S178" s="13">
        <f>M178*GiaDinh!$C$7</f>
        <v>45.15</v>
      </c>
    </row>
    <row r="179" spans="1:19" ht="46.5" x14ac:dyDescent="0.35">
      <c r="A179" s="7" t="s">
        <v>9</v>
      </c>
      <c r="B179" s="7">
        <v>26</v>
      </c>
      <c r="C179" s="7" t="s">
        <v>179</v>
      </c>
      <c r="D179" s="7" t="s">
        <v>337</v>
      </c>
      <c r="E179" s="7">
        <v>1</v>
      </c>
      <c r="F179" s="7">
        <v>94.6</v>
      </c>
      <c r="G179" s="12">
        <f>E179*F179*GiaDinh!$C$18*GiaDinh!$C$17</f>
        <v>79.463999999999999</v>
      </c>
      <c r="H179" s="7">
        <f>GiaDinh!$C$21</f>
        <v>1.2250000000000001</v>
      </c>
      <c r="I179" s="7">
        <f>GiaDinh!$C$15</f>
        <v>15</v>
      </c>
      <c r="J179" s="7">
        <f t="shared" si="12"/>
        <v>13</v>
      </c>
      <c r="K179" s="12">
        <f>J179*GiaDinh!$C$16</f>
        <v>91</v>
      </c>
      <c r="L179" s="7">
        <f t="shared" si="13"/>
        <v>1</v>
      </c>
      <c r="M179" s="12">
        <f t="shared" si="14"/>
        <v>15</v>
      </c>
      <c r="N179" s="7">
        <f>L179*ROUNDUP(I179/GiaDinh!$C$5-0.0005,0)</f>
        <v>3</v>
      </c>
      <c r="O179" s="7">
        <f>L179*(ROUNDUP(I179/GiaDinh!$C$5-0.0005,0)-1)</f>
        <v>2</v>
      </c>
      <c r="P179" s="7">
        <f t="shared" si="15"/>
        <v>13</v>
      </c>
      <c r="Q179" s="7">
        <f t="shared" si="16"/>
        <v>26</v>
      </c>
      <c r="R179" s="7">
        <f t="shared" si="17"/>
        <v>13</v>
      </c>
      <c r="S179" s="13">
        <f>M179*GiaDinh!$C$7</f>
        <v>45.15</v>
      </c>
    </row>
    <row r="180" spans="1:19" ht="46.5" x14ac:dyDescent="0.35">
      <c r="A180" s="7" t="s">
        <v>9</v>
      </c>
      <c r="B180" s="7">
        <v>27</v>
      </c>
      <c r="C180" s="7" t="s">
        <v>179</v>
      </c>
      <c r="D180" s="7" t="s">
        <v>338</v>
      </c>
      <c r="E180" s="7">
        <v>1</v>
      </c>
      <c r="F180" s="7">
        <v>94.6</v>
      </c>
      <c r="G180" s="12">
        <f>E180*F180*GiaDinh!$C$18*GiaDinh!$C$17</f>
        <v>79.463999999999999</v>
      </c>
      <c r="H180" s="7">
        <f>GiaDinh!$C$21</f>
        <v>1.2250000000000001</v>
      </c>
      <c r="I180" s="7">
        <f>GiaDinh!$C$15</f>
        <v>15</v>
      </c>
      <c r="J180" s="7">
        <f t="shared" si="12"/>
        <v>13</v>
      </c>
      <c r="K180" s="12">
        <f>J180*GiaDinh!$C$16</f>
        <v>91</v>
      </c>
      <c r="L180" s="7">
        <f t="shared" si="13"/>
        <v>1</v>
      </c>
      <c r="M180" s="12">
        <f t="shared" si="14"/>
        <v>15</v>
      </c>
      <c r="N180" s="7">
        <f>L180*ROUNDUP(I180/GiaDinh!$C$5-0.0005,0)</f>
        <v>3</v>
      </c>
      <c r="O180" s="7">
        <f>L180*(ROUNDUP(I180/GiaDinh!$C$5-0.0005,0)-1)</f>
        <v>2</v>
      </c>
      <c r="P180" s="7">
        <f t="shared" si="15"/>
        <v>13</v>
      </c>
      <c r="Q180" s="7">
        <f t="shared" si="16"/>
        <v>26</v>
      </c>
      <c r="R180" s="7">
        <f t="shared" si="17"/>
        <v>13</v>
      </c>
      <c r="S180" s="13">
        <f>M180*GiaDinh!$C$7</f>
        <v>45.15</v>
      </c>
    </row>
    <row r="181" spans="1:19" ht="46.5" x14ac:dyDescent="0.35">
      <c r="A181" s="7" t="s">
        <v>9</v>
      </c>
      <c r="B181" s="7">
        <v>28</v>
      </c>
      <c r="C181" s="7" t="s">
        <v>179</v>
      </c>
      <c r="D181" s="7" t="s">
        <v>339</v>
      </c>
      <c r="E181" s="7">
        <v>1</v>
      </c>
      <c r="F181" s="7">
        <v>94.6</v>
      </c>
      <c r="G181" s="12">
        <f>E181*F181*GiaDinh!$C$18*GiaDinh!$C$17</f>
        <v>79.463999999999999</v>
      </c>
      <c r="H181" s="7">
        <f>GiaDinh!$C$21</f>
        <v>1.2250000000000001</v>
      </c>
      <c r="I181" s="7">
        <f>GiaDinh!$C$15</f>
        <v>15</v>
      </c>
      <c r="J181" s="7">
        <f t="shared" si="12"/>
        <v>13</v>
      </c>
      <c r="K181" s="12">
        <f>J181*GiaDinh!$C$16</f>
        <v>91</v>
      </c>
      <c r="L181" s="7">
        <f t="shared" si="13"/>
        <v>1</v>
      </c>
      <c r="M181" s="12">
        <f t="shared" si="14"/>
        <v>15</v>
      </c>
      <c r="N181" s="7">
        <f>L181*ROUNDUP(I181/GiaDinh!$C$5-0.0005,0)</f>
        <v>3</v>
      </c>
      <c r="O181" s="7">
        <f>L181*(ROUNDUP(I181/GiaDinh!$C$5-0.0005,0)-1)</f>
        <v>2</v>
      </c>
      <c r="P181" s="7">
        <f t="shared" si="15"/>
        <v>13</v>
      </c>
      <c r="Q181" s="7">
        <f t="shared" si="16"/>
        <v>26</v>
      </c>
      <c r="R181" s="7">
        <f t="shared" si="17"/>
        <v>13</v>
      </c>
      <c r="S181" s="13">
        <f>M181*GiaDinh!$C$7</f>
        <v>45.15</v>
      </c>
    </row>
    <row r="182" spans="1:19" ht="46.5" x14ac:dyDescent="0.35">
      <c r="A182" s="7" t="s">
        <v>9</v>
      </c>
      <c r="B182" s="7">
        <v>29</v>
      </c>
      <c r="C182" s="7" t="s">
        <v>179</v>
      </c>
      <c r="D182" s="7" t="s">
        <v>340</v>
      </c>
      <c r="E182" s="7">
        <v>1</v>
      </c>
      <c r="F182" s="7">
        <v>94.6</v>
      </c>
      <c r="G182" s="12">
        <f>E182*F182*GiaDinh!$C$18*GiaDinh!$C$17</f>
        <v>79.463999999999999</v>
      </c>
      <c r="H182" s="7">
        <f>GiaDinh!$C$21</f>
        <v>1.2250000000000001</v>
      </c>
      <c r="I182" s="7">
        <f>GiaDinh!$C$15</f>
        <v>15</v>
      </c>
      <c r="J182" s="7">
        <f t="shared" si="12"/>
        <v>13</v>
      </c>
      <c r="K182" s="12">
        <f>J182*GiaDinh!$C$16</f>
        <v>91</v>
      </c>
      <c r="L182" s="7">
        <f t="shared" si="13"/>
        <v>1</v>
      </c>
      <c r="M182" s="12">
        <f t="shared" si="14"/>
        <v>15</v>
      </c>
      <c r="N182" s="7">
        <f>L182*ROUNDUP(I182/GiaDinh!$C$5-0.0005,0)</f>
        <v>3</v>
      </c>
      <c r="O182" s="7">
        <f>L182*(ROUNDUP(I182/GiaDinh!$C$5-0.0005,0)-1)</f>
        <v>2</v>
      </c>
      <c r="P182" s="7">
        <f t="shared" si="15"/>
        <v>13</v>
      </c>
      <c r="Q182" s="7">
        <f t="shared" si="16"/>
        <v>26</v>
      </c>
      <c r="R182" s="7">
        <f t="shared" si="17"/>
        <v>13</v>
      </c>
      <c r="S182" s="13">
        <f>M182*GiaDinh!$C$7</f>
        <v>45.15</v>
      </c>
    </row>
    <row r="183" spans="1:19" ht="46.5" x14ac:dyDescent="0.35">
      <c r="A183" s="7" t="s">
        <v>9</v>
      </c>
      <c r="B183" s="7">
        <v>30</v>
      </c>
      <c r="C183" s="7" t="s">
        <v>179</v>
      </c>
      <c r="D183" s="7" t="s">
        <v>341</v>
      </c>
      <c r="E183" s="7">
        <v>1</v>
      </c>
      <c r="F183" s="7">
        <v>94.6</v>
      </c>
      <c r="G183" s="12">
        <f>E183*F183*GiaDinh!$C$18*GiaDinh!$C$17</f>
        <v>79.463999999999999</v>
      </c>
      <c r="H183" s="7">
        <f>GiaDinh!$C$21</f>
        <v>1.2250000000000001</v>
      </c>
      <c r="I183" s="7">
        <f>GiaDinh!$C$15</f>
        <v>15</v>
      </c>
      <c r="J183" s="7">
        <f t="shared" si="12"/>
        <v>13</v>
      </c>
      <c r="K183" s="12">
        <f>J183*GiaDinh!$C$16</f>
        <v>91</v>
      </c>
      <c r="L183" s="7">
        <f t="shared" si="13"/>
        <v>1</v>
      </c>
      <c r="M183" s="12">
        <f t="shared" si="14"/>
        <v>15</v>
      </c>
      <c r="N183" s="7">
        <f>L183*ROUNDUP(I183/GiaDinh!$C$5-0.0005,0)</f>
        <v>3</v>
      </c>
      <c r="O183" s="7">
        <f>L183*(ROUNDUP(I183/GiaDinh!$C$5-0.0005,0)-1)</f>
        <v>2</v>
      </c>
      <c r="P183" s="7">
        <f t="shared" si="15"/>
        <v>13</v>
      </c>
      <c r="Q183" s="7">
        <f t="shared" si="16"/>
        <v>26</v>
      </c>
      <c r="R183" s="7">
        <f t="shared" si="17"/>
        <v>13</v>
      </c>
      <c r="S183" s="13">
        <f>M183*GiaDinh!$C$7</f>
        <v>45.15</v>
      </c>
    </row>
    <row r="184" spans="1:19" ht="46.5" x14ac:dyDescent="0.35">
      <c r="A184" s="7" t="s">
        <v>9</v>
      </c>
      <c r="B184" s="7">
        <v>31</v>
      </c>
      <c r="C184" s="7" t="s">
        <v>179</v>
      </c>
      <c r="D184" s="7" t="s">
        <v>342</v>
      </c>
      <c r="E184" s="7">
        <v>1</v>
      </c>
      <c r="F184" s="7">
        <v>94.6</v>
      </c>
      <c r="G184" s="12">
        <f>E184*F184*GiaDinh!$C$18*GiaDinh!$C$17</f>
        <v>79.463999999999999</v>
      </c>
      <c r="H184" s="7">
        <f>GiaDinh!$C$21</f>
        <v>1.2250000000000001</v>
      </c>
      <c r="I184" s="7">
        <f>GiaDinh!$C$15</f>
        <v>15</v>
      </c>
      <c r="J184" s="7">
        <f t="shared" si="12"/>
        <v>13</v>
      </c>
      <c r="K184" s="12">
        <f>J184*GiaDinh!$C$16</f>
        <v>91</v>
      </c>
      <c r="L184" s="7">
        <f t="shared" si="13"/>
        <v>1</v>
      </c>
      <c r="M184" s="12">
        <f t="shared" si="14"/>
        <v>15</v>
      </c>
      <c r="N184" s="7">
        <f>L184*ROUNDUP(I184/GiaDinh!$C$5-0.0005,0)</f>
        <v>3</v>
      </c>
      <c r="O184" s="7">
        <f>L184*(ROUNDUP(I184/GiaDinh!$C$5-0.0005,0)-1)</f>
        <v>2</v>
      </c>
      <c r="P184" s="7">
        <f t="shared" si="15"/>
        <v>13</v>
      </c>
      <c r="Q184" s="7">
        <f t="shared" si="16"/>
        <v>26</v>
      </c>
      <c r="R184" s="7">
        <f t="shared" si="17"/>
        <v>13</v>
      </c>
      <c r="S184" s="13">
        <f>M184*GiaDinh!$C$7</f>
        <v>45.15</v>
      </c>
    </row>
    <row r="185" spans="1:19" ht="46.5" x14ac:dyDescent="0.35">
      <c r="A185" s="7" t="s">
        <v>9</v>
      </c>
      <c r="B185" s="7">
        <v>32</v>
      </c>
      <c r="C185" s="7" t="s">
        <v>179</v>
      </c>
      <c r="D185" s="7" t="s">
        <v>343</v>
      </c>
      <c r="E185" s="7">
        <v>1</v>
      </c>
      <c r="F185" s="7">
        <v>94.6</v>
      </c>
      <c r="G185" s="12">
        <f>E185*F185*GiaDinh!$C$18*GiaDinh!$C$17</f>
        <v>79.463999999999999</v>
      </c>
      <c r="H185" s="7">
        <f>GiaDinh!$C$21</f>
        <v>1.2250000000000001</v>
      </c>
      <c r="I185" s="7">
        <f>GiaDinh!$C$15</f>
        <v>15</v>
      </c>
      <c r="J185" s="7">
        <f t="shared" si="12"/>
        <v>13</v>
      </c>
      <c r="K185" s="12">
        <f>J185*GiaDinh!$C$16</f>
        <v>91</v>
      </c>
      <c r="L185" s="7">
        <f t="shared" si="13"/>
        <v>1</v>
      </c>
      <c r="M185" s="12">
        <f t="shared" si="14"/>
        <v>15</v>
      </c>
      <c r="N185" s="7">
        <f>L185*ROUNDUP(I185/GiaDinh!$C$5-0.0005,0)</f>
        <v>3</v>
      </c>
      <c r="O185" s="7">
        <f>L185*(ROUNDUP(I185/GiaDinh!$C$5-0.0005,0)-1)</f>
        <v>2</v>
      </c>
      <c r="P185" s="7">
        <f t="shared" si="15"/>
        <v>13</v>
      </c>
      <c r="Q185" s="7">
        <f t="shared" si="16"/>
        <v>26</v>
      </c>
      <c r="R185" s="7">
        <f t="shared" si="17"/>
        <v>13</v>
      </c>
      <c r="S185" s="13">
        <f>M185*GiaDinh!$C$7</f>
        <v>45.15</v>
      </c>
    </row>
    <row r="186" spans="1:19" ht="46.5" x14ac:dyDescent="0.35">
      <c r="A186" s="7" t="s">
        <v>9</v>
      </c>
      <c r="B186" s="7">
        <v>33</v>
      </c>
      <c r="C186" s="7" t="s">
        <v>179</v>
      </c>
      <c r="D186" s="7" t="s">
        <v>344</v>
      </c>
      <c r="E186" s="7">
        <v>1</v>
      </c>
      <c r="F186" s="7">
        <v>94.6</v>
      </c>
      <c r="G186" s="12">
        <f>E186*F186*GiaDinh!$C$18*GiaDinh!$C$17</f>
        <v>79.463999999999999</v>
      </c>
      <c r="H186" s="7">
        <f>GiaDinh!$C$21</f>
        <v>1.2250000000000001</v>
      </c>
      <c r="I186" s="7">
        <f>GiaDinh!$C$15</f>
        <v>15</v>
      </c>
      <c r="J186" s="7">
        <f t="shared" si="12"/>
        <v>13</v>
      </c>
      <c r="K186" s="12">
        <f>J186*GiaDinh!$C$16</f>
        <v>91</v>
      </c>
      <c r="L186" s="7">
        <f t="shared" si="13"/>
        <v>1</v>
      </c>
      <c r="M186" s="12">
        <f t="shared" si="14"/>
        <v>15</v>
      </c>
      <c r="N186" s="7">
        <f>L186*ROUNDUP(I186/GiaDinh!$C$5-0.0005,0)</f>
        <v>3</v>
      </c>
      <c r="O186" s="7">
        <f>L186*(ROUNDUP(I186/GiaDinh!$C$5-0.0005,0)-1)</f>
        <v>2</v>
      </c>
      <c r="P186" s="7">
        <f t="shared" si="15"/>
        <v>13</v>
      </c>
      <c r="Q186" s="7">
        <f t="shared" si="16"/>
        <v>26</v>
      </c>
      <c r="R186" s="7">
        <f t="shared" si="17"/>
        <v>13</v>
      </c>
      <c r="S186" s="13">
        <f>M186*GiaDinh!$C$7</f>
        <v>45.15</v>
      </c>
    </row>
    <row r="187" spans="1:19" ht="46.5" x14ac:dyDescent="0.35">
      <c r="A187" s="7" t="s">
        <v>9</v>
      </c>
      <c r="B187" s="7">
        <v>34</v>
      </c>
      <c r="C187" s="7" t="s">
        <v>179</v>
      </c>
      <c r="D187" s="7" t="s">
        <v>345</v>
      </c>
      <c r="E187" s="7">
        <v>1</v>
      </c>
      <c r="F187" s="7">
        <v>94.6</v>
      </c>
      <c r="G187" s="12">
        <f>E187*F187*GiaDinh!$C$18*GiaDinh!$C$17</f>
        <v>79.463999999999999</v>
      </c>
      <c r="H187" s="7">
        <f>GiaDinh!$C$21</f>
        <v>1.2250000000000001</v>
      </c>
      <c r="I187" s="7">
        <f>GiaDinh!$C$15</f>
        <v>15</v>
      </c>
      <c r="J187" s="7">
        <f t="shared" si="12"/>
        <v>13</v>
      </c>
      <c r="K187" s="12">
        <f>J187*GiaDinh!$C$16</f>
        <v>91</v>
      </c>
      <c r="L187" s="7">
        <f t="shared" si="13"/>
        <v>1</v>
      </c>
      <c r="M187" s="12">
        <f t="shared" si="14"/>
        <v>15</v>
      </c>
      <c r="N187" s="7">
        <f>L187*ROUNDUP(I187/GiaDinh!$C$5-0.0005,0)</f>
        <v>3</v>
      </c>
      <c r="O187" s="7">
        <f>L187*(ROUNDUP(I187/GiaDinh!$C$5-0.0005,0)-1)</f>
        <v>2</v>
      </c>
      <c r="P187" s="7">
        <f t="shared" si="15"/>
        <v>13</v>
      </c>
      <c r="Q187" s="7">
        <f t="shared" si="16"/>
        <v>26</v>
      </c>
      <c r="R187" s="7">
        <f t="shared" si="17"/>
        <v>13</v>
      </c>
      <c r="S187" s="13">
        <f>M187*GiaDinh!$C$7</f>
        <v>45.15</v>
      </c>
    </row>
    <row r="188" spans="1:19" ht="46.5" x14ac:dyDescent="0.35">
      <c r="A188" s="7" t="s">
        <v>9</v>
      </c>
      <c r="B188" s="7">
        <v>35</v>
      </c>
      <c r="C188" s="7" t="s">
        <v>179</v>
      </c>
      <c r="D188" s="7" t="s">
        <v>346</v>
      </c>
      <c r="E188" s="7">
        <v>1</v>
      </c>
      <c r="F188" s="7">
        <v>94.6</v>
      </c>
      <c r="G188" s="12">
        <f>E188*F188*GiaDinh!$C$18*GiaDinh!$C$17</f>
        <v>79.463999999999999</v>
      </c>
      <c r="H188" s="7">
        <f>GiaDinh!$C$21</f>
        <v>1.2250000000000001</v>
      </c>
      <c r="I188" s="7">
        <f>GiaDinh!$C$15</f>
        <v>15</v>
      </c>
      <c r="J188" s="7">
        <f t="shared" si="12"/>
        <v>13</v>
      </c>
      <c r="K188" s="12">
        <f>J188*GiaDinh!$C$16</f>
        <v>91</v>
      </c>
      <c r="L188" s="7">
        <f t="shared" si="13"/>
        <v>1</v>
      </c>
      <c r="M188" s="12">
        <f t="shared" si="14"/>
        <v>15</v>
      </c>
      <c r="N188" s="7">
        <f>L188*ROUNDUP(I188/GiaDinh!$C$5-0.0005,0)</f>
        <v>3</v>
      </c>
      <c r="O188" s="7">
        <f>L188*(ROUNDUP(I188/GiaDinh!$C$5-0.0005,0)-1)</f>
        <v>2</v>
      </c>
      <c r="P188" s="7">
        <f t="shared" si="15"/>
        <v>13</v>
      </c>
      <c r="Q188" s="7">
        <f t="shared" si="16"/>
        <v>26</v>
      </c>
      <c r="R188" s="7">
        <f t="shared" si="17"/>
        <v>13</v>
      </c>
      <c r="S188" s="13">
        <f>M188*GiaDinh!$C$7</f>
        <v>45.15</v>
      </c>
    </row>
    <row r="189" spans="1:19" ht="46.5" x14ac:dyDescent="0.35">
      <c r="A189" s="7" t="s">
        <v>9</v>
      </c>
      <c r="B189" s="7">
        <v>36</v>
      </c>
      <c r="C189" s="7" t="s">
        <v>179</v>
      </c>
      <c r="D189" s="7" t="s">
        <v>347</v>
      </c>
      <c r="E189" s="7">
        <v>1</v>
      </c>
      <c r="F189" s="7">
        <v>94.6</v>
      </c>
      <c r="G189" s="12">
        <f>E189*F189*GiaDinh!$C$18*GiaDinh!$C$17</f>
        <v>79.463999999999999</v>
      </c>
      <c r="H189" s="7">
        <f>GiaDinh!$C$21</f>
        <v>1.2250000000000001</v>
      </c>
      <c r="I189" s="7">
        <f>GiaDinh!$C$15</f>
        <v>15</v>
      </c>
      <c r="J189" s="7">
        <f t="shared" si="12"/>
        <v>13</v>
      </c>
      <c r="K189" s="12">
        <f>J189*GiaDinh!$C$16</f>
        <v>91</v>
      </c>
      <c r="L189" s="7">
        <f t="shared" si="13"/>
        <v>1</v>
      </c>
      <c r="M189" s="12">
        <f t="shared" si="14"/>
        <v>15</v>
      </c>
      <c r="N189" s="7">
        <f>L189*ROUNDUP(I189/GiaDinh!$C$5-0.0005,0)</f>
        <v>3</v>
      </c>
      <c r="O189" s="7">
        <f>L189*(ROUNDUP(I189/GiaDinh!$C$5-0.0005,0)-1)</f>
        <v>2</v>
      </c>
      <c r="P189" s="7">
        <f t="shared" si="15"/>
        <v>13</v>
      </c>
      <c r="Q189" s="7">
        <f t="shared" si="16"/>
        <v>26</v>
      </c>
      <c r="R189" s="7">
        <f t="shared" si="17"/>
        <v>13</v>
      </c>
      <c r="S189" s="13">
        <f>M189*GiaDinh!$C$7</f>
        <v>45.15</v>
      </c>
    </row>
    <row r="190" spans="1:19" ht="46.5" x14ac:dyDescent="0.35">
      <c r="A190" s="7" t="s">
        <v>9</v>
      </c>
      <c r="B190" s="7">
        <v>37</v>
      </c>
      <c r="C190" s="7" t="s">
        <v>179</v>
      </c>
      <c r="D190" s="7" t="s">
        <v>348</v>
      </c>
      <c r="E190" s="7">
        <v>1</v>
      </c>
      <c r="F190" s="7">
        <v>94.6</v>
      </c>
      <c r="G190" s="12">
        <f>E190*F190*GiaDinh!$C$18*GiaDinh!$C$17</f>
        <v>79.463999999999999</v>
      </c>
      <c r="H190" s="7">
        <f>GiaDinh!$C$21</f>
        <v>1.2250000000000001</v>
      </c>
      <c r="I190" s="7">
        <f>GiaDinh!$C$15</f>
        <v>15</v>
      </c>
      <c r="J190" s="7">
        <f t="shared" si="12"/>
        <v>13</v>
      </c>
      <c r="K190" s="12">
        <f>J190*GiaDinh!$C$16</f>
        <v>91</v>
      </c>
      <c r="L190" s="7">
        <f t="shared" si="13"/>
        <v>1</v>
      </c>
      <c r="M190" s="12">
        <f t="shared" si="14"/>
        <v>15</v>
      </c>
      <c r="N190" s="7">
        <f>L190*ROUNDUP(I190/GiaDinh!$C$5-0.0005,0)</f>
        <v>3</v>
      </c>
      <c r="O190" s="7">
        <f>L190*(ROUNDUP(I190/GiaDinh!$C$5-0.0005,0)-1)</f>
        <v>2</v>
      </c>
      <c r="P190" s="7">
        <f t="shared" si="15"/>
        <v>13</v>
      </c>
      <c r="Q190" s="7">
        <f t="shared" si="16"/>
        <v>26</v>
      </c>
      <c r="R190" s="7">
        <f t="shared" si="17"/>
        <v>13</v>
      </c>
      <c r="S190" s="13">
        <f>M190*GiaDinh!$C$7</f>
        <v>45.15</v>
      </c>
    </row>
    <row r="191" spans="1:19" ht="46.5" x14ac:dyDescent="0.35">
      <c r="A191" s="7" t="s">
        <v>9</v>
      </c>
      <c r="B191" s="7">
        <v>38</v>
      </c>
      <c r="C191" s="7" t="s">
        <v>179</v>
      </c>
      <c r="D191" s="7" t="s">
        <v>349</v>
      </c>
      <c r="E191" s="7">
        <v>1</v>
      </c>
      <c r="F191" s="7">
        <v>94.6</v>
      </c>
      <c r="G191" s="12">
        <f>E191*F191*GiaDinh!$C$18*GiaDinh!$C$17</f>
        <v>79.463999999999999</v>
      </c>
      <c r="H191" s="7">
        <f>GiaDinh!$C$21</f>
        <v>1.2250000000000001</v>
      </c>
      <c r="I191" s="7">
        <f>GiaDinh!$C$15</f>
        <v>15</v>
      </c>
      <c r="J191" s="7">
        <f t="shared" si="12"/>
        <v>13</v>
      </c>
      <c r="K191" s="12">
        <f>J191*GiaDinh!$C$16</f>
        <v>91</v>
      </c>
      <c r="L191" s="7">
        <f t="shared" si="13"/>
        <v>1</v>
      </c>
      <c r="M191" s="12">
        <f t="shared" si="14"/>
        <v>15</v>
      </c>
      <c r="N191" s="7">
        <f>L191*ROUNDUP(I191/GiaDinh!$C$5-0.0005,0)</f>
        <v>3</v>
      </c>
      <c r="O191" s="7">
        <f>L191*(ROUNDUP(I191/GiaDinh!$C$5-0.0005,0)-1)</f>
        <v>2</v>
      </c>
      <c r="P191" s="7">
        <f t="shared" si="15"/>
        <v>13</v>
      </c>
      <c r="Q191" s="7">
        <f t="shared" si="16"/>
        <v>26</v>
      </c>
      <c r="R191" s="7">
        <f t="shared" si="17"/>
        <v>13</v>
      </c>
      <c r="S191" s="13">
        <f>M191*GiaDinh!$C$7</f>
        <v>45.15</v>
      </c>
    </row>
    <row r="192" spans="1:19" ht="46.5" x14ac:dyDescent="0.35">
      <c r="A192" s="7" t="s">
        <v>9</v>
      </c>
      <c r="B192" s="7">
        <v>39</v>
      </c>
      <c r="C192" s="7" t="s">
        <v>179</v>
      </c>
      <c r="D192" s="7" t="s">
        <v>350</v>
      </c>
      <c r="E192" s="7">
        <v>1</v>
      </c>
      <c r="F192" s="7">
        <v>94.6</v>
      </c>
      <c r="G192" s="12">
        <f>E192*F192*GiaDinh!$C$18*GiaDinh!$C$17</f>
        <v>79.463999999999999</v>
      </c>
      <c r="H192" s="7">
        <f>GiaDinh!$C$21</f>
        <v>1.2250000000000001</v>
      </c>
      <c r="I192" s="7">
        <f>GiaDinh!$C$15</f>
        <v>15</v>
      </c>
      <c r="J192" s="7">
        <f t="shared" si="12"/>
        <v>13</v>
      </c>
      <c r="K192" s="12">
        <f>J192*GiaDinh!$C$16</f>
        <v>91</v>
      </c>
      <c r="L192" s="7">
        <f t="shared" si="13"/>
        <v>1</v>
      </c>
      <c r="M192" s="12">
        <f t="shared" si="14"/>
        <v>15</v>
      </c>
      <c r="N192" s="7">
        <f>L192*ROUNDUP(I192/GiaDinh!$C$5-0.0005,0)</f>
        <v>3</v>
      </c>
      <c r="O192" s="7">
        <f>L192*(ROUNDUP(I192/GiaDinh!$C$5-0.0005,0)-1)</f>
        <v>2</v>
      </c>
      <c r="P192" s="7">
        <f t="shared" si="15"/>
        <v>13</v>
      </c>
      <c r="Q192" s="7">
        <f t="shared" si="16"/>
        <v>26</v>
      </c>
      <c r="R192" s="7">
        <f t="shared" si="17"/>
        <v>13</v>
      </c>
      <c r="S192" s="13">
        <f>M192*GiaDinh!$C$7</f>
        <v>45.15</v>
      </c>
    </row>
    <row r="193" spans="1:19" ht="46.5" x14ac:dyDescent="0.35">
      <c r="A193" s="7" t="s">
        <v>9</v>
      </c>
      <c r="B193" s="7">
        <v>40</v>
      </c>
      <c r="C193" s="7" t="s">
        <v>179</v>
      </c>
      <c r="D193" s="7" t="s">
        <v>351</v>
      </c>
      <c r="E193" s="7">
        <v>1</v>
      </c>
      <c r="F193" s="7">
        <v>94.6</v>
      </c>
      <c r="G193" s="12">
        <f>E193*F193*GiaDinh!$C$18*GiaDinh!$C$17</f>
        <v>79.463999999999999</v>
      </c>
      <c r="H193" s="7">
        <f>GiaDinh!$C$21</f>
        <v>1.2250000000000001</v>
      </c>
      <c r="I193" s="7">
        <f>GiaDinh!$C$15</f>
        <v>15</v>
      </c>
      <c r="J193" s="7">
        <f t="shared" si="12"/>
        <v>13</v>
      </c>
      <c r="K193" s="12">
        <f>J193*GiaDinh!$C$16</f>
        <v>91</v>
      </c>
      <c r="L193" s="7">
        <f t="shared" si="13"/>
        <v>1</v>
      </c>
      <c r="M193" s="12">
        <f t="shared" si="14"/>
        <v>15</v>
      </c>
      <c r="N193" s="7">
        <f>L193*ROUNDUP(I193/GiaDinh!$C$5-0.0005,0)</f>
        <v>3</v>
      </c>
      <c r="O193" s="7">
        <f>L193*(ROUNDUP(I193/GiaDinh!$C$5-0.0005,0)-1)</f>
        <v>2</v>
      </c>
      <c r="P193" s="7">
        <f t="shared" si="15"/>
        <v>13</v>
      </c>
      <c r="Q193" s="7">
        <f t="shared" si="16"/>
        <v>26</v>
      </c>
      <c r="R193" s="7">
        <f t="shared" si="17"/>
        <v>13</v>
      </c>
      <c r="S193" s="13">
        <f>M193*GiaDinh!$C$7</f>
        <v>45.15</v>
      </c>
    </row>
    <row r="194" spans="1:19" ht="46.5" x14ac:dyDescent="0.35">
      <c r="A194" s="7" t="s">
        <v>9</v>
      </c>
      <c r="B194" s="7">
        <v>41</v>
      </c>
      <c r="C194" s="7" t="s">
        <v>179</v>
      </c>
      <c r="D194" s="7" t="s">
        <v>352</v>
      </c>
      <c r="E194" s="7">
        <v>1</v>
      </c>
      <c r="F194" s="7">
        <v>94.6</v>
      </c>
      <c r="G194" s="12">
        <f>E194*F194*GiaDinh!$C$18*GiaDinh!$C$17</f>
        <v>79.463999999999999</v>
      </c>
      <c r="H194" s="7">
        <f>GiaDinh!$C$21</f>
        <v>1.2250000000000001</v>
      </c>
      <c r="I194" s="7">
        <f>GiaDinh!$C$15</f>
        <v>15</v>
      </c>
      <c r="J194" s="7">
        <f t="shared" si="12"/>
        <v>13</v>
      </c>
      <c r="K194" s="12">
        <f>J194*GiaDinh!$C$16</f>
        <v>91</v>
      </c>
      <c r="L194" s="7">
        <f t="shared" si="13"/>
        <v>1</v>
      </c>
      <c r="M194" s="12">
        <f t="shared" si="14"/>
        <v>15</v>
      </c>
      <c r="N194" s="7">
        <f>L194*ROUNDUP(I194/GiaDinh!$C$5-0.0005,0)</f>
        <v>3</v>
      </c>
      <c r="O194" s="7">
        <f>L194*(ROUNDUP(I194/GiaDinh!$C$5-0.0005,0)-1)</f>
        <v>2</v>
      </c>
      <c r="P194" s="7">
        <f t="shared" si="15"/>
        <v>13</v>
      </c>
      <c r="Q194" s="7">
        <f t="shared" si="16"/>
        <v>26</v>
      </c>
      <c r="R194" s="7">
        <f t="shared" si="17"/>
        <v>13</v>
      </c>
      <c r="S194" s="13">
        <f>M194*GiaDinh!$C$7</f>
        <v>45.15</v>
      </c>
    </row>
    <row r="195" spans="1:19" ht="46.5" x14ac:dyDescent="0.35">
      <c r="A195" s="7" t="s">
        <v>9</v>
      </c>
      <c r="B195" s="7">
        <v>42</v>
      </c>
      <c r="C195" s="7" t="s">
        <v>179</v>
      </c>
      <c r="D195" s="7" t="s">
        <v>353</v>
      </c>
      <c r="E195" s="7">
        <v>1</v>
      </c>
      <c r="F195" s="7">
        <v>94.6</v>
      </c>
      <c r="G195" s="12">
        <f>E195*F195*GiaDinh!$C$18*GiaDinh!$C$17</f>
        <v>79.463999999999999</v>
      </c>
      <c r="H195" s="7">
        <f>GiaDinh!$C$21</f>
        <v>1.2250000000000001</v>
      </c>
      <c r="I195" s="7">
        <f>GiaDinh!$C$15</f>
        <v>15</v>
      </c>
      <c r="J195" s="7">
        <f t="shared" si="12"/>
        <v>13</v>
      </c>
      <c r="K195" s="12">
        <f>J195*GiaDinh!$C$16</f>
        <v>91</v>
      </c>
      <c r="L195" s="7">
        <f t="shared" si="13"/>
        <v>1</v>
      </c>
      <c r="M195" s="12">
        <f t="shared" si="14"/>
        <v>15</v>
      </c>
      <c r="N195" s="7">
        <f>L195*ROUNDUP(I195/GiaDinh!$C$5-0.0005,0)</f>
        <v>3</v>
      </c>
      <c r="O195" s="7">
        <f>L195*(ROUNDUP(I195/GiaDinh!$C$5-0.0005,0)-1)</f>
        <v>2</v>
      </c>
      <c r="P195" s="7">
        <f t="shared" si="15"/>
        <v>13</v>
      </c>
      <c r="Q195" s="7">
        <f t="shared" si="16"/>
        <v>26</v>
      </c>
      <c r="R195" s="7">
        <f t="shared" si="17"/>
        <v>13</v>
      </c>
      <c r="S195" s="13">
        <f>M195*GiaDinh!$C$7</f>
        <v>45.15</v>
      </c>
    </row>
    <row r="196" spans="1:19" ht="46.5" x14ac:dyDescent="0.35">
      <c r="A196" s="7" t="s">
        <v>9</v>
      </c>
      <c r="B196" s="7">
        <v>43</v>
      </c>
      <c r="C196" s="7" t="s">
        <v>179</v>
      </c>
      <c r="D196" s="7" t="s">
        <v>354</v>
      </c>
      <c r="E196" s="7">
        <v>1</v>
      </c>
      <c r="F196" s="7">
        <v>94.6</v>
      </c>
      <c r="G196" s="12">
        <f>E196*F196*GiaDinh!$C$18*GiaDinh!$C$17</f>
        <v>79.463999999999999</v>
      </c>
      <c r="H196" s="7">
        <f>GiaDinh!$C$21</f>
        <v>1.2250000000000001</v>
      </c>
      <c r="I196" s="7">
        <f>GiaDinh!$C$15</f>
        <v>15</v>
      </c>
      <c r="J196" s="7">
        <f t="shared" ref="J196:J259" si="18">ROUNDDOWN(I196/H196,0)+1</f>
        <v>13</v>
      </c>
      <c r="K196" s="12">
        <f>J196*GiaDinh!$C$16</f>
        <v>91</v>
      </c>
      <c r="L196" s="7">
        <f t="shared" ref="L196:L259" si="19">MAX(1,ROUNDUP(G196/K196-0.0005,0))</f>
        <v>1</v>
      </c>
      <c r="M196" s="12">
        <f t="shared" ref="M196:M259" si="20">L196*I196</f>
        <v>15</v>
      </c>
      <c r="N196" s="7">
        <f>L196*ROUNDUP(I196/GiaDinh!$C$5-0.0005,0)</f>
        <v>3</v>
      </c>
      <c r="O196" s="7">
        <f>L196*(ROUNDUP(I196/GiaDinh!$C$5-0.0005,0)-1)</f>
        <v>2</v>
      </c>
      <c r="P196" s="7">
        <f t="shared" ref="P196:P259" si="21">L196*J196</f>
        <v>13</v>
      </c>
      <c r="Q196" s="7">
        <f t="shared" ref="Q196:Q259" si="22">2*P196</f>
        <v>26</v>
      </c>
      <c r="R196" s="7">
        <f t="shared" ref="R196:R259" si="23">P196</f>
        <v>13</v>
      </c>
      <c r="S196" s="13">
        <f>M196*GiaDinh!$C$7</f>
        <v>45.15</v>
      </c>
    </row>
    <row r="197" spans="1:19" ht="46.5" x14ac:dyDescent="0.35">
      <c r="A197" s="7" t="s">
        <v>9</v>
      </c>
      <c r="B197" s="7">
        <v>44</v>
      </c>
      <c r="C197" s="7" t="s">
        <v>179</v>
      </c>
      <c r="D197" s="7" t="s">
        <v>355</v>
      </c>
      <c r="E197" s="7">
        <v>1</v>
      </c>
      <c r="F197" s="7">
        <v>94.6</v>
      </c>
      <c r="G197" s="12">
        <f>E197*F197*GiaDinh!$C$18*GiaDinh!$C$17</f>
        <v>79.463999999999999</v>
      </c>
      <c r="H197" s="7">
        <f>GiaDinh!$C$21</f>
        <v>1.2250000000000001</v>
      </c>
      <c r="I197" s="7">
        <f>GiaDinh!$C$15</f>
        <v>15</v>
      </c>
      <c r="J197" s="7">
        <f t="shared" si="18"/>
        <v>13</v>
      </c>
      <c r="K197" s="12">
        <f>J197*GiaDinh!$C$16</f>
        <v>91</v>
      </c>
      <c r="L197" s="7">
        <f t="shared" si="19"/>
        <v>1</v>
      </c>
      <c r="M197" s="12">
        <f t="shared" si="20"/>
        <v>15</v>
      </c>
      <c r="N197" s="7">
        <f>L197*ROUNDUP(I197/GiaDinh!$C$5-0.0005,0)</f>
        <v>3</v>
      </c>
      <c r="O197" s="7">
        <f>L197*(ROUNDUP(I197/GiaDinh!$C$5-0.0005,0)-1)</f>
        <v>2</v>
      </c>
      <c r="P197" s="7">
        <f t="shared" si="21"/>
        <v>13</v>
      </c>
      <c r="Q197" s="7">
        <f t="shared" si="22"/>
        <v>26</v>
      </c>
      <c r="R197" s="7">
        <f t="shared" si="23"/>
        <v>13</v>
      </c>
      <c r="S197" s="13">
        <f>M197*GiaDinh!$C$7</f>
        <v>45.15</v>
      </c>
    </row>
    <row r="198" spans="1:19" ht="46.5" x14ac:dyDescent="0.35">
      <c r="A198" s="7" t="s">
        <v>9</v>
      </c>
      <c r="B198" s="7">
        <v>45</v>
      </c>
      <c r="C198" s="7" t="s">
        <v>179</v>
      </c>
      <c r="D198" s="7" t="s">
        <v>356</v>
      </c>
      <c r="E198" s="7">
        <v>1</v>
      </c>
      <c r="F198" s="7">
        <v>94.6</v>
      </c>
      <c r="G198" s="12">
        <f>E198*F198*GiaDinh!$C$18*GiaDinh!$C$17</f>
        <v>79.463999999999999</v>
      </c>
      <c r="H198" s="7">
        <f>GiaDinh!$C$21</f>
        <v>1.2250000000000001</v>
      </c>
      <c r="I198" s="7">
        <f>GiaDinh!$C$15</f>
        <v>15</v>
      </c>
      <c r="J198" s="7">
        <f t="shared" si="18"/>
        <v>13</v>
      </c>
      <c r="K198" s="12">
        <f>J198*GiaDinh!$C$16</f>
        <v>91</v>
      </c>
      <c r="L198" s="7">
        <f t="shared" si="19"/>
        <v>1</v>
      </c>
      <c r="M198" s="12">
        <f t="shared" si="20"/>
        <v>15</v>
      </c>
      <c r="N198" s="7">
        <f>L198*ROUNDUP(I198/GiaDinh!$C$5-0.0005,0)</f>
        <v>3</v>
      </c>
      <c r="O198" s="7">
        <f>L198*(ROUNDUP(I198/GiaDinh!$C$5-0.0005,0)-1)</f>
        <v>2</v>
      </c>
      <c r="P198" s="7">
        <f t="shared" si="21"/>
        <v>13</v>
      </c>
      <c r="Q198" s="7">
        <f t="shared" si="22"/>
        <v>26</v>
      </c>
      <c r="R198" s="7">
        <f t="shared" si="23"/>
        <v>13</v>
      </c>
      <c r="S198" s="13">
        <f>M198*GiaDinh!$C$7</f>
        <v>45.15</v>
      </c>
    </row>
    <row r="199" spans="1:19" ht="46.5" x14ac:dyDescent="0.35">
      <c r="A199" s="7" t="s">
        <v>9</v>
      </c>
      <c r="B199" s="7">
        <v>46</v>
      </c>
      <c r="C199" s="7" t="s">
        <v>179</v>
      </c>
      <c r="D199" s="7" t="s">
        <v>357</v>
      </c>
      <c r="E199" s="7">
        <v>1</v>
      </c>
      <c r="F199" s="7">
        <v>94.6</v>
      </c>
      <c r="G199" s="12">
        <f>E199*F199*GiaDinh!$C$18*GiaDinh!$C$17</f>
        <v>79.463999999999999</v>
      </c>
      <c r="H199" s="7">
        <f>GiaDinh!$C$21</f>
        <v>1.2250000000000001</v>
      </c>
      <c r="I199" s="7">
        <f>GiaDinh!$C$15</f>
        <v>15</v>
      </c>
      <c r="J199" s="7">
        <f t="shared" si="18"/>
        <v>13</v>
      </c>
      <c r="K199" s="12">
        <f>J199*GiaDinh!$C$16</f>
        <v>91</v>
      </c>
      <c r="L199" s="7">
        <f t="shared" si="19"/>
        <v>1</v>
      </c>
      <c r="M199" s="12">
        <f t="shared" si="20"/>
        <v>15</v>
      </c>
      <c r="N199" s="7">
        <f>L199*ROUNDUP(I199/GiaDinh!$C$5-0.0005,0)</f>
        <v>3</v>
      </c>
      <c r="O199" s="7">
        <f>L199*(ROUNDUP(I199/GiaDinh!$C$5-0.0005,0)-1)</f>
        <v>2</v>
      </c>
      <c r="P199" s="7">
        <f t="shared" si="21"/>
        <v>13</v>
      </c>
      <c r="Q199" s="7">
        <f t="shared" si="22"/>
        <v>26</v>
      </c>
      <c r="R199" s="7">
        <f t="shared" si="23"/>
        <v>13</v>
      </c>
      <c r="S199" s="13">
        <f>M199*GiaDinh!$C$7</f>
        <v>45.15</v>
      </c>
    </row>
    <row r="200" spans="1:19" ht="46.5" x14ac:dyDescent="0.35">
      <c r="A200" s="7" t="s">
        <v>9</v>
      </c>
      <c r="B200" s="7">
        <v>47</v>
      </c>
      <c r="C200" s="7" t="s">
        <v>179</v>
      </c>
      <c r="D200" s="7" t="s">
        <v>358</v>
      </c>
      <c r="E200" s="7">
        <v>1</v>
      </c>
      <c r="F200" s="7">
        <v>94.6</v>
      </c>
      <c r="G200" s="12">
        <f>E200*F200*GiaDinh!$C$18*GiaDinh!$C$17</f>
        <v>79.463999999999999</v>
      </c>
      <c r="H200" s="7">
        <f>GiaDinh!$C$21</f>
        <v>1.2250000000000001</v>
      </c>
      <c r="I200" s="7">
        <f>GiaDinh!$C$15</f>
        <v>15</v>
      </c>
      <c r="J200" s="7">
        <f t="shared" si="18"/>
        <v>13</v>
      </c>
      <c r="K200" s="12">
        <f>J200*GiaDinh!$C$16</f>
        <v>91</v>
      </c>
      <c r="L200" s="7">
        <f t="shared" si="19"/>
        <v>1</v>
      </c>
      <c r="M200" s="12">
        <f t="shared" si="20"/>
        <v>15</v>
      </c>
      <c r="N200" s="7">
        <f>L200*ROUNDUP(I200/GiaDinh!$C$5-0.0005,0)</f>
        <v>3</v>
      </c>
      <c r="O200" s="7">
        <f>L200*(ROUNDUP(I200/GiaDinh!$C$5-0.0005,0)-1)</f>
        <v>2</v>
      </c>
      <c r="P200" s="7">
        <f t="shared" si="21"/>
        <v>13</v>
      </c>
      <c r="Q200" s="7">
        <f t="shared" si="22"/>
        <v>26</v>
      </c>
      <c r="R200" s="7">
        <f t="shared" si="23"/>
        <v>13</v>
      </c>
      <c r="S200" s="13">
        <f>M200*GiaDinh!$C$7</f>
        <v>45.15</v>
      </c>
    </row>
    <row r="201" spans="1:19" ht="46.5" x14ac:dyDescent="0.35">
      <c r="A201" s="7" t="s">
        <v>9</v>
      </c>
      <c r="B201" s="7">
        <v>48</v>
      </c>
      <c r="C201" s="7" t="s">
        <v>179</v>
      </c>
      <c r="D201" s="7" t="s">
        <v>359</v>
      </c>
      <c r="E201" s="7">
        <v>1</v>
      </c>
      <c r="F201" s="7">
        <v>94.6</v>
      </c>
      <c r="G201" s="12">
        <f>E201*F201*GiaDinh!$C$18*GiaDinh!$C$17</f>
        <v>79.463999999999999</v>
      </c>
      <c r="H201" s="7">
        <f>GiaDinh!$C$21</f>
        <v>1.2250000000000001</v>
      </c>
      <c r="I201" s="7">
        <f>GiaDinh!$C$15</f>
        <v>15</v>
      </c>
      <c r="J201" s="7">
        <f t="shared" si="18"/>
        <v>13</v>
      </c>
      <c r="K201" s="12">
        <f>J201*GiaDinh!$C$16</f>
        <v>91</v>
      </c>
      <c r="L201" s="7">
        <f t="shared" si="19"/>
        <v>1</v>
      </c>
      <c r="M201" s="12">
        <f t="shared" si="20"/>
        <v>15</v>
      </c>
      <c r="N201" s="7">
        <f>L201*ROUNDUP(I201/GiaDinh!$C$5-0.0005,0)</f>
        <v>3</v>
      </c>
      <c r="O201" s="7">
        <f>L201*(ROUNDUP(I201/GiaDinh!$C$5-0.0005,0)-1)</f>
        <v>2</v>
      </c>
      <c r="P201" s="7">
        <f t="shared" si="21"/>
        <v>13</v>
      </c>
      <c r="Q201" s="7">
        <f t="shared" si="22"/>
        <v>26</v>
      </c>
      <c r="R201" s="7">
        <f t="shared" si="23"/>
        <v>13</v>
      </c>
      <c r="S201" s="13">
        <f>M201*GiaDinh!$C$7</f>
        <v>45.15</v>
      </c>
    </row>
    <row r="202" spans="1:19" ht="46.5" x14ac:dyDescent="0.35">
      <c r="A202" s="7" t="s">
        <v>9</v>
      </c>
      <c r="B202" s="7">
        <v>49</v>
      </c>
      <c r="C202" s="7" t="s">
        <v>179</v>
      </c>
      <c r="D202" s="7" t="s">
        <v>360</v>
      </c>
      <c r="E202" s="7">
        <v>1</v>
      </c>
      <c r="F202" s="7">
        <v>94.6</v>
      </c>
      <c r="G202" s="12">
        <f>E202*F202*GiaDinh!$C$18*GiaDinh!$C$17</f>
        <v>79.463999999999999</v>
      </c>
      <c r="H202" s="7">
        <f>GiaDinh!$C$21</f>
        <v>1.2250000000000001</v>
      </c>
      <c r="I202" s="7">
        <f>GiaDinh!$C$15</f>
        <v>15</v>
      </c>
      <c r="J202" s="7">
        <f t="shared" si="18"/>
        <v>13</v>
      </c>
      <c r="K202" s="12">
        <f>J202*GiaDinh!$C$16</f>
        <v>91</v>
      </c>
      <c r="L202" s="7">
        <f t="shared" si="19"/>
        <v>1</v>
      </c>
      <c r="M202" s="12">
        <f t="shared" si="20"/>
        <v>15</v>
      </c>
      <c r="N202" s="7">
        <f>L202*ROUNDUP(I202/GiaDinh!$C$5-0.0005,0)</f>
        <v>3</v>
      </c>
      <c r="O202" s="7">
        <f>L202*(ROUNDUP(I202/GiaDinh!$C$5-0.0005,0)-1)</f>
        <v>2</v>
      </c>
      <c r="P202" s="7">
        <f t="shared" si="21"/>
        <v>13</v>
      </c>
      <c r="Q202" s="7">
        <f t="shared" si="22"/>
        <v>26</v>
      </c>
      <c r="R202" s="7">
        <f t="shared" si="23"/>
        <v>13</v>
      </c>
      <c r="S202" s="13">
        <f>M202*GiaDinh!$C$7</f>
        <v>45.15</v>
      </c>
    </row>
    <row r="203" spans="1:19" ht="46.5" x14ac:dyDescent="0.35">
      <c r="A203" s="7" t="s">
        <v>9</v>
      </c>
      <c r="B203" s="7">
        <v>50</v>
      </c>
      <c r="C203" s="7" t="s">
        <v>179</v>
      </c>
      <c r="D203" s="7" t="s">
        <v>361</v>
      </c>
      <c r="E203" s="7">
        <v>1</v>
      </c>
      <c r="F203" s="7">
        <v>94.6</v>
      </c>
      <c r="G203" s="12">
        <f>E203*F203*GiaDinh!$C$18*GiaDinh!$C$17</f>
        <v>79.463999999999999</v>
      </c>
      <c r="H203" s="7">
        <f>GiaDinh!$C$21</f>
        <v>1.2250000000000001</v>
      </c>
      <c r="I203" s="7">
        <f>GiaDinh!$C$15</f>
        <v>15</v>
      </c>
      <c r="J203" s="7">
        <f t="shared" si="18"/>
        <v>13</v>
      </c>
      <c r="K203" s="12">
        <f>J203*GiaDinh!$C$16</f>
        <v>91</v>
      </c>
      <c r="L203" s="7">
        <f t="shared" si="19"/>
        <v>1</v>
      </c>
      <c r="M203" s="12">
        <f t="shared" si="20"/>
        <v>15</v>
      </c>
      <c r="N203" s="7">
        <f>L203*ROUNDUP(I203/GiaDinh!$C$5-0.0005,0)</f>
        <v>3</v>
      </c>
      <c r="O203" s="7">
        <f>L203*(ROUNDUP(I203/GiaDinh!$C$5-0.0005,0)-1)</f>
        <v>2</v>
      </c>
      <c r="P203" s="7">
        <f t="shared" si="21"/>
        <v>13</v>
      </c>
      <c r="Q203" s="7">
        <f t="shared" si="22"/>
        <v>26</v>
      </c>
      <c r="R203" s="7">
        <f t="shared" si="23"/>
        <v>13</v>
      </c>
      <c r="S203" s="13">
        <f>M203*GiaDinh!$C$7</f>
        <v>45.15</v>
      </c>
    </row>
    <row r="204" spans="1:19" ht="46.5" x14ac:dyDescent="0.35">
      <c r="A204" s="7" t="s">
        <v>9</v>
      </c>
      <c r="B204" s="7">
        <v>51</v>
      </c>
      <c r="C204" s="7" t="s">
        <v>179</v>
      </c>
      <c r="D204" s="7" t="s">
        <v>362</v>
      </c>
      <c r="E204" s="7">
        <v>1</v>
      </c>
      <c r="F204" s="7">
        <v>94.6</v>
      </c>
      <c r="G204" s="12">
        <f>E204*F204*GiaDinh!$C$18*GiaDinh!$C$17</f>
        <v>79.463999999999999</v>
      </c>
      <c r="H204" s="7">
        <f>GiaDinh!$C$21</f>
        <v>1.2250000000000001</v>
      </c>
      <c r="I204" s="7">
        <f>GiaDinh!$C$15</f>
        <v>15</v>
      </c>
      <c r="J204" s="7">
        <f t="shared" si="18"/>
        <v>13</v>
      </c>
      <c r="K204" s="12">
        <f>J204*GiaDinh!$C$16</f>
        <v>91</v>
      </c>
      <c r="L204" s="7">
        <f t="shared" si="19"/>
        <v>1</v>
      </c>
      <c r="M204" s="12">
        <f t="shared" si="20"/>
        <v>15</v>
      </c>
      <c r="N204" s="7">
        <f>L204*ROUNDUP(I204/GiaDinh!$C$5-0.0005,0)</f>
        <v>3</v>
      </c>
      <c r="O204" s="7">
        <f>L204*(ROUNDUP(I204/GiaDinh!$C$5-0.0005,0)-1)</f>
        <v>2</v>
      </c>
      <c r="P204" s="7">
        <f t="shared" si="21"/>
        <v>13</v>
      </c>
      <c r="Q204" s="7">
        <f t="shared" si="22"/>
        <v>26</v>
      </c>
      <c r="R204" s="7">
        <f t="shared" si="23"/>
        <v>13</v>
      </c>
      <c r="S204" s="13">
        <f>M204*GiaDinh!$C$7</f>
        <v>45.15</v>
      </c>
    </row>
    <row r="205" spans="1:19" ht="46.5" x14ac:dyDescent="0.35">
      <c r="A205" s="7" t="s">
        <v>9</v>
      </c>
      <c r="B205" s="7">
        <v>52</v>
      </c>
      <c r="C205" s="7" t="s">
        <v>179</v>
      </c>
      <c r="D205" s="7" t="s">
        <v>363</v>
      </c>
      <c r="E205" s="7">
        <v>1</v>
      </c>
      <c r="F205" s="7">
        <v>94.6</v>
      </c>
      <c r="G205" s="12">
        <f>E205*F205*GiaDinh!$C$18*GiaDinh!$C$17</f>
        <v>79.463999999999999</v>
      </c>
      <c r="H205" s="7">
        <f>GiaDinh!$C$21</f>
        <v>1.2250000000000001</v>
      </c>
      <c r="I205" s="7">
        <f>GiaDinh!$C$15</f>
        <v>15</v>
      </c>
      <c r="J205" s="7">
        <f t="shared" si="18"/>
        <v>13</v>
      </c>
      <c r="K205" s="12">
        <f>J205*GiaDinh!$C$16</f>
        <v>91</v>
      </c>
      <c r="L205" s="7">
        <f t="shared" si="19"/>
        <v>1</v>
      </c>
      <c r="M205" s="12">
        <f t="shared" si="20"/>
        <v>15</v>
      </c>
      <c r="N205" s="7">
        <f>L205*ROUNDUP(I205/GiaDinh!$C$5-0.0005,0)</f>
        <v>3</v>
      </c>
      <c r="O205" s="7">
        <f>L205*(ROUNDUP(I205/GiaDinh!$C$5-0.0005,0)-1)</f>
        <v>2</v>
      </c>
      <c r="P205" s="7">
        <f t="shared" si="21"/>
        <v>13</v>
      </c>
      <c r="Q205" s="7">
        <f t="shared" si="22"/>
        <v>26</v>
      </c>
      <c r="R205" s="7">
        <f t="shared" si="23"/>
        <v>13</v>
      </c>
      <c r="S205" s="13">
        <f>M205*GiaDinh!$C$7</f>
        <v>45.15</v>
      </c>
    </row>
    <row r="206" spans="1:19" ht="46.5" x14ac:dyDescent="0.35">
      <c r="A206" s="7" t="s">
        <v>9</v>
      </c>
      <c r="B206" s="7">
        <v>53</v>
      </c>
      <c r="C206" s="7" t="s">
        <v>179</v>
      </c>
      <c r="D206" s="7" t="s">
        <v>364</v>
      </c>
      <c r="E206" s="7">
        <v>1</v>
      </c>
      <c r="F206" s="7">
        <v>94.6</v>
      </c>
      <c r="G206" s="12">
        <f>E206*F206*GiaDinh!$C$18*GiaDinh!$C$17</f>
        <v>79.463999999999999</v>
      </c>
      <c r="H206" s="7">
        <f>GiaDinh!$C$21</f>
        <v>1.2250000000000001</v>
      </c>
      <c r="I206" s="7">
        <f>GiaDinh!$C$15</f>
        <v>15</v>
      </c>
      <c r="J206" s="7">
        <f t="shared" si="18"/>
        <v>13</v>
      </c>
      <c r="K206" s="12">
        <f>J206*GiaDinh!$C$16</f>
        <v>91</v>
      </c>
      <c r="L206" s="7">
        <f t="shared" si="19"/>
        <v>1</v>
      </c>
      <c r="M206" s="12">
        <f t="shared" si="20"/>
        <v>15</v>
      </c>
      <c r="N206" s="7">
        <f>L206*ROUNDUP(I206/GiaDinh!$C$5-0.0005,0)</f>
        <v>3</v>
      </c>
      <c r="O206" s="7">
        <f>L206*(ROUNDUP(I206/GiaDinh!$C$5-0.0005,0)-1)</f>
        <v>2</v>
      </c>
      <c r="P206" s="7">
        <f t="shared" si="21"/>
        <v>13</v>
      </c>
      <c r="Q206" s="7">
        <f t="shared" si="22"/>
        <v>26</v>
      </c>
      <c r="R206" s="7">
        <f t="shared" si="23"/>
        <v>13</v>
      </c>
      <c r="S206" s="13">
        <f>M206*GiaDinh!$C$7</f>
        <v>45.15</v>
      </c>
    </row>
    <row r="207" spans="1:19" ht="46.5" x14ac:dyDescent="0.35">
      <c r="A207" s="7" t="s">
        <v>9</v>
      </c>
      <c r="B207" s="7">
        <v>54</v>
      </c>
      <c r="C207" s="7" t="s">
        <v>179</v>
      </c>
      <c r="D207" s="7" t="s">
        <v>365</v>
      </c>
      <c r="E207" s="7">
        <v>1</v>
      </c>
      <c r="F207" s="7">
        <v>94.6</v>
      </c>
      <c r="G207" s="12">
        <f>E207*F207*GiaDinh!$C$18*GiaDinh!$C$17</f>
        <v>79.463999999999999</v>
      </c>
      <c r="H207" s="7">
        <f>GiaDinh!$C$21</f>
        <v>1.2250000000000001</v>
      </c>
      <c r="I207" s="7">
        <f>GiaDinh!$C$15</f>
        <v>15</v>
      </c>
      <c r="J207" s="7">
        <f t="shared" si="18"/>
        <v>13</v>
      </c>
      <c r="K207" s="12">
        <f>J207*GiaDinh!$C$16</f>
        <v>91</v>
      </c>
      <c r="L207" s="7">
        <f t="shared" si="19"/>
        <v>1</v>
      </c>
      <c r="M207" s="12">
        <f t="shared" si="20"/>
        <v>15</v>
      </c>
      <c r="N207" s="7">
        <f>L207*ROUNDUP(I207/GiaDinh!$C$5-0.0005,0)</f>
        <v>3</v>
      </c>
      <c r="O207" s="7">
        <f>L207*(ROUNDUP(I207/GiaDinh!$C$5-0.0005,0)-1)</f>
        <v>2</v>
      </c>
      <c r="P207" s="7">
        <f t="shared" si="21"/>
        <v>13</v>
      </c>
      <c r="Q207" s="7">
        <f t="shared" si="22"/>
        <v>26</v>
      </c>
      <c r="R207" s="7">
        <f t="shared" si="23"/>
        <v>13</v>
      </c>
      <c r="S207" s="13">
        <f>M207*GiaDinh!$C$7</f>
        <v>45.15</v>
      </c>
    </row>
    <row r="208" spans="1:19" ht="46.5" x14ac:dyDescent="0.35">
      <c r="A208" s="7" t="s">
        <v>9</v>
      </c>
      <c r="B208" s="7">
        <v>55</v>
      </c>
      <c r="C208" s="7" t="s">
        <v>179</v>
      </c>
      <c r="D208" s="7" t="s">
        <v>366</v>
      </c>
      <c r="E208" s="7">
        <v>1</v>
      </c>
      <c r="F208" s="7">
        <v>94.6</v>
      </c>
      <c r="G208" s="12">
        <f>E208*F208*GiaDinh!$C$18*GiaDinh!$C$17</f>
        <v>79.463999999999999</v>
      </c>
      <c r="H208" s="7">
        <f>GiaDinh!$C$21</f>
        <v>1.2250000000000001</v>
      </c>
      <c r="I208" s="7">
        <f>GiaDinh!$C$15</f>
        <v>15</v>
      </c>
      <c r="J208" s="7">
        <f t="shared" si="18"/>
        <v>13</v>
      </c>
      <c r="K208" s="12">
        <f>J208*GiaDinh!$C$16</f>
        <v>91</v>
      </c>
      <c r="L208" s="7">
        <f t="shared" si="19"/>
        <v>1</v>
      </c>
      <c r="M208" s="12">
        <f t="shared" si="20"/>
        <v>15</v>
      </c>
      <c r="N208" s="7">
        <f>L208*ROUNDUP(I208/GiaDinh!$C$5-0.0005,0)</f>
        <v>3</v>
      </c>
      <c r="O208" s="7">
        <f>L208*(ROUNDUP(I208/GiaDinh!$C$5-0.0005,0)-1)</f>
        <v>2</v>
      </c>
      <c r="P208" s="7">
        <f t="shared" si="21"/>
        <v>13</v>
      </c>
      <c r="Q208" s="7">
        <f t="shared" si="22"/>
        <v>26</v>
      </c>
      <c r="R208" s="7">
        <f t="shared" si="23"/>
        <v>13</v>
      </c>
      <c r="S208" s="13">
        <f>M208*GiaDinh!$C$7</f>
        <v>45.15</v>
      </c>
    </row>
    <row r="209" spans="1:19" ht="46.5" x14ac:dyDescent="0.35">
      <c r="A209" s="7" t="s">
        <v>9</v>
      </c>
      <c r="B209" s="7">
        <v>56</v>
      </c>
      <c r="C209" s="7" t="s">
        <v>179</v>
      </c>
      <c r="D209" s="7" t="s">
        <v>367</v>
      </c>
      <c r="E209" s="7">
        <v>1</v>
      </c>
      <c r="F209" s="7">
        <v>94.6</v>
      </c>
      <c r="G209" s="12">
        <f>E209*F209*GiaDinh!$C$18*GiaDinh!$C$17</f>
        <v>79.463999999999999</v>
      </c>
      <c r="H209" s="7">
        <f>GiaDinh!$C$21</f>
        <v>1.2250000000000001</v>
      </c>
      <c r="I209" s="7">
        <f>GiaDinh!$C$15</f>
        <v>15</v>
      </c>
      <c r="J209" s="7">
        <f t="shared" si="18"/>
        <v>13</v>
      </c>
      <c r="K209" s="12">
        <f>J209*GiaDinh!$C$16</f>
        <v>91</v>
      </c>
      <c r="L209" s="7">
        <f t="shared" si="19"/>
        <v>1</v>
      </c>
      <c r="M209" s="12">
        <f t="shared" si="20"/>
        <v>15</v>
      </c>
      <c r="N209" s="7">
        <f>L209*ROUNDUP(I209/GiaDinh!$C$5-0.0005,0)</f>
        <v>3</v>
      </c>
      <c r="O209" s="7">
        <f>L209*(ROUNDUP(I209/GiaDinh!$C$5-0.0005,0)-1)</f>
        <v>2</v>
      </c>
      <c r="P209" s="7">
        <f t="shared" si="21"/>
        <v>13</v>
      </c>
      <c r="Q209" s="7">
        <f t="shared" si="22"/>
        <v>26</v>
      </c>
      <c r="R209" s="7">
        <f t="shared" si="23"/>
        <v>13</v>
      </c>
      <c r="S209" s="13">
        <f>M209*GiaDinh!$C$7</f>
        <v>45.15</v>
      </c>
    </row>
    <row r="210" spans="1:19" ht="46.5" x14ac:dyDescent="0.35">
      <c r="A210" s="7" t="s">
        <v>9</v>
      </c>
      <c r="B210" s="7">
        <v>57</v>
      </c>
      <c r="C210" s="7" t="s">
        <v>179</v>
      </c>
      <c r="D210" s="7" t="s">
        <v>368</v>
      </c>
      <c r="E210" s="7">
        <v>1</v>
      </c>
      <c r="F210" s="7">
        <v>94.6</v>
      </c>
      <c r="G210" s="12">
        <f>E210*F210*GiaDinh!$C$18*GiaDinh!$C$17</f>
        <v>79.463999999999999</v>
      </c>
      <c r="H210" s="7">
        <f>GiaDinh!$C$21</f>
        <v>1.2250000000000001</v>
      </c>
      <c r="I210" s="7">
        <f>GiaDinh!$C$15</f>
        <v>15</v>
      </c>
      <c r="J210" s="7">
        <f t="shared" si="18"/>
        <v>13</v>
      </c>
      <c r="K210" s="12">
        <f>J210*GiaDinh!$C$16</f>
        <v>91</v>
      </c>
      <c r="L210" s="7">
        <f t="shared" si="19"/>
        <v>1</v>
      </c>
      <c r="M210" s="12">
        <f t="shared" si="20"/>
        <v>15</v>
      </c>
      <c r="N210" s="7">
        <f>L210*ROUNDUP(I210/GiaDinh!$C$5-0.0005,0)</f>
        <v>3</v>
      </c>
      <c r="O210" s="7">
        <f>L210*(ROUNDUP(I210/GiaDinh!$C$5-0.0005,0)-1)</f>
        <v>2</v>
      </c>
      <c r="P210" s="7">
        <f t="shared" si="21"/>
        <v>13</v>
      </c>
      <c r="Q210" s="7">
        <f t="shared" si="22"/>
        <v>26</v>
      </c>
      <c r="R210" s="7">
        <f t="shared" si="23"/>
        <v>13</v>
      </c>
      <c r="S210" s="13">
        <f>M210*GiaDinh!$C$7</f>
        <v>45.15</v>
      </c>
    </row>
    <row r="211" spans="1:19" ht="46.5" x14ac:dyDescent="0.35">
      <c r="A211" s="7" t="s">
        <v>9</v>
      </c>
      <c r="B211" s="7">
        <v>58</v>
      </c>
      <c r="C211" s="7" t="s">
        <v>179</v>
      </c>
      <c r="D211" s="7" t="s">
        <v>369</v>
      </c>
      <c r="E211" s="7">
        <v>1</v>
      </c>
      <c r="F211" s="7">
        <v>94.6</v>
      </c>
      <c r="G211" s="12">
        <f>E211*F211*GiaDinh!$C$18*GiaDinh!$C$17</f>
        <v>79.463999999999999</v>
      </c>
      <c r="H211" s="7">
        <f>GiaDinh!$C$21</f>
        <v>1.2250000000000001</v>
      </c>
      <c r="I211" s="7">
        <f>GiaDinh!$C$15</f>
        <v>15</v>
      </c>
      <c r="J211" s="7">
        <f t="shared" si="18"/>
        <v>13</v>
      </c>
      <c r="K211" s="12">
        <f>J211*GiaDinh!$C$16</f>
        <v>91</v>
      </c>
      <c r="L211" s="7">
        <f t="shared" si="19"/>
        <v>1</v>
      </c>
      <c r="M211" s="12">
        <f t="shared" si="20"/>
        <v>15</v>
      </c>
      <c r="N211" s="7">
        <f>L211*ROUNDUP(I211/GiaDinh!$C$5-0.0005,0)</f>
        <v>3</v>
      </c>
      <c r="O211" s="7">
        <f>L211*(ROUNDUP(I211/GiaDinh!$C$5-0.0005,0)-1)</f>
        <v>2</v>
      </c>
      <c r="P211" s="7">
        <f t="shared" si="21"/>
        <v>13</v>
      </c>
      <c r="Q211" s="7">
        <f t="shared" si="22"/>
        <v>26</v>
      </c>
      <c r="R211" s="7">
        <f t="shared" si="23"/>
        <v>13</v>
      </c>
      <c r="S211" s="13">
        <f>M211*GiaDinh!$C$7</f>
        <v>45.15</v>
      </c>
    </row>
    <row r="212" spans="1:19" ht="46.5" x14ac:dyDescent="0.35">
      <c r="A212" s="7" t="s">
        <v>9</v>
      </c>
      <c r="B212" s="7">
        <v>59</v>
      </c>
      <c r="C212" s="7" t="s">
        <v>179</v>
      </c>
      <c r="D212" s="7" t="s">
        <v>370</v>
      </c>
      <c r="E212" s="7">
        <v>1</v>
      </c>
      <c r="F212" s="7">
        <v>94.6</v>
      </c>
      <c r="G212" s="12">
        <f>E212*F212*GiaDinh!$C$18*GiaDinh!$C$17</f>
        <v>79.463999999999999</v>
      </c>
      <c r="H212" s="7">
        <f>GiaDinh!$C$21</f>
        <v>1.2250000000000001</v>
      </c>
      <c r="I212" s="7">
        <f>GiaDinh!$C$15</f>
        <v>15</v>
      </c>
      <c r="J212" s="7">
        <f t="shared" si="18"/>
        <v>13</v>
      </c>
      <c r="K212" s="12">
        <f>J212*GiaDinh!$C$16</f>
        <v>91</v>
      </c>
      <c r="L212" s="7">
        <f t="shared" si="19"/>
        <v>1</v>
      </c>
      <c r="M212" s="12">
        <f t="shared" si="20"/>
        <v>15</v>
      </c>
      <c r="N212" s="7">
        <f>L212*ROUNDUP(I212/GiaDinh!$C$5-0.0005,0)</f>
        <v>3</v>
      </c>
      <c r="O212" s="7">
        <f>L212*(ROUNDUP(I212/GiaDinh!$C$5-0.0005,0)-1)</f>
        <v>2</v>
      </c>
      <c r="P212" s="7">
        <f t="shared" si="21"/>
        <v>13</v>
      </c>
      <c r="Q212" s="7">
        <f t="shared" si="22"/>
        <v>26</v>
      </c>
      <c r="R212" s="7">
        <f t="shared" si="23"/>
        <v>13</v>
      </c>
      <c r="S212" s="13">
        <f>M212*GiaDinh!$C$7</f>
        <v>45.15</v>
      </c>
    </row>
    <row r="213" spans="1:19" ht="46.5" x14ac:dyDescent="0.35">
      <c r="A213" s="7" t="s">
        <v>9</v>
      </c>
      <c r="B213" s="7">
        <v>60</v>
      </c>
      <c r="C213" s="7" t="s">
        <v>179</v>
      </c>
      <c r="D213" s="7" t="s">
        <v>371</v>
      </c>
      <c r="E213" s="7">
        <v>1</v>
      </c>
      <c r="F213" s="7">
        <v>94.6</v>
      </c>
      <c r="G213" s="12">
        <f>E213*F213*GiaDinh!$C$18*GiaDinh!$C$17</f>
        <v>79.463999999999999</v>
      </c>
      <c r="H213" s="7">
        <f>GiaDinh!$C$21</f>
        <v>1.2250000000000001</v>
      </c>
      <c r="I213" s="7">
        <f>GiaDinh!$C$15</f>
        <v>15</v>
      </c>
      <c r="J213" s="7">
        <f t="shared" si="18"/>
        <v>13</v>
      </c>
      <c r="K213" s="12">
        <f>J213*GiaDinh!$C$16</f>
        <v>91</v>
      </c>
      <c r="L213" s="7">
        <f t="shared" si="19"/>
        <v>1</v>
      </c>
      <c r="M213" s="12">
        <f t="shared" si="20"/>
        <v>15</v>
      </c>
      <c r="N213" s="7">
        <f>L213*ROUNDUP(I213/GiaDinh!$C$5-0.0005,0)</f>
        <v>3</v>
      </c>
      <c r="O213" s="7">
        <f>L213*(ROUNDUP(I213/GiaDinh!$C$5-0.0005,0)-1)</f>
        <v>2</v>
      </c>
      <c r="P213" s="7">
        <f t="shared" si="21"/>
        <v>13</v>
      </c>
      <c r="Q213" s="7">
        <f t="shared" si="22"/>
        <v>26</v>
      </c>
      <c r="R213" s="7">
        <f t="shared" si="23"/>
        <v>13</v>
      </c>
      <c r="S213" s="13">
        <f>M213*GiaDinh!$C$7</f>
        <v>45.15</v>
      </c>
    </row>
    <row r="214" spans="1:19" ht="31" x14ac:dyDescent="0.35">
      <c r="A214" s="7" t="s">
        <v>10</v>
      </c>
      <c r="B214" s="7">
        <v>1</v>
      </c>
      <c r="C214" s="7" t="s">
        <v>160</v>
      </c>
      <c r="D214" s="7" t="s">
        <v>372</v>
      </c>
      <c r="E214" s="7">
        <v>4</v>
      </c>
      <c r="F214" s="7">
        <v>59.1</v>
      </c>
      <c r="G214" s="12">
        <f>E214*F214*GiaDinh!$C$18*GiaDinh!$C$17</f>
        <v>198.57599999999999</v>
      </c>
      <c r="H214" s="7">
        <f>GiaDinh!$C$21</f>
        <v>1.2250000000000001</v>
      </c>
      <c r="I214" s="7">
        <f>GiaDinh!$C$15</f>
        <v>15</v>
      </c>
      <c r="J214" s="7">
        <f t="shared" si="18"/>
        <v>13</v>
      </c>
      <c r="K214" s="12">
        <f>J214*GiaDinh!$C$16</f>
        <v>91</v>
      </c>
      <c r="L214" s="7">
        <f t="shared" si="19"/>
        <v>3</v>
      </c>
      <c r="M214" s="12">
        <f t="shared" si="20"/>
        <v>45</v>
      </c>
      <c r="N214" s="7">
        <f>L214*ROUNDUP(I214/GiaDinh!$C$5-0.0005,0)</f>
        <v>9</v>
      </c>
      <c r="O214" s="7">
        <f>L214*(ROUNDUP(I214/GiaDinh!$C$5-0.0005,0)-1)</f>
        <v>6</v>
      </c>
      <c r="P214" s="7">
        <f t="shared" si="21"/>
        <v>39</v>
      </c>
      <c r="Q214" s="7">
        <f t="shared" si="22"/>
        <v>78</v>
      </c>
      <c r="R214" s="7">
        <f t="shared" si="23"/>
        <v>39</v>
      </c>
      <c r="S214" s="13">
        <f>M214*GiaDinh!$C$7</f>
        <v>135.44999999999999</v>
      </c>
    </row>
    <row r="215" spans="1:19" ht="31" x14ac:dyDescent="0.35">
      <c r="A215" s="7" t="s">
        <v>10</v>
      </c>
      <c r="B215" s="7">
        <v>2</v>
      </c>
      <c r="C215" s="7" t="s">
        <v>160</v>
      </c>
      <c r="D215" s="7" t="s">
        <v>373</v>
      </c>
      <c r="E215" s="7">
        <v>4</v>
      </c>
      <c r="F215" s="7">
        <v>59.1</v>
      </c>
      <c r="G215" s="12">
        <f>E215*F215*GiaDinh!$C$18*GiaDinh!$C$17</f>
        <v>198.57599999999999</v>
      </c>
      <c r="H215" s="7">
        <f>GiaDinh!$C$21</f>
        <v>1.2250000000000001</v>
      </c>
      <c r="I215" s="7">
        <f>GiaDinh!$C$15</f>
        <v>15</v>
      </c>
      <c r="J215" s="7">
        <f t="shared" si="18"/>
        <v>13</v>
      </c>
      <c r="K215" s="12">
        <f>J215*GiaDinh!$C$16</f>
        <v>91</v>
      </c>
      <c r="L215" s="7">
        <f t="shared" si="19"/>
        <v>3</v>
      </c>
      <c r="M215" s="12">
        <f t="shared" si="20"/>
        <v>45</v>
      </c>
      <c r="N215" s="7">
        <f>L215*ROUNDUP(I215/GiaDinh!$C$5-0.0005,0)</f>
        <v>9</v>
      </c>
      <c r="O215" s="7">
        <f>L215*(ROUNDUP(I215/GiaDinh!$C$5-0.0005,0)-1)</f>
        <v>6</v>
      </c>
      <c r="P215" s="7">
        <f t="shared" si="21"/>
        <v>39</v>
      </c>
      <c r="Q215" s="7">
        <f t="shared" si="22"/>
        <v>78</v>
      </c>
      <c r="R215" s="7">
        <f t="shared" si="23"/>
        <v>39</v>
      </c>
      <c r="S215" s="13">
        <f>M215*GiaDinh!$C$7</f>
        <v>135.44999999999999</v>
      </c>
    </row>
    <row r="216" spans="1:19" ht="31" x14ac:dyDescent="0.35">
      <c r="A216" s="7" t="s">
        <v>10</v>
      </c>
      <c r="B216" s="7">
        <v>3</v>
      </c>
      <c r="C216" s="7" t="s">
        <v>160</v>
      </c>
      <c r="D216" s="7" t="s">
        <v>374</v>
      </c>
      <c r="E216" s="7">
        <v>6</v>
      </c>
      <c r="F216" s="7">
        <v>59.1</v>
      </c>
      <c r="G216" s="12">
        <f>E216*F216*GiaDinh!$C$18*GiaDinh!$C$17</f>
        <v>297.86399999999998</v>
      </c>
      <c r="H216" s="7">
        <f>GiaDinh!$C$21</f>
        <v>1.2250000000000001</v>
      </c>
      <c r="I216" s="7">
        <f>GiaDinh!$C$15</f>
        <v>15</v>
      </c>
      <c r="J216" s="7">
        <f t="shared" si="18"/>
        <v>13</v>
      </c>
      <c r="K216" s="12">
        <f>J216*GiaDinh!$C$16</f>
        <v>91</v>
      </c>
      <c r="L216" s="7">
        <f t="shared" si="19"/>
        <v>4</v>
      </c>
      <c r="M216" s="12">
        <f t="shared" si="20"/>
        <v>60</v>
      </c>
      <c r="N216" s="7">
        <f>L216*ROUNDUP(I216/GiaDinh!$C$5-0.0005,0)</f>
        <v>12</v>
      </c>
      <c r="O216" s="7">
        <f>L216*(ROUNDUP(I216/GiaDinh!$C$5-0.0005,0)-1)</f>
        <v>8</v>
      </c>
      <c r="P216" s="7">
        <f t="shared" si="21"/>
        <v>52</v>
      </c>
      <c r="Q216" s="7">
        <f t="shared" si="22"/>
        <v>104</v>
      </c>
      <c r="R216" s="7">
        <f t="shared" si="23"/>
        <v>52</v>
      </c>
      <c r="S216" s="13">
        <f>M216*GiaDinh!$C$7</f>
        <v>180.6</v>
      </c>
    </row>
    <row r="217" spans="1:19" ht="46.5" x14ac:dyDescent="0.35">
      <c r="A217" s="7" t="s">
        <v>10</v>
      </c>
      <c r="B217" s="7">
        <v>4</v>
      </c>
      <c r="C217" s="7" t="s">
        <v>179</v>
      </c>
      <c r="D217" s="7" t="s">
        <v>375</v>
      </c>
      <c r="E217" s="7">
        <v>1</v>
      </c>
      <c r="F217" s="7">
        <v>59.1</v>
      </c>
      <c r="G217" s="12">
        <f>E217*F217*GiaDinh!$C$18*GiaDinh!$C$17</f>
        <v>49.643999999999998</v>
      </c>
      <c r="H217" s="7">
        <f>GiaDinh!$C$21</f>
        <v>1.2250000000000001</v>
      </c>
      <c r="I217" s="7">
        <f>GiaDinh!$C$15</f>
        <v>15</v>
      </c>
      <c r="J217" s="7">
        <f t="shared" si="18"/>
        <v>13</v>
      </c>
      <c r="K217" s="12">
        <f>J217*GiaDinh!$C$16</f>
        <v>91</v>
      </c>
      <c r="L217" s="7">
        <f t="shared" si="19"/>
        <v>1</v>
      </c>
      <c r="M217" s="12">
        <f t="shared" si="20"/>
        <v>15</v>
      </c>
      <c r="N217" s="7">
        <f>L217*ROUNDUP(I217/GiaDinh!$C$5-0.0005,0)</f>
        <v>3</v>
      </c>
      <c r="O217" s="7">
        <f>L217*(ROUNDUP(I217/GiaDinh!$C$5-0.0005,0)-1)</f>
        <v>2</v>
      </c>
      <c r="P217" s="7">
        <f t="shared" si="21"/>
        <v>13</v>
      </c>
      <c r="Q217" s="7">
        <f t="shared" si="22"/>
        <v>26</v>
      </c>
      <c r="R217" s="7">
        <f t="shared" si="23"/>
        <v>13</v>
      </c>
      <c r="S217" s="13">
        <f>M217*GiaDinh!$C$7</f>
        <v>45.15</v>
      </c>
    </row>
    <row r="218" spans="1:19" ht="46.5" x14ac:dyDescent="0.35">
      <c r="A218" s="7" t="s">
        <v>10</v>
      </c>
      <c r="B218" s="7">
        <v>5</v>
      </c>
      <c r="C218" s="7" t="s">
        <v>179</v>
      </c>
      <c r="D218" s="7" t="s">
        <v>376</v>
      </c>
      <c r="E218" s="7">
        <v>1</v>
      </c>
      <c r="F218" s="7">
        <v>59.1</v>
      </c>
      <c r="G218" s="12">
        <f>E218*F218*GiaDinh!$C$18*GiaDinh!$C$17</f>
        <v>49.643999999999998</v>
      </c>
      <c r="H218" s="7">
        <f>GiaDinh!$C$21</f>
        <v>1.2250000000000001</v>
      </c>
      <c r="I218" s="7">
        <f>GiaDinh!$C$15</f>
        <v>15</v>
      </c>
      <c r="J218" s="7">
        <f t="shared" si="18"/>
        <v>13</v>
      </c>
      <c r="K218" s="12">
        <f>J218*GiaDinh!$C$16</f>
        <v>91</v>
      </c>
      <c r="L218" s="7">
        <f t="shared" si="19"/>
        <v>1</v>
      </c>
      <c r="M218" s="12">
        <f t="shared" si="20"/>
        <v>15</v>
      </c>
      <c r="N218" s="7">
        <f>L218*ROUNDUP(I218/GiaDinh!$C$5-0.0005,0)</f>
        <v>3</v>
      </c>
      <c r="O218" s="7">
        <f>L218*(ROUNDUP(I218/GiaDinh!$C$5-0.0005,0)-1)</f>
        <v>2</v>
      </c>
      <c r="P218" s="7">
        <f t="shared" si="21"/>
        <v>13</v>
      </c>
      <c r="Q218" s="7">
        <f t="shared" si="22"/>
        <v>26</v>
      </c>
      <c r="R218" s="7">
        <f t="shared" si="23"/>
        <v>13</v>
      </c>
      <c r="S218" s="13">
        <f>M218*GiaDinh!$C$7</f>
        <v>45.15</v>
      </c>
    </row>
    <row r="219" spans="1:19" ht="46.5" x14ac:dyDescent="0.35">
      <c r="A219" s="7" t="s">
        <v>10</v>
      </c>
      <c r="B219" s="7">
        <v>6</v>
      </c>
      <c r="C219" s="7" t="s">
        <v>179</v>
      </c>
      <c r="D219" s="7" t="s">
        <v>377</v>
      </c>
      <c r="E219" s="7">
        <v>1</v>
      </c>
      <c r="F219" s="7">
        <v>59.1</v>
      </c>
      <c r="G219" s="12">
        <f>E219*F219*GiaDinh!$C$18*GiaDinh!$C$17</f>
        <v>49.643999999999998</v>
      </c>
      <c r="H219" s="7">
        <f>GiaDinh!$C$21</f>
        <v>1.2250000000000001</v>
      </c>
      <c r="I219" s="7">
        <f>GiaDinh!$C$15</f>
        <v>15</v>
      </c>
      <c r="J219" s="7">
        <f t="shared" si="18"/>
        <v>13</v>
      </c>
      <c r="K219" s="12">
        <f>J219*GiaDinh!$C$16</f>
        <v>91</v>
      </c>
      <c r="L219" s="7">
        <f t="shared" si="19"/>
        <v>1</v>
      </c>
      <c r="M219" s="12">
        <f t="shared" si="20"/>
        <v>15</v>
      </c>
      <c r="N219" s="7">
        <f>L219*ROUNDUP(I219/GiaDinh!$C$5-0.0005,0)</f>
        <v>3</v>
      </c>
      <c r="O219" s="7">
        <f>L219*(ROUNDUP(I219/GiaDinh!$C$5-0.0005,0)-1)</f>
        <v>2</v>
      </c>
      <c r="P219" s="7">
        <f t="shared" si="21"/>
        <v>13</v>
      </c>
      <c r="Q219" s="7">
        <f t="shared" si="22"/>
        <v>26</v>
      </c>
      <c r="R219" s="7">
        <f t="shared" si="23"/>
        <v>13</v>
      </c>
      <c r="S219" s="13">
        <f>M219*GiaDinh!$C$7</f>
        <v>45.15</v>
      </c>
    </row>
    <row r="220" spans="1:19" ht="46.5" x14ac:dyDescent="0.35">
      <c r="A220" s="7" t="s">
        <v>10</v>
      </c>
      <c r="B220" s="7">
        <v>7</v>
      </c>
      <c r="C220" s="7" t="s">
        <v>179</v>
      </c>
      <c r="D220" s="7" t="s">
        <v>378</v>
      </c>
      <c r="E220" s="7">
        <v>1</v>
      </c>
      <c r="F220" s="7">
        <v>59.1</v>
      </c>
      <c r="G220" s="12">
        <f>E220*F220*GiaDinh!$C$18*GiaDinh!$C$17</f>
        <v>49.643999999999998</v>
      </c>
      <c r="H220" s="7">
        <f>GiaDinh!$C$21</f>
        <v>1.2250000000000001</v>
      </c>
      <c r="I220" s="7">
        <f>GiaDinh!$C$15</f>
        <v>15</v>
      </c>
      <c r="J220" s="7">
        <f t="shared" si="18"/>
        <v>13</v>
      </c>
      <c r="K220" s="12">
        <f>J220*GiaDinh!$C$16</f>
        <v>91</v>
      </c>
      <c r="L220" s="7">
        <f t="shared" si="19"/>
        <v>1</v>
      </c>
      <c r="M220" s="12">
        <f t="shared" si="20"/>
        <v>15</v>
      </c>
      <c r="N220" s="7">
        <f>L220*ROUNDUP(I220/GiaDinh!$C$5-0.0005,0)</f>
        <v>3</v>
      </c>
      <c r="O220" s="7">
        <f>L220*(ROUNDUP(I220/GiaDinh!$C$5-0.0005,0)-1)</f>
        <v>2</v>
      </c>
      <c r="P220" s="7">
        <f t="shared" si="21"/>
        <v>13</v>
      </c>
      <c r="Q220" s="7">
        <f t="shared" si="22"/>
        <v>26</v>
      </c>
      <c r="R220" s="7">
        <f t="shared" si="23"/>
        <v>13</v>
      </c>
      <c r="S220" s="13">
        <f>M220*GiaDinh!$C$7</f>
        <v>45.15</v>
      </c>
    </row>
    <row r="221" spans="1:19" ht="46.5" x14ac:dyDescent="0.35">
      <c r="A221" s="7" t="s">
        <v>10</v>
      </c>
      <c r="B221" s="7">
        <v>8</v>
      </c>
      <c r="C221" s="7" t="s">
        <v>179</v>
      </c>
      <c r="D221" s="7" t="s">
        <v>379</v>
      </c>
      <c r="E221" s="7">
        <v>1</v>
      </c>
      <c r="F221" s="7">
        <v>59.1</v>
      </c>
      <c r="G221" s="12">
        <f>E221*F221*GiaDinh!$C$18*GiaDinh!$C$17</f>
        <v>49.643999999999998</v>
      </c>
      <c r="H221" s="7">
        <f>GiaDinh!$C$21</f>
        <v>1.2250000000000001</v>
      </c>
      <c r="I221" s="7">
        <f>GiaDinh!$C$15</f>
        <v>15</v>
      </c>
      <c r="J221" s="7">
        <f t="shared" si="18"/>
        <v>13</v>
      </c>
      <c r="K221" s="12">
        <f>J221*GiaDinh!$C$16</f>
        <v>91</v>
      </c>
      <c r="L221" s="7">
        <f t="shared" si="19"/>
        <v>1</v>
      </c>
      <c r="M221" s="12">
        <f t="shared" si="20"/>
        <v>15</v>
      </c>
      <c r="N221" s="7">
        <f>L221*ROUNDUP(I221/GiaDinh!$C$5-0.0005,0)</f>
        <v>3</v>
      </c>
      <c r="O221" s="7">
        <f>L221*(ROUNDUP(I221/GiaDinh!$C$5-0.0005,0)-1)</f>
        <v>2</v>
      </c>
      <c r="P221" s="7">
        <f t="shared" si="21"/>
        <v>13</v>
      </c>
      <c r="Q221" s="7">
        <f t="shared" si="22"/>
        <v>26</v>
      </c>
      <c r="R221" s="7">
        <f t="shared" si="23"/>
        <v>13</v>
      </c>
      <c r="S221" s="13">
        <f>M221*GiaDinh!$C$7</f>
        <v>45.15</v>
      </c>
    </row>
    <row r="222" spans="1:19" ht="46.5" x14ac:dyDescent="0.35">
      <c r="A222" s="7" t="s">
        <v>10</v>
      </c>
      <c r="B222" s="7">
        <v>9</v>
      </c>
      <c r="C222" s="7" t="s">
        <v>179</v>
      </c>
      <c r="D222" s="7" t="s">
        <v>380</v>
      </c>
      <c r="E222" s="7">
        <v>1</v>
      </c>
      <c r="F222" s="7">
        <v>59.1</v>
      </c>
      <c r="G222" s="12">
        <f>E222*F222*GiaDinh!$C$18*GiaDinh!$C$17</f>
        <v>49.643999999999998</v>
      </c>
      <c r="H222" s="7">
        <f>GiaDinh!$C$21</f>
        <v>1.2250000000000001</v>
      </c>
      <c r="I222" s="7">
        <f>GiaDinh!$C$15</f>
        <v>15</v>
      </c>
      <c r="J222" s="7">
        <f t="shared" si="18"/>
        <v>13</v>
      </c>
      <c r="K222" s="12">
        <f>J222*GiaDinh!$C$16</f>
        <v>91</v>
      </c>
      <c r="L222" s="7">
        <f t="shared" si="19"/>
        <v>1</v>
      </c>
      <c r="M222" s="12">
        <f t="shared" si="20"/>
        <v>15</v>
      </c>
      <c r="N222" s="7">
        <f>L222*ROUNDUP(I222/GiaDinh!$C$5-0.0005,0)</f>
        <v>3</v>
      </c>
      <c r="O222" s="7">
        <f>L222*(ROUNDUP(I222/GiaDinh!$C$5-0.0005,0)-1)</f>
        <v>2</v>
      </c>
      <c r="P222" s="7">
        <f t="shared" si="21"/>
        <v>13</v>
      </c>
      <c r="Q222" s="7">
        <f t="shared" si="22"/>
        <v>26</v>
      </c>
      <c r="R222" s="7">
        <f t="shared" si="23"/>
        <v>13</v>
      </c>
      <c r="S222" s="13">
        <f>M222*GiaDinh!$C$7</f>
        <v>45.15</v>
      </c>
    </row>
    <row r="223" spans="1:19" ht="46.5" x14ac:dyDescent="0.35">
      <c r="A223" s="7" t="s">
        <v>10</v>
      </c>
      <c r="B223" s="7">
        <v>10</v>
      </c>
      <c r="C223" s="7" t="s">
        <v>179</v>
      </c>
      <c r="D223" s="7" t="s">
        <v>381</v>
      </c>
      <c r="E223" s="7">
        <v>1</v>
      </c>
      <c r="F223" s="7">
        <v>59.1</v>
      </c>
      <c r="G223" s="12">
        <f>E223*F223*GiaDinh!$C$18*GiaDinh!$C$17</f>
        <v>49.643999999999998</v>
      </c>
      <c r="H223" s="7">
        <f>GiaDinh!$C$21</f>
        <v>1.2250000000000001</v>
      </c>
      <c r="I223" s="7">
        <f>GiaDinh!$C$15</f>
        <v>15</v>
      </c>
      <c r="J223" s="7">
        <f t="shared" si="18"/>
        <v>13</v>
      </c>
      <c r="K223" s="12">
        <f>J223*GiaDinh!$C$16</f>
        <v>91</v>
      </c>
      <c r="L223" s="7">
        <f t="shared" si="19"/>
        <v>1</v>
      </c>
      <c r="M223" s="12">
        <f t="shared" si="20"/>
        <v>15</v>
      </c>
      <c r="N223" s="7">
        <f>L223*ROUNDUP(I223/GiaDinh!$C$5-0.0005,0)</f>
        <v>3</v>
      </c>
      <c r="O223" s="7">
        <f>L223*(ROUNDUP(I223/GiaDinh!$C$5-0.0005,0)-1)</f>
        <v>2</v>
      </c>
      <c r="P223" s="7">
        <f t="shared" si="21"/>
        <v>13</v>
      </c>
      <c r="Q223" s="7">
        <f t="shared" si="22"/>
        <v>26</v>
      </c>
      <c r="R223" s="7">
        <f t="shared" si="23"/>
        <v>13</v>
      </c>
      <c r="S223" s="13">
        <f>M223*GiaDinh!$C$7</f>
        <v>45.15</v>
      </c>
    </row>
    <row r="224" spans="1:19" ht="46.5" x14ac:dyDescent="0.35">
      <c r="A224" s="7" t="s">
        <v>10</v>
      </c>
      <c r="B224" s="7">
        <v>11</v>
      </c>
      <c r="C224" s="7" t="s">
        <v>179</v>
      </c>
      <c r="D224" s="7" t="s">
        <v>382</v>
      </c>
      <c r="E224" s="7">
        <v>1</v>
      </c>
      <c r="F224" s="7">
        <v>59.1</v>
      </c>
      <c r="G224" s="12">
        <f>E224*F224*GiaDinh!$C$18*GiaDinh!$C$17</f>
        <v>49.643999999999998</v>
      </c>
      <c r="H224" s="7">
        <f>GiaDinh!$C$21</f>
        <v>1.2250000000000001</v>
      </c>
      <c r="I224" s="7">
        <f>GiaDinh!$C$15</f>
        <v>15</v>
      </c>
      <c r="J224" s="7">
        <f t="shared" si="18"/>
        <v>13</v>
      </c>
      <c r="K224" s="12">
        <f>J224*GiaDinh!$C$16</f>
        <v>91</v>
      </c>
      <c r="L224" s="7">
        <f t="shared" si="19"/>
        <v>1</v>
      </c>
      <c r="M224" s="12">
        <f t="shared" si="20"/>
        <v>15</v>
      </c>
      <c r="N224" s="7">
        <f>L224*ROUNDUP(I224/GiaDinh!$C$5-0.0005,0)</f>
        <v>3</v>
      </c>
      <c r="O224" s="7">
        <f>L224*(ROUNDUP(I224/GiaDinh!$C$5-0.0005,0)-1)</f>
        <v>2</v>
      </c>
      <c r="P224" s="7">
        <f t="shared" si="21"/>
        <v>13</v>
      </c>
      <c r="Q224" s="7">
        <f t="shared" si="22"/>
        <v>26</v>
      </c>
      <c r="R224" s="7">
        <f t="shared" si="23"/>
        <v>13</v>
      </c>
      <c r="S224" s="13">
        <f>M224*GiaDinh!$C$7</f>
        <v>45.15</v>
      </c>
    </row>
    <row r="225" spans="1:19" ht="46.5" x14ac:dyDescent="0.35">
      <c r="A225" s="7" t="s">
        <v>10</v>
      </c>
      <c r="B225" s="7">
        <v>12</v>
      </c>
      <c r="C225" s="7" t="s">
        <v>179</v>
      </c>
      <c r="D225" s="7" t="s">
        <v>383</v>
      </c>
      <c r="E225" s="7">
        <v>1</v>
      </c>
      <c r="F225" s="7">
        <v>59.1</v>
      </c>
      <c r="G225" s="12">
        <f>E225*F225*GiaDinh!$C$18*GiaDinh!$C$17</f>
        <v>49.643999999999998</v>
      </c>
      <c r="H225" s="7">
        <f>GiaDinh!$C$21</f>
        <v>1.2250000000000001</v>
      </c>
      <c r="I225" s="7">
        <f>GiaDinh!$C$15</f>
        <v>15</v>
      </c>
      <c r="J225" s="7">
        <f t="shared" si="18"/>
        <v>13</v>
      </c>
      <c r="K225" s="12">
        <f>J225*GiaDinh!$C$16</f>
        <v>91</v>
      </c>
      <c r="L225" s="7">
        <f t="shared" si="19"/>
        <v>1</v>
      </c>
      <c r="M225" s="12">
        <f t="shared" si="20"/>
        <v>15</v>
      </c>
      <c r="N225" s="7">
        <f>L225*ROUNDUP(I225/GiaDinh!$C$5-0.0005,0)</f>
        <v>3</v>
      </c>
      <c r="O225" s="7">
        <f>L225*(ROUNDUP(I225/GiaDinh!$C$5-0.0005,0)-1)</f>
        <v>2</v>
      </c>
      <c r="P225" s="7">
        <f t="shared" si="21"/>
        <v>13</v>
      </c>
      <c r="Q225" s="7">
        <f t="shared" si="22"/>
        <v>26</v>
      </c>
      <c r="R225" s="7">
        <f t="shared" si="23"/>
        <v>13</v>
      </c>
      <c r="S225" s="13">
        <f>M225*GiaDinh!$C$7</f>
        <v>45.15</v>
      </c>
    </row>
    <row r="226" spans="1:19" ht="46.5" x14ac:dyDescent="0.35">
      <c r="A226" s="7" t="s">
        <v>10</v>
      </c>
      <c r="B226" s="7">
        <v>13</v>
      </c>
      <c r="C226" s="7" t="s">
        <v>179</v>
      </c>
      <c r="D226" s="7" t="s">
        <v>384</v>
      </c>
      <c r="E226" s="7">
        <v>1</v>
      </c>
      <c r="F226" s="7">
        <v>59.1</v>
      </c>
      <c r="G226" s="12">
        <f>E226*F226*GiaDinh!$C$18*GiaDinh!$C$17</f>
        <v>49.643999999999998</v>
      </c>
      <c r="H226" s="7">
        <f>GiaDinh!$C$21</f>
        <v>1.2250000000000001</v>
      </c>
      <c r="I226" s="7">
        <f>GiaDinh!$C$15</f>
        <v>15</v>
      </c>
      <c r="J226" s="7">
        <f t="shared" si="18"/>
        <v>13</v>
      </c>
      <c r="K226" s="12">
        <f>J226*GiaDinh!$C$16</f>
        <v>91</v>
      </c>
      <c r="L226" s="7">
        <f t="shared" si="19"/>
        <v>1</v>
      </c>
      <c r="M226" s="12">
        <f t="shared" si="20"/>
        <v>15</v>
      </c>
      <c r="N226" s="7">
        <f>L226*ROUNDUP(I226/GiaDinh!$C$5-0.0005,0)</f>
        <v>3</v>
      </c>
      <c r="O226" s="7">
        <f>L226*(ROUNDUP(I226/GiaDinh!$C$5-0.0005,0)-1)</f>
        <v>2</v>
      </c>
      <c r="P226" s="7">
        <f t="shared" si="21"/>
        <v>13</v>
      </c>
      <c r="Q226" s="7">
        <f t="shared" si="22"/>
        <v>26</v>
      </c>
      <c r="R226" s="7">
        <f t="shared" si="23"/>
        <v>13</v>
      </c>
      <c r="S226" s="13">
        <f>M226*GiaDinh!$C$7</f>
        <v>45.15</v>
      </c>
    </row>
    <row r="227" spans="1:19" ht="46.5" x14ac:dyDescent="0.35">
      <c r="A227" s="7" t="s">
        <v>10</v>
      </c>
      <c r="B227" s="7">
        <v>14</v>
      </c>
      <c r="C227" s="7" t="s">
        <v>179</v>
      </c>
      <c r="D227" s="7" t="s">
        <v>385</v>
      </c>
      <c r="E227" s="7">
        <v>1</v>
      </c>
      <c r="F227" s="7">
        <v>59.1</v>
      </c>
      <c r="G227" s="12">
        <f>E227*F227*GiaDinh!$C$18*GiaDinh!$C$17</f>
        <v>49.643999999999998</v>
      </c>
      <c r="H227" s="7">
        <f>GiaDinh!$C$21</f>
        <v>1.2250000000000001</v>
      </c>
      <c r="I227" s="7">
        <f>GiaDinh!$C$15</f>
        <v>15</v>
      </c>
      <c r="J227" s="7">
        <f t="shared" si="18"/>
        <v>13</v>
      </c>
      <c r="K227" s="12">
        <f>J227*GiaDinh!$C$16</f>
        <v>91</v>
      </c>
      <c r="L227" s="7">
        <f t="shared" si="19"/>
        <v>1</v>
      </c>
      <c r="M227" s="12">
        <f t="shared" si="20"/>
        <v>15</v>
      </c>
      <c r="N227" s="7">
        <f>L227*ROUNDUP(I227/GiaDinh!$C$5-0.0005,0)</f>
        <v>3</v>
      </c>
      <c r="O227" s="7">
        <f>L227*(ROUNDUP(I227/GiaDinh!$C$5-0.0005,0)-1)</f>
        <v>2</v>
      </c>
      <c r="P227" s="7">
        <f t="shared" si="21"/>
        <v>13</v>
      </c>
      <c r="Q227" s="7">
        <f t="shared" si="22"/>
        <v>26</v>
      </c>
      <c r="R227" s="7">
        <f t="shared" si="23"/>
        <v>13</v>
      </c>
      <c r="S227" s="13">
        <f>M227*GiaDinh!$C$7</f>
        <v>45.15</v>
      </c>
    </row>
    <row r="228" spans="1:19" ht="46.5" x14ac:dyDescent="0.35">
      <c r="A228" s="7" t="s">
        <v>10</v>
      </c>
      <c r="B228" s="7">
        <v>15</v>
      </c>
      <c r="C228" s="7" t="s">
        <v>179</v>
      </c>
      <c r="D228" s="7" t="s">
        <v>386</v>
      </c>
      <c r="E228" s="7">
        <v>1</v>
      </c>
      <c r="F228" s="7">
        <v>59.1</v>
      </c>
      <c r="G228" s="12">
        <f>E228*F228*GiaDinh!$C$18*GiaDinh!$C$17</f>
        <v>49.643999999999998</v>
      </c>
      <c r="H228" s="7">
        <f>GiaDinh!$C$21</f>
        <v>1.2250000000000001</v>
      </c>
      <c r="I228" s="7">
        <f>GiaDinh!$C$15</f>
        <v>15</v>
      </c>
      <c r="J228" s="7">
        <f t="shared" si="18"/>
        <v>13</v>
      </c>
      <c r="K228" s="12">
        <f>J228*GiaDinh!$C$16</f>
        <v>91</v>
      </c>
      <c r="L228" s="7">
        <f t="shared" si="19"/>
        <v>1</v>
      </c>
      <c r="M228" s="12">
        <f t="shared" si="20"/>
        <v>15</v>
      </c>
      <c r="N228" s="7">
        <f>L228*ROUNDUP(I228/GiaDinh!$C$5-0.0005,0)</f>
        <v>3</v>
      </c>
      <c r="O228" s="7">
        <f>L228*(ROUNDUP(I228/GiaDinh!$C$5-0.0005,0)-1)</f>
        <v>2</v>
      </c>
      <c r="P228" s="7">
        <f t="shared" si="21"/>
        <v>13</v>
      </c>
      <c r="Q228" s="7">
        <f t="shared" si="22"/>
        <v>26</v>
      </c>
      <c r="R228" s="7">
        <f t="shared" si="23"/>
        <v>13</v>
      </c>
      <c r="S228" s="13">
        <f>M228*GiaDinh!$C$7</f>
        <v>45.15</v>
      </c>
    </row>
    <row r="229" spans="1:19" ht="46.5" x14ac:dyDescent="0.35">
      <c r="A229" s="7" t="s">
        <v>10</v>
      </c>
      <c r="B229" s="7">
        <v>16</v>
      </c>
      <c r="C229" s="7" t="s">
        <v>179</v>
      </c>
      <c r="D229" s="7" t="s">
        <v>387</v>
      </c>
      <c r="E229" s="7">
        <v>1</v>
      </c>
      <c r="F229" s="7">
        <v>59.1</v>
      </c>
      <c r="G229" s="12">
        <f>E229*F229*GiaDinh!$C$18*GiaDinh!$C$17</f>
        <v>49.643999999999998</v>
      </c>
      <c r="H229" s="7">
        <f>GiaDinh!$C$21</f>
        <v>1.2250000000000001</v>
      </c>
      <c r="I229" s="7">
        <f>GiaDinh!$C$15</f>
        <v>15</v>
      </c>
      <c r="J229" s="7">
        <f t="shared" si="18"/>
        <v>13</v>
      </c>
      <c r="K229" s="12">
        <f>J229*GiaDinh!$C$16</f>
        <v>91</v>
      </c>
      <c r="L229" s="7">
        <f t="shared" si="19"/>
        <v>1</v>
      </c>
      <c r="M229" s="12">
        <f t="shared" si="20"/>
        <v>15</v>
      </c>
      <c r="N229" s="7">
        <f>L229*ROUNDUP(I229/GiaDinh!$C$5-0.0005,0)</f>
        <v>3</v>
      </c>
      <c r="O229" s="7">
        <f>L229*(ROUNDUP(I229/GiaDinh!$C$5-0.0005,0)-1)</f>
        <v>2</v>
      </c>
      <c r="P229" s="7">
        <f t="shared" si="21"/>
        <v>13</v>
      </c>
      <c r="Q229" s="7">
        <f t="shared" si="22"/>
        <v>26</v>
      </c>
      <c r="R229" s="7">
        <f t="shared" si="23"/>
        <v>13</v>
      </c>
      <c r="S229" s="13">
        <f>M229*GiaDinh!$C$7</f>
        <v>45.15</v>
      </c>
    </row>
    <row r="230" spans="1:19" ht="46.5" x14ac:dyDescent="0.35">
      <c r="A230" s="7" t="s">
        <v>10</v>
      </c>
      <c r="B230" s="7">
        <v>17</v>
      </c>
      <c r="C230" s="7" t="s">
        <v>179</v>
      </c>
      <c r="D230" s="7" t="s">
        <v>388</v>
      </c>
      <c r="E230" s="7">
        <v>1</v>
      </c>
      <c r="F230" s="7">
        <v>59.1</v>
      </c>
      <c r="G230" s="12">
        <f>E230*F230*GiaDinh!$C$18*GiaDinh!$C$17</f>
        <v>49.643999999999998</v>
      </c>
      <c r="H230" s="7">
        <f>GiaDinh!$C$21</f>
        <v>1.2250000000000001</v>
      </c>
      <c r="I230" s="7">
        <f>GiaDinh!$C$15</f>
        <v>15</v>
      </c>
      <c r="J230" s="7">
        <f t="shared" si="18"/>
        <v>13</v>
      </c>
      <c r="K230" s="12">
        <f>J230*GiaDinh!$C$16</f>
        <v>91</v>
      </c>
      <c r="L230" s="7">
        <f t="shared" si="19"/>
        <v>1</v>
      </c>
      <c r="M230" s="12">
        <f t="shared" si="20"/>
        <v>15</v>
      </c>
      <c r="N230" s="7">
        <f>L230*ROUNDUP(I230/GiaDinh!$C$5-0.0005,0)</f>
        <v>3</v>
      </c>
      <c r="O230" s="7">
        <f>L230*(ROUNDUP(I230/GiaDinh!$C$5-0.0005,0)-1)</f>
        <v>2</v>
      </c>
      <c r="P230" s="7">
        <f t="shared" si="21"/>
        <v>13</v>
      </c>
      <c r="Q230" s="7">
        <f t="shared" si="22"/>
        <v>26</v>
      </c>
      <c r="R230" s="7">
        <f t="shared" si="23"/>
        <v>13</v>
      </c>
      <c r="S230" s="13">
        <f>M230*GiaDinh!$C$7</f>
        <v>45.15</v>
      </c>
    </row>
    <row r="231" spans="1:19" ht="46.5" x14ac:dyDescent="0.35">
      <c r="A231" s="7" t="s">
        <v>10</v>
      </c>
      <c r="B231" s="7">
        <v>18</v>
      </c>
      <c r="C231" s="7" t="s">
        <v>179</v>
      </c>
      <c r="D231" s="7" t="s">
        <v>389</v>
      </c>
      <c r="E231" s="7">
        <v>1</v>
      </c>
      <c r="F231" s="7">
        <v>59.1</v>
      </c>
      <c r="G231" s="12">
        <f>E231*F231*GiaDinh!$C$18*GiaDinh!$C$17</f>
        <v>49.643999999999998</v>
      </c>
      <c r="H231" s="7">
        <f>GiaDinh!$C$21</f>
        <v>1.2250000000000001</v>
      </c>
      <c r="I231" s="7">
        <f>GiaDinh!$C$15</f>
        <v>15</v>
      </c>
      <c r="J231" s="7">
        <f t="shared" si="18"/>
        <v>13</v>
      </c>
      <c r="K231" s="12">
        <f>J231*GiaDinh!$C$16</f>
        <v>91</v>
      </c>
      <c r="L231" s="7">
        <f t="shared" si="19"/>
        <v>1</v>
      </c>
      <c r="M231" s="12">
        <f t="shared" si="20"/>
        <v>15</v>
      </c>
      <c r="N231" s="7">
        <f>L231*ROUNDUP(I231/GiaDinh!$C$5-0.0005,0)</f>
        <v>3</v>
      </c>
      <c r="O231" s="7">
        <f>L231*(ROUNDUP(I231/GiaDinh!$C$5-0.0005,0)-1)</f>
        <v>2</v>
      </c>
      <c r="P231" s="7">
        <f t="shared" si="21"/>
        <v>13</v>
      </c>
      <c r="Q231" s="7">
        <f t="shared" si="22"/>
        <v>26</v>
      </c>
      <c r="R231" s="7">
        <f t="shared" si="23"/>
        <v>13</v>
      </c>
      <c r="S231" s="13">
        <f>M231*GiaDinh!$C$7</f>
        <v>45.15</v>
      </c>
    </row>
    <row r="232" spans="1:19" ht="46.5" x14ac:dyDescent="0.35">
      <c r="A232" s="7" t="s">
        <v>10</v>
      </c>
      <c r="B232" s="7">
        <v>19</v>
      </c>
      <c r="C232" s="7" t="s">
        <v>179</v>
      </c>
      <c r="D232" s="7" t="s">
        <v>390</v>
      </c>
      <c r="E232" s="7">
        <v>1</v>
      </c>
      <c r="F232" s="7">
        <v>59.1</v>
      </c>
      <c r="G232" s="12">
        <f>E232*F232*GiaDinh!$C$18*GiaDinh!$C$17</f>
        <v>49.643999999999998</v>
      </c>
      <c r="H232" s="7">
        <f>GiaDinh!$C$21</f>
        <v>1.2250000000000001</v>
      </c>
      <c r="I232" s="7">
        <f>GiaDinh!$C$15</f>
        <v>15</v>
      </c>
      <c r="J232" s="7">
        <f t="shared" si="18"/>
        <v>13</v>
      </c>
      <c r="K232" s="12">
        <f>J232*GiaDinh!$C$16</f>
        <v>91</v>
      </c>
      <c r="L232" s="7">
        <f t="shared" si="19"/>
        <v>1</v>
      </c>
      <c r="M232" s="12">
        <f t="shared" si="20"/>
        <v>15</v>
      </c>
      <c r="N232" s="7">
        <f>L232*ROUNDUP(I232/GiaDinh!$C$5-0.0005,0)</f>
        <v>3</v>
      </c>
      <c r="O232" s="7">
        <f>L232*(ROUNDUP(I232/GiaDinh!$C$5-0.0005,0)-1)</f>
        <v>2</v>
      </c>
      <c r="P232" s="7">
        <f t="shared" si="21"/>
        <v>13</v>
      </c>
      <c r="Q232" s="7">
        <f t="shared" si="22"/>
        <v>26</v>
      </c>
      <c r="R232" s="7">
        <f t="shared" si="23"/>
        <v>13</v>
      </c>
      <c r="S232" s="13">
        <f>M232*GiaDinh!$C$7</f>
        <v>45.15</v>
      </c>
    </row>
    <row r="233" spans="1:19" ht="46.5" x14ac:dyDescent="0.35">
      <c r="A233" s="7" t="s">
        <v>10</v>
      </c>
      <c r="B233" s="7">
        <v>20</v>
      </c>
      <c r="C233" s="7" t="s">
        <v>179</v>
      </c>
      <c r="D233" s="7" t="s">
        <v>391</v>
      </c>
      <c r="E233" s="7">
        <v>1</v>
      </c>
      <c r="F233" s="7">
        <v>59.1</v>
      </c>
      <c r="G233" s="12">
        <f>E233*F233*GiaDinh!$C$18*GiaDinh!$C$17</f>
        <v>49.643999999999998</v>
      </c>
      <c r="H233" s="7">
        <f>GiaDinh!$C$21</f>
        <v>1.2250000000000001</v>
      </c>
      <c r="I233" s="7">
        <f>GiaDinh!$C$15</f>
        <v>15</v>
      </c>
      <c r="J233" s="7">
        <f t="shared" si="18"/>
        <v>13</v>
      </c>
      <c r="K233" s="12">
        <f>J233*GiaDinh!$C$16</f>
        <v>91</v>
      </c>
      <c r="L233" s="7">
        <f t="shared" si="19"/>
        <v>1</v>
      </c>
      <c r="M233" s="12">
        <f t="shared" si="20"/>
        <v>15</v>
      </c>
      <c r="N233" s="7">
        <f>L233*ROUNDUP(I233/GiaDinh!$C$5-0.0005,0)</f>
        <v>3</v>
      </c>
      <c r="O233" s="7">
        <f>L233*(ROUNDUP(I233/GiaDinh!$C$5-0.0005,0)-1)</f>
        <v>2</v>
      </c>
      <c r="P233" s="7">
        <f t="shared" si="21"/>
        <v>13</v>
      </c>
      <c r="Q233" s="7">
        <f t="shared" si="22"/>
        <v>26</v>
      </c>
      <c r="R233" s="7">
        <f t="shared" si="23"/>
        <v>13</v>
      </c>
      <c r="S233" s="13">
        <f>M233*GiaDinh!$C$7</f>
        <v>45.15</v>
      </c>
    </row>
    <row r="234" spans="1:19" ht="46.5" x14ac:dyDescent="0.35">
      <c r="A234" s="7" t="s">
        <v>10</v>
      </c>
      <c r="B234" s="7">
        <v>21</v>
      </c>
      <c r="C234" s="7" t="s">
        <v>179</v>
      </c>
      <c r="D234" s="7" t="s">
        <v>392</v>
      </c>
      <c r="E234" s="7">
        <v>1</v>
      </c>
      <c r="F234" s="7">
        <v>59.1</v>
      </c>
      <c r="G234" s="12">
        <f>E234*F234*GiaDinh!$C$18*GiaDinh!$C$17</f>
        <v>49.643999999999998</v>
      </c>
      <c r="H234" s="7">
        <f>GiaDinh!$C$21</f>
        <v>1.2250000000000001</v>
      </c>
      <c r="I234" s="7">
        <f>GiaDinh!$C$15</f>
        <v>15</v>
      </c>
      <c r="J234" s="7">
        <f t="shared" si="18"/>
        <v>13</v>
      </c>
      <c r="K234" s="12">
        <f>J234*GiaDinh!$C$16</f>
        <v>91</v>
      </c>
      <c r="L234" s="7">
        <f t="shared" si="19"/>
        <v>1</v>
      </c>
      <c r="M234" s="12">
        <f t="shared" si="20"/>
        <v>15</v>
      </c>
      <c r="N234" s="7">
        <f>L234*ROUNDUP(I234/GiaDinh!$C$5-0.0005,0)</f>
        <v>3</v>
      </c>
      <c r="O234" s="7">
        <f>L234*(ROUNDUP(I234/GiaDinh!$C$5-0.0005,0)-1)</f>
        <v>2</v>
      </c>
      <c r="P234" s="7">
        <f t="shared" si="21"/>
        <v>13</v>
      </c>
      <c r="Q234" s="7">
        <f t="shared" si="22"/>
        <v>26</v>
      </c>
      <c r="R234" s="7">
        <f t="shared" si="23"/>
        <v>13</v>
      </c>
      <c r="S234" s="13">
        <f>M234*GiaDinh!$C$7</f>
        <v>45.15</v>
      </c>
    </row>
    <row r="235" spans="1:19" ht="46.5" x14ac:dyDescent="0.35">
      <c r="A235" s="7" t="s">
        <v>10</v>
      </c>
      <c r="B235" s="7">
        <v>22</v>
      </c>
      <c r="C235" s="7" t="s">
        <v>179</v>
      </c>
      <c r="D235" s="7" t="s">
        <v>393</v>
      </c>
      <c r="E235" s="7">
        <v>1</v>
      </c>
      <c r="F235" s="7">
        <v>59.1</v>
      </c>
      <c r="G235" s="12">
        <f>E235*F235*GiaDinh!$C$18*GiaDinh!$C$17</f>
        <v>49.643999999999998</v>
      </c>
      <c r="H235" s="7">
        <f>GiaDinh!$C$21</f>
        <v>1.2250000000000001</v>
      </c>
      <c r="I235" s="7">
        <f>GiaDinh!$C$15</f>
        <v>15</v>
      </c>
      <c r="J235" s="7">
        <f t="shared" si="18"/>
        <v>13</v>
      </c>
      <c r="K235" s="12">
        <f>J235*GiaDinh!$C$16</f>
        <v>91</v>
      </c>
      <c r="L235" s="7">
        <f t="shared" si="19"/>
        <v>1</v>
      </c>
      <c r="M235" s="12">
        <f t="shared" si="20"/>
        <v>15</v>
      </c>
      <c r="N235" s="7">
        <f>L235*ROUNDUP(I235/GiaDinh!$C$5-0.0005,0)</f>
        <v>3</v>
      </c>
      <c r="O235" s="7">
        <f>L235*(ROUNDUP(I235/GiaDinh!$C$5-0.0005,0)-1)</f>
        <v>2</v>
      </c>
      <c r="P235" s="7">
        <f t="shared" si="21"/>
        <v>13</v>
      </c>
      <c r="Q235" s="7">
        <f t="shared" si="22"/>
        <v>26</v>
      </c>
      <c r="R235" s="7">
        <f t="shared" si="23"/>
        <v>13</v>
      </c>
      <c r="S235" s="13">
        <f>M235*GiaDinh!$C$7</f>
        <v>45.15</v>
      </c>
    </row>
    <row r="236" spans="1:19" ht="46.5" x14ac:dyDescent="0.35">
      <c r="A236" s="7" t="s">
        <v>10</v>
      </c>
      <c r="B236" s="7">
        <v>23</v>
      </c>
      <c r="C236" s="7" t="s">
        <v>179</v>
      </c>
      <c r="D236" s="7" t="s">
        <v>394</v>
      </c>
      <c r="E236" s="7">
        <v>1</v>
      </c>
      <c r="F236" s="7">
        <v>59.1</v>
      </c>
      <c r="G236" s="12">
        <f>E236*F236*GiaDinh!$C$18*GiaDinh!$C$17</f>
        <v>49.643999999999998</v>
      </c>
      <c r="H236" s="7">
        <f>GiaDinh!$C$21</f>
        <v>1.2250000000000001</v>
      </c>
      <c r="I236" s="7">
        <f>GiaDinh!$C$15</f>
        <v>15</v>
      </c>
      <c r="J236" s="7">
        <f t="shared" si="18"/>
        <v>13</v>
      </c>
      <c r="K236" s="12">
        <f>J236*GiaDinh!$C$16</f>
        <v>91</v>
      </c>
      <c r="L236" s="7">
        <f t="shared" si="19"/>
        <v>1</v>
      </c>
      <c r="M236" s="12">
        <f t="shared" si="20"/>
        <v>15</v>
      </c>
      <c r="N236" s="7">
        <f>L236*ROUNDUP(I236/GiaDinh!$C$5-0.0005,0)</f>
        <v>3</v>
      </c>
      <c r="O236" s="7">
        <f>L236*(ROUNDUP(I236/GiaDinh!$C$5-0.0005,0)-1)</f>
        <v>2</v>
      </c>
      <c r="P236" s="7">
        <f t="shared" si="21"/>
        <v>13</v>
      </c>
      <c r="Q236" s="7">
        <f t="shared" si="22"/>
        <v>26</v>
      </c>
      <c r="R236" s="7">
        <f t="shared" si="23"/>
        <v>13</v>
      </c>
      <c r="S236" s="13">
        <f>M236*GiaDinh!$C$7</f>
        <v>45.15</v>
      </c>
    </row>
    <row r="237" spans="1:19" ht="46.5" x14ac:dyDescent="0.35">
      <c r="A237" s="7" t="s">
        <v>10</v>
      </c>
      <c r="B237" s="7">
        <v>24</v>
      </c>
      <c r="C237" s="7" t="s">
        <v>179</v>
      </c>
      <c r="D237" s="7" t="s">
        <v>395</v>
      </c>
      <c r="E237" s="7">
        <v>1</v>
      </c>
      <c r="F237" s="7">
        <v>59.1</v>
      </c>
      <c r="G237" s="12">
        <f>E237*F237*GiaDinh!$C$18*GiaDinh!$C$17</f>
        <v>49.643999999999998</v>
      </c>
      <c r="H237" s="7">
        <f>GiaDinh!$C$21</f>
        <v>1.2250000000000001</v>
      </c>
      <c r="I237" s="7">
        <f>GiaDinh!$C$15</f>
        <v>15</v>
      </c>
      <c r="J237" s="7">
        <f t="shared" si="18"/>
        <v>13</v>
      </c>
      <c r="K237" s="12">
        <f>J237*GiaDinh!$C$16</f>
        <v>91</v>
      </c>
      <c r="L237" s="7">
        <f t="shared" si="19"/>
        <v>1</v>
      </c>
      <c r="M237" s="12">
        <f t="shared" si="20"/>
        <v>15</v>
      </c>
      <c r="N237" s="7">
        <f>L237*ROUNDUP(I237/GiaDinh!$C$5-0.0005,0)</f>
        <v>3</v>
      </c>
      <c r="O237" s="7">
        <f>L237*(ROUNDUP(I237/GiaDinh!$C$5-0.0005,0)-1)</f>
        <v>2</v>
      </c>
      <c r="P237" s="7">
        <f t="shared" si="21"/>
        <v>13</v>
      </c>
      <c r="Q237" s="7">
        <f t="shared" si="22"/>
        <v>26</v>
      </c>
      <c r="R237" s="7">
        <f t="shared" si="23"/>
        <v>13</v>
      </c>
      <c r="S237" s="13">
        <f>M237*GiaDinh!$C$7</f>
        <v>45.15</v>
      </c>
    </row>
    <row r="238" spans="1:19" ht="46.5" x14ac:dyDescent="0.35">
      <c r="A238" s="7" t="s">
        <v>10</v>
      </c>
      <c r="B238" s="7">
        <v>25</v>
      </c>
      <c r="C238" s="7" t="s">
        <v>179</v>
      </c>
      <c r="D238" s="7" t="s">
        <v>396</v>
      </c>
      <c r="E238" s="7">
        <v>1</v>
      </c>
      <c r="F238" s="7">
        <v>59.1</v>
      </c>
      <c r="G238" s="12">
        <f>E238*F238*GiaDinh!$C$18*GiaDinh!$C$17</f>
        <v>49.643999999999998</v>
      </c>
      <c r="H238" s="7">
        <f>GiaDinh!$C$21</f>
        <v>1.2250000000000001</v>
      </c>
      <c r="I238" s="7">
        <f>GiaDinh!$C$15</f>
        <v>15</v>
      </c>
      <c r="J238" s="7">
        <f t="shared" si="18"/>
        <v>13</v>
      </c>
      <c r="K238" s="12">
        <f>J238*GiaDinh!$C$16</f>
        <v>91</v>
      </c>
      <c r="L238" s="7">
        <f t="shared" si="19"/>
        <v>1</v>
      </c>
      <c r="M238" s="12">
        <f t="shared" si="20"/>
        <v>15</v>
      </c>
      <c r="N238" s="7">
        <f>L238*ROUNDUP(I238/GiaDinh!$C$5-0.0005,0)</f>
        <v>3</v>
      </c>
      <c r="O238" s="7">
        <f>L238*(ROUNDUP(I238/GiaDinh!$C$5-0.0005,0)-1)</f>
        <v>2</v>
      </c>
      <c r="P238" s="7">
        <f t="shared" si="21"/>
        <v>13</v>
      </c>
      <c r="Q238" s="7">
        <f t="shared" si="22"/>
        <v>26</v>
      </c>
      <c r="R238" s="7">
        <f t="shared" si="23"/>
        <v>13</v>
      </c>
      <c r="S238" s="13">
        <f>M238*GiaDinh!$C$7</f>
        <v>45.15</v>
      </c>
    </row>
    <row r="239" spans="1:19" ht="46.5" x14ac:dyDescent="0.35">
      <c r="A239" s="7" t="s">
        <v>10</v>
      </c>
      <c r="B239" s="7">
        <v>26</v>
      </c>
      <c r="C239" s="7" t="s">
        <v>179</v>
      </c>
      <c r="D239" s="7" t="s">
        <v>397</v>
      </c>
      <c r="E239" s="7">
        <v>1</v>
      </c>
      <c r="F239" s="7">
        <v>59.1</v>
      </c>
      <c r="G239" s="12">
        <f>E239*F239*GiaDinh!$C$18*GiaDinh!$C$17</f>
        <v>49.643999999999998</v>
      </c>
      <c r="H239" s="7">
        <f>GiaDinh!$C$21</f>
        <v>1.2250000000000001</v>
      </c>
      <c r="I239" s="7">
        <f>GiaDinh!$C$15</f>
        <v>15</v>
      </c>
      <c r="J239" s="7">
        <f t="shared" si="18"/>
        <v>13</v>
      </c>
      <c r="K239" s="12">
        <f>J239*GiaDinh!$C$16</f>
        <v>91</v>
      </c>
      <c r="L239" s="7">
        <f t="shared" si="19"/>
        <v>1</v>
      </c>
      <c r="M239" s="12">
        <f t="shared" si="20"/>
        <v>15</v>
      </c>
      <c r="N239" s="7">
        <f>L239*ROUNDUP(I239/GiaDinh!$C$5-0.0005,0)</f>
        <v>3</v>
      </c>
      <c r="O239" s="7">
        <f>L239*(ROUNDUP(I239/GiaDinh!$C$5-0.0005,0)-1)</f>
        <v>2</v>
      </c>
      <c r="P239" s="7">
        <f t="shared" si="21"/>
        <v>13</v>
      </c>
      <c r="Q239" s="7">
        <f t="shared" si="22"/>
        <v>26</v>
      </c>
      <c r="R239" s="7">
        <f t="shared" si="23"/>
        <v>13</v>
      </c>
      <c r="S239" s="13">
        <f>M239*GiaDinh!$C$7</f>
        <v>45.15</v>
      </c>
    </row>
    <row r="240" spans="1:19" ht="46.5" x14ac:dyDescent="0.35">
      <c r="A240" s="7" t="s">
        <v>10</v>
      </c>
      <c r="B240" s="7">
        <v>27</v>
      </c>
      <c r="C240" s="7" t="s">
        <v>179</v>
      </c>
      <c r="D240" s="7" t="s">
        <v>398</v>
      </c>
      <c r="E240" s="7">
        <v>1</v>
      </c>
      <c r="F240" s="7">
        <v>59.1</v>
      </c>
      <c r="G240" s="12">
        <f>E240*F240*GiaDinh!$C$18*GiaDinh!$C$17</f>
        <v>49.643999999999998</v>
      </c>
      <c r="H240" s="7">
        <f>GiaDinh!$C$21</f>
        <v>1.2250000000000001</v>
      </c>
      <c r="I240" s="7">
        <f>GiaDinh!$C$15</f>
        <v>15</v>
      </c>
      <c r="J240" s="7">
        <f t="shared" si="18"/>
        <v>13</v>
      </c>
      <c r="K240" s="12">
        <f>J240*GiaDinh!$C$16</f>
        <v>91</v>
      </c>
      <c r="L240" s="7">
        <f t="shared" si="19"/>
        <v>1</v>
      </c>
      <c r="M240" s="12">
        <f t="shared" si="20"/>
        <v>15</v>
      </c>
      <c r="N240" s="7">
        <f>L240*ROUNDUP(I240/GiaDinh!$C$5-0.0005,0)</f>
        <v>3</v>
      </c>
      <c r="O240" s="7">
        <f>L240*(ROUNDUP(I240/GiaDinh!$C$5-0.0005,0)-1)</f>
        <v>2</v>
      </c>
      <c r="P240" s="7">
        <f t="shared" si="21"/>
        <v>13</v>
      </c>
      <c r="Q240" s="7">
        <f t="shared" si="22"/>
        <v>26</v>
      </c>
      <c r="R240" s="7">
        <f t="shared" si="23"/>
        <v>13</v>
      </c>
      <c r="S240" s="13">
        <f>M240*GiaDinh!$C$7</f>
        <v>45.15</v>
      </c>
    </row>
    <row r="241" spans="1:19" ht="46.5" x14ac:dyDescent="0.35">
      <c r="A241" s="7" t="s">
        <v>10</v>
      </c>
      <c r="B241" s="7">
        <v>28</v>
      </c>
      <c r="C241" s="7" t="s">
        <v>179</v>
      </c>
      <c r="D241" s="7" t="s">
        <v>399</v>
      </c>
      <c r="E241" s="7">
        <v>1</v>
      </c>
      <c r="F241" s="7">
        <v>59.1</v>
      </c>
      <c r="G241" s="12">
        <f>E241*F241*GiaDinh!$C$18*GiaDinh!$C$17</f>
        <v>49.643999999999998</v>
      </c>
      <c r="H241" s="7">
        <f>GiaDinh!$C$21</f>
        <v>1.2250000000000001</v>
      </c>
      <c r="I241" s="7">
        <f>GiaDinh!$C$15</f>
        <v>15</v>
      </c>
      <c r="J241" s="7">
        <f t="shared" si="18"/>
        <v>13</v>
      </c>
      <c r="K241" s="12">
        <f>J241*GiaDinh!$C$16</f>
        <v>91</v>
      </c>
      <c r="L241" s="7">
        <f t="shared" si="19"/>
        <v>1</v>
      </c>
      <c r="M241" s="12">
        <f t="shared" si="20"/>
        <v>15</v>
      </c>
      <c r="N241" s="7">
        <f>L241*ROUNDUP(I241/GiaDinh!$C$5-0.0005,0)</f>
        <v>3</v>
      </c>
      <c r="O241" s="7">
        <f>L241*(ROUNDUP(I241/GiaDinh!$C$5-0.0005,0)-1)</f>
        <v>2</v>
      </c>
      <c r="P241" s="7">
        <f t="shared" si="21"/>
        <v>13</v>
      </c>
      <c r="Q241" s="7">
        <f t="shared" si="22"/>
        <v>26</v>
      </c>
      <c r="R241" s="7">
        <f t="shared" si="23"/>
        <v>13</v>
      </c>
      <c r="S241" s="13">
        <f>M241*GiaDinh!$C$7</f>
        <v>45.15</v>
      </c>
    </row>
    <row r="242" spans="1:19" ht="46.5" x14ac:dyDescent="0.35">
      <c r="A242" s="7" t="s">
        <v>10</v>
      </c>
      <c r="B242" s="7">
        <v>29</v>
      </c>
      <c r="C242" s="7" t="s">
        <v>179</v>
      </c>
      <c r="D242" s="7" t="s">
        <v>400</v>
      </c>
      <c r="E242" s="7">
        <v>1</v>
      </c>
      <c r="F242" s="7">
        <v>59.1</v>
      </c>
      <c r="G242" s="12">
        <f>E242*F242*GiaDinh!$C$18*GiaDinh!$C$17</f>
        <v>49.643999999999998</v>
      </c>
      <c r="H242" s="7">
        <f>GiaDinh!$C$21</f>
        <v>1.2250000000000001</v>
      </c>
      <c r="I242" s="7">
        <f>GiaDinh!$C$15</f>
        <v>15</v>
      </c>
      <c r="J242" s="7">
        <f t="shared" si="18"/>
        <v>13</v>
      </c>
      <c r="K242" s="12">
        <f>J242*GiaDinh!$C$16</f>
        <v>91</v>
      </c>
      <c r="L242" s="7">
        <f t="shared" si="19"/>
        <v>1</v>
      </c>
      <c r="M242" s="12">
        <f t="shared" si="20"/>
        <v>15</v>
      </c>
      <c r="N242" s="7">
        <f>L242*ROUNDUP(I242/GiaDinh!$C$5-0.0005,0)</f>
        <v>3</v>
      </c>
      <c r="O242" s="7">
        <f>L242*(ROUNDUP(I242/GiaDinh!$C$5-0.0005,0)-1)</f>
        <v>2</v>
      </c>
      <c r="P242" s="7">
        <f t="shared" si="21"/>
        <v>13</v>
      </c>
      <c r="Q242" s="7">
        <f t="shared" si="22"/>
        <v>26</v>
      </c>
      <c r="R242" s="7">
        <f t="shared" si="23"/>
        <v>13</v>
      </c>
      <c r="S242" s="13">
        <f>M242*GiaDinh!$C$7</f>
        <v>45.15</v>
      </c>
    </row>
    <row r="243" spans="1:19" ht="46.5" x14ac:dyDescent="0.35">
      <c r="A243" s="7" t="s">
        <v>10</v>
      </c>
      <c r="B243" s="7">
        <v>30</v>
      </c>
      <c r="C243" s="7" t="s">
        <v>179</v>
      </c>
      <c r="D243" s="7" t="s">
        <v>401</v>
      </c>
      <c r="E243" s="7">
        <v>1</v>
      </c>
      <c r="F243" s="7">
        <v>59.1</v>
      </c>
      <c r="G243" s="12">
        <f>E243*F243*GiaDinh!$C$18*GiaDinh!$C$17</f>
        <v>49.643999999999998</v>
      </c>
      <c r="H243" s="7">
        <f>GiaDinh!$C$21</f>
        <v>1.2250000000000001</v>
      </c>
      <c r="I243" s="7">
        <f>GiaDinh!$C$15</f>
        <v>15</v>
      </c>
      <c r="J243" s="7">
        <f t="shared" si="18"/>
        <v>13</v>
      </c>
      <c r="K243" s="12">
        <f>J243*GiaDinh!$C$16</f>
        <v>91</v>
      </c>
      <c r="L243" s="7">
        <f t="shared" si="19"/>
        <v>1</v>
      </c>
      <c r="M243" s="12">
        <f t="shared" si="20"/>
        <v>15</v>
      </c>
      <c r="N243" s="7">
        <f>L243*ROUNDUP(I243/GiaDinh!$C$5-0.0005,0)</f>
        <v>3</v>
      </c>
      <c r="O243" s="7">
        <f>L243*(ROUNDUP(I243/GiaDinh!$C$5-0.0005,0)-1)</f>
        <v>2</v>
      </c>
      <c r="P243" s="7">
        <f t="shared" si="21"/>
        <v>13</v>
      </c>
      <c r="Q243" s="7">
        <f t="shared" si="22"/>
        <v>26</v>
      </c>
      <c r="R243" s="7">
        <f t="shared" si="23"/>
        <v>13</v>
      </c>
      <c r="S243" s="13">
        <f>M243*GiaDinh!$C$7</f>
        <v>45.15</v>
      </c>
    </row>
    <row r="244" spans="1:19" ht="46.5" x14ac:dyDescent="0.35">
      <c r="A244" s="7" t="s">
        <v>10</v>
      </c>
      <c r="B244" s="7">
        <v>31</v>
      </c>
      <c r="C244" s="7" t="s">
        <v>179</v>
      </c>
      <c r="D244" s="7" t="s">
        <v>402</v>
      </c>
      <c r="E244" s="7">
        <v>1</v>
      </c>
      <c r="F244" s="7">
        <v>59.1</v>
      </c>
      <c r="G244" s="12">
        <f>E244*F244*GiaDinh!$C$18*GiaDinh!$C$17</f>
        <v>49.643999999999998</v>
      </c>
      <c r="H244" s="7">
        <f>GiaDinh!$C$21</f>
        <v>1.2250000000000001</v>
      </c>
      <c r="I244" s="7">
        <f>GiaDinh!$C$15</f>
        <v>15</v>
      </c>
      <c r="J244" s="7">
        <f t="shared" si="18"/>
        <v>13</v>
      </c>
      <c r="K244" s="12">
        <f>J244*GiaDinh!$C$16</f>
        <v>91</v>
      </c>
      <c r="L244" s="7">
        <f t="shared" si="19"/>
        <v>1</v>
      </c>
      <c r="M244" s="12">
        <f t="shared" si="20"/>
        <v>15</v>
      </c>
      <c r="N244" s="7">
        <f>L244*ROUNDUP(I244/GiaDinh!$C$5-0.0005,0)</f>
        <v>3</v>
      </c>
      <c r="O244" s="7">
        <f>L244*(ROUNDUP(I244/GiaDinh!$C$5-0.0005,0)-1)</f>
        <v>2</v>
      </c>
      <c r="P244" s="7">
        <f t="shared" si="21"/>
        <v>13</v>
      </c>
      <c r="Q244" s="7">
        <f t="shared" si="22"/>
        <v>26</v>
      </c>
      <c r="R244" s="7">
        <f t="shared" si="23"/>
        <v>13</v>
      </c>
      <c r="S244" s="13">
        <f>M244*GiaDinh!$C$7</f>
        <v>45.15</v>
      </c>
    </row>
    <row r="245" spans="1:19" ht="31" x14ac:dyDescent="0.35">
      <c r="A245" s="7" t="s">
        <v>11</v>
      </c>
      <c r="B245" s="7">
        <v>1</v>
      </c>
      <c r="C245" s="7" t="s">
        <v>160</v>
      </c>
      <c r="D245" s="7" t="s">
        <v>403</v>
      </c>
      <c r="E245" s="7">
        <v>2</v>
      </c>
      <c r="F245" s="7">
        <v>47.9</v>
      </c>
      <c r="G245" s="12">
        <f>E245*F245*GiaDinh!$C$18*GiaDinh!$C$17</f>
        <v>80.47199999999998</v>
      </c>
      <c r="H245" s="7">
        <f>GiaDinh!$C$21</f>
        <v>1.2250000000000001</v>
      </c>
      <c r="I245" s="7">
        <f>GiaDinh!$C$15</f>
        <v>15</v>
      </c>
      <c r="J245" s="7">
        <f t="shared" si="18"/>
        <v>13</v>
      </c>
      <c r="K245" s="12">
        <f>J245*GiaDinh!$C$16</f>
        <v>91</v>
      </c>
      <c r="L245" s="7">
        <f t="shared" si="19"/>
        <v>1</v>
      </c>
      <c r="M245" s="12">
        <f t="shared" si="20"/>
        <v>15</v>
      </c>
      <c r="N245" s="7">
        <f>L245*ROUNDUP(I245/GiaDinh!$C$5-0.0005,0)</f>
        <v>3</v>
      </c>
      <c r="O245" s="7">
        <f>L245*(ROUNDUP(I245/GiaDinh!$C$5-0.0005,0)-1)</f>
        <v>2</v>
      </c>
      <c r="P245" s="7">
        <f t="shared" si="21"/>
        <v>13</v>
      </c>
      <c r="Q245" s="7">
        <f t="shared" si="22"/>
        <v>26</v>
      </c>
      <c r="R245" s="7">
        <f t="shared" si="23"/>
        <v>13</v>
      </c>
      <c r="S245" s="13">
        <f>M245*GiaDinh!$C$7</f>
        <v>45.15</v>
      </c>
    </row>
    <row r="246" spans="1:19" ht="31" x14ac:dyDescent="0.35">
      <c r="A246" s="7" t="s">
        <v>11</v>
      </c>
      <c r="B246" s="7">
        <v>2</v>
      </c>
      <c r="C246" s="7" t="s">
        <v>160</v>
      </c>
      <c r="D246" s="7" t="s">
        <v>404</v>
      </c>
      <c r="E246" s="7">
        <v>2</v>
      </c>
      <c r="F246" s="7">
        <v>47.9</v>
      </c>
      <c r="G246" s="12">
        <f>E246*F246*GiaDinh!$C$18*GiaDinh!$C$17</f>
        <v>80.47199999999998</v>
      </c>
      <c r="H246" s="7">
        <f>GiaDinh!$C$21</f>
        <v>1.2250000000000001</v>
      </c>
      <c r="I246" s="7">
        <f>GiaDinh!$C$15</f>
        <v>15</v>
      </c>
      <c r="J246" s="7">
        <f t="shared" si="18"/>
        <v>13</v>
      </c>
      <c r="K246" s="12">
        <f>J246*GiaDinh!$C$16</f>
        <v>91</v>
      </c>
      <c r="L246" s="7">
        <f t="shared" si="19"/>
        <v>1</v>
      </c>
      <c r="M246" s="12">
        <f t="shared" si="20"/>
        <v>15</v>
      </c>
      <c r="N246" s="7">
        <f>L246*ROUNDUP(I246/GiaDinh!$C$5-0.0005,0)</f>
        <v>3</v>
      </c>
      <c r="O246" s="7">
        <f>L246*(ROUNDUP(I246/GiaDinh!$C$5-0.0005,0)-1)</f>
        <v>2</v>
      </c>
      <c r="P246" s="7">
        <f t="shared" si="21"/>
        <v>13</v>
      </c>
      <c r="Q246" s="7">
        <f t="shared" si="22"/>
        <v>26</v>
      </c>
      <c r="R246" s="7">
        <f t="shared" si="23"/>
        <v>13</v>
      </c>
      <c r="S246" s="13">
        <f>M246*GiaDinh!$C$7</f>
        <v>45.15</v>
      </c>
    </row>
    <row r="247" spans="1:19" ht="31" x14ac:dyDescent="0.35">
      <c r="A247" s="7" t="s">
        <v>11</v>
      </c>
      <c r="B247" s="7">
        <v>3</v>
      </c>
      <c r="C247" s="7" t="s">
        <v>160</v>
      </c>
      <c r="D247" s="7" t="s">
        <v>405</v>
      </c>
      <c r="E247" s="7">
        <v>3</v>
      </c>
      <c r="F247" s="7">
        <v>47.9</v>
      </c>
      <c r="G247" s="12">
        <f>E247*F247*GiaDinh!$C$18*GiaDinh!$C$17</f>
        <v>120.70799999999998</v>
      </c>
      <c r="H247" s="7">
        <f>GiaDinh!$C$21</f>
        <v>1.2250000000000001</v>
      </c>
      <c r="I247" s="7">
        <f>GiaDinh!$C$15</f>
        <v>15</v>
      </c>
      <c r="J247" s="7">
        <f t="shared" si="18"/>
        <v>13</v>
      </c>
      <c r="K247" s="12">
        <f>J247*GiaDinh!$C$16</f>
        <v>91</v>
      </c>
      <c r="L247" s="7">
        <f t="shared" si="19"/>
        <v>2</v>
      </c>
      <c r="M247" s="12">
        <f t="shared" si="20"/>
        <v>30</v>
      </c>
      <c r="N247" s="7">
        <f>L247*ROUNDUP(I247/GiaDinh!$C$5-0.0005,0)</f>
        <v>6</v>
      </c>
      <c r="O247" s="7">
        <f>L247*(ROUNDUP(I247/GiaDinh!$C$5-0.0005,0)-1)</f>
        <v>4</v>
      </c>
      <c r="P247" s="7">
        <f t="shared" si="21"/>
        <v>26</v>
      </c>
      <c r="Q247" s="7">
        <f t="shared" si="22"/>
        <v>52</v>
      </c>
      <c r="R247" s="7">
        <f t="shared" si="23"/>
        <v>26</v>
      </c>
      <c r="S247" s="13">
        <f>M247*GiaDinh!$C$7</f>
        <v>90.3</v>
      </c>
    </row>
    <row r="248" spans="1:19" ht="31" x14ac:dyDescent="0.35">
      <c r="A248" s="7" t="s">
        <v>11</v>
      </c>
      <c r="B248" s="7">
        <v>4</v>
      </c>
      <c r="C248" s="7" t="s">
        <v>160</v>
      </c>
      <c r="D248" s="7" t="s">
        <v>406</v>
      </c>
      <c r="E248" s="7">
        <v>5</v>
      </c>
      <c r="F248" s="7">
        <v>47.9</v>
      </c>
      <c r="G248" s="12">
        <f>E248*F248*GiaDinh!$C$18*GiaDinh!$C$17</f>
        <v>201.17999999999998</v>
      </c>
      <c r="H248" s="7">
        <f>GiaDinh!$C$21</f>
        <v>1.2250000000000001</v>
      </c>
      <c r="I248" s="7">
        <f>GiaDinh!$C$15</f>
        <v>15</v>
      </c>
      <c r="J248" s="7">
        <f t="shared" si="18"/>
        <v>13</v>
      </c>
      <c r="K248" s="12">
        <f>J248*GiaDinh!$C$16</f>
        <v>91</v>
      </c>
      <c r="L248" s="7">
        <f t="shared" si="19"/>
        <v>3</v>
      </c>
      <c r="M248" s="12">
        <f t="shared" si="20"/>
        <v>45</v>
      </c>
      <c r="N248" s="7">
        <f>L248*ROUNDUP(I248/GiaDinh!$C$5-0.0005,0)</f>
        <v>9</v>
      </c>
      <c r="O248" s="7">
        <f>L248*(ROUNDUP(I248/GiaDinh!$C$5-0.0005,0)-1)</f>
        <v>6</v>
      </c>
      <c r="P248" s="7">
        <f t="shared" si="21"/>
        <v>39</v>
      </c>
      <c r="Q248" s="7">
        <f t="shared" si="22"/>
        <v>78</v>
      </c>
      <c r="R248" s="7">
        <f t="shared" si="23"/>
        <v>39</v>
      </c>
      <c r="S248" s="13">
        <f>M248*GiaDinh!$C$7</f>
        <v>135.44999999999999</v>
      </c>
    </row>
    <row r="249" spans="1:19" ht="31" x14ac:dyDescent="0.35">
      <c r="A249" s="7" t="s">
        <v>11</v>
      </c>
      <c r="B249" s="7">
        <v>5</v>
      </c>
      <c r="C249" s="7" t="s">
        <v>160</v>
      </c>
      <c r="D249" s="7" t="s">
        <v>407</v>
      </c>
      <c r="E249" s="7">
        <v>3</v>
      </c>
      <c r="F249" s="7">
        <v>47.9</v>
      </c>
      <c r="G249" s="12">
        <f>E249*F249*GiaDinh!$C$18*GiaDinh!$C$17</f>
        <v>120.70799999999998</v>
      </c>
      <c r="H249" s="7">
        <f>GiaDinh!$C$21</f>
        <v>1.2250000000000001</v>
      </c>
      <c r="I249" s="7">
        <f>GiaDinh!$C$15</f>
        <v>15</v>
      </c>
      <c r="J249" s="7">
        <f t="shared" si="18"/>
        <v>13</v>
      </c>
      <c r="K249" s="12">
        <f>J249*GiaDinh!$C$16</f>
        <v>91</v>
      </c>
      <c r="L249" s="7">
        <f t="shared" si="19"/>
        <v>2</v>
      </c>
      <c r="M249" s="12">
        <f t="shared" si="20"/>
        <v>30</v>
      </c>
      <c r="N249" s="7">
        <f>L249*ROUNDUP(I249/GiaDinh!$C$5-0.0005,0)</f>
        <v>6</v>
      </c>
      <c r="O249" s="7">
        <f>L249*(ROUNDUP(I249/GiaDinh!$C$5-0.0005,0)-1)</f>
        <v>4</v>
      </c>
      <c r="P249" s="7">
        <f t="shared" si="21"/>
        <v>26</v>
      </c>
      <c r="Q249" s="7">
        <f t="shared" si="22"/>
        <v>52</v>
      </c>
      <c r="R249" s="7">
        <f t="shared" si="23"/>
        <v>26</v>
      </c>
      <c r="S249" s="13">
        <f>M249*GiaDinh!$C$7</f>
        <v>90.3</v>
      </c>
    </row>
    <row r="250" spans="1:19" ht="31" x14ac:dyDescent="0.35">
      <c r="A250" s="7" t="s">
        <v>11</v>
      </c>
      <c r="B250" s="7">
        <v>6</v>
      </c>
      <c r="C250" s="7" t="s">
        <v>160</v>
      </c>
      <c r="D250" s="7" t="s">
        <v>408</v>
      </c>
      <c r="E250" s="7">
        <v>1</v>
      </c>
      <c r="F250" s="7">
        <v>47.9</v>
      </c>
      <c r="G250" s="12">
        <f>E250*F250*GiaDinh!$C$18*GiaDinh!$C$17</f>
        <v>40.23599999999999</v>
      </c>
      <c r="H250" s="7">
        <f>GiaDinh!$C$21</f>
        <v>1.2250000000000001</v>
      </c>
      <c r="I250" s="7">
        <f>GiaDinh!$C$15</f>
        <v>15</v>
      </c>
      <c r="J250" s="7">
        <f t="shared" si="18"/>
        <v>13</v>
      </c>
      <c r="K250" s="12">
        <f>J250*GiaDinh!$C$16</f>
        <v>91</v>
      </c>
      <c r="L250" s="7">
        <f t="shared" si="19"/>
        <v>1</v>
      </c>
      <c r="M250" s="12">
        <f t="shared" si="20"/>
        <v>15</v>
      </c>
      <c r="N250" s="7">
        <f>L250*ROUNDUP(I250/GiaDinh!$C$5-0.0005,0)</f>
        <v>3</v>
      </c>
      <c r="O250" s="7">
        <f>L250*(ROUNDUP(I250/GiaDinh!$C$5-0.0005,0)-1)</f>
        <v>2</v>
      </c>
      <c r="P250" s="7">
        <f t="shared" si="21"/>
        <v>13</v>
      </c>
      <c r="Q250" s="7">
        <f t="shared" si="22"/>
        <v>26</v>
      </c>
      <c r="R250" s="7">
        <f t="shared" si="23"/>
        <v>13</v>
      </c>
      <c r="S250" s="13">
        <f>M250*GiaDinh!$C$7</f>
        <v>45.15</v>
      </c>
    </row>
    <row r="251" spans="1:19" ht="31" x14ac:dyDescent="0.35">
      <c r="A251" s="7" t="s">
        <v>11</v>
      </c>
      <c r="B251" s="7">
        <v>7</v>
      </c>
      <c r="C251" s="7" t="s">
        <v>160</v>
      </c>
      <c r="D251" s="7" t="s">
        <v>409</v>
      </c>
      <c r="E251" s="7">
        <v>3</v>
      </c>
      <c r="F251" s="7">
        <v>47.9</v>
      </c>
      <c r="G251" s="12">
        <f>E251*F251*GiaDinh!$C$18*GiaDinh!$C$17</f>
        <v>120.70799999999998</v>
      </c>
      <c r="H251" s="7">
        <f>GiaDinh!$C$21</f>
        <v>1.2250000000000001</v>
      </c>
      <c r="I251" s="7">
        <f>GiaDinh!$C$15</f>
        <v>15</v>
      </c>
      <c r="J251" s="7">
        <f t="shared" si="18"/>
        <v>13</v>
      </c>
      <c r="K251" s="12">
        <f>J251*GiaDinh!$C$16</f>
        <v>91</v>
      </c>
      <c r="L251" s="7">
        <f t="shared" si="19"/>
        <v>2</v>
      </c>
      <c r="M251" s="12">
        <f t="shared" si="20"/>
        <v>30</v>
      </c>
      <c r="N251" s="7">
        <f>L251*ROUNDUP(I251/GiaDinh!$C$5-0.0005,0)</f>
        <v>6</v>
      </c>
      <c r="O251" s="7">
        <f>L251*(ROUNDUP(I251/GiaDinh!$C$5-0.0005,0)-1)</f>
        <v>4</v>
      </c>
      <c r="P251" s="7">
        <f t="shared" si="21"/>
        <v>26</v>
      </c>
      <c r="Q251" s="7">
        <f t="shared" si="22"/>
        <v>52</v>
      </c>
      <c r="R251" s="7">
        <f t="shared" si="23"/>
        <v>26</v>
      </c>
      <c r="S251" s="13">
        <f>M251*GiaDinh!$C$7</f>
        <v>90.3</v>
      </c>
    </row>
    <row r="252" spans="1:19" ht="31" x14ac:dyDescent="0.35">
      <c r="A252" s="7" t="s">
        <v>11</v>
      </c>
      <c r="B252" s="7">
        <v>8</v>
      </c>
      <c r="C252" s="7" t="s">
        <v>160</v>
      </c>
      <c r="D252" s="7" t="s">
        <v>410</v>
      </c>
      <c r="E252" s="7">
        <v>3</v>
      </c>
      <c r="F252" s="7">
        <v>47.9</v>
      </c>
      <c r="G252" s="12">
        <f>E252*F252*GiaDinh!$C$18*GiaDinh!$C$17</f>
        <v>120.70799999999998</v>
      </c>
      <c r="H252" s="7">
        <f>GiaDinh!$C$21</f>
        <v>1.2250000000000001</v>
      </c>
      <c r="I252" s="7">
        <f>GiaDinh!$C$15</f>
        <v>15</v>
      </c>
      <c r="J252" s="7">
        <f t="shared" si="18"/>
        <v>13</v>
      </c>
      <c r="K252" s="12">
        <f>J252*GiaDinh!$C$16</f>
        <v>91</v>
      </c>
      <c r="L252" s="7">
        <f t="shared" si="19"/>
        <v>2</v>
      </c>
      <c r="M252" s="12">
        <f t="shared" si="20"/>
        <v>30</v>
      </c>
      <c r="N252" s="7">
        <f>L252*ROUNDUP(I252/GiaDinh!$C$5-0.0005,0)</f>
        <v>6</v>
      </c>
      <c r="O252" s="7">
        <f>L252*(ROUNDUP(I252/GiaDinh!$C$5-0.0005,0)-1)</f>
        <v>4</v>
      </c>
      <c r="P252" s="7">
        <f t="shared" si="21"/>
        <v>26</v>
      </c>
      <c r="Q252" s="7">
        <f t="shared" si="22"/>
        <v>52</v>
      </c>
      <c r="R252" s="7">
        <f t="shared" si="23"/>
        <v>26</v>
      </c>
      <c r="S252" s="13">
        <f>M252*GiaDinh!$C$7</f>
        <v>90.3</v>
      </c>
    </row>
    <row r="253" spans="1:19" ht="46.5" x14ac:dyDescent="0.35">
      <c r="A253" s="7" t="s">
        <v>11</v>
      </c>
      <c r="B253" s="7">
        <v>9</v>
      </c>
      <c r="C253" s="7" t="s">
        <v>179</v>
      </c>
      <c r="D253" s="7" t="s">
        <v>411</v>
      </c>
      <c r="E253" s="7">
        <v>1</v>
      </c>
      <c r="F253" s="7">
        <v>47.9</v>
      </c>
      <c r="G253" s="12">
        <f>E253*F253*GiaDinh!$C$18*GiaDinh!$C$17</f>
        <v>40.23599999999999</v>
      </c>
      <c r="H253" s="7">
        <f>GiaDinh!$C$21</f>
        <v>1.2250000000000001</v>
      </c>
      <c r="I253" s="7">
        <f>GiaDinh!$C$15</f>
        <v>15</v>
      </c>
      <c r="J253" s="7">
        <f t="shared" si="18"/>
        <v>13</v>
      </c>
      <c r="K253" s="12">
        <f>J253*GiaDinh!$C$16</f>
        <v>91</v>
      </c>
      <c r="L253" s="7">
        <f t="shared" si="19"/>
        <v>1</v>
      </c>
      <c r="M253" s="12">
        <f t="shared" si="20"/>
        <v>15</v>
      </c>
      <c r="N253" s="7">
        <f>L253*ROUNDUP(I253/GiaDinh!$C$5-0.0005,0)</f>
        <v>3</v>
      </c>
      <c r="O253" s="7">
        <f>L253*(ROUNDUP(I253/GiaDinh!$C$5-0.0005,0)-1)</f>
        <v>2</v>
      </c>
      <c r="P253" s="7">
        <f t="shared" si="21"/>
        <v>13</v>
      </c>
      <c r="Q253" s="7">
        <f t="shared" si="22"/>
        <v>26</v>
      </c>
      <c r="R253" s="7">
        <f t="shared" si="23"/>
        <v>13</v>
      </c>
      <c r="S253" s="13">
        <f>M253*GiaDinh!$C$7</f>
        <v>45.15</v>
      </c>
    </row>
    <row r="254" spans="1:19" ht="46.5" x14ac:dyDescent="0.35">
      <c r="A254" s="7" t="s">
        <v>11</v>
      </c>
      <c r="B254" s="7">
        <v>10</v>
      </c>
      <c r="C254" s="7" t="s">
        <v>179</v>
      </c>
      <c r="D254" s="7" t="s">
        <v>412</v>
      </c>
      <c r="E254" s="7">
        <v>1</v>
      </c>
      <c r="F254" s="7">
        <v>47.9</v>
      </c>
      <c r="G254" s="12">
        <f>E254*F254*GiaDinh!$C$18*GiaDinh!$C$17</f>
        <v>40.23599999999999</v>
      </c>
      <c r="H254" s="7">
        <f>GiaDinh!$C$21</f>
        <v>1.2250000000000001</v>
      </c>
      <c r="I254" s="7">
        <f>GiaDinh!$C$15</f>
        <v>15</v>
      </c>
      <c r="J254" s="7">
        <f t="shared" si="18"/>
        <v>13</v>
      </c>
      <c r="K254" s="12">
        <f>J254*GiaDinh!$C$16</f>
        <v>91</v>
      </c>
      <c r="L254" s="7">
        <f t="shared" si="19"/>
        <v>1</v>
      </c>
      <c r="M254" s="12">
        <f t="shared" si="20"/>
        <v>15</v>
      </c>
      <c r="N254" s="7">
        <f>L254*ROUNDUP(I254/GiaDinh!$C$5-0.0005,0)</f>
        <v>3</v>
      </c>
      <c r="O254" s="7">
        <f>L254*(ROUNDUP(I254/GiaDinh!$C$5-0.0005,0)-1)</f>
        <v>2</v>
      </c>
      <c r="P254" s="7">
        <f t="shared" si="21"/>
        <v>13</v>
      </c>
      <c r="Q254" s="7">
        <f t="shared" si="22"/>
        <v>26</v>
      </c>
      <c r="R254" s="7">
        <f t="shared" si="23"/>
        <v>13</v>
      </c>
      <c r="S254" s="13">
        <f>M254*GiaDinh!$C$7</f>
        <v>45.15</v>
      </c>
    </row>
    <row r="255" spans="1:19" ht="46.5" x14ac:dyDescent="0.35">
      <c r="A255" s="7" t="s">
        <v>11</v>
      </c>
      <c r="B255" s="7">
        <v>11</v>
      </c>
      <c r="C255" s="7" t="s">
        <v>179</v>
      </c>
      <c r="D255" s="7" t="s">
        <v>413</v>
      </c>
      <c r="E255" s="7">
        <v>1</v>
      </c>
      <c r="F255" s="7">
        <v>47.9</v>
      </c>
      <c r="G255" s="12">
        <f>E255*F255*GiaDinh!$C$18*GiaDinh!$C$17</f>
        <v>40.23599999999999</v>
      </c>
      <c r="H255" s="7">
        <f>GiaDinh!$C$21</f>
        <v>1.2250000000000001</v>
      </c>
      <c r="I255" s="7">
        <f>GiaDinh!$C$15</f>
        <v>15</v>
      </c>
      <c r="J255" s="7">
        <f t="shared" si="18"/>
        <v>13</v>
      </c>
      <c r="K255" s="12">
        <f>J255*GiaDinh!$C$16</f>
        <v>91</v>
      </c>
      <c r="L255" s="7">
        <f t="shared" si="19"/>
        <v>1</v>
      </c>
      <c r="M255" s="12">
        <f t="shared" si="20"/>
        <v>15</v>
      </c>
      <c r="N255" s="7">
        <f>L255*ROUNDUP(I255/GiaDinh!$C$5-0.0005,0)</f>
        <v>3</v>
      </c>
      <c r="O255" s="7">
        <f>L255*(ROUNDUP(I255/GiaDinh!$C$5-0.0005,0)-1)</f>
        <v>2</v>
      </c>
      <c r="P255" s="7">
        <f t="shared" si="21"/>
        <v>13</v>
      </c>
      <c r="Q255" s="7">
        <f t="shared" si="22"/>
        <v>26</v>
      </c>
      <c r="R255" s="7">
        <f t="shared" si="23"/>
        <v>13</v>
      </c>
      <c r="S255" s="13">
        <f>M255*GiaDinh!$C$7</f>
        <v>45.15</v>
      </c>
    </row>
    <row r="256" spans="1:19" ht="46.5" x14ac:dyDescent="0.35">
      <c r="A256" s="7" t="s">
        <v>11</v>
      </c>
      <c r="B256" s="7">
        <v>12</v>
      </c>
      <c r="C256" s="7" t="s">
        <v>179</v>
      </c>
      <c r="D256" s="7" t="s">
        <v>414</v>
      </c>
      <c r="E256" s="7">
        <v>1</v>
      </c>
      <c r="F256" s="7">
        <v>47.9</v>
      </c>
      <c r="G256" s="12">
        <f>E256*F256*GiaDinh!$C$18*GiaDinh!$C$17</f>
        <v>40.23599999999999</v>
      </c>
      <c r="H256" s="7">
        <f>GiaDinh!$C$21</f>
        <v>1.2250000000000001</v>
      </c>
      <c r="I256" s="7">
        <f>GiaDinh!$C$15</f>
        <v>15</v>
      </c>
      <c r="J256" s="7">
        <f t="shared" si="18"/>
        <v>13</v>
      </c>
      <c r="K256" s="12">
        <f>J256*GiaDinh!$C$16</f>
        <v>91</v>
      </c>
      <c r="L256" s="7">
        <f t="shared" si="19"/>
        <v>1</v>
      </c>
      <c r="M256" s="12">
        <f t="shared" si="20"/>
        <v>15</v>
      </c>
      <c r="N256" s="7">
        <f>L256*ROUNDUP(I256/GiaDinh!$C$5-0.0005,0)</f>
        <v>3</v>
      </c>
      <c r="O256" s="7">
        <f>L256*(ROUNDUP(I256/GiaDinh!$C$5-0.0005,0)-1)</f>
        <v>2</v>
      </c>
      <c r="P256" s="7">
        <f t="shared" si="21"/>
        <v>13</v>
      </c>
      <c r="Q256" s="7">
        <f t="shared" si="22"/>
        <v>26</v>
      </c>
      <c r="R256" s="7">
        <f t="shared" si="23"/>
        <v>13</v>
      </c>
      <c r="S256" s="13">
        <f>M256*GiaDinh!$C$7</f>
        <v>45.15</v>
      </c>
    </row>
    <row r="257" spans="1:19" ht="46.5" x14ac:dyDescent="0.35">
      <c r="A257" s="7" t="s">
        <v>11</v>
      </c>
      <c r="B257" s="7">
        <v>13</v>
      </c>
      <c r="C257" s="7" t="s">
        <v>179</v>
      </c>
      <c r="D257" s="7" t="s">
        <v>415</v>
      </c>
      <c r="E257" s="7">
        <v>1</v>
      </c>
      <c r="F257" s="7">
        <v>47.9</v>
      </c>
      <c r="G257" s="12">
        <f>E257*F257*GiaDinh!$C$18*GiaDinh!$C$17</f>
        <v>40.23599999999999</v>
      </c>
      <c r="H257" s="7">
        <f>GiaDinh!$C$21</f>
        <v>1.2250000000000001</v>
      </c>
      <c r="I257" s="7">
        <f>GiaDinh!$C$15</f>
        <v>15</v>
      </c>
      <c r="J257" s="7">
        <f t="shared" si="18"/>
        <v>13</v>
      </c>
      <c r="K257" s="12">
        <f>J257*GiaDinh!$C$16</f>
        <v>91</v>
      </c>
      <c r="L257" s="7">
        <f t="shared" si="19"/>
        <v>1</v>
      </c>
      <c r="M257" s="12">
        <f t="shared" si="20"/>
        <v>15</v>
      </c>
      <c r="N257" s="7">
        <f>L257*ROUNDUP(I257/GiaDinh!$C$5-0.0005,0)</f>
        <v>3</v>
      </c>
      <c r="O257" s="7">
        <f>L257*(ROUNDUP(I257/GiaDinh!$C$5-0.0005,0)-1)</f>
        <v>2</v>
      </c>
      <c r="P257" s="7">
        <f t="shared" si="21"/>
        <v>13</v>
      </c>
      <c r="Q257" s="7">
        <f t="shared" si="22"/>
        <v>26</v>
      </c>
      <c r="R257" s="7">
        <f t="shared" si="23"/>
        <v>13</v>
      </c>
      <c r="S257" s="13">
        <f>M257*GiaDinh!$C$7</f>
        <v>45.15</v>
      </c>
    </row>
    <row r="258" spans="1:19" ht="46.5" x14ac:dyDescent="0.35">
      <c r="A258" s="7" t="s">
        <v>11</v>
      </c>
      <c r="B258" s="7">
        <v>14</v>
      </c>
      <c r="C258" s="7" t="s">
        <v>179</v>
      </c>
      <c r="D258" s="7" t="s">
        <v>416</v>
      </c>
      <c r="E258" s="7">
        <v>1</v>
      </c>
      <c r="F258" s="7">
        <v>47.9</v>
      </c>
      <c r="G258" s="12">
        <f>E258*F258*GiaDinh!$C$18*GiaDinh!$C$17</f>
        <v>40.23599999999999</v>
      </c>
      <c r="H258" s="7">
        <f>GiaDinh!$C$21</f>
        <v>1.2250000000000001</v>
      </c>
      <c r="I258" s="7">
        <f>GiaDinh!$C$15</f>
        <v>15</v>
      </c>
      <c r="J258" s="7">
        <f t="shared" si="18"/>
        <v>13</v>
      </c>
      <c r="K258" s="12">
        <f>J258*GiaDinh!$C$16</f>
        <v>91</v>
      </c>
      <c r="L258" s="7">
        <f t="shared" si="19"/>
        <v>1</v>
      </c>
      <c r="M258" s="12">
        <f t="shared" si="20"/>
        <v>15</v>
      </c>
      <c r="N258" s="7">
        <f>L258*ROUNDUP(I258/GiaDinh!$C$5-0.0005,0)</f>
        <v>3</v>
      </c>
      <c r="O258" s="7">
        <f>L258*(ROUNDUP(I258/GiaDinh!$C$5-0.0005,0)-1)</f>
        <v>2</v>
      </c>
      <c r="P258" s="7">
        <f t="shared" si="21"/>
        <v>13</v>
      </c>
      <c r="Q258" s="7">
        <f t="shared" si="22"/>
        <v>26</v>
      </c>
      <c r="R258" s="7">
        <f t="shared" si="23"/>
        <v>13</v>
      </c>
      <c r="S258" s="13">
        <f>M258*GiaDinh!$C$7</f>
        <v>45.15</v>
      </c>
    </row>
    <row r="259" spans="1:19" ht="46.5" x14ac:dyDescent="0.35">
      <c r="A259" s="7" t="s">
        <v>11</v>
      </c>
      <c r="B259" s="7">
        <v>15</v>
      </c>
      <c r="C259" s="7" t="s">
        <v>179</v>
      </c>
      <c r="D259" s="7" t="s">
        <v>417</v>
      </c>
      <c r="E259" s="7">
        <v>1</v>
      </c>
      <c r="F259" s="7">
        <v>47.9</v>
      </c>
      <c r="G259" s="12">
        <f>E259*F259*GiaDinh!$C$18*GiaDinh!$C$17</f>
        <v>40.23599999999999</v>
      </c>
      <c r="H259" s="7">
        <f>GiaDinh!$C$21</f>
        <v>1.2250000000000001</v>
      </c>
      <c r="I259" s="7">
        <f>GiaDinh!$C$15</f>
        <v>15</v>
      </c>
      <c r="J259" s="7">
        <f t="shared" si="18"/>
        <v>13</v>
      </c>
      <c r="K259" s="12">
        <f>J259*GiaDinh!$C$16</f>
        <v>91</v>
      </c>
      <c r="L259" s="7">
        <f t="shared" si="19"/>
        <v>1</v>
      </c>
      <c r="M259" s="12">
        <f t="shared" si="20"/>
        <v>15</v>
      </c>
      <c r="N259" s="7">
        <f>L259*ROUNDUP(I259/GiaDinh!$C$5-0.0005,0)</f>
        <v>3</v>
      </c>
      <c r="O259" s="7">
        <f>L259*(ROUNDUP(I259/GiaDinh!$C$5-0.0005,0)-1)</f>
        <v>2</v>
      </c>
      <c r="P259" s="7">
        <f t="shared" si="21"/>
        <v>13</v>
      </c>
      <c r="Q259" s="7">
        <f t="shared" si="22"/>
        <v>26</v>
      </c>
      <c r="R259" s="7">
        <f t="shared" si="23"/>
        <v>13</v>
      </c>
      <c r="S259" s="13">
        <f>M259*GiaDinh!$C$7</f>
        <v>45.15</v>
      </c>
    </row>
    <row r="260" spans="1:19" ht="46.5" x14ac:dyDescent="0.35">
      <c r="A260" s="7" t="s">
        <v>11</v>
      </c>
      <c r="B260" s="7">
        <v>16</v>
      </c>
      <c r="C260" s="7" t="s">
        <v>179</v>
      </c>
      <c r="D260" s="7" t="s">
        <v>418</v>
      </c>
      <c r="E260" s="7">
        <v>1</v>
      </c>
      <c r="F260" s="7">
        <v>47.9</v>
      </c>
      <c r="G260" s="12">
        <f>E260*F260*GiaDinh!$C$18*GiaDinh!$C$17</f>
        <v>40.23599999999999</v>
      </c>
      <c r="H260" s="7">
        <f>GiaDinh!$C$21</f>
        <v>1.2250000000000001</v>
      </c>
      <c r="I260" s="7">
        <f>GiaDinh!$C$15</f>
        <v>15</v>
      </c>
      <c r="J260" s="7">
        <f t="shared" ref="J260:J323" si="24">ROUNDDOWN(I260/H260,0)+1</f>
        <v>13</v>
      </c>
      <c r="K260" s="12">
        <f>J260*GiaDinh!$C$16</f>
        <v>91</v>
      </c>
      <c r="L260" s="7">
        <f t="shared" ref="L260:L323" si="25">MAX(1,ROUNDUP(G260/K260-0.0005,0))</f>
        <v>1</v>
      </c>
      <c r="M260" s="12">
        <f t="shared" ref="M260:M323" si="26">L260*I260</f>
        <v>15</v>
      </c>
      <c r="N260" s="7">
        <f>L260*ROUNDUP(I260/GiaDinh!$C$5-0.0005,0)</f>
        <v>3</v>
      </c>
      <c r="O260" s="7">
        <f>L260*(ROUNDUP(I260/GiaDinh!$C$5-0.0005,0)-1)</f>
        <v>2</v>
      </c>
      <c r="P260" s="7">
        <f t="shared" ref="P260:P323" si="27">L260*J260</f>
        <v>13</v>
      </c>
      <c r="Q260" s="7">
        <f t="shared" ref="Q260:Q323" si="28">2*P260</f>
        <v>26</v>
      </c>
      <c r="R260" s="7">
        <f t="shared" ref="R260:R323" si="29">P260</f>
        <v>13</v>
      </c>
      <c r="S260" s="13">
        <f>M260*GiaDinh!$C$7</f>
        <v>45.15</v>
      </c>
    </row>
    <row r="261" spans="1:19" ht="46.5" x14ac:dyDescent="0.35">
      <c r="A261" s="7" t="s">
        <v>11</v>
      </c>
      <c r="B261" s="7">
        <v>17</v>
      </c>
      <c r="C261" s="7" t="s">
        <v>179</v>
      </c>
      <c r="D261" s="7" t="s">
        <v>419</v>
      </c>
      <c r="E261" s="7">
        <v>1</v>
      </c>
      <c r="F261" s="7">
        <v>47.9</v>
      </c>
      <c r="G261" s="12">
        <f>E261*F261*GiaDinh!$C$18*GiaDinh!$C$17</f>
        <v>40.23599999999999</v>
      </c>
      <c r="H261" s="7">
        <f>GiaDinh!$C$21</f>
        <v>1.2250000000000001</v>
      </c>
      <c r="I261" s="7">
        <f>GiaDinh!$C$15</f>
        <v>15</v>
      </c>
      <c r="J261" s="7">
        <f t="shared" si="24"/>
        <v>13</v>
      </c>
      <c r="K261" s="12">
        <f>J261*GiaDinh!$C$16</f>
        <v>91</v>
      </c>
      <c r="L261" s="7">
        <f t="shared" si="25"/>
        <v>1</v>
      </c>
      <c r="M261" s="12">
        <f t="shared" si="26"/>
        <v>15</v>
      </c>
      <c r="N261" s="7">
        <f>L261*ROUNDUP(I261/GiaDinh!$C$5-0.0005,0)</f>
        <v>3</v>
      </c>
      <c r="O261" s="7">
        <f>L261*(ROUNDUP(I261/GiaDinh!$C$5-0.0005,0)-1)</f>
        <v>2</v>
      </c>
      <c r="P261" s="7">
        <f t="shared" si="27"/>
        <v>13</v>
      </c>
      <c r="Q261" s="7">
        <f t="shared" si="28"/>
        <v>26</v>
      </c>
      <c r="R261" s="7">
        <f t="shared" si="29"/>
        <v>13</v>
      </c>
      <c r="S261" s="13">
        <f>M261*GiaDinh!$C$7</f>
        <v>45.15</v>
      </c>
    </row>
    <row r="262" spans="1:19" ht="46.5" x14ac:dyDescent="0.35">
      <c r="A262" s="7" t="s">
        <v>11</v>
      </c>
      <c r="B262" s="7">
        <v>18</v>
      </c>
      <c r="C262" s="7" t="s">
        <v>179</v>
      </c>
      <c r="D262" s="7" t="s">
        <v>420</v>
      </c>
      <c r="E262" s="7">
        <v>1</v>
      </c>
      <c r="F262" s="7">
        <v>47.9</v>
      </c>
      <c r="G262" s="12">
        <f>E262*F262*GiaDinh!$C$18*GiaDinh!$C$17</f>
        <v>40.23599999999999</v>
      </c>
      <c r="H262" s="7">
        <f>GiaDinh!$C$21</f>
        <v>1.2250000000000001</v>
      </c>
      <c r="I262" s="7">
        <f>GiaDinh!$C$15</f>
        <v>15</v>
      </c>
      <c r="J262" s="7">
        <f t="shared" si="24"/>
        <v>13</v>
      </c>
      <c r="K262" s="12">
        <f>J262*GiaDinh!$C$16</f>
        <v>91</v>
      </c>
      <c r="L262" s="7">
        <f t="shared" si="25"/>
        <v>1</v>
      </c>
      <c r="M262" s="12">
        <f t="shared" si="26"/>
        <v>15</v>
      </c>
      <c r="N262" s="7">
        <f>L262*ROUNDUP(I262/GiaDinh!$C$5-0.0005,0)</f>
        <v>3</v>
      </c>
      <c r="O262" s="7">
        <f>L262*(ROUNDUP(I262/GiaDinh!$C$5-0.0005,0)-1)</f>
        <v>2</v>
      </c>
      <c r="P262" s="7">
        <f t="shared" si="27"/>
        <v>13</v>
      </c>
      <c r="Q262" s="7">
        <f t="shared" si="28"/>
        <v>26</v>
      </c>
      <c r="R262" s="7">
        <f t="shared" si="29"/>
        <v>13</v>
      </c>
      <c r="S262" s="13">
        <f>M262*GiaDinh!$C$7</f>
        <v>45.15</v>
      </c>
    </row>
    <row r="263" spans="1:19" ht="46.5" x14ac:dyDescent="0.35">
      <c r="A263" s="7" t="s">
        <v>11</v>
      </c>
      <c r="B263" s="7">
        <v>19</v>
      </c>
      <c r="C263" s="7" t="s">
        <v>179</v>
      </c>
      <c r="D263" s="7" t="s">
        <v>421</v>
      </c>
      <c r="E263" s="7">
        <v>1</v>
      </c>
      <c r="F263" s="7">
        <v>47.9</v>
      </c>
      <c r="G263" s="12">
        <f>E263*F263*GiaDinh!$C$18*GiaDinh!$C$17</f>
        <v>40.23599999999999</v>
      </c>
      <c r="H263" s="7">
        <f>GiaDinh!$C$21</f>
        <v>1.2250000000000001</v>
      </c>
      <c r="I263" s="7">
        <f>GiaDinh!$C$15</f>
        <v>15</v>
      </c>
      <c r="J263" s="7">
        <f t="shared" si="24"/>
        <v>13</v>
      </c>
      <c r="K263" s="12">
        <f>J263*GiaDinh!$C$16</f>
        <v>91</v>
      </c>
      <c r="L263" s="7">
        <f t="shared" si="25"/>
        <v>1</v>
      </c>
      <c r="M263" s="12">
        <f t="shared" si="26"/>
        <v>15</v>
      </c>
      <c r="N263" s="7">
        <f>L263*ROUNDUP(I263/GiaDinh!$C$5-0.0005,0)</f>
        <v>3</v>
      </c>
      <c r="O263" s="7">
        <f>L263*(ROUNDUP(I263/GiaDinh!$C$5-0.0005,0)-1)</f>
        <v>2</v>
      </c>
      <c r="P263" s="7">
        <f t="shared" si="27"/>
        <v>13</v>
      </c>
      <c r="Q263" s="7">
        <f t="shared" si="28"/>
        <v>26</v>
      </c>
      <c r="R263" s="7">
        <f t="shared" si="29"/>
        <v>13</v>
      </c>
      <c r="S263" s="13">
        <f>M263*GiaDinh!$C$7</f>
        <v>45.15</v>
      </c>
    </row>
    <row r="264" spans="1:19" ht="46.5" x14ac:dyDescent="0.35">
      <c r="A264" s="7" t="s">
        <v>11</v>
      </c>
      <c r="B264" s="7">
        <v>20</v>
      </c>
      <c r="C264" s="7" t="s">
        <v>179</v>
      </c>
      <c r="D264" s="7" t="s">
        <v>422</v>
      </c>
      <c r="E264" s="7">
        <v>1</v>
      </c>
      <c r="F264" s="7">
        <v>47.9</v>
      </c>
      <c r="G264" s="12">
        <f>E264*F264*GiaDinh!$C$18*GiaDinh!$C$17</f>
        <v>40.23599999999999</v>
      </c>
      <c r="H264" s="7">
        <f>GiaDinh!$C$21</f>
        <v>1.2250000000000001</v>
      </c>
      <c r="I264" s="7">
        <f>GiaDinh!$C$15</f>
        <v>15</v>
      </c>
      <c r="J264" s="7">
        <f t="shared" si="24"/>
        <v>13</v>
      </c>
      <c r="K264" s="12">
        <f>J264*GiaDinh!$C$16</f>
        <v>91</v>
      </c>
      <c r="L264" s="7">
        <f t="shared" si="25"/>
        <v>1</v>
      </c>
      <c r="M264" s="12">
        <f t="shared" si="26"/>
        <v>15</v>
      </c>
      <c r="N264" s="7">
        <f>L264*ROUNDUP(I264/GiaDinh!$C$5-0.0005,0)</f>
        <v>3</v>
      </c>
      <c r="O264" s="7">
        <f>L264*(ROUNDUP(I264/GiaDinh!$C$5-0.0005,0)-1)</f>
        <v>2</v>
      </c>
      <c r="P264" s="7">
        <f t="shared" si="27"/>
        <v>13</v>
      </c>
      <c r="Q264" s="7">
        <f t="shared" si="28"/>
        <v>26</v>
      </c>
      <c r="R264" s="7">
        <f t="shared" si="29"/>
        <v>13</v>
      </c>
      <c r="S264" s="13">
        <f>M264*GiaDinh!$C$7</f>
        <v>45.15</v>
      </c>
    </row>
    <row r="265" spans="1:19" ht="46.5" x14ac:dyDescent="0.35">
      <c r="A265" s="7" t="s">
        <v>11</v>
      </c>
      <c r="B265" s="7">
        <v>21</v>
      </c>
      <c r="C265" s="7" t="s">
        <v>179</v>
      </c>
      <c r="D265" s="7" t="s">
        <v>423</v>
      </c>
      <c r="E265" s="7">
        <v>1</v>
      </c>
      <c r="F265" s="7">
        <v>47.9</v>
      </c>
      <c r="G265" s="12">
        <f>E265*F265*GiaDinh!$C$18*GiaDinh!$C$17</f>
        <v>40.23599999999999</v>
      </c>
      <c r="H265" s="7">
        <f>GiaDinh!$C$21</f>
        <v>1.2250000000000001</v>
      </c>
      <c r="I265" s="7">
        <f>GiaDinh!$C$15</f>
        <v>15</v>
      </c>
      <c r="J265" s="7">
        <f t="shared" si="24"/>
        <v>13</v>
      </c>
      <c r="K265" s="12">
        <f>J265*GiaDinh!$C$16</f>
        <v>91</v>
      </c>
      <c r="L265" s="7">
        <f t="shared" si="25"/>
        <v>1</v>
      </c>
      <c r="M265" s="12">
        <f t="shared" si="26"/>
        <v>15</v>
      </c>
      <c r="N265" s="7">
        <f>L265*ROUNDUP(I265/GiaDinh!$C$5-0.0005,0)</f>
        <v>3</v>
      </c>
      <c r="O265" s="7">
        <f>L265*(ROUNDUP(I265/GiaDinh!$C$5-0.0005,0)-1)</f>
        <v>2</v>
      </c>
      <c r="P265" s="7">
        <f t="shared" si="27"/>
        <v>13</v>
      </c>
      <c r="Q265" s="7">
        <f t="shared" si="28"/>
        <v>26</v>
      </c>
      <c r="R265" s="7">
        <f t="shared" si="29"/>
        <v>13</v>
      </c>
      <c r="S265" s="13">
        <f>M265*GiaDinh!$C$7</f>
        <v>45.15</v>
      </c>
    </row>
    <row r="266" spans="1:19" ht="46.5" x14ac:dyDescent="0.35">
      <c r="A266" s="7" t="s">
        <v>11</v>
      </c>
      <c r="B266" s="7">
        <v>22</v>
      </c>
      <c r="C266" s="7" t="s">
        <v>179</v>
      </c>
      <c r="D266" s="7" t="s">
        <v>424</v>
      </c>
      <c r="E266" s="7">
        <v>1</v>
      </c>
      <c r="F266" s="7">
        <v>47.9</v>
      </c>
      <c r="G266" s="12">
        <f>E266*F266*GiaDinh!$C$18*GiaDinh!$C$17</f>
        <v>40.23599999999999</v>
      </c>
      <c r="H266" s="7">
        <f>GiaDinh!$C$21</f>
        <v>1.2250000000000001</v>
      </c>
      <c r="I266" s="7">
        <f>GiaDinh!$C$15</f>
        <v>15</v>
      </c>
      <c r="J266" s="7">
        <f t="shared" si="24"/>
        <v>13</v>
      </c>
      <c r="K266" s="12">
        <f>J266*GiaDinh!$C$16</f>
        <v>91</v>
      </c>
      <c r="L266" s="7">
        <f t="shared" si="25"/>
        <v>1</v>
      </c>
      <c r="M266" s="12">
        <f t="shared" si="26"/>
        <v>15</v>
      </c>
      <c r="N266" s="7">
        <f>L266*ROUNDUP(I266/GiaDinh!$C$5-0.0005,0)</f>
        <v>3</v>
      </c>
      <c r="O266" s="7">
        <f>L266*(ROUNDUP(I266/GiaDinh!$C$5-0.0005,0)-1)</f>
        <v>2</v>
      </c>
      <c r="P266" s="7">
        <f t="shared" si="27"/>
        <v>13</v>
      </c>
      <c r="Q266" s="7">
        <f t="shared" si="28"/>
        <v>26</v>
      </c>
      <c r="R266" s="7">
        <f t="shared" si="29"/>
        <v>13</v>
      </c>
      <c r="S266" s="13">
        <f>M266*GiaDinh!$C$7</f>
        <v>45.15</v>
      </c>
    </row>
    <row r="267" spans="1:19" ht="46.5" x14ac:dyDescent="0.35">
      <c r="A267" s="7" t="s">
        <v>11</v>
      </c>
      <c r="B267" s="7">
        <v>23</v>
      </c>
      <c r="C267" s="7" t="s">
        <v>179</v>
      </c>
      <c r="D267" s="7" t="s">
        <v>425</v>
      </c>
      <c r="E267" s="7">
        <v>1</v>
      </c>
      <c r="F267" s="7">
        <v>47.9</v>
      </c>
      <c r="G267" s="12">
        <f>E267*F267*GiaDinh!$C$18*GiaDinh!$C$17</f>
        <v>40.23599999999999</v>
      </c>
      <c r="H267" s="7">
        <f>GiaDinh!$C$21</f>
        <v>1.2250000000000001</v>
      </c>
      <c r="I267" s="7">
        <f>GiaDinh!$C$15</f>
        <v>15</v>
      </c>
      <c r="J267" s="7">
        <f t="shared" si="24"/>
        <v>13</v>
      </c>
      <c r="K267" s="12">
        <f>J267*GiaDinh!$C$16</f>
        <v>91</v>
      </c>
      <c r="L267" s="7">
        <f t="shared" si="25"/>
        <v>1</v>
      </c>
      <c r="M267" s="12">
        <f t="shared" si="26"/>
        <v>15</v>
      </c>
      <c r="N267" s="7">
        <f>L267*ROUNDUP(I267/GiaDinh!$C$5-0.0005,0)</f>
        <v>3</v>
      </c>
      <c r="O267" s="7">
        <f>L267*(ROUNDUP(I267/GiaDinh!$C$5-0.0005,0)-1)</f>
        <v>2</v>
      </c>
      <c r="P267" s="7">
        <f t="shared" si="27"/>
        <v>13</v>
      </c>
      <c r="Q267" s="7">
        <f t="shared" si="28"/>
        <v>26</v>
      </c>
      <c r="R267" s="7">
        <f t="shared" si="29"/>
        <v>13</v>
      </c>
      <c r="S267" s="13">
        <f>M267*GiaDinh!$C$7</f>
        <v>45.15</v>
      </c>
    </row>
    <row r="268" spans="1:19" ht="46.5" x14ac:dyDescent="0.35">
      <c r="A268" s="7" t="s">
        <v>11</v>
      </c>
      <c r="B268" s="7">
        <v>24</v>
      </c>
      <c r="C268" s="7" t="s">
        <v>179</v>
      </c>
      <c r="D268" s="7" t="s">
        <v>426</v>
      </c>
      <c r="E268" s="7">
        <v>1</v>
      </c>
      <c r="F268" s="7">
        <v>47.9</v>
      </c>
      <c r="G268" s="12">
        <f>E268*F268*GiaDinh!$C$18*GiaDinh!$C$17</f>
        <v>40.23599999999999</v>
      </c>
      <c r="H268" s="7">
        <f>GiaDinh!$C$21</f>
        <v>1.2250000000000001</v>
      </c>
      <c r="I268" s="7">
        <f>GiaDinh!$C$15</f>
        <v>15</v>
      </c>
      <c r="J268" s="7">
        <f t="shared" si="24"/>
        <v>13</v>
      </c>
      <c r="K268" s="12">
        <f>J268*GiaDinh!$C$16</f>
        <v>91</v>
      </c>
      <c r="L268" s="7">
        <f t="shared" si="25"/>
        <v>1</v>
      </c>
      <c r="M268" s="12">
        <f t="shared" si="26"/>
        <v>15</v>
      </c>
      <c r="N268" s="7">
        <f>L268*ROUNDUP(I268/GiaDinh!$C$5-0.0005,0)</f>
        <v>3</v>
      </c>
      <c r="O268" s="7">
        <f>L268*(ROUNDUP(I268/GiaDinh!$C$5-0.0005,0)-1)</f>
        <v>2</v>
      </c>
      <c r="P268" s="7">
        <f t="shared" si="27"/>
        <v>13</v>
      </c>
      <c r="Q268" s="7">
        <f t="shared" si="28"/>
        <v>26</v>
      </c>
      <c r="R268" s="7">
        <f t="shared" si="29"/>
        <v>13</v>
      </c>
      <c r="S268" s="13">
        <f>M268*GiaDinh!$C$7</f>
        <v>45.15</v>
      </c>
    </row>
    <row r="269" spans="1:19" ht="46.5" x14ac:dyDescent="0.35">
      <c r="A269" s="7" t="s">
        <v>11</v>
      </c>
      <c r="B269" s="7">
        <v>25</v>
      </c>
      <c r="C269" s="7" t="s">
        <v>179</v>
      </c>
      <c r="D269" s="7" t="s">
        <v>427</v>
      </c>
      <c r="E269" s="7">
        <v>1</v>
      </c>
      <c r="F269" s="7">
        <v>47.9</v>
      </c>
      <c r="G269" s="12">
        <f>E269*F269*GiaDinh!$C$18*GiaDinh!$C$17</f>
        <v>40.23599999999999</v>
      </c>
      <c r="H269" s="7">
        <f>GiaDinh!$C$21</f>
        <v>1.2250000000000001</v>
      </c>
      <c r="I269" s="7">
        <f>GiaDinh!$C$15</f>
        <v>15</v>
      </c>
      <c r="J269" s="7">
        <f t="shared" si="24"/>
        <v>13</v>
      </c>
      <c r="K269" s="12">
        <f>J269*GiaDinh!$C$16</f>
        <v>91</v>
      </c>
      <c r="L269" s="7">
        <f t="shared" si="25"/>
        <v>1</v>
      </c>
      <c r="M269" s="12">
        <f t="shared" si="26"/>
        <v>15</v>
      </c>
      <c r="N269" s="7">
        <f>L269*ROUNDUP(I269/GiaDinh!$C$5-0.0005,0)</f>
        <v>3</v>
      </c>
      <c r="O269" s="7">
        <f>L269*(ROUNDUP(I269/GiaDinh!$C$5-0.0005,0)-1)</f>
        <v>2</v>
      </c>
      <c r="P269" s="7">
        <f t="shared" si="27"/>
        <v>13</v>
      </c>
      <c r="Q269" s="7">
        <f t="shared" si="28"/>
        <v>26</v>
      </c>
      <c r="R269" s="7">
        <f t="shared" si="29"/>
        <v>13</v>
      </c>
      <c r="S269" s="13">
        <f>M269*GiaDinh!$C$7</f>
        <v>45.15</v>
      </c>
    </row>
    <row r="270" spans="1:19" ht="46.5" x14ac:dyDescent="0.35">
      <c r="A270" s="7" t="s">
        <v>11</v>
      </c>
      <c r="B270" s="7">
        <v>26</v>
      </c>
      <c r="C270" s="7" t="s">
        <v>179</v>
      </c>
      <c r="D270" s="7" t="s">
        <v>428</v>
      </c>
      <c r="E270" s="7">
        <v>1</v>
      </c>
      <c r="F270" s="7">
        <v>47.9</v>
      </c>
      <c r="G270" s="12">
        <f>E270*F270*GiaDinh!$C$18*GiaDinh!$C$17</f>
        <v>40.23599999999999</v>
      </c>
      <c r="H270" s="7">
        <f>GiaDinh!$C$21</f>
        <v>1.2250000000000001</v>
      </c>
      <c r="I270" s="7">
        <f>GiaDinh!$C$15</f>
        <v>15</v>
      </c>
      <c r="J270" s="7">
        <f t="shared" si="24"/>
        <v>13</v>
      </c>
      <c r="K270" s="12">
        <f>J270*GiaDinh!$C$16</f>
        <v>91</v>
      </c>
      <c r="L270" s="7">
        <f t="shared" si="25"/>
        <v>1</v>
      </c>
      <c r="M270" s="12">
        <f t="shared" si="26"/>
        <v>15</v>
      </c>
      <c r="N270" s="7">
        <f>L270*ROUNDUP(I270/GiaDinh!$C$5-0.0005,0)</f>
        <v>3</v>
      </c>
      <c r="O270" s="7">
        <f>L270*(ROUNDUP(I270/GiaDinh!$C$5-0.0005,0)-1)</f>
        <v>2</v>
      </c>
      <c r="P270" s="7">
        <f t="shared" si="27"/>
        <v>13</v>
      </c>
      <c r="Q270" s="7">
        <f t="shared" si="28"/>
        <v>26</v>
      </c>
      <c r="R270" s="7">
        <f t="shared" si="29"/>
        <v>13</v>
      </c>
      <c r="S270" s="13">
        <f>M270*GiaDinh!$C$7</f>
        <v>45.15</v>
      </c>
    </row>
    <row r="271" spans="1:19" ht="46.5" x14ac:dyDescent="0.35">
      <c r="A271" s="7" t="s">
        <v>11</v>
      </c>
      <c r="B271" s="7">
        <v>27</v>
      </c>
      <c r="C271" s="7" t="s">
        <v>179</v>
      </c>
      <c r="D271" s="7" t="s">
        <v>429</v>
      </c>
      <c r="E271" s="7">
        <v>1</v>
      </c>
      <c r="F271" s="7">
        <v>47.9</v>
      </c>
      <c r="G271" s="12">
        <f>E271*F271*GiaDinh!$C$18*GiaDinh!$C$17</f>
        <v>40.23599999999999</v>
      </c>
      <c r="H271" s="7">
        <f>GiaDinh!$C$21</f>
        <v>1.2250000000000001</v>
      </c>
      <c r="I271" s="7">
        <f>GiaDinh!$C$15</f>
        <v>15</v>
      </c>
      <c r="J271" s="7">
        <f t="shared" si="24"/>
        <v>13</v>
      </c>
      <c r="K271" s="12">
        <f>J271*GiaDinh!$C$16</f>
        <v>91</v>
      </c>
      <c r="L271" s="7">
        <f t="shared" si="25"/>
        <v>1</v>
      </c>
      <c r="M271" s="12">
        <f t="shared" si="26"/>
        <v>15</v>
      </c>
      <c r="N271" s="7">
        <f>L271*ROUNDUP(I271/GiaDinh!$C$5-0.0005,0)</f>
        <v>3</v>
      </c>
      <c r="O271" s="7">
        <f>L271*(ROUNDUP(I271/GiaDinh!$C$5-0.0005,0)-1)</f>
        <v>2</v>
      </c>
      <c r="P271" s="7">
        <f t="shared" si="27"/>
        <v>13</v>
      </c>
      <c r="Q271" s="7">
        <f t="shared" si="28"/>
        <v>26</v>
      </c>
      <c r="R271" s="7">
        <f t="shared" si="29"/>
        <v>13</v>
      </c>
      <c r="S271" s="13">
        <f>M271*GiaDinh!$C$7</f>
        <v>45.15</v>
      </c>
    </row>
    <row r="272" spans="1:19" ht="46.5" x14ac:dyDescent="0.35">
      <c r="A272" s="7" t="s">
        <v>11</v>
      </c>
      <c r="B272" s="7">
        <v>28</v>
      </c>
      <c r="C272" s="7" t="s">
        <v>179</v>
      </c>
      <c r="D272" s="7" t="s">
        <v>430</v>
      </c>
      <c r="E272" s="7">
        <v>1</v>
      </c>
      <c r="F272" s="7">
        <v>47.9</v>
      </c>
      <c r="G272" s="12">
        <f>E272*F272*GiaDinh!$C$18*GiaDinh!$C$17</f>
        <v>40.23599999999999</v>
      </c>
      <c r="H272" s="7">
        <f>GiaDinh!$C$21</f>
        <v>1.2250000000000001</v>
      </c>
      <c r="I272" s="7">
        <f>GiaDinh!$C$15</f>
        <v>15</v>
      </c>
      <c r="J272" s="7">
        <f t="shared" si="24"/>
        <v>13</v>
      </c>
      <c r="K272" s="12">
        <f>J272*GiaDinh!$C$16</f>
        <v>91</v>
      </c>
      <c r="L272" s="7">
        <f t="shared" si="25"/>
        <v>1</v>
      </c>
      <c r="M272" s="12">
        <f t="shared" si="26"/>
        <v>15</v>
      </c>
      <c r="N272" s="7">
        <f>L272*ROUNDUP(I272/GiaDinh!$C$5-0.0005,0)</f>
        <v>3</v>
      </c>
      <c r="O272" s="7">
        <f>L272*(ROUNDUP(I272/GiaDinh!$C$5-0.0005,0)-1)</f>
        <v>2</v>
      </c>
      <c r="P272" s="7">
        <f t="shared" si="27"/>
        <v>13</v>
      </c>
      <c r="Q272" s="7">
        <f t="shared" si="28"/>
        <v>26</v>
      </c>
      <c r="R272" s="7">
        <f t="shared" si="29"/>
        <v>13</v>
      </c>
      <c r="S272" s="13">
        <f>M272*GiaDinh!$C$7</f>
        <v>45.15</v>
      </c>
    </row>
    <row r="273" spans="1:19" ht="46.5" x14ac:dyDescent="0.35">
      <c r="A273" s="7" t="s">
        <v>11</v>
      </c>
      <c r="B273" s="7">
        <v>29</v>
      </c>
      <c r="C273" s="7" t="s">
        <v>179</v>
      </c>
      <c r="D273" s="7" t="s">
        <v>431</v>
      </c>
      <c r="E273" s="7">
        <v>1</v>
      </c>
      <c r="F273" s="7">
        <v>47.9</v>
      </c>
      <c r="G273" s="12">
        <f>E273*F273*GiaDinh!$C$18*GiaDinh!$C$17</f>
        <v>40.23599999999999</v>
      </c>
      <c r="H273" s="7">
        <f>GiaDinh!$C$21</f>
        <v>1.2250000000000001</v>
      </c>
      <c r="I273" s="7">
        <f>GiaDinh!$C$15</f>
        <v>15</v>
      </c>
      <c r="J273" s="7">
        <f t="shared" si="24"/>
        <v>13</v>
      </c>
      <c r="K273" s="12">
        <f>J273*GiaDinh!$C$16</f>
        <v>91</v>
      </c>
      <c r="L273" s="7">
        <f t="shared" si="25"/>
        <v>1</v>
      </c>
      <c r="M273" s="12">
        <f t="shared" si="26"/>
        <v>15</v>
      </c>
      <c r="N273" s="7">
        <f>L273*ROUNDUP(I273/GiaDinh!$C$5-0.0005,0)</f>
        <v>3</v>
      </c>
      <c r="O273" s="7">
        <f>L273*(ROUNDUP(I273/GiaDinh!$C$5-0.0005,0)-1)</f>
        <v>2</v>
      </c>
      <c r="P273" s="7">
        <f t="shared" si="27"/>
        <v>13</v>
      </c>
      <c r="Q273" s="7">
        <f t="shared" si="28"/>
        <v>26</v>
      </c>
      <c r="R273" s="7">
        <f t="shared" si="29"/>
        <v>13</v>
      </c>
      <c r="S273" s="13">
        <f>M273*GiaDinh!$C$7</f>
        <v>45.15</v>
      </c>
    </row>
    <row r="274" spans="1:19" ht="46.5" x14ac:dyDescent="0.35">
      <c r="A274" s="7" t="s">
        <v>11</v>
      </c>
      <c r="B274" s="7">
        <v>30</v>
      </c>
      <c r="C274" s="7" t="s">
        <v>179</v>
      </c>
      <c r="D274" s="7" t="s">
        <v>432</v>
      </c>
      <c r="E274" s="7">
        <v>1</v>
      </c>
      <c r="F274" s="7">
        <v>47.9</v>
      </c>
      <c r="G274" s="12">
        <f>E274*F274*GiaDinh!$C$18*GiaDinh!$C$17</f>
        <v>40.23599999999999</v>
      </c>
      <c r="H274" s="7">
        <f>GiaDinh!$C$21</f>
        <v>1.2250000000000001</v>
      </c>
      <c r="I274" s="7">
        <f>GiaDinh!$C$15</f>
        <v>15</v>
      </c>
      <c r="J274" s="7">
        <f t="shared" si="24"/>
        <v>13</v>
      </c>
      <c r="K274" s="12">
        <f>J274*GiaDinh!$C$16</f>
        <v>91</v>
      </c>
      <c r="L274" s="7">
        <f t="shared" si="25"/>
        <v>1</v>
      </c>
      <c r="M274" s="12">
        <f t="shared" si="26"/>
        <v>15</v>
      </c>
      <c r="N274" s="7">
        <f>L274*ROUNDUP(I274/GiaDinh!$C$5-0.0005,0)</f>
        <v>3</v>
      </c>
      <c r="O274" s="7">
        <f>L274*(ROUNDUP(I274/GiaDinh!$C$5-0.0005,0)-1)</f>
        <v>2</v>
      </c>
      <c r="P274" s="7">
        <f t="shared" si="27"/>
        <v>13</v>
      </c>
      <c r="Q274" s="7">
        <f t="shared" si="28"/>
        <v>26</v>
      </c>
      <c r="R274" s="7">
        <f t="shared" si="29"/>
        <v>13</v>
      </c>
      <c r="S274" s="13">
        <f>M274*GiaDinh!$C$7</f>
        <v>45.15</v>
      </c>
    </row>
    <row r="275" spans="1:19" ht="46.5" x14ac:dyDescent="0.35">
      <c r="A275" s="7" t="s">
        <v>11</v>
      </c>
      <c r="B275" s="7">
        <v>31</v>
      </c>
      <c r="C275" s="7" t="s">
        <v>179</v>
      </c>
      <c r="D275" s="7" t="s">
        <v>433</v>
      </c>
      <c r="E275" s="7">
        <v>1</v>
      </c>
      <c r="F275" s="7">
        <v>47.9</v>
      </c>
      <c r="G275" s="12">
        <f>E275*F275*GiaDinh!$C$18*GiaDinh!$C$17</f>
        <v>40.23599999999999</v>
      </c>
      <c r="H275" s="7">
        <f>GiaDinh!$C$21</f>
        <v>1.2250000000000001</v>
      </c>
      <c r="I275" s="7">
        <f>GiaDinh!$C$15</f>
        <v>15</v>
      </c>
      <c r="J275" s="7">
        <f t="shared" si="24"/>
        <v>13</v>
      </c>
      <c r="K275" s="12">
        <f>J275*GiaDinh!$C$16</f>
        <v>91</v>
      </c>
      <c r="L275" s="7">
        <f t="shared" si="25"/>
        <v>1</v>
      </c>
      <c r="M275" s="12">
        <f t="shared" si="26"/>
        <v>15</v>
      </c>
      <c r="N275" s="7">
        <f>L275*ROUNDUP(I275/GiaDinh!$C$5-0.0005,0)</f>
        <v>3</v>
      </c>
      <c r="O275" s="7">
        <f>L275*(ROUNDUP(I275/GiaDinh!$C$5-0.0005,0)-1)</f>
        <v>2</v>
      </c>
      <c r="P275" s="7">
        <f t="shared" si="27"/>
        <v>13</v>
      </c>
      <c r="Q275" s="7">
        <f t="shared" si="28"/>
        <v>26</v>
      </c>
      <c r="R275" s="7">
        <f t="shared" si="29"/>
        <v>13</v>
      </c>
      <c r="S275" s="13">
        <f>M275*GiaDinh!$C$7</f>
        <v>45.15</v>
      </c>
    </row>
    <row r="276" spans="1:19" ht="46.5" x14ac:dyDescent="0.35">
      <c r="A276" s="7" t="s">
        <v>11</v>
      </c>
      <c r="B276" s="7">
        <v>32</v>
      </c>
      <c r="C276" s="7" t="s">
        <v>179</v>
      </c>
      <c r="D276" s="7" t="s">
        <v>434</v>
      </c>
      <c r="E276" s="7">
        <v>1</v>
      </c>
      <c r="F276" s="7">
        <v>47.9</v>
      </c>
      <c r="G276" s="12">
        <f>E276*F276*GiaDinh!$C$18*GiaDinh!$C$17</f>
        <v>40.23599999999999</v>
      </c>
      <c r="H276" s="7">
        <f>GiaDinh!$C$21</f>
        <v>1.2250000000000001</v>
      </c>
      <c r="I276" s="7">
        <f>GiaDinh!$C$15</f>
        <v>15</v>
      </c>
      <c r="J276" s="7">
        <f t="shared" si="24"/>
        <v>13</v>
      </c>
      <c r="K276" s="12">
        <f>J276*GiaDinh!$C$16</f>
        <v>91</v>
      </c>
      <c r="L276" s="7">
        <f t="shared" si="25"/>
        <v>1</v>
      </c>
      <c r="M276" s="12">
        <f t="shared" si="26"/>
        <v>15</v>
      </c>
      <c r="N276" s="7">
        <f>L276*ROUNDUP(I276/GiaDinh!$C$5-0.0005,0)</f>
        <v>3</v>
      </c>
      <c r="O276" s="7">
        <f>L276*(ROUNDUP(I276/GiaDinh!$C$5-0.0005,0)-1)</f>
        <v>2</v>
      </c>
      <c r="P276" s="7">
        <f t="shared" si="27"/>
        <v>13</v>
      </c>
      <c r="Q276" s="7">
        <f t="shared" si="28"/>
        <v>26</v>
      </c>
      <c r="R276" s="7">
        <f t="shared" si="29"/>
        <v>13</v>
      </c>
      <c r="S276" s="13">
        <f>M276*GiaDinh!$C$7</f>
        <v>45.15</v>
      </c>
    </row>
    <row r="277" spans="1:19" ht="46.5" x14ac:dyDescent="0.35">
      <c r="A277" s="7" t="s">
        <v>11</v>
      </c>
      <c r="B277" s="7">
        <v>33</v>
      </c>
      <c r="C277" s="7" t="s">
        <v>179</v>
      </c>
      <c r="D277" s="7" t="s">
        <v>435</v>
      </c>
      <c r="E277" s="7">
        <v>1</v>
      </c>
      <c r="F277" s="7">
        <v>47.9</v>
      </c>
      <c r="G277" s="12">
        <f>E277*F277*GiaDinh!$C$18*GiaDinh!$C$17</f>
        <v>40.23599999999999</v>
      </c>
      <c r="H277" s="7">
        <f>GiaDinh!$C$21</f>
        <v>1.2250000000000001</v>
      </c>
      <c r="I277" s="7">
        <f>GiaDinh!$C$15</f>
        <v>15</v>
      </c>
      <c r="J277" s="7">
        <f t="shared" si="24"/>
        <v>13</v>
      </c>
      <c r="K277" s="12">
        <f>J277*GiaDinh!$C$16</f>
        <v>91</v>
      </c>
      <c r="L277" s="7">
        <f t="shared" si="25"/>
        <v>1</v>
      </c>
      <c r="M277" s="12">
        <f t="shared" si="26"/>
        <v>15</v>
      </c>
      <c r="N277" s="7">
        <f>L277*ROUNDUP(I277/GiaDinh!$C$5-0.0005,0)</f>
        <v>3</v>
      </c>
      <c r="O277" s="7">
        <f>L277*(ROUNDUP(I277/GiaDinh!$C$5-0.0005,0)-1)</f>
        <v>2</v>
      </c>
      <c r="P277" s="7">
        <f t="shared" si="27"/>
        <v>13</v>
      </c>
      <c r="Q277" s="7">
        <f t="shared" si="28"/>
        <v>26</v>
      </c>
      <c r="R277" s="7">
        <f t="shared" si="29"/>
        <v>13</v>
      </c>
      <c r="S277" s="13">
        <f>M277*GiaDinh!$C$7</f>
        <v>45.15</v>
      </c>
    </row>
    <row r="278" spans="1:19" ht="46.5" x14ac:dyDescent="0.35">
      <c r="A278" s="7" t="s">
        <v>11</v>
      </c>
      <c r="B278" s="7">
        <v>34</v>
      </c>
      <c r="C278" s="7" t="s">
        <v>179</v>
      </c>
      <c r="D278" s="7" t="s">
        <v>436</v>
      </c>
      <c r="E278" s="7">
        <v>1</v>
      </c>
      <c r="F278" s="7">
        <v>47.9</v>
      </c>
      <c r="G278" s="12">
        <f>E278*F278*GiaDinh!$C$18*GiaDinh!$C$17</f>
        <v>40.23599999999999</v>
      </c>
      <c r="H278" s="7">
        <f>GiaDinh!$C$21</f>
        <v>1.2250000000000001</v>
      </c>
      <c r="I278" s="7">
        <f>GiaDinh!$C$15</f>
        <v>15</v>
      </c>
      <c r="J278" s="7">
        <f t="shared" si="24"/>
        <v>13</v>
      </c>
      <c r="K278" s="12">
        <f>J278*GiaDinh!$C$16</f>
        <v>91</v>
      </c>
      <c r="L278" s="7">
        <f t="shared" si="25"/>
        <v>1</v>
      </c>
      <c r="M278" s="12">
        <f t="shared" si="26"/>
        <v>15</v>
      </c>
      <c r="N278" s="7">
        <f>L278*ROUNDUP(I278/GiaDinh!$C$5-0.0005,0)</f>
        <v>3</v>
      </c>
      <c r="O278" s="7">
        <f>L278*(ROUNDUP(I278/GiaDinh!$C$5-0.0005,0)-1)</f>
        <v>2</v>
      </c>
      <c r="P278" s="7">
        <f t="shared" si="27"/>
        <v>13</v>
      </c>
      <c r="Q278" s="7">
        <f t="shared" si="28"/>
        <v>26</v>
      </c>
      <c r="R278" s="7">
        <f t="shared" si="29"/>
        <v>13</v>
      </c>
      <c r="S278" s="13">
        <f>M278*GiaDinh!$C$7</f>
        <v>45.15</v>
      </c>
    </row>
    <row r="279" spans="1:19" ht="46.5" x14ac:dyDescent="0.35">
      <c r="A279" s="7" t="s">
        <v>11</v>
      </c>
      <c r="B279" s="7">
        <v>35</v>
      </c>
      <c r="C279" s="7" t="s">
        <v>179</v>
      </c>
      <c r="D279" s="7" t="s">
        <v>437</v>
      </c>
      <c r="E279" s="7">
        <v>1</v>
      </c>
      <c r="F279" s="7">
        <v>47.9</v>
      </c>
      <c r="G279" s="12">
        <f>E279*F279*GiaDinh!$C$18*GiaDinh!$C$17</f>
        <v>40.23599999999999</v>
      </c>
      <c r="H279" s="7">
        <f>GiaDinh!$C$21</f>
        <v>1.2250000000000001</v>
      </c>
      <c r="I279" s="7">
        <f>GiaDinh!$C$15</f>
        <v>15</v>
      </c>
      <c r="J279" s="7">
        <f t="shared" si="24"/>
        <v>13</v>
      </c>
      <c r="K279" s="12">
        <f>J279*GiaDinh!$C$16</f>
        <v>91</v>
      </c>
      <c r="L279" s="7">
        <f t="shared" si="25"/>
        <v>1</v>
      </c>
      <c r="M279" s="12">
        <f t="shared" si="26"/>
        <v>15</v>
      </c>
      <c r="N279" s="7">
        <f>L279*ROUNDUP(I279/GiaDinh!$C$5-0.0005,0)</f>
        <v>3</v>
      </c>
      <c r="O279" s="7">
        <f>L279*(ROUNDUP(I279/GiaDinh!$C$5-0.0005,0)-1)</f>
        <v>2</v>
      </c>
      <c r="P279" s="7">
        <f t="shared" si="27"/>
        <v>13</v>
      </c>
      <c r="Q279" s="7">
        <f t="shared" si="28"/>
        <v>26</v>
      </c>
      <c r="R279" s="7">
        <f t="shared" si="29"/>
        <v>13</v>
      </c>
      <c r="S279" s="13">
        <f>M279*GiaDinh!$C$7</f>
        <v>45.15</v>
      </c>
    </row>
    <row r="280" spans="1:19" ht="46.5" x14ac:dyDescent="0.35">
      <c r="A280" s="7" t="s">
        <v>11</v>
      </c>
      <c r="B280" s="7">
        <v>36</v>
      </c>
      <c r="C280" s="7" t="s">
        <v>179</v>
      </c>
      <c r="D280" s="7" t="s">
        <v>438</v>
      </c>
      <c r="E280" s="7">
        <v>1</v>
      </c>
      <c r="F280" s="7">
        <v>47.9</v>
      </c>
      <c r="G280" s="12">
        <f>E280*F280*GiaDinh!$C$18*GiaDinh!$C$17</f>
        <v>40.23599999999999</v>
      </c>
      <c r="H280" s="7">
        <f>GiaDinh!$C$21</f>
        <v>1.2250000000000001</v>
      </c>
      <c r="I280" s="7">
        <f>GiaDinh!$C$15</f>
        <v>15</v>
      </c>
      <c r="J280" s="7">
        <f t="shared" si="24"/>
        <v>13</v>
      </c>
      <c r="K280" s="12">
        <f>J280*GiaDinh!$C$16</f>
        <v>91</v>
      </c>
      <c r="L280" s="7">
        <f t="shared" si="25"/>
        <v>1</v>
      </c>
      <c r="M280" s="12">
        <f t="shared" si="26"/>
        <v>15</v>
      </c>
      <c r="N280" s="7">
        <f>L280*ROUNDUP(I280/GiaDinh!$C$5-0.0005,0)</f>
        <v>3</v>
      </c>
      <c r="O280" s="7">
        <f>L280*(ROUNDUP(I280/GiaDinh!$C$5-0.0005,0)-1)</f>
        <v>2</v>
      </c>
      <c r="P280" s="7">
        <f t="shared" si="27"/>
        <v>13</v>
      </c>
      <c r="Q280" s="7">
        <f t="shared" si="28"/>
        <v>26</v>
      </c>
      <c r="R280" s="7">
        <f t="shared" si="29"/>
        <v>13</v>
      </c>
      <c r="S280" s="13">
        <f>M280*GiaDinh!$C$7</f>
        <v>45.15</v>
      </c>
    </row>
    <row r="281" spans="1:19" ht="46.5" x14ac:dyDescent="0.35">
      <c r="A281" s="7" t="s">
        <v>11</v>
      </c>
      <c r="B281" s="7">
        <v>37</v>
      </c>
      <c r="C281" s="7" t="s">
        <v>179</v>
      </c>
      <c r="D281" s="7" t="s">
        <v>439</v>
      </c>
      <c r="E281" s="7">
        <v>1</v>
      </c>
      <c r="F281" s="7">
        <v>47.9</v>
      </c>
      <c r="G281" s="12">
        <f>E281*F281*GiaDinh!$C$18*GiaDinh!$C$17</f>
        <v>40.23599999999999</v>
      </c>
      <c r="H281" s="7">
        <f>GiaDinh!$C$21</f>
        <v>1.2250000000000001</v>
      </c>
      <c r="I281" s="7">
        <f>GiaDinh!$C$15</f>
        <v>15</v>
      </c>
      <c r="J281" s="7">
        <f t="shared" si="24"/>
        <v>13</v>
      </c>
      <c r="K281" s="12">
        <f>J281*GiaDinh!$C$16</f>
        <v>91</v>
      </c>
      <c r="L281" s="7">
        <f t="shared" si="25"/>
        <v>1</v>
      </c>
      <c r="M281" s="12">
        <f t="shared" si="26"/>
        <v>15</v>
      </c>
      <c r="N281" s="7">
        <f>L281*ROUNDUP(I281/GiaDinh!$C$5-0.0005,0)</f>
        <v>3</v>
      </c>
      <c r="O281" s="7">
        <f>L281*(ROUNDUP(I281/GiaDinh!$C$5-0.0005,0)-1)</f>
        <v>2</v>
      </c>
      <c r="P281" s="7">
        <f t="shared" si="27"/>
        <v>13</v>
      </c>
      <c r="Q281" s="7">
        <f t="shared" si="28"/>
        <v>26</v>
      </c>
      <c r="R281" s="7">
        <f t="shared" si="29"/>
        <v>13</v>
      </c>
      <c r="S281" s="13">
        <f>M281*GiaDinh!$C$7</f>
        <v>45.15</v>
      </c>
    </row>
    <row r="282" spans="1:19" ht="46.5" x14ac:dyDescent="0.35">
      <c r="A282" s="7" t="s">
        <v>11</v>
      </c>
      <c r="B282" s="7">
        <v>38</v>
      </c>
      <c r="C282" s="7" t="s">
        <v>179</v>
      </c>
      <c r="D282" s="7" t="s">
        <v>440</v>
      </c>
      <c r="E282" s="7">
        <v>1</v>
      </c>
      <c r="F282" s="7">
        <v>47.9</v>
      </c>
      <c r="G282" s="12">
        <f>E282*F282*GiaDinh!$C$18*GiaDinh!$C$17</f>
        <v>40.23599999999999</v>
      </c>
      <c r="H282" s="7">
        <f>GiaDinh!$C$21</f>
        <v>1.2250000000000001</v>
      </c>
      <c r="I282" s="7">
        <f>GiaDinh!$C$15</f>
        <v>15</v>
      </c>
      <c r="J282" s="7">
        <f t="shared" si="24"/>
        <v>13</v>
      </c>
      <c r="K282" s="12">
        <f>J282*GiaDinh!$C$16</f>
        <v>91</v>
      </c>
      <c r="L282" s="7">
        <f t="shared" si="25"/>
        <v>1</v>
      </c>
      <c r="M282" s="12">
        <f t="shared" si="26"/>
        <v>15</v>
      </c>
      <c r="N282" s="7">
        <f>L282*ROUNDUP(I282/GiaDinh!$C$5-0.0005,0)</f>
        <v>3</v>
      </c>
      <c r="O282" s="7">
        <f>L282*(ROUNDUP(I282/GiaDinh!$C$5-0.0005,0)-1)</f>
        <v>2</v>
      </c>
      <c r="P282" s="7">
        <f t="shared" si="27"/>
        <v>13</v>
      </c>
      <c r="Q282" s="7">
        <f t="shared" si="28"/>
        <v>26</v>
      </c>
      <c r="R282" s="7">
        <f t="shared" si="29"/>
        <v>13</v>
      </c>
      <c r="S282" s="13">
        <f>M282*GiaDinh!$C$7</f>
        <v>45.15</v>
      </c>
    </row>
    <row r="283" spans="1:19" ht="46.5" x14ac:dyDescent="0.35">
      <c r="A283" s="7" t="s">
        <v>11</v>
      </c>
      <c r="B283" s="7">
        <v>39</v>
      </c>
      <c r="C283" s="7" t="s">
        <v>179</v>
      </c>
      <c r="D283" s="7" t="s">
        <v>441</v>
      </c>
      <c r="E283" s="7">
        <v>1</v>
      </c>
      <c r="F283" s="7">
        <v>47.9</v>
      </c>
      <c r="G283" s="12">
        <f>E283*F283*GiaDinh!$C$18*GiaDinh!$C$17</f>
        <v>40.23599999999999</v>
      </c>
      <c r="H283" s="7">
        <f>GiaDinh!$C$21</f>
        <v>1.2250000000000001</v>
      </c>
      <c r="I283" s="7">
        <f>GiaDinh!$C$15</f>
        <v>15</v>
      </c>
      <c r="J283" s="7">
        <f t="shared" si="24"/>
        <v>13</v>
      </c>
      <c r="K283" s="12">
        <f>J283*GiaDinh!$C$16</f>
        <v>91</v>
      </c>
      <c r="L283" s="7">
        <f t="shared" si="25"/>
        <v>1</v>
      </c>
      <c r="M283" s="12">
        <f t="shared" si="26"/>
        <v>15</v>
      </c>
      <c r="N283" s="7">
        <f>L283*ROUNDUP(I283/GiaDinh!$C$5-0.0005,0)</f>
        <v>3</v>
      </c>
      <c r="O283" s="7">
        <f>L283*(ROUNDUP(I283/GiaDinh!$C$5-0.0005,0)-1)</f>
        <v>2</v>
      </c>
      <c r="P283" s="7">
        <f t="shared" si="27"/>
        <v>13</v>
      </c>
      <c r="Q283" s="7">
        <f t="shared" si="28"/>
        <v>26</v>
      </c>
      <c r="R283" s="7">
        <f t="shared" si="29"/>
        <v>13</v>
      </c>
      <c r="S283" s="13">
        <f>M283*GiaDinh!$C$7</f>
        <v>45.15</v>
      </c>
    </row>
    <row r="284" spans="1:19" ht="46.5" x14ac:dyDescent="0.35">
      <c r="A284" s="7" t="s">
        <v>11</v>
      </c>
      <c r="B284" s="7">
        <v>40</v>
      </c>
      <c r="C284" s="7" t="s">
        <v>179</v>
      </c>
      <c r="D284" s="7" t="s">
        <v>442</v>
      </c>
      <c r="E284" s="7">
        <v>1</v>
      </c>
      <c r="F284" s="7">
        <v>47.9</v>
      </c>
      <c r="G284" s="12">
        <f>E284*F284*GiaDinh!$C$18*GiaDinh!$C$17</f>
        <v>40.23599999999999</v>
      </c>
      <c r="H284" s="7">
        <f>GiaDinh!$C$21</f>
        <v>1.2250000000000001</v>
      </c>
      <c r="I284" s="7">
        <f>GiaDinh!$C$15</f>
        <v>15</v>
      </c>
      <c r="J284" s="7">
        <f t="shared" si="24"/>
        <v>13</v>
      </c>
      <c r="K284" s="12">
        <f>J284*GiaDinh!$C$16</f>
        <v>91</v>
      </c>
      <c r="L284" s="7">
        <f t="shared" si="25"/>
        <v>1</v>
      </c>
      <c r="M284" s="12">
        <f t="shared" si="26"/>
        <v>15</v>
      </c>
      <c r="N284" s="7">
        <f>L284*ROUNDUP(I284/GiaDinh!$C$5-0.0005,0)</f>
        <v>3</v>
      </c>
      <c r="O284" s="7">
        <f>L284*(ROUNDUP(I284/GiaDinh!$C$5-0.0005,0)-1)</f>
        <v>2</v>
      </c>
      <c r="P284" s="7">
        <f t="shared" si="27"/>
        <v>13</v>
      </c>
      <c r="Q284" s="7">
        <f t="shared" si="28"/>
        <v>26</v>
      </c>
      <c r="R284" s="7">
        <f t="shared" si="29"/>
        <v>13</v>
      </c>
      <c r="S284" s="13">
        <f>M284*GiaDinh!$C$7</f>
        <v>45.15</v>
      </c>
    </row>
    <row r="285" spans="1:19" ht="31" x14ac:dyDescent="0.35">
      <c r="A285" s="7" t="s">
        <v>12</v>
      </c>
      <c r="B285" s="7">
        <v>1</v>
      </c>
      <c r="C285" s="7" t="s">
        <v>160</v>
      </c>
      <c r="D285" s="7" t="s">
        <v>443</v>
      </c>
      <c r="E285" s="7">
        <v>4</v>
      </c>
      <c r="F285" s="7">
        <v>112.2</v>
      </c>
      <c r="G285" s="12">
        <f>E285*F285*GiaDinh!$C$18*GiaDinh!$C$17</f>
        <v>376.99199999999996</v>
      </c>
      <c r="H285" s="7">
        <f>GiaDinh!$C$21</f>
        <v>1.2250000000000001</v>
      </c>
      <c r="I285" s="7">
        <f>GiaDinh!$C$15</f>
        <v>15</v>
      </c>
      <c r="J285" s="7">
        <f t="shared" si="24"/>
        <v>13</v>
      </c>
      <c r="K285" s="12">
        <f>J285*GiaDinh!$C$16</f>
        <v>91</v>
      </c>
      <c r="L285" s="7">
        <f t="shared" si="25"/>
        <v>5</v>
      </c>
      <c r="M285" s="12">
        <f t="shared" si="26"/>
        <v>75</v>
      </c>
      <c r="N285" s="7">
        <f>L285*ROUNDUP(I285/GiaDinh!$C$5-0.0005,0)</f>
        <v>15</v>
      </c>
      <c r="O285" s="7">
        <f>L285*(ROUNDUP(I285/GiaDinh!$C$5-0.0005,0)-1)</f>
        <v>10</v>
      </c>
      <c r="P285" s="7">
        <f t="shared" si="27"/>
        <v>65</v>
      </c>
      <c r="Q285" s="7">
        <f t="shared" si="28"/>
        <v>130</v>
      </c>
      <c r="R285" s="7">
        <f t="shared" si="29"/>
        <v>65</v>
      </c>
      <c r="S285" s="13">
        <f>M285*GiaDinh!$C$7</f>
        <v>225.74999999999997</v>
      </c>
    </row>
    <row r="286" spans="1:19" ht="31" x14ac:dyDescent="0.35">
      <c r="A286" s="7" t="s">
        <v>12</v>
      </c>
      <c r="B286" s="7">
        <v>2</v>
      </c>
      <c r="C286" s="7" t="s">
        <v>160</v>
      </c>
      <c r="D286" s="7" t="s">
        <v>444</v>
      </c>
      <c r="E286" s="7">
        <v>2</v>
      </c>
      <c r="F286" s="7">
        <v>112.2</v>
      </c>
      <c r="G286" s="12">
        <f>E286*F286*GiaDinh!$C$18*GiaDinh!$C$17</f>
        <v>188.49599999999998</v>
      </c>
      <c r="H286" s="7">
        <f>GiaDinh!$C$21</f>
        <v>1.2250000000000001</v>
      </c>
      <c r="I286" s="7">
        <f>GiaDinh!$C$15</f>
        <v>15</v>
      </c>
      <c r="J286" s="7">
        <f t="shared" si="24"/>
        <v>13</v>
      </c>
      <c r="K286" s="12">
        <f>J286*GiaDinh!$C$16</f>
        <v>91</v>
      </c>
      <c r="L286" s="7">
        <f t="shared" si="25"/>
        <v>3</v>
      </c>
      <c r="M286" s="12">
        <f t="shared" si="26"/>
        <v>45</v>
      </c>
      <c r="N286" s="7">
        <f>L286*ROUNDUP(I286/GiaDinh!$C$5-0.0005,0)</f>
        <v>9</v>
      </c>
      <c r="O286" s="7">
        <f>L286*(ROUNDUP(I286/GiaDinh!$C$5-0.0005,0)-1)</f>
        <v>6</v>
      </c>
      <c r="P286" s="7">
        <f t="shared" si="27"/>
        <v>39</v>
      </c>
      <c r="Q286" s="7">
        <f t="shared" si="28"/>
        <v>78</v>
      </c>
      <c r="R286" s="7">
        <f t="shared" si="29"/>
        <v>39</v>
      </c>
      <c r="S286" s="13">
        <f>M286*GiaDinh!$C$7</f>
        <v>135.44999999999999</v>
      </c>
    </row>
    <row r="287" spans="1:19" ht="31" x14ac:dyDescent="0.35">
      <c r="A287" s="7" t="s">
        <v>12</v>
      </c>
      <c r="B287" s="7">
        <v>3</v>
      </c>
      <c r="C287" s="7" t="s">
        <v>160</v>
      </c>
      <c r="D287" s="7" t="s">
        <v>445</v>
      </c>
      <c r="E287" s="7">
        <v>2</v>
      </c>
      <c r="F287" s="7">
        <v>112.2</v>
      </c>
      <c r="G287" s="12">
        <f>E287*F287*GiaDinh!$C$18*GiaDinh!$C$17</f>
        <v>188.49599999999998</v>
      </c>
      <c r="H287" s="7">
        <f>GiaDinh!$C$21</f>
        <v>1.2250000000000001</v>
      </c>
      <c r="I287" s="7">
        <f>GiaDinh!$C$15</f>
        <v>15</v>
      </c>
      <c r="J287" s="7">
        <f t="shared" si="24"/>
        <v>13</v>
      </c>
      <c r="K287" s="12">
        <f>J287*GiaDinh!$C$16</f>
        <v>91</v>
      </c>
      <c r="L287" s="7">
        <f t="shared" si="25"/>
        <v>3</v>
      </c>
      <c r="M287" s="12">
        <f t="shared" si="26"/>
        <v>45</v>
      </c>
      <c r="N287" s="7">
        <f>L287*ROUNDUP(I287/GiaDinh!$C$5-0.0005,0)</f>
        <v>9</v>
      </c>
      <c r="O287" s="7">
        <f>L287*(ROUNDUP(I287/GiaDinh!$C$5-0.0005,0)-1)</f>
        <v>6</v>
      </c>
      <c r="P287" s="7">
        <f t="shared" si="27"/>
        <v>39</v>
      </c>
      <c r="Q287" s="7">
        <f t="shared" si="28"/>
        <v>78</v>
      </c>
      <c r="R287" s="7">
        <f t="shared" si="29"/>
        <v>39</v>
      </c>
      <c r="S287" s="13">
        <f>M287*GiaDinh!$C$7</f>
        <v>135.44999999999999</v>
      </c>
    </row>
    <row r="288" spans="1:19" ht="31" x14ac:dyDescent="0.35">
      <c r="A288" s="7" t="s">
        <v>12</v>
      </c>
      <c r="B288" s="7">
        <v>4</v>
      </c>
      <c r="C288" s="7" t="s">
        <v>160</v>
      </c>
      <c r="D288" s="7" t="s">
        <v>446</v>
      </c>
      <c r="E288" s="7">
        <v>2</v>
      </c>
      <c r="F288" s="7">
        <v>112.2</v>
      </c>
      <c r="G288" s="12">
        <f>E288*F288*GiaDinh!$C$18*GiaDinh!$C$17</f>
        <v>188.49599999999998</v>
      </c>
      <c r="H288" s="7">
        <f>GiaDinh!$C$21</f>
        <v>1.2250000000000001</v>
      </c>
      <c r="I288" s="7">
        <f>GiaDinh!$C$15</f>
        <v>15</v>
      </c>
      <c r="J288" s="7">
        <f t="shared" si="24"/>
        <v>13</v>
      </c>
      <c r="K288" s="12">
        <f>J288*GiaDinh!$C$16</f>
        <v>91</v>
      </c>
      <c r="L288" s="7">
        <f t="shared" si="25"/>
        <v>3</v>
      </c>
      <c r="M288" s="12">
        <f t="shared" si="26"/>
        <v>45</v>
      </c>
      <c r="N288" s="7">
        <f>L288*ROUNDUP(I288/GiaDinh!$C$5-0.0005,0)</f>
        <v>9</v>
      </c>
      <c r="O288" s="7">
        <f>L288*(ROUNDUP(I288/GiaDinh!$C$5-0.0005,0)-1)</f>
        <v>6</v>
      </c>
      <c r="P288" s="7">
        <f t="shared" si="27"/>
        <v>39</v>
      </c>
      <c r="Q288" s="7">
        <f t="shared" si="28"/>
        <v>78</v>
      </c>
      <c r="R288" s="7">
        <f t="shared" si="29"/>
        <v>39</v>
      </c>
      <c r="S288" s="13">
        <f>M288*GiaDinh!$C$7</f>
        <v>135.44999999999999</v>
      </c>
    </row>
    <row r="289" spans="1:19" ht="31" x14ac:dyDescent="0.35">
      <c r="A289" s="7" t="s">
        <v>12</v>
      </c>
      <c r="B289" s="7">
        <v>5</v>
      </c>
      <c r="C289" s="7" t="s">
        <v>160</v>
      </c>
      <c r="D289" s="7" t="s">
        <v>447</v>
      </c>
      <c r="E289" s="7">
        <v>4</v>
      </c>
      <c r="F289" s="7">
        <v>112.2</v>
      </c>
      <c r="G289" s="12">
        <f>E289*F289*GiaDinh!$C$18*GiaDinh!$C$17</f>
        <v>376.99199999999996</v>
      </c>
      <c r="H289" s="7">
        <f>GiaDinh!$C$21</f>
        <v>1.2250000000000001</v>
      </c>
      <c r="I289" s="7">
        <f>GiaDinh!$C$15</f>
        <v>15</v>
      </c>
      <c r="J289" s="7">
        <f t="shared" si="24"/>
        <v>13</v>
      </c>
      <c r="K289" s="12">
        <f>J289*GiaDinh!$C$16</f>
        <v>91</v>
      </c>
      <c r="L289" s="7">
        <f t="shared" si="25"/>
        <v>5</v>
      </c>
      <c r="M289" s="12">
        <f t="shared" si="26"/>
        <v>75</v>
      </c>
      <c r="N289" s="7">
        <f>L289*ROUNDUP(I289/GiaDinh!$C$5-0.0005,0)</f>
        <v>15</v>
      </c>
      <c r="O289" s="7">
        <f>L289*(ROUNDUP(I289/GiaDinh!$C$5-0.0005,0)-1)</f>
        <v>10</v>
      </c>
      <c r="P289" s="7">
        <f t="shared" si="27"/>
        <v>65</v>
      </c>
      <c r="Q289" s="7">
        <f t="shared" si="28"/>
        <v>130</v>
      </c>
      <c r="R289" s="7">
        <f t="shared" si="29"/>
        <v>65</v>
      </c>
      <c r="S289" s="13">
        <f>M289*GiaDinh!$C$7</f>
        <v>225.74999999999997</v>
      </c>
    </row>
    <row r="290" spans="1:19" ht="31" x14ac:dyDescent="0.35">
      <c r="A290" s="7" t="s">
        <v>12</v>
      </c>
      <c r="B290" s="7">
        <v>6</v>
      </c>
      <c r="C290" s="7" t="s">
        <v>160</v>
      </c>
      <c r="D290" s="7" t="s">
        <v>448</v>
      </c>
      <c r="E290" s="7">
        <v>4</v>
      </c>
      <c r="F290" s="7">
        <v>112.2</v>
      </c>
      <c r="G290" s="12">
        <f>E290*F290*GiaDinh!$C$18*GiaDinh!$C$17</f>
        <v>376.99199999999996</v>
      </c>
      <c r="H290" s="7">
        <f>GiaDinh!$C$21</f>
        <v>1.2250000000000001</v>
      </c>
      <c r="I290" s="7">
        <f>GiaDinh!$C$15</f>
        <v>15</v>
      </c>
      <c r="J290" s="7">
        <f t="shared" si="24"/>
        <v>13</v>
      </c>
      <c r="K290" s="12">
        <f>J290*GiaDinh!$C$16</f>
        <v>91</v>
      </c>
      <c r="L290" s="7">
        <f t="shared" si="25"/>
        <v>5</v>
      </c>
      <c r="M290" s="12">
        <f t="shared" si="26"/>
        <v>75</v>
      </c>
      <c r="N290" s="7">
        <f>L290*ROUNDUP(I290/GiaDinh!$C$5-0.0005,0)</f>
        <v>15</v>
      </c>
      <c r="O290" s="7">
        <f>L290*(ROUNDUP(I290/GiaDinh!$C$5-0.0005,0)-1)</f>
        <v>10</v>
      </c>
      <c r="P290" s="7">
        <f t="shared" si="27"/>
        <v>65</v>
      </c>
      <c r="Q290" s="7">
        <f t="shared" si="28"/>
        <v>130</v>
      </c>
      <c r="R290" s="7">
        <f t="shared" si="29"/>
        <v>65</v>
      </c>
      <c r="S290" s="13">
        <f>M290*GiaDinh!$C$7</f>
        <v>225.74999999999997</v>
      </c>
    </row>
    <row r="291" spans="1:19" ht="31" x14ac:dyDescent="0.35">
      <c r="A291" s="7" t="s">
        <v>12</v>
      </c>
      <c r="B291" s="7">
        <v>7</v>
      </c>
      <c r="C291" s="7" t="s">
        <v>160</v>
      </c>
      <c r="D291" s="7" t="s">
        <v>449</v>
      </c>
      <c r="E291" s="7">
        <v>2</v>
      </c>
      <c r="F291" s="7">
        <v>112.2</v>
      </c>
      <c r="G291" s="12">
        <f>E291*F291*GiaDinh!$C$18*GiaDinh!$C$17</f>
        <v>188.49599999999998</v>
      </c>
      <c r="H291" s="7">
        <f>GiaDinh!$C$21</f>
        <v>1.2250000000000001</v>
      </c>
      <c r="I291" s="7">
        <f>GiaDinh!$C$15</f>
        <v>15</v>
      </c>
      <c r="J291" s="7">
        <f t="shared" si="24"/>
        <v>13</v>
      </c>
      <c r="K291" s="12">
        <f>J291*GiaDinh!$C$16</f>
        <v>91</v>
      </c>
      <c r="L291" s="7">
        <f t="shared" si="25"/>
        <v>3</v>
      </c>
      <c r="M291" s="12">
        <f t="shared" si="26"/>
        <v>45</v>
      </c>
      <c r="N291" s="7">
        <f>L291*ROUNDUP(I291/GiaDinh!$C$5-0.0005,0)</f>
        <v>9</v>
      </c>
      <c r="O291" s="7">
        <f>L291*(ROUNDUP(I291/GiaDinh!$C$5-0.0005,0)-1)</f>
        <v>6</v>
      </c>
      <c r="P291" s="7">
        <f t="shared" si="27"/>
        <v>39</v>
      </c>
      <c r="Q291" s="7">
        <f t="shared" si="28"/>
        <v>78</v>
      </c>
      <c r="R291" s="7">
        <f t="shared" si="29"/>
        <v>39</v>
      </c>
      <c r="S291" s="13">
        <f>M291*GiaDinh!$C$7</f>
        <v>135.44999999999999</v>
      </c>
    </row>
    <row r="292" spans="1:19" ht="31" x14ac:dyDescent="0.35">
      <c r="A292" s="7" t="s">
        <v>12</v>
      </c>
      <c r="B292" s="7">
        <v>8</v>
      </c>
      <c r="C292" s="7" t="s">
        <v>160</v>
      </c>
      <c r="D292" s="7" t="s">
        <v>450</v>
      </c>
      <c r="E292" s="7">
        <v>2</v>
      </c>
      <c r="F292" s="7">
        <v>112.2</v>
      </c>
      <c r="G292" s="12">
        <f>E292*F292*GiaDinh!$C$18*GiaDinh!$C$17</f>
        <v>188.49599999999998</v>
      </c>
      <c r="H292" s="7">
        <f>GiaDinh!$C$21</f>
        <v>1.2250000000000001</v>
      </c>
      <c r="I292" s="7">
        <f>GiaDinh!$C$15</f>
        <v>15</v>
      </c>
      <c r="J292" s="7">
        <f t="shared" si="24"/>
        <v>13</v>
      </c>
      <c r="K292" s="12">
        <f>J292*GiaDinh!$C$16</f>
        <v>91</v>
      </c>
      <c r="L292" s="7">
        <f t="shared" si="25"/>
        <v>3</v>
      </c>
      <c r="M292" s="12">
        <f t="shared" si="26"/>
        <v>45</v>
      </c>
      <c r="N292" s="7">
        <f>L292*ROUNDUP(I292/GiaDinh!$C$5-0.0005,0)</f>
        <v>9</v>
      </c>
      <c r="O292" s="7">
        <f>L292*(ROUNDUP(I292/GiaDinh!$C$5-0.0005,0)-1)</f>
        <v>6</v>
      </c>
      <c r="P292" s="7">
        <f t="shared" si="27"/>
        <v>39</v>
      </c>
      <c r="Q292" s="7">
        <f t="shared" si="28"/>
        <v>78</v>
      </c>
      <c r="R292" s="7">
        <f t="shared" si="29"/>
        <v>39</v>
      </c>
      <c r="S292" s="13">
        <f>M292*GiaDinh!$C$7</f>
        <v>135.44999999999999</v>
      </c>
    </row>
    <row r="293" spans="1:19" ht="31" x14ac:dyDescent="0.35">
      <c r="A293" s="7" t="s">
        <v>12</v>
      </c>
      <c r="B293" s="7">
        <v>9</v>
      </c>
      <c r="C293" s="7" t="s">
        <v>160</v>
      </c>
      <c r="D293" s="7" t="s">
        <v>451</v>
      </c>
      <c r="E293" s="7">
        <v>2</v>
      </c>
      <c r="F293" s="7">
        <v>112.2</v>
      </c>
      <c r="G293" s="12">
        <f>E293*F293*GiaDinh!$C$18*GiaDinh!$C$17</f>
        <v>188.49599999999998</v>
      </c>
      <c r="H293" s="7">
        <f>GiaDinh!$C$21</f>
        <v>1.2250000000000001</v>
      </c>
      <c r="I293" s="7">
        <f>GiaDinh!$C$15</f>
        <v>15</v>
      </c>
      <c r="J293" s="7">
        <f t="shared" si="24"/>
        <v>13</v>
      </c>
      <c r="K293" s="12">
        <f>J293*GiaDinh!$C$16</f>
        <v>91</v>
      </c>
      <c r="L293" s="7">
        <f t="shared" si="25"/>
        <v>3</v>
      </c>
      <c r="M293" s="12">
        <f t="shared" si="26"/>
        <v>45</v>
      </c>
      <c r="N293" s="7">
        <f>L293*ROUNDUP(I293/GiaDinh!$C$5-0.0005,0)</f>
        <v>9</v>
      </c>
      <c r="O293" s="7">
        <f>L293*(ROUNDUP(I293/GiaDinh!$C$5-0.0005,0)-1)</f>
        <v>6</v>
      </c>
      <c r="P293" s="7">
        <f t="shared" si="27"/>
        <v>39</v>
      </c>
      <c r="Q293" s="7">
        <f t="shared" si="28"/>
        <v>78</v>
      </c>
      <c r="R293" s="7">
        <f t="shared" si="29"/>
        <v>39</v>
      </c>
      <c r="S293" s="13">
        <f>M293*GiaDinh!$C$7</f>
        <v>135.44999999999999</v>
      </c>
    </row>
    <row r="294" spans="1:19" ht="31" x14ac:dyDescent="0.35">
      <c r="A294" s="7" t="s">
        <v>12</v>
      </c>
      <c r="B294" s="7">
        <v>10</v>
      </c>
      <c r="C294" s="7" t="s">
        <v>160</v>
      </c>
      <c r="D294" s="7" t="s">
        <v>452</v>
      </c>
      <c r="E294" s="7">
        <v>2</v>
      </c>
      <c r="F294" s="7">
        <v>112.2</v>
      </c>
      <c r="G294" s="12">
        <f>E294*F294*GiaDinh!$C$18*GiaDinh!$C$17</f>
        <v>188.49599999999998</v>
      </c>
      <c r="H294" s="7">
        <f>GiaDinh!$C$21</f>
        <v>1.2250000000000001</v>
      </c>
      <c r="I294" s="7">
        <f>GiaDinh!$C$15</f>
        <v>15</v>
      </c>
      <c r="J294" s="7">
        <f t="shared" si="24"/>
        <v>13</v>
      </c>
      <c r="K294" s="12">
        <f>J294*GiaDinh!$C$16</f>
        <v>91</v>
      </c>
      <c r="L294" s="7">
        <f t="shared" si="25"/>
        <v>3</v>
      </c>
      <c r="M294" s="12">
        <f t="shared" si="26"/>
        <v>45</v>
      </c>
      <c r="N294" s="7">
        <f>L294*ROUNDUP(I294/GiaDinh!$C$5-0.0005,0)</f>
        <v>9</v>
      </c>
      <c r="O294" s="7">
        <f>L294*(ROUNDUP(I294/GiaDinh!$C$5-0.0005,0)-1)</f>
        <v>6</v>
      </c>
      <c r="P294" s="7">
        <f t="shared" si="27"/>
        <v>39</v>
      </c>
      <c r="Q294" s="7">
        <f t="shared" si="28"/>
        <v>78</v>
      </c>
      <c r="R294" s="7">
        <f t="shared" si="29"/>
        <v>39</v>
      </c>
      <c r="S294" s="13">
        <f>M294*GiaDinh!$C$7</f>
        <v>135.44999999999999</v>
      </c>
    </row>
    <row r="295" spans="1:19" ht="31" x14ac:dyDescent="0.35">
      <c r="A295" s="7" t="s">
        <v>12</v>
      </c>
      <c r="B295" s="7">
        <v>11</v>
      </c>
      <c r="C295" s="7" t="s">
        <v>160</v>
      </c>
      <c r="D295" s="7" t="s">
        <v>453</v>
      </c>
      <c r="E295" s="7">
        <v>2</v>
      </c>
      <c r="F295" s="7">
        <v>112.2</v>
      </c>
      <c r="G295" s="12">
        <f>E295*F295*GiaDinh!$C$18*GiaDinh!$C$17</f>
        <v>188.49599999999998</v>
      </c>
      <c r="H295" s="7">
        <f>GiaDinh!$C$21</f>
        <v>1.2250000000000001</v>
      </c>
      <c r="I295" s="7">
        <f>GiaDinh!$C$15</f>
        <v>15</v>
      </c>
      <c r="J295" s="7">
        <f t="shared" si="24"/>
        <v>13</v>
      </c>
      <c r="K295" s="12">
        <f>J295*GiaDinh!$C$16</f>
        <v>91</v>
      </c>
      <c r="L295" s="7">
        <f t="shared" si="25"/>
        <v>3</v>
      </c>
      <c r="M295" s="12">
        <f t="shared" si="26"/>
        <v>45</v>
      </c>
      <c r="N295" s="7">
        <f>L295*ROUNDUP(I295/GiaDinh!$C$5-0.0005,0)</f>
        <v>9</v>
      </c>
      <c r="O295" s="7">
        <f>L295*(ROUNDUP(I295/GiaDinh!$C$5-0.0005,0)-1)</f>
        <v>6</v>
      </c>
      <c r="P295" s="7">
        <f t="shared" si="27"/>
        <v>39</v>
      </c>
      <c r="Q295" s="7">
        <f t="shared" si="28"/>
        <v>78</v>
      </c>
      <c r="R295" s="7">
        <f t="shared" si="29"/>
        <v>39</v>
      </c>
      <c r="S295" s="13">
        <f>M295*GiaDinh!$C$7</f>
        <v>135.44999999999999</v>
      </c>
    </row>
    <row r="296" spans="1:19" ht="31" x14ac:dyDescent="0.35">
      <c r="A296" s="7" t="s">
        <v>12</v>
      </c>
      <c r="B296" s="7">
        <v>12</v>
      </c>
      <c r="C296" s="7" t="s">
        <v>160</v>
      </c>
      <c r="D296" s="7" t="s">
        <v>454</v>
      </c>
      <c r="E296" s="7">
        <v>2</v>
      </c>
      <c r="F296" s="7">
        <v>112.2</v>
      </c>
      <c r="G296" s="12">
        <f>E296*F296*GiaDinh!$C$18*GiaDinh!$C$17</f>
        <v>188.49599999999998</v>
      </c>
      <c r="H296" s="7">
        <f>GiaDinh!$C$21</f>
        <v>1.2250000000000001</v>
      </c>
      <c r="I296" s="7">
        <f>GiaDinh!$C$15</f>
        <v>15</v>
      </c>
      <c r="J296" s="7">
        <f t="shared" si="24"/>
        <v>13</v>
      </c>
      <c r="K296" s="12">
        <f>J296*GiaDinh!$C$16</f>
        <v>91</v>
      </c>
      <c r="L296" s="7">
        <f t="shared" si="25"/>
        <v>3</v>
      </c>
      <c r="M296" s="12">
        <f t="shared" si="26"/>
        <v>45</v>
      </c>
      <c r="N296" s="7">
        <f>L296*ROUNDUP(I296/GiaDinh!$C$5-0.0005,0)</f>
        <v>9</v>
      </c>
      <c r="O296" s="7">
        <f>L296*(ROUNDUP(I296/GiaDinh!$C$5-0.0005,0)-1)</f>
        <v>6</v>
      </c>
      <c r="P296" s="7">
        <f t="shared" si="27"/>
        <v>39</v>
      </c>
      <c r="Q296" s="7">
        <f t="shared" si="28"/>
        <v>78</v>
      </c>
      <c r="R296" s="7">
        <f t="shared" si="29"/>
        <v>39</v>
      </c>
      <c r="S296" s="13">
        <f>M296*GiaDinh!$C$7</f>
        <v>135.44999999999999</v>
      </c>
    </row>
    <row r="297" spans="1:19" ht="31" x14ac:dyDescent="0.35">
      <c r="A297" s="7" t="s">
        <v>12</v>
      </c>
      <c r="B297" s="7">
        <v>13</v>
      </c>
      <c r="C297" s="7" t="s">
        <v>160</v>
      </c>
      <c r="D297" s="7" t="s">
        <v>455</v>
      </c>
      <c r="E297" s="7">
        <v>2</v>
      </c>
      <c r="F297" s="7">
        <v>112.2</v>
      </c>
      <c r="G297" s="12">
        <f>E297*F297*GiaDinh!$C$18*GiaDinh!$C$17</f>
        <v>188.49599999999998</v>
      </c>
      <c r="H297" s="7">
        <f>GiaDinh!$C$21</f>
        <v>1.2250000000000001</v>
      </c>
      <c r="I297" s="7">
        <f>GiaDinh!$C$15</f>
        <v>15</v>
      </c>
      <c r="J297" s="7">
        <f t="shared" si="24"/>
        <v>13</v>
      </c>
      <c r="K297" s="12">
        <f>J297*GiaDinh!$C$16</f>
        <v>91</v>
      </c>
      <c r="L297" s="7">
        <f t="shared" si="25"/>
        <v>3</v>
      </c>
      <c r="M297" s="12">
        <f t="shared" si="26"/>
        <v>45</v>
      </c>
      <c r="N297" s="7">
        <f>L297*ROUNDUP(I297/GiaDinh!$C$5-0.0005,0)</f>
        <v>9</v>
      </c>
      <c r="O297" s="7">
        <f>L297*(ROUNDUP(I297/GiaDinh!$C$5-0.0005,0)-1)</f>
        <v>6</v>
      </c>
      <c r="P297" s="7">
        <f t="shared" si="27"/>
        <v>39</v>
      </c>
      <c r="Q297" s="7">
        <f t="shared" si="28"/>
        <v>78</v>
      </c>
      <c r="R297" s="7">
        <f t="shared" si="29"/>
        <v>39</v>
      </c>
      <c r="S297" s="13">
        <f>M297*GiaDinh!$C$7</f>
        <v>135.44999999999999</v>
      </c>
    </row>
    <row r="298" spans="1:19" ht="31" x14ac:dyDescent="0.35">
      <c r="A298" s="7" t="s">
        <v>12</v>
      </c>
      <c r="B298" s="7">
        <v>14</v>
      </c>
      <c r="C298" s="7" t="s">
        <v>160</v>
      </c>
      <c r="D298" s="7" t="s">
        <v>456</v>
      </c>
      <c r="E298" s="7">
        <v>2</v>
      </c>
      <c r="F298" s="7">
        <v>112.2</v>
      </c>
      <c r="G298" s="12">
        <f>E298*F298*GiaDinh!$C$18*GiaDinh!$C$17</f>
        <v>188.49599999999998</v>
      </c>
      <c r="H298" s="7">
        <f>GiaDinh!$C$21</f>
        <v>1.2250000000000001</v>
      </c>
      <c r="I298" s="7">
        <f>GiaDinh!$C$15</f>
        <v>15</v>
      </c>
      <c r="J298" s="7">
        <f t="shared" si="24"/>
        <v>13</v>
      </c>
      <c r="K298" s="12">
        <f>J298*GiaDinh!$C$16</f>
        <v>91</v>
      </c>
      <c r="L298" s="7">
        <f t="shared" si="25"/>
        <v>3</v>
      </c>
      <c r="M298" s="12">
        <f t="shared" si="26"/>
        <v>45</v>
      </c>
      <c r="N298" s="7">
        <f>L298*ROUNDUP(I298/GiaDinh!$C$5-0.0005,0)</f>
        <v>9</v>
      </c>
      <c r="O298" s="7">
        <f>L298*(ROUNDUP(I298/GiaDinh!$C$5-0.0005,0)-1)</f>
        <v>6</v>
      </c>
      <c r="P298" s="7">
        <f t="shared" si="27"/>
        <v>39</v>
      </c>
      <c r="Q298" s="7">
        <f t="shared" si="28"/>
        <v>78</v>
      </c>
      <c r="R298" s="7">
        <f t="shared" si="29"/>
        <v>39</v>
      </c>
      <c r="S298" s="13">
        <f>M298*GiaDinh!$C$7</f>
        <v>135.44999999999999</v>
      </c>
    </row>
    <row r="299" spans="1:19" ht="31" x14ac:dyDescent="0.35">
      <c r="A299" s="7" t="s">
        <v>12</v>
      </c>
      <c r="B299" s="7">
        <v>15</v>
      </c>
      <c r="C299" s="7" t="s">
        <v>160</v>
      </c>
      <c r="D299" s="7" t="s">
        <v>457</v>
      </c>
      <c r="E299" s="7">
        <v>4</v>
      </c>
      <c r="F299" s="7">
        <v>112.2</v>
      </c>
      <c r="G299" s="12">
        <f>E299*F299*GiaDinh!$C$18*GiaDinh!$C$17</f>
        <v>376.99199999999996</v>
      </c>
      <c r="H299" s="7">
        <f>GiaDinh!$C$21</f>
        <v>1.2250000000000001</v>
      </c>
      <c r="I299" s="7">
        <f>GiaDinh!$C$15</f>
        <v>15</v>
      </c>
      <c r="J299" s="7">
        <f t="shared" si="24"/>
        <v>13</v>
      </c>
      <c r="K299" s="12">
        <f>J299*GiaDinh!$C$16</f>
        <v>91</v>
      </c>
      <c r="L299" s="7">
        <f t="shared" si="25"/>
        <v>5</v>
      </c>
      <c r="M299" s="12">
        <f t="shared" si="26"/>
        <v>75</v>
      </c>
      <c r="N299" s="7">
        <f>L299*ROUNDUP(I299/GiaDinh!$C$5-0.0005,0)</f>
        <v>15</v>
      </c>
      <c r="O299" s="7">
        <f>L299*(ROUNDUP(I299/GiaDinh!$C$5-0.0005,0)-1)</f>
        <v>10</v>
      </c>
      <c r="P299" s="7">
        <f t="shared" si="27"/>
        <v>65</v>
      </c>
      <c r="Q299" s="7">
        <f t="shared" si="28"/>
        <v>130</v>
      </c>
      <c r="R299" s="7">
        <f t="shared" si="29"/>
        <v>65</v>
      </c>
      <c r="S299" s="13">
        <f>M299*GiaDinh!$C$7</f>
        <v>225.74999999999997</v>
      </c>
    </row>
    <row r="300" spans="1:19" ht="31" x14ac:dyDescent="0.35">
      <c r="A300" s="7" t="s">
        <v>12</v>
      </c>
      <c r="B300" s="7">
        <v>16</v>
      </c>
      <c r="C300" s="7" t="s">
        <v>160</v>
      </c>
      <c r="D300" s="7" t="s">
        <v>458</v>
      </c>
      <c r="E300" s="7">
        <v>2</v>
      </c>
      <c r="F300" s="7">
        <v>112.2</v>
      </c>
      <c r="G300" s="12">
        <f>E300*F300*GiaDinh!$C$18*GiaDinh!$C$17</f>
        <v>188.49599999999998</v>
      </c>
      <c r="H300" s="7">
        <f>GiaDinh!$C$21</f>
        <v>1.2250000000000001</v>
      </c>
      <c r="I300" s="7">
        <f>GiaDinh!$C$15</f>
        <v>15</v>
      </c>
      <c r="J300" s="7">
        <f t="shared" si="24"/>
        <v>13</v>
      </c>
      <c r="K300" s="12">
        <f>J300*GiaDinh!$C$16</f>
        <v>91</v>
      </c>
      <c r="L300" s="7">
        <f t="shared" si="25"/>
        <v>3</v>
      </c>
      <c r="M300" s="12">
        <f t="shared" si="26"/>
        <v>45</v>
      </c>
      <c r="N300" s="7">
        <f>L300*ROUNDUP(I300/GiaDinh!$C$5-0.0005,0)</f>
        <v>9</v>
      </c>
      <c r="O300" s="7">
        <f>L300*(ROUNDUP(I300/GiaDinh!$C$5-0.0005,0)-1)</f>
        <v>6</v>
      </c>
      <c r="P300" s="7">
        <f t="shared" si="27"/>
        <v>39</v>
      </c>
      <c r="Q300" s="7">
        <f t="shared" si="28"/>
        <v>78</v>
      </c>
      <c r="R300" s="7">
        <f t="shared" si="29"/>
        <v>39</v>
      </c>
      <c r="S300" s="13">
        <f>M300*GiaDinh!$C$7</f>
        <v>135.44999999999999</v>
      </c>
    </row>
    <row r="301" spans="1:19" ht="31" x14ac:dyDescent="0.35">
      <c r="A301" s="7" t="s">
        <v>12</v>
      </c>
      <c r="B301" s="7">
        <v>17</v>
      </c>
      <c r="C301" s="7" t="s">
        <v>160</v>
      </c>
      <c r="D301" s="7" t="s">
        <v>459</v>
      </c>
      <c r="E301" s="7">
        <v>4</v>
      </c>
      <c r="F301" s="7">
        <v>112.2</v>
      </c>
      <c r="G301" s="12">
        <f>E301*F301*GiaDinh!$C$18*GiaDinh!$C$17</f>
        <v>376.99199999999996</v>
      </c>
      <c r="H301" s="7">
        <f>GiaDinh!$C$21</f>
        <v>1.2250000000000001</v>
      </c>
      <c r="I301" s="7">
        <f>GiaDinh!$C$15</f>
        <v>15</v>
      </c>
      <c r="J301" s="7">
        <f t="shared" si="24"/>
        <v>13</v>
      </c>
      <c r="K301" s="12">
        <f>J301*GiaDinh!$C$16</f>
        <v>91</v>
      </c>
      <c r="L301" s="7">
        <f t="shared" si="25"/>
        <v>5</v>
      </c>
      <c r="M301" s="12">
        <f t="shared" si="26"/>
        <v>75</v>
      </c>
      <c r="N301" s="7">
        <f>L301*ROUNDUP(I301/GiaDinh!$C$5-0.0005,0)</f>
        <v>15</v>
      </c>
      <c r="O301" s="7">
        <f>L301*(ROUNDUP(I301/GiaDinh!$C$5-0.0005,0)-1)</f>
        <v>10</v>
      </c>
      <c r="P301" s="7">
        <f t="shared" si="27"/>
        <v>65</v>
      </c>
      <c r="Q301" s="7">
        <f t="shared" si="28"/>
        <v>130</v>
      </c>
      <c r="R301" s="7">
        <f t="shared" si="29"/>
        <v>65</v>
      </c>
      <c r="S301" s="13">
        <f>M301*GiaDinh!$C$7</f>
        <v>225.74999999999997</v>
      </c>
    </row>
    <row r="302" spans="1:19" ht="31" x14ac:dyDescent="0.35">
      <c r="A302" s="7" t="s">
        <v>12</v>
      </c>
      <c r="B302" s="7">
        <v>18</v>
      </c>
      <c r="C302" s="7" t="s">
        <v>160</v>
      </c>
      <c r="D302" s="7" t="s">
        <v>460</v>
      </c>
      <c r="E302" s="7">
        <v>2</v>
      </c>
      <c r="F302" s="7">
        <v>112.2</v>
      </c>
      <c r="G302" s="12">
        <f>E302*F302*GiaDinh!$C$18*GiaDinh!$C$17</f>
        <v>188.49599999999998</v>
      </c>
      <c r="H302" s="7">
        <f>GiaDinh!$C$21</f>
        <v>1.2250000000000001</v>
      </c>
      <c r="I302" s="7">
        <f>GiaDinh!$C$15</f>
        <v>15</v>
      </c>
      <c r="J302" s="7">
        <f t="shared" si="24"/>
        <v>13</v>
      </c>
      <c r="K302" s="12">
        <f>J302*GiaDinh!$C$16</f>
        <v>91</v>
      </c>
      <c r="L302" s="7">
        <f t="shared" si="25"/>
        <v>3</v>
      </c>
      <c r="M302" s="12">
        <f t="shared" si="26"/>
        <v>45</v>
      </c>
      <c r="N302" s="7">
        <f>L302*ROUNDUP(I302/GiaDinh!$C$5-0.0005,0)</f>
        <v>9</v>
      </c>
      <c r="O302" s="7">
        <f>L302*(ROUNDUP(I302/GiaDinh!$C$5-0.0005,0)-1)</f>
        <v>6</v>
      </c>
      <c r="P302" s="7">
        <f t="shared" si="27"/>
        <v>39</v>
      </c>
      <c r="Q302" s="7">
        <f t="shared" si="28"/>
        <v>78</v>
      </c>
      <c r="R302" s="7">
        <f t="shared" si="29"/>
        <v>39</v>
      </c>
      <c r="S302" s="13">
        <f>M302*GiaDinh!$C$7</f>
        <v>135.44999999999999</v>
      </c>
    </row>
    <row r="303" spans="1:19" ht="31" x14ac:dyDescent="0.35">
      <c r="A303" s="7" t="s">
        <v>12</v>
      </c>
      <c r="B303" s="7">
        <v>19</v>
      </c>
      <c r="C303" s="7" t="s">
        <v>160</v>
      </c>
      <c r="D303" s="7" t="s">
        <v>461</v>
      </c>
      <c r="E303" s="7">
        <v>4</v>
      </c>
      <c r="F303" s="7">
        <v>112.2</v>
      </c>
      <c r="G303" s="12">
        <f>E303*F303*GiaDinh!$C$18*GiaDinh!$C$17</f>
        <v>376.99199999999996</v>
      </c>
      <c r="H303" s="7">
        <f>GiaDinh!$C$21</f>
        <v>1.2250000000000001</v>
      </c>
      <c r="I303" s="7">
        <f>GiaDinh!$C$15</f>
        <v>15</v>
      </c>
      <c r="J303" s="7">
        <f t="shared" si="24"/>
        <v>13</v>
      </c>
      <c r="K303" s="12">
        <f>J303*GiaDinh!$C$16</f>
        <v>91</v>
      </c>
      <c r="L303" s="7">
        <f t="shared" si="25"/>
        <v>5</v>
      </c>
      <c r="M303" s="12">
        <f t="shared" si="26"/>
        <v>75</v>
      </c>
      <c r="N303" s="7">
        <f>L303*ROUNDUP(I303/GiaDinh!$C$5-0.0005,0)</f>
        <v>15</v>
      </c>
      <c r="O303" s="7">
        <f>L303*(ROUNDUP(I303/GiaDinh!$C$5-0.0005,0)-1)</f>
        <v>10</v>
      </c>
      <c r="P303" s="7">
        <f t="shared" si="27"/>
        <v>65</v>
      </c>
      <c r="Q303" s="7">
        <f t="shared" si="28"/>
        <v>130</v>
      </c>
      <c r="R303" s="7">
        <f t="shared" si="29"/>
        <v>65</v>
      </c>
      <c r="S303" s="13">
        <f>M303*GiaDinh!$C$7</f>
        <v>225.74999999999997</v>
      </c>
    </row>
    <row r="304" spans="1:19" ht="31" x14ac:dyDescent="0.35">
      <c r="A304" s="7" t="s">
        <v>12</v>
      </c>
      <c r="B304" s="7">
        <v>20</v>
      </c>
      <c r="C304" s="7" t="s">
        <v>160</v>
      </c>
      <c r="D304" s="7" t="s">
        <v>462</v>
      </c>
      <c r="E304" s="7">
        <v>2</v>
      </c>
      <c r="F304" s="7">
        <v>112.2</v>
      </c>
      <c r="G304" s="12">
        <f>E304*F304*GiaDinh!$C$18*GiaDinh!$C$17</f>
        <v>188.49599999999998</v>
      </c>
      <c r="H304" s="7">
        <f>GiaDinh!$C$21</f>
        <v>1.2250000000000001</v>
      </c>
      <c r="I304" s="7">
        <f>GiaDinh!$C$15</f>
        <v>15</v>
      </c>
      <c r="J304" s="7">
        <f t="shared" si="24"/>
        <v>13</v>
      </c>
      <c r="K304" s="12">
        <f>J304*GiaDinh!$C$16</f>
        <v>91</v>
      </c>
      <c r="L304" s="7">
        <f t="shared" si="25"/>
        <v>3</v>
      </c>
      <c r="M304" s="12">
        <f t="shared" si="26"/>
        <v>45</v>
      </c>
      <c r="N304" s="7">
        <f>L304*ROUNDUP(I304/GiaDinh!$C$5-0.0005,0)</f>
        <v>9</v>
      </c>
      <c r="O304" s="7">
        <f>L304*(ROUNDUP(I304/GiaDinh!$C$5-0.0005,0)-1)</f>
        <v>6</v>
      </c>
      <c r="P304" s="7">
        <f t="shared" si="27"/>
        <v>39</v>
      </c>
      <c r="Q304" s="7">
        <f t="shared" si="28"/>
        <v>78</v>
      </c>
      <c r="R304" s="7">
        <f t="shared" si="29"/>
        <v>39</v>
      </c>
      <c r="S304" s="13">
        <f>M304*GiaDinh!$C$7</f>
        <v>135.44999999999999</v>
      </c>
    </row>
    <row r="305" spans="1:19" ht="31" x14ac:dyDescent="0.35">
      <c r="A305" s="7" t="s">
        <v>12</v>
      </c>
      <c r="B305" s="7">
        <v>21</v>
      </c>
      <c r="C305" s="7" t="s">
        <v>160</v>
      </c>
      <c r="D305" s="7" t="s">
        <v>463</v>
      </c>
      <c r="E305" s="7">
        <v>4</v>
      </c>
      <c r="F305" s="7">
        <v>112.2</v>
      </c>
      <c r="G305" s="12">
        <f>E305*F305*GiaDinh!$C$18*GiaDinh!$C$17</f>
        <v>376.99199999999996</v>
      </c>
      <c r="H305" s="7">
        <f>GiaDinh!$C$21</f>
        <v>1.2250000000000001</v>
      </c>
      <c r="I305" s="7">
        <f>GiaDinh!$C$15</f>
        <v>15</v>
      </c>
      <c r="J305" s="7">
        <f t="shared" si="24"/>
        <v>13</v>
      </c>
      <c r="K305" s="12">
        <f>J305*GiaDinh!$C$16</f>
        <v>91</v>
      </c>
      <c r="L305" s="7">
        <f t="shared" si="25"/>
        <v>5</v>
      </c>
      <c r="M305" s="12">
        <f t="shared" si="26"/>
        <v>75</v>
      </c>
      <c r="N305" s="7">
        <f>L305*ROUNDUP(I305/GiaDinh!$C$5-0.0005,0)</f>
        <v>15</v>
      </c>
      <c r="O305" s="7">
        <f>L305*(ROUNDUP(I305/GiaDinh!$C$5-0.0005,0)-1)</f>
        <v>10</v>
      </c>
      <c r="P305" s="7">
        <f t="shared" si="27"/>
        <v>65</v>
      </c>
      <c r="Q305" s="7">
        <f t="shared" si="28"/>
        <v>130</v>
      </c>
      <c r="R305" s="7">
        <f t="shared" si="29"/>
        <v>65</v>
      </c>
      <c r="S305" s="13">
        <f>M305*GiaDinh!$C$7</f>
        <v>225.74999999999997</v>
      </c>
    </row>
    <row r="306" spans="1:19" ht="31" x14ac:dyDescent="0.35">
      <c r="A306" s="7" t="s">
        <v>12</v>
      </c>
      <c r="B306" s="7">
        <v>22</v>
      </c>
      <c r="C306" s="7" t="s">
        <v>160</v>
      </c>
      <c r="D306" s="7" t="s">
        <v>464</v>
      </c>
      <c r="E306" s="7">
        <v>2</v>
      </c>
      <c r="F306" s="7">
        <v>112.2</v>
      </c>
      <c r="G306" s="12">
        <f>E306*F306*GiaDinh!$C$18*GiaDinh!$C$17</f>
        <v>188.49599999999998</v>
      </c>
      <c r="H306" s="7">
        <f>GiaDinh!$C$21</f>
        <v>1.2250000000000001</v>
      </c>
      <c r="I306" s="7">
        <f>GiaDinh!$C$15</f>
        <v>15</v>
      </c>
      <c r="J306" s="7">
        <f t="shared" si="24"/>
        <v>13</v>
      </c>
      <c r="K306" s="12">
        <f>J306*GiaDinh!$C$16</f>
        <v>91</v>
      </c>
      <c r="L306" s="7">
        <f t="shared" si="25"/>
        <v>3</v>
      </c>
      <c r="M306" s="12">
        <f t="shared" si="26"/>
        <v>45</v>
      </c>
      <c r="N306" s="7">
        <f>L306*ROUNDUP(I306/GiaDinh!$C$5-0.0005,0)</f>
        <v>9</v>
      </c>
      <c r="O306" s="7">
        <f>L306*(ROUNDUP(I306/GiaDinh!$C$5-0.0005,0)-1)</f>
        <v>6</v>
      </c>
      <c r="P306" s="7">
        <f t="shared" si="27"/>
        <v>39</v>
      </c>
      <c r="Q306" s="7">
        <f t="shared" si="28"/>
        <v>78</v>
      </c>
      <c r="R306" s="7">
        <f t="shared" si="29"/>
        <v>39</v>
      </c>
      <c r="S306" s="13">
        <f>M306*GiaDinh!$C$7</f>
        <v>135.44999999999999</v>
      </c>
    </row>
    <row r="307" spans="1:19" ht="31" x14ac:dyDescent="0.35">
      <c r="A307" s="7" t="s">
        <v>12</v>
      </c>
      <c r="B307" s="7">
        <v>23</v>
      </c>
      <c r="C307" s="7" t="s">
        <v>160</v>
      </c>
      <c r="D307" s="7" t="s">
        <v>465</v>
      </c>
      <c r="E307" s="7">
        <v>2</v>
      </c>
      <c r="F307" s="7">
        <v>112.2</v>
      </c>
      <c r="G307" s="12">
        <f>E307*F307*GiaDinh!$C$18*GiaDinh!$C$17</f>
        <v>188.49599999999998</v>
      </c>
      <c r="H307" s="7">
        <f>GiaDinh!$C$21</f>
        <v>1.2250000000000001</v>
      </c>
      <c r="I307" s="7">
        <f>GiaDinh!$C$15</f>
        <v>15</v>
      </c>
      <c r="J307" s="7">
        <f t="shared" si="24"/>
        <v>13</v>
      </c>
      <c r="K307" s="12">
        <f>J307*GiaDinh!$C$16</f>
        <v>91</v>
      </c>
      <c r="L307" s="7">
        <f t="shared" si="25"/>
        <v>3</v>
      </c>
      <c r="M307" s="12">
        <f t="shared" si="26"/>
        <v>45</v>
      </c>
      <c r="N307" s="7">
        <f>L307*ROUNDUP(I307/GiaDinh!$C$5-0.0005,0)</f>
        <v>9</v>
      </c>
      <c r="O307" s="7">
        <f>L307*(ROUNDUP(I307/GiaDinh!$C$5-0.0005,0)-1)</f>
        <v>6</v>
      </c>
      <c r="P307" s="7">
        <f t="shared" si="27"/>
        <v>39</v>
      </c>
      <c r="Q307" s="7">
        <f t="shared" si="28"/>
        <v>78</v>
      </c>
      <c r="R307" s="7">
        <f t="shared" si="29"/>
        <v>39</v>
      </c>
      <c r="S307" s="13">
        <f>M307*GiaDinh!$C$7</f>
        <v>135.44999999999999</v>
      </c>
    </row>
    <row r="308" spans="1:19" ht="46.5" x14ac:dyDescent="0.35">
      <c r="A308" s="7" t="s">
        <v>12</v>
      </c>
      <c r="B308" s="7">
        <v>24</v>
      </c>
      <c r="C308" s="7" t="s">
        <v>179</v>
      </c>
      <c r="D308" s="7" t="s">
        <v>466</v>
      </c>
      <c r="E308" s="7">
        <v>1</v>
      </c>
      <c r="F308" s="7">
        <v>112.2</v>
      </c>
      <c r="G308" s="12">
        <f>E308*F308*GiaDinh!$C$18*GiaDinh!$C$17</f>
        <v>94.24799999999999</v>
      </c>
      <c r="H308" s="7">
        <f>GiaDinh!$C$21</f>
        <v>1.2250000000000001</v>
      </c>
      <c r="I308" s="7">
        <f>GiaDinh!$C$15</f>
        <v>15</v>
      </c>
      <c r="J308" s="7">
        <f t="shared" si="24"/>
        <v>13</v>
      </c>
      <c r="K308" s="12">
        <f>J308*GiaDinh!$C$16</f>
        <v>91</v>
      </c>
      <c r="L308" s="7">
        <f t="shared" si="25"/>
        <v>2</v>
      </c>
      <c r="M308" s="12">
        <f t="shared" si="26"/>
        <v>30</v>
      </c>
      <c r="N308" s="7">
        <f>L308*ROUNDUP(I308/GiaDinh!$C$5-0.0005,0)</f>
        <v>6</v>
      </c>
      <c r="O308" s="7">
        <f>L308*(ROUNDUP(I308/GiaDinh!$C$5-0.0005,0)-1)</f>
        <v>4</v>
      </c>
      <c r="P308" s="7">
        <f t="shared" si="27"/>
        <v>26</v>
      </c>
      <c r="Q308" s="7">
        <f t="shared" si="28"/>
        <v>52</v>
      </c>
      <c r="R308" s="7">
        <f t="shared" si="29"/>
        <v>26</v>
      </c>
      <c r="S308" s="13">
        <f>M308*GiaDinh!$C$7</f>
        <v>90.3</v>
      </c>
    </row>
    <row r="309" spans="1:19" ht="46.5" x14ac:dyDescent="0.35">
      <c r="A309" s="7" t="s">
        <v>12</v>
      </c>
      <c r="B309" s="7">
        <v>25</v>
      </c>
      <c r="C309" s="7" t="s">
        <v>179</v>
      </c>
      <c r="D309" s="7" t="s">
        <v>467</v>
      </c>
      <c r="E309" s="7">
        <v>1</v>
      </c>
      <c r="F309" s="7">
        <v>112.2</v>
      </c>
      <c r="G309" s="12">
        <f>E309*F309*GiaDinh!$C$18*GiaDinh!$C$17</f>
        <v>94.24799999999999</v>
      </c>
      <c r="H309" s="7">
        <f>GiaDinh!$C$21</f>
        <v>1.2250000000000001</v>
      </c>
      <c r="I309" s="7">
        <f>GiaDinh!$C$15</f>
        <v>15</v>
      </c>
      <c r="J309" s="7">
        <f t="shared" si="24"/>
        <v>13</v>
      </c>
      <c r="K309" s="12">
        <f>J309*GiaDinh!$C$16</f>
        <v>91</v>
      </c>
      <c r="L309" s="7">
        <f t="shared" si="25"/>
        <v>2</v>
      </c>
      <c r="M309" s="12">
        <f t="shared" si="26"/>
        <v>30</v>
      </c>
      <c r="N309" s="7">
        <f>L309*ROUNDUP(I309/GiaDinh!$C$5-0.0005,0)</f>
        <v>6</v>
      </c>
      <c r="O309" s="7">
        <f>L309*(ROUNDUP(I309/GiaDinh!$C$5-0.0005,0)-1)</f>
        <v>4</v>
      </c>
      <c r="P309" s="7">
        <f t="shared" si="27"/>
        <v>26</v>
      </c>
      <c r="Q309" s="7">
        <f t="shared" si="28"/>
        <v>52</v>
      </c>
      <c r="R309" s="7">
        <f t="shared" si="29"/>
        <v>26</v>
      </c>
      <c r="S309" s="13">
        <f>M309*GiaDinh!$C$7</f>
        <v>90.3</v>
      </c>
    </row>
    <row r="310" spans="1:19" ht="46.5" x14ac:dyDescent="0.35">
      <c r="A310" s="7" t="s">
        <v>12</v>
      </c>
      <c r="B310" s="7">
        <v>26</v>
      </c>
      <c r="C310" s="7" t="s">
        <v>179</v>
      </c>
      <c r="D310" s="7" t="s">
        <v>468</v>
      </c>
      <c r="E310" s="7">
        <v>1</v>
      </c>
      <c r="F310" s="7">
        <v>112.2</v>
      </c>
      <c r="G310" s="12">
        <f>E310*F310*GiaDinh!$C$18*GiaDinh!$C$17</f>
        <v>94.24799999999999</v>
      </c>
      <c r="H310" s="7">
        <f>GiaDinh!$C$21</f>
        <v>1.2250000000000001</v>
      </c>
      <c r="I310" s="7">
        <f>GiaDinh!$C$15</f>
        <v>15</v>
      </c>
      <c r="J310" s="7">
        <f t="shared" si="24"/>
        <v>13</v>
      </c>
      <c r="K310" s="12">
        <f>J310*GiaDinh!$C$16</f>
        <v>91</v>
      </c>
      <c r="L310" s="7">
        <f t="shared" si="25"/>
        <v>2</v>
      </c>
      <c r="M310" s="12">
        <f t="shared" si="26"/>
        <v>30</v>
      </c>
      <c r="N310" s="7">
        <f>L310*ROUNDUP(I310/GiaDinh!$C$5-0.0005,0)</f>
        <v>6</v>
      </c>
      <c r="O310" s="7">
        <f>L310*(ROUNDUP(I310/GiaDinh!$C$5-0.0005,0)-1)</f>
        <v>4</v>
      </c>
      <c r="P310" s="7">
        <f t="shared" si="27"/>
        <v>26</v>
      </c>
      <c r="Q310" s="7">
        <f t="shared" si="28"/>
        <v>52</v>
      </c>
      <c r="R310" s="7">
        <f t="shared" si="29"/>
        <v>26</v>
      </c>
      <c r="S310" s="13">
        <f>M310*GiaDinh!$C$7</f>
        <v>90.3</v>
      </c>
    </row>
    <row r="311" spans="1:19" ht="46.5" x14ac:dyDescent="0.35">
      <c r="A311" s="7" t="s">
        <v>12</v>
      </c>
      <c r="B311" s="7">
        <v>27</v>
      </c>
      <c r="C311" s="7" t="s">
        <v>179</v>
      </c>
      <c r="D311" s="7" t="s">
        <v>469</v>
      </c>
      <c r="E311" s="7">
        <v>1</v>
      </c>
      <c r="F311" s="7">
        <v>112.2</v>
      </c>
      <c r="G311" s="12">
        <f>E311*F311*GiaDinh!$C$18*GiaDinh!$C$17</f>
        <v>94.24799999999999</v>
      </c>
      <c r="H311" s="7">
        <f>GiaDinh!$C$21</f>
        <v>1.2250000000000001</v>
      </c>
      <c r="I311" s="7">
        <f>GiaDinh!$C$15</f>
        <v>15</v>
      </c>
      <c r="J311" s="7">
        <f t="shared" si="24"/>
        <v>13</v>
      </c>
      <c r="K311" s="12">
        <f>J311*GiaDinh!$C$16</f>
        <v>91</v>
      </c>
      <c r="L311" s="7">
        <f t="shared" si="25"/>
        <v>2</v>
      </c>
      <c r="M311" s="12">
        <f t="shared" si="26"/>
        <v>30</v>
      </c>
      <c r="N311" s="7">
        <f>L311*ROUNDUP(I311/GiaDinh!$C$5-0.0005,0)</f>
        <v>6</v>
      </c>
      <c r="O311" s="7">
        <f>L311*(ROUNDUP(I311/GiaDinh!$C$5-0.0005,0)-1)</f>
        <v>4</v>
      </c>
      <c r="P311" s="7">
        <f t="shared" si="27"/>
        <v>26</v>
      </c>
      <c r="Q311" s="7">
        <f t="shared" si="28"/>
        <v>52</v>
      </c>
      <c r="R311" s="7">
        <f t="shared" si="29"/>
        <v>26</v>
      </c>
      <c r="S311" s="13">
        <f>M311*GiaDinh!$C$7</f>
        <v>90.3</v>
      </c>
    </row>
    <row r="312" spans="1:19" ht="46.5" x14ac:dyDescent="0.35">
      <c r="A312" s="7" t="s">
        <v>12</v>
      </c>
      <c r="B312" s="7">
        <v>28</v>
      </c>
      <c r="C312" s="7" t="s">
        <v>179</v>
      </c>
      <c r="D312" s="7" t="s">
        <v>470</v>
      </c>
      <c r="E312" s="7">
        <v>1</v>
      </c>
      <c r="F312" s="7">
        <v>112.2</v>
      </c>
      <c r="G312" s="12">
        <f>E312*F312*GiaDinh!$C$18*GiaDinh!$C$17</f>
        <v>94.24799999999999</v>
      </c>
      <c r="H312" s="7">
        <f>GiaDinh!$C$21</f>
        <v>1.2250000000000001</v>
      </c>
      <c r="I312" s="7">
        <f>GiaDinh!$C$15</f>
        <v>15</v>
      </c>
      <c r="J312" s="7">
        <f t="shared" si="24"/>
        <v>13</v>
      </c>
      <c r="K312" s="12">
        <f>J312*GiaDinh!$C$16</f>
        <v>91</v>
      </c>
      <c r="L312" s="7">
        <f t="shared" si="25"/>
        <v>2</v>
      </c>
      <c r="M312" s="12">
        <f t="shared" si="26"/>
        <v>30</v>
      </c>
      <c r="N312" s="7">
        <f>L312*ROUNDUP(I312/GiaDinh!$C$5-0.0005,0)</f>
        <v>6</v>
      </c>
      <c r="O312" s="7">
        <f>L312*(ROUNDUP(I312/GiaDinh!$C$5-0.0005,0)-1)</f>
        <v>4</v>
      </c>
      <c r="P312" s="7">
        <f t="shared" si="27"/>
        <v>26</v>
      </c>
      <c r="Q312" s="7">
        <f t="shared" si="28"/>
        <v>52</v>
      </c>
      <c r="R312" s="7">
        <f t="shared" si="29"/>
        <v>26</v>
      </c>
      <c r="S312" s="13">
        <f>M312*GiaDinh!$C$7</f>
        <v>90.3</v>
      </c>
    </row>
    <row r="313" spans="1:19" ht="46.5" x14ac:dyDescent="0.35">
      <c r="A313" s="7" t="s">
        <v>12</v>
      </c>
      <c r="B313" s="7">
        <v>29</v>
      </c>
      <c r="C313" s="7" t="s">
        <v>179</v>
      </c>
      <c r="D313" s="7" t="s">
        <v>471</v>
      </c>
      <c r="E313" s="7">
        <v>1</v>
      </c>
      <c r="F313" s="7">
        <v>112.2</v>
      </c>
      <c r="G313" s="12">
        <f>E313*F313*GiaDinh!$C$18*GiaDinh!$C$17</f>
        <v>94.24799999999999</v>
      </c>
      <c r="H313" s="7">
        <f>GiaDinh!$C$21</f>
        <v>1.2250000000000001</v>
      </c>
      <c r="I313" s="7">
        <f>GiaDinh!$C$15</f>
        <v>15</v>
      </c>
      <c r="J313" s="7">
        <f t="shared" si="24"/>
        <v>13</v>
      </c>
      <c r="K313" s="12">
        <f>J313*GiaDinh!$C$16</f>
        <v>91</v>
      </c>
      <c r="L313" s="7">
        <f t="shared" si="25"/>
        <v>2</v>
      </c>
      <c r="M313" s="12">
        <f t="shared" si="26"/>
        <v>30</v>
      </c>
      <c r="N313" s="7">
        <f>L313*ROUNDUP(I313/GiaDinh!$C$5-0.0005,0)</f>
        <v>6</v>
      </c>
      <c r="O313" s="7">
        <f>L313*(ROUNDUP(I313/GiaDinh!$C$5-0.0005,0)-1)</f>
        <v>4</v>
      </c>
      <c r="P313" s="7">
        <f t="shared" si="27"/>
        <v>26</v>
      </c>
      <c r="Q313" s="7">
        <f t="shared" si="28"/>
        <v>52</v>
      </c>
      <c r="R313" s="7">
        <f t="shared" si="29"/>
        <v>26</v>
      </c>
      <c r="S313" s="13">
        <f>M313*GiaDinh!$C$7</f>
        <v>90.3</v>
      </c>
    </row>
    <row r="314" spans="1:19" ht="46.5" x14ac:dyDescent="0.35">
      <c r="A314" s="7" t="s">
        <v>12</v>
      </c>
      <c r="B314" s="7">
        <v>30</v>
      </c>
      <c r="C314" s="7" t="s">
        <v>179</v>
      </c>
      <c r="D314" s="7" t="s">
        <v>472</v>
      </c>
      <c r="E314" s="7">
        <v>1</v>
      </c>
      <c r="F314" s="7">
        <v>112.2</v>
      </c>
      <c r="G314" s="12">
        <f>E314*F314*GiaDinh!$C$18*GiaDinh!$C$17</f>
        <v>94.24799999999999</v>
      </c>
      <c r="H314" s="7">
        <f>GiaDinh!$C$21</f>
        <v>1.2250000000000001</v>
      </c>
      <c r="I314" s="7">
        <f>GiaDinh!$C$15</f>
        <v>15</v>
      </c>
      <c r="J314" s="7">
        <f t="shared" si="24"/>
        <v>13</v>
      </c>
      <c r="K314" s="12">
        <f>J314*GiaDinh!$C$16</f>
        <v>91</v>
      </c>
      <c r="L314" s="7">
        <f t="shared" si="25"/>
        <v>2</v>
      </c>
      <c r="M314" s="12">
        <f t="shared" si="26"/>
        <v>30</v>
      </c>
      <c r="N314" s="7">
        <f>L314*ROUNDUP(I314/GiaDinh!$C$5-0.0005,0)</f>
        <v>6</v>
      </c>
      <c r="O314" s="7">
        <f>L314*(ROUNDUP(I314/GiaDinh!$C$5-0.0005,0)-1)</f>
        <v>4</v>
      </c>
      <c r="P314" s="7">
        <f t="shared" si="27"/>
        <v>26</v>
      </c>
      <c r="Q314" s="7">
        <f t="shared" si="28"/>
        <v>52</v>
      </c>
      <c r="R314" s="7">
        <f t="shared" si="29"/>
        <v>26</v>
      </c>
      <c r="S314" s="13">
        <f>M314*GiaDinh!$C$7</f>
        <v>90.3</v>
      </c>
    </row>
    <row r="315" spans="1:19" ht="46.5" x14ac:dyDescent="0.35">
      <c r="A315" s="7" t="s">
        <v>12</v>
      </c>
      <c r="B315" s="7">
        <v>31</v>
      </c>
      <c r="C315" s="7" t="s">
        <v>179</v>
      </c>
      <c r="D315" s="7" t="s">
        <v>473</v>
      </c>
      <c r="E315" s="7">
        <v>1</v>
      </c>
      <c r="F315" s="7">
        <v>112.2</v>
      </c>
      <c r="G315" s="12">
        <f>E315*F315*GiaDinh!$C$18*GiaDinh!$C$17</f>
        <v>94.24799999999999</v>
      </c>
      <c r="H315" s="7">
        <f>GiaDinh!$C$21</f>
        <v>1.2250000000000001</v>
      </c>
      <c r="I315" s="7">
        <f>GiaDinh!$C$15</f>
        <v>15</v>
      </c>
      <c r="J315" s="7">
        <f t="shared" si="24"/>
        <v>13</v>
      </c>
      <c r="K315" s="12">
        <f>J315*GiaDinh!$C$16</f>
        <v>91</v>
      </c>
      <c r="L315" s="7">
        <f t="shared" si="25"/>
        <v>2</v>
      </c>
      <c r="M315" s="12">
        <f t="shared" si="26"/>
        <v>30</v>
      </c>
      <c r="N315" s="7">
        <f>L315*ROUNDUP(I315/GiaDinh!$C$5-0.0005,0)</f>
        <v>6</v>
      </c>
      <c r="O315" s="7">
        <f>L315*(ROUNDUP(I315/GiaDinh!$C$5-0.0005,0)-1)</f>
        <v>4</v>
      </c>
      <c r="P315" s="7">
        <f t="shared" si="27"/>
        <v>26</v>
      </c>
      <c r="Q315" s="7">
        <f t="shared" si="28"/>
        <v>52</v>
      </c>
      <c r="R315" s="7">
        <f t="shared" si="29"/>
        <v>26</v>
      </c>
      <c r="S315" s="13">
        <f>M315*GiaDinh!$C$7</f>
        <v>90.3</v>
      </c>
    </row>
    <row r="316" spans="1:19" ht="46.5" x14ac:dyDescent="0.35">
      <c r="A316" s="7" t="s">
        <v>12</v>
      </c>
      <c r="B316" s="7">
        <v>32</v>
      </c>
      <c r="C316" s="7" t="s">
        <v>179</v>
      </c>
      <c r="D316" s="7" t="s">
        <v>474</v>
      </c>
      <c r="E316" s="7">
        <v>1</v>
      </c>
      <c r="F316" s="7">
        <v>112.2</v>
      </c>
      <c r="G316" s="12">
        <f>E316*F316*GiaDinh!$C$18*GiaDinh!$C$17</f>
        <v>94.24799999999999</v>
      </c>
      <c r="H316" s="7">
        <f>GiaDinh!$C$21</f>
        <v>1.2250000000000001</v>
      </c>
      <c r="I316" s="7">
        <f>GiaDinh!$C$15</f>
        <v>15</v>
      </c>
      <c r="J316" s="7">
        <f t="shared" si="24"/>
        <v>13</v>
      </c>
      <c r="K316" s="12">
        <f>J316*GiaDinh!$C$16</f>
        <v>91</v>
      </c>
      <c r="L316" s="7">
        <f t="shared" si="25"/>
        <v>2</v>
      </c>
      <c r="M316" s="12">
        <f t="shared" si="26"/>
        <v>30</v>
      </c>
      <c r="N316" s="7">
        <f>L316*ROUNDUP(I316/GiaDinh!$C$5-0.0005,0)</f>
        <v>6</v>
      </c>
      <c r="O316" s="7">
        <f>L316*(ROUNDUP(I316/GiaDinh!$C$5-0.0005,0)-1)</f>
        <v>4</v>
      </c>
      <c r="P316" s="7">
        <f t="shared" si="27"/>
        <v>26</v>
      </c>
      <c r="Q316" s="7">
        <f t="shared" si="28"/>
        <v>52</v>
      </c>
      <c r="R316" s="7">
        <f t="shared" si="29"/>
        <v>26</v>
      </c>
      <c r="S316" s="13">
        <f>M316*GiaDinh!$C$7</f>
        <v>90.3</v>
      </c>
    </row>
    <row r="317" spans="1:19" ht="46.5" x14ac:dyDescent="0.35">
      <c r="A317" s="7" t="s">
        <v>12</v>
      </c>
      <c r="B317" s="7">
        <v>33</v>
      </c>
      <c r="C317" s="7" t="s">
        <v>179</v>
      </c>
      <c r="D317" s="7" t="s">
        <v>475</v>
      </c>
      <c r="E317" s="7">
        <v>1</v>
      </c>
      <c r="F317" s="7">
        <v>112.2</v>
      </c>
      <c r="G317" s="12">
        <f>E317*F317*GiaDinh!$C$18*GiaDinh!$C$17</f>
        <v>94.24799999999999</v>
      </c>
      <c r="H317" s="7">
        <f>GiaDinh!$C$21</f>
        <v>1.2250000000000001</v>
      </c>
      <c r="I317" s="7">
        <f>GiaDinh!$C$15</f>
        <v>15</v>
      </c>
      <c r="J317" s="7">
        <f t="shared" si="24"/>
        <v>13</v>
      </c>
      <c r="K317" s="12">
        <f>J317*GiaDinh!$C$16</f>
        <v>91</v>
      </c>
      <c r="L317" s="7">
        <f t="shared" si="25"/>
        <v>2</v>
      </c>
      <c r="M317" s="12">
        <f t="shared" si="26"/>
        <v>30</v>
      </c>
      <c r="N317" s="7">
        <f>L317*ROUNDUP(I317/GiaDinh!$C$5-0.0005,0)</f>
        <v>6</v>
      </c>
      <c r="O317" s="7">
        <f>L317*(ROUNDUP(I317/GiaDinh!$C$5-0.0005,0)-1)</f>
        <v>4</v>
      </c>
      <c r="P317" s="7">
        <f t="shared" si="27"/>
        <v>26</v>
      </c>
      <c r="Q317" s="7">
        <f t="shared" si="28"/>
        <v>52</v>
      </c>
      <c r="R317" s="7">
        <f t="shared" si="29"/>
        <v>26</v>
      </c>
      <c r="S317" s="13">
        <f>M317*GiaDinh!$C$7</f>
        <v>90.3</v>
      </c>
    </row>
    <row r="318" spans="1:19" ht="46.5" x14ac:dyDescent="0.35">
      <c r="A318" s="7" t="s">
        <v>12</v>
      </c>
      <c r="B318" s="7">
        <v>34</v>
      </c>
      <c r="C318" s="7" t="s">
        <v>179</v>
      </c>
      <c r="D318" s="7" t="s">
        <v>476</v>
      </c>
      <c r="E318" s="7">
        <v>1</v>
      </c>
      <c r="F318" s="7">
        <v>112.2</v>
      </c>
      <c r="G318" s="12">
        <f>E318*F318*GiaDinh!$C$18*GiaDinh!$C$17</f>
        <v>94.24799999999999</v>
      </c>
      <c r="H318" s="7">
        <f>GiaDinh!$C$21</f>
        <v>1.2250000000000001</v>
      </c>
      <c r="I318" s="7">
        <f>GiaDinh!$C$15</f>
        <v>15</v>
      </c>
      <c r="J318" s="7">
        <f t="shared" si="24"/>
        <v>13</v>
      </c>
      <c r="K318" s="12">
        <f>J318*GiaDinh!$C$16</f>
        <v>91</v>
      </c>
      <c r="L318" s="7">
        <f t="shared" si="25"/>
        <v>2</v>
      </c>
      <c r="M318" s="12">
        <f t="shared" si="26"/>
        <v>30</v>
      </c>
      <c r="N318" s="7">
        <f>L318*ROUNDUP(I318/GiaDinh!$C$5-0.0005,0)</f>
        <v>6</v>
      </c>
      <c r="O318" s="7">
        <f>L318*(ROUNDUP(I318/GiaDinh!$C$5-0.0005,0)-1)</f>
        <v>4</v>
      </c>
      <c r="P318" s="7">
        <f t="shared" si="27"/>
        <v>26</v>
      </c>
      <c r="Q318" s="7">
        <f t="shared" si="28"/>
        <v>52</v>
      </c>
      <c r="R318" s="7">
        <f t="shared" si="29"/>
        <v>26</v>
      </c>
      <c r="S318" s="13">
        <f>M318*GiaDinh!$C$7</f>
        <v>90.3</v>
      </c>
    </row>
    <row r="319" spans="1:19" ht="46.5" x14ac:dyDescent="0.35">
      <c r="A319" s="7" t="s">
        <v>12</v>
      </c>
      <c r="B319" s="7">
        <v>35</v>
      </c>
      <c r="C319" s="7" t="s">
        <v>179</v>
      </c>
      <c r="D319" s="7" t="s">
        <v>477</v>
      </c>
      <c r="E319" s="7">
        <v>1</v>
      </c>
      <c r="F319" s="7">
        <v>112.2</v>
      </c>
      <c r="G319" s="12">
        <f>E319*F319*GiaDinh!$C$18*GiaDinh!$C$17</f>
        <v>94.24799999999999</v>
      </c>
      <c r="H319" s="7">
        <f>GiaDinh!$C$21</f>
        <v>1.2250000000000001</v>
      </c>
      <c r="I319" s="7">
        <f>GiaDinh!$C$15</f>
        <v>15</v>
      </c>
      <c r="J319" s="7">
        <f t="shared" si="24"/>
        <v>13</v>
      </c>
      <c r="K319" s="12">
        <f>J319*GiaDinh!$C$16</f>
        <v>91</v>
      </c>
      <c r="L319" s="7">
        <f t="shared" si="25"/>
        <v>2</v>
      </c>
      <c r="M319" s="12">
        <f t="shared" si="26"/>
        <v>30</v>
      </c>
      <c r="N319" s="7">
        <f>L319*ROUNDUP(I319/GiaDinh!$C$5-0.0005,0)</f>
        <v>6</v>
      </c>
      <c r="O319" s="7">
        <f>L319*(ROUNDUP(I319/GiaDinh!$C$5-0.0005,0)-1)</f>
        <v>4</v>
      </c>
      <c r="P319" s="7">
        <f t="shared" si="27"/>
        <v>26</v>
      </c>
      <c r="Q319" s="7">
        <f t="shared" si="28"/>
        <v>52</v>
      </c>
      <c r="R319" s="7">
        <f t="shared" si="29"/>
        <v>26</v>
      </c>
      <c r="S319" s="13">
        <f>M319*GiaDinh!$C$7</f>
        <v>90.3</v>
      </c>
    </row>
    <row r="320" spans="1:19" ht="46.5" x14ac:dyDescent="0.35">
      <c r="A320" s="7" t="s">
        <v>12</v>
      </c>
      <c r="B320" s="7">
        <v>36</v>
      </c>
      <c r="C320" s="7" t="s">
        <v>179</v>
      </c>
      <c r="D320" s="7" t="s">
        <v>478</v>
      </c>
      <c r="E320" s="7">
        <v>1</v>
      </c>
      <c r="F320" s="7">
        <v>112.2</v>
      </c>
      <c r="G320" s="12">
        <f>E320*F320*GiaDinh!$C$18*GiaDinh!$C$17</f>
        <v>94.24799999999999</v>
      </c>
      <c r="H320" s="7">
        <f>GiaDinh!$C$21</f>
        <v>1.2250000000000001</v>
      </c>
      <c r="I320" s="7">
        <f>GiaDinh!$C$15</f>
        <v>15</v>
      </c>
      <c r="J320" s="7">
        <f t="shared" si="24"/>
        <v>13</v>
      </c>
      <c r="K320" s="12">
        <f>J320*GiaDinh!$C$16</f>
        <v>91</v>
      </c>
      <c r="L320" s="7">
        <f t="shared" si="25"/>
        <v>2</v>
      </c>
      <c r="M320" s="12">
        <f t="shared" si="26"/>
        <v>30</v>
      </c>
      <c r="N320" s="7">
        <f>L320*ROUNDUP(I320/GiaDinh!$C$5-0.0005,0)</f>
        <v>6</v>
      </c>
      <c r="O320" s="7">
        <f>L320*(ROUNDUP(I320/GiaDinh!$C$5-0.0005,0)-1)</f>
        <v>4</v>
      </c>
      <c r="P320" s="7">
        <f t="shared" si="27"/>
        <v>26</v>
      </c>
      <c r="Q320" s="7">
        <f t="shared" si="28"/>
        <v>52</v>
      </c>
      <c r="R320" s="7">
        <f t="shared" si="29"/>
        <v>26</v>
      </c>
      <c r="S320" s="13">
        <f>M320*GiaDinh!$C$7</f>
        <v>90.3</v>
      </c>
    </row>
    <row r="321" spans="1:19" ht="46.5" x14ac:dyDescent="0.35">
      <c r="A321" s="7" t="s">
        <v>12</v>
      </c>
      <c r="B321" s="7">
        <v>37</v>
      </c>
      <c r="C321" s="7" t="s">
        <v>179</v>
      </c>
      <c r="D321" s="7" t="s">
        <v>479</v>
      </c>
      <c r="E321" s="7">
        <v>1</v>
      </c>
      <c r="F321" s="7">
        <v>112.2</v>
      </c>
      <c r="G321" s="12">
        <f>E321*F321*GiaDinh!$C$18*GiaDinh!$C$17</f>
        <v>94.24799999999999</v>
      </c>
      <c r="H321" s="7">
        <f>GiaDinh!$C$21</f>
        <v>1.2250000000000001</v>
      </c>
      <c r="I321" s="7">
        <f>GiaDinh!$C$15</f>
        <v>15</v>
      </c>
      <c r="J321" s="7">
        <f t="shared" si="24"/>
        <v>13</v>
      </c>
      <c r="K321" s="12">
        <f>J321*GiaDinh!$C$16</f>
        <v>91</v>
      </c>
      <c r="L321" s="7">
        <f t="shared" si="25"/>
        <v>2</v>
      </c>
      <c r="M321" s="12">
        <f t="shared" si="26"/>
        <v>30</v>
      </c>
      <c r="N321" s="7">
        <f>L321*ROUNDUP(I321/GiaDinh!$C$5-0.0005,0)</f>
        <v>6</v>
      </c>
      <c r="O321" s="7">
        <f>L321*(ROUNDUP(I321/GiaDinh!$C$5-0.0005,0)-1)</f>
        <v>4</v>
      </c>
      <c r="P321" s="7">
        <f t="shared" si="27"/>
        <v>26</v>
      </c>
      <c r="Q321" s="7">
        <f t="shared" si="28"/>
        <v>52</v>
      </c>
      <c r="R321" s="7">
        <f t="shared" si="29"/>
        <v>26</v>
      </c>
      <c r="S321" s="13">
        <f>M321*GiaDinh!$C$7</f>
        <v>90.3</v>
      </c>
    </row>
    <row r="322" spans="1:19" ht="46.5" x14ac:dyDescent="0.35">
      <c r="A322" s="7" t="s">
        <v>12</v>
      </c>
      <c r="B322" s="7">
        <v>38</v>
      </c>
      <c r="C322" s="7" t="s">
        <v>179</v>
      </c>
      <c r="D322" s="7" t="s">
        <v>480</v>
      </c>
      <c r="E322" s="7">
        <v>1</v>
      </c>
      <c r="F322" s="7">
        <v>112.2</v>
      </c>
      <c r="G322" s="12">
        <f>E322*F322*GiaDinh!$C$18*GiaDinh!$C$17</f>
        <v>94.24799999999999</v>
      </c>
      <c r="H322" s="7">
        <f>GiaDinh!$C$21</f>
        <v>1.2250000000000001</v>
      </c>
      <c r="I322" s="7">
        <f>GiaDinh!$C$15</f>
        <v>15</v>
      </c>
      <c r="J322" s="7">
        <f t="shared" si="24"/>
        <v>13</v>
      </c>
      <c r="K322" s="12">
        <f>J322*GiaDinh!$C$16</f>
        <v>91</v>
      </c>
      <c r="L322" s="7">
        <f t="shared" si="25"/>
        <v>2</v>
      </c>
      <c r="M322" s="12">
        <f t="shared" si="26"/>
        <v>30</v>
      </c>
      <c r="N322" s="7">
        <f>L322*ROUNDUP(I322/GiaDinh!$C$5-0.0005,0)</f>
        <v>6</v>
      </c>
      <c r="O322" s="7">
        <f>L322*(ROUNDUP(I322/GiaDinh!$C$5-0.0005,0)-1)</f>
        <v>4</v>
      </c>
      <c r="P322" s="7">
        <f t="shared" si="27"/>
        <v>26</v>
      </c>
      <c r="Q322" s="7">
        <f t="shared" si="28"/>
        <v>52</v>
      </c>
      <c r="R322" s="7">
        <f t="shared" si="29"/>
        <v>26</v>
      </c>
      <c r="S322" s="13">
        <f>M322*GiaDinh!$C$7</f>
        <v>90.3</v>
      </c>
    </row>
    <row r="323" spans="1:19" ht="46.5" x14ac:dyDescent="0.35">
      <c r="A323" s="7" t="s">
        <v>12</v>
      </c>
      <c r="B323" s="7">
        <v>39</v>
      </c>
      <c r="C323" s="7" t="s">
        <v>179</v>
      </c>
      <c r="D323" s="7" t="s">
        <v>481</v>
      </c>
      <c r="E323" s="7">
        <v>1</v>
      </c>
      <c r="F323" s="7">
        <v>112.2</v>
      </c>
      <c r="G323" s="12">
        <f>E323*F323*GiaDinh!$C$18*GiaDinh!$C$17</f>
        <v>94.24799999999999</v>
      </c>
      <c r="H323" s="7">
        <f>GiaDinh!$C$21</f>
        <v>1.2250000000000001</v>
      </c>
      <c r="I323" s="7">
        <f>GiaDinh!$C$15</f>
        <v>15</v>
      </c>
      <c r="J323" s="7">
        <f t="shared" si="24"/>
        <v>13</v>
      </c>
      <c r="K323" s="12">
        <f>J323*GiaDinh!$C$16</f>
        <v>91</v>
      </c>
      <c r="L323" s="7">
        <f t="shared" si="25"/>
        <v>2</v>
      </c>
      <c r="M323" s="12">
        <f t="shared" si="26"/>
        <v>30</v>
      </c>
      <c r="N323" s="7">
        <f>L323*ROUNDUP(I323/GiaDinh!$C$5-0.0005,0)</f>
        <v>6</v>
      </c>
      <c r="O323" s="7">
        <f>L323*(ROUNDUP(I323/GiaDinh!$C$5-0.0005,0)-1)</f>
        <v>4</v>
      </c>
      <c r="P323" s="7">
        <f t="shared" si="27"/>
        <v>26</v>
      </c>
      <c r="Q323" s="7">
        <f t="shared" si="28"/>
        <v>52</v>
      </c>
      <c r="R323" s="7">
        <f t="shared" si="29"/>
        <v>26</v>
      </c>
      <c r="S323" s="13">
        <f>M323*GiaDinh!$C$7</f>
        <v>90.3</v>
      </c>
    </row>
    <row r="324" spans="1:19" ht="46.5" x14ac:dyDescent="0.35">
      <c r="A324" s="7" t="s">
        <v>12</v>
      </c>
      <c r="B324" s="7">
        <v>40</v>
      </c>
      <c r="C324" s="7" t="s">
        <v>179</v>
      </c>
      <c r="D324" s="7" t="s">
        <v>482</v>
      </c>
      <c r="E324" s="7">
        <v>1</v>
      </c>
      <c r="F324" s="7">
        <v>112.2</v>
      </c>
      <c r="G324" s="12">
        <f>E324*F324*GiaDinh!$C$18*GiaDinh!$C$17</f>
        <v>94.24799999999999</v>
      </c>
      <c r="H324" s="7">
        <f>GiaDinh!$C$21</f>
        <v>1.2250000000000001</v>
      </c>
      <c r="I324" s="7">
        <f>GiaDinh!$C$15</f>
        <v>15</v>
      </c>
      <c r="J324" s="7">
        <f t="shared" ref="J324:J387" si="30">ROUNDDOWN(I324/H324,0)+1</f>
        <v>13</v>
      </c>
      <c r="K324" s="12">
        <f>J324*GiaDinh!$C$16</f>
        <v>91</v>
      </c>
      <c r="L324" s="7">
        <f t="shared" ref="L324:L387" si="31">MAX(1,ROUNDUP(G324/K324-0.0005,0))</f>
        <v>2</v>
      </c>
      <c r="M324" s="12">
        <f t="shared" ref="M324:M387" si="32">L324*I324</f>
        <v>30</v>
      </c>
      <c r="N324" s="7">
        <f>L324*ROUNDUP(I324/GiaDinh!$C$5-0.0005,0)</f>
        <v>6</v>
      </c>
      <c r="O324" s="7">
        <f>L324*(ROUNDUP(I324/GiaDinh!$C$5-0.0005,0)-1)</f>
        <v>4</v>
      </c>
      <c r="P324" s="7">
        <f t="shared" ref="P324:P375" si="33">L324*J324</f>
        <v>26</v>
      </c>
      <c r="Q324" s="7">
        <f t="shared" ref="Q324:Q387" si="34">2*P324</f>
        <v>52</v>
      </c>
      <c r="R324" s="7">
        <f t="shared" ref="R324:R375" si="35">P324</f>
        <v>26</v>
      </c>
      <c r="S324" s="13">
        <f>M324*GiaDinh!$C$7</f>
        <v>90.3</v>
      </c>
    </row>
    <row r="325" spans="1:19" ht="46.5" x14ac:dyDescent="0.35">
      <c r="A325" s="7" t="s">
        <v>12</v>
      </c>
      <c r="B325" s="7">
        <v>41</v>
      </c>
      <c r="C325" s="7" t="s">
        <v>179</v>
      </c>
      <c r="D325" s="7" t="s">
        <v>483</v>
      </c>
      <c r="E325" s="7">
        <v>1</v>
      </c>
      <c r="F325" s="7">
        <v>112.2</v>
      </c>
      <c r="G325" s="12">
        <f>E325*F325*GiaDinh!$C$18*GiaDinh!$C$17</f>
        <v>94.24799999999999</v>
      </c>
      <c r="H325" s="7">
        <f>GiaDinh!$C$21</f>
        <v>1.2250000000000001</v>
      </c>
      <c r="I325" s="7">
        <f>GiaDinh!$C$15</f>
        <v>15</v>
      </c>
      <c r="J325" s="7">
        <f t="shared" si="30"/>
        <v>13</v>
      </c>
      <c r="K325" s="12">
        <f>J325*GiaDinh!$C$16</f>
        <v>91</v>
      </c>
      <c r="L325" s="7">
        <f t="shared" si="31"/>
        <v>2</v>
      </c>
      <c r="M325" s="12">
        <f t="shared" si="32"/>
        <v>30</v>
      </c>
      <c r="N325" s="7">
        <f>L325*ROUNDUP(I325/GiaDinh!$C$5-0.0005,0)</f>
        <v>6</v>
      </c>
      <c r="O325" s="7">
        <f>L325*(ROUNDUP(I325/GiaDinh!$C$5-0.0005,0)-1)</f>
        <v>4</v>
      </c>
      <c r="P325" s="7">
        <f t="shared" si="33"/>
        <v>26</v>
      </c>
      <c r="Q325" s="7">
        <f t="shared" si="34"/>
        <v>52</v>
      </c>
      <c r="R325" s="7">
        <f t="shared" si="35"/>
        <v>26</v>
      </c>
      <c r="S325" s="13">
        <f>M325*GiaDinh!$C$7</f>
        <v>90.3</v>
      </c>
    </row>
    <row r="326" spans="1:19" ht="46.5" x14ac:dyDescent="0.35">
      <c r="A326" s="7" t="s">
        <v>12</v>
      </c>
      <c r="B326" s="7">
        <v>42</v>
      </c>
      <c r="C326" s="7" t="s">
        <v>179</v>
      </c>
      <c r="D326" s="7" t="s">
        <v>484</v>
      </c>
      <c r="E326" s="7">
        <v>1</v>
      </c>
      <c r="F326" s="7">
        <v>112.2</v>
      </c>
      <c r="G326" s="12">
        <f>E326*F326*GiaDinh!$C$18*GiaDinh!$C$17</f>
        <v>94.24799999999999</v>
      </c>
      <c r="H326" s="7">
        <f>GiaDinh!$C$21</f>
        <v>1.2250000000000001</v>
      </c>
      <c r="I326" s="7">
        <f>GiaDinh!$C$15</f>
        <v>15</v>
      </c>
      <c r="J326" s="7">
        <f t="shared" si="30"/>
        <v>13</v>
      </c>
      <c r="K326" s="12">
        <f>J326*GiaDinh!$C$16</f>
        <v>91</v>
      </c>
      <c r="L326" s="7">
        <f t="shared" si="31"/>
        <v>2</v>
      </c>
      <c r="M326" s="12">
        <f t="shared" si="32"/>
        <v>30</v>
      </c>
      <c r="N326" s="7">
        <f>L326*ROUNDUP(I326/GiaDinh!$C$5-0.0005,0)</f>
        <v>6</v>
      </c>
      <c r="O326" s="7">
        <f>L326*(ROUNDUP(I326/GiaDinh!$C$5-0.0005,0)-1)</f>
        <v>4</v>
      </c>
      <c r="P326" s="7">
        <f t="shared" si="33"/>
        <v>26</v>
      </c>
      <c r="Q326" s="7">
        <f t="shared" si="34"/>
        <v>52</v>
      </c>
      <c r="R326" s="7">
        <f t="shared" si="35"/>
        <v>26</v>
      </c>
      <c r="S326" s="13">
        <f>M326*GiaDinh!$C$7</f>
        <v>90.3</v>
      </c>
    </row>
    <row r="327" spans="1:19" ht="46.5" x14ac:dyDescent="0.35">
      <c r="A327" s="7" t="s">
        <v>12</v>
      </c>
      <c r="B327" s="7">
        <v>43</v>
      </c>
      <c r="C327" s="7" t="s">
        <v>179</v>
      </c>
      <c r="D327" s="7" t="s">
        <v>485</v>
      </c>
      <c r="E327" s="7">
        <v>1</v>
      </c>
      <c r="F327" s="7">
        <v>112.2</v>
      </c>
      <c r="G327" s="12">
        <f>E327*F327*GiaDinh!$C$18*GiaDinh!$C$17</f>
        <v>94.24799999999999</v>
      </c>
      <c r="H327" s="7">
        <f>GiaDinh!$C$21</f>
        <v>1.2250000000000001</v>
      </c>
      <c r="I327" s="7">
        <f>GiaDinh!$C$15</f>
        <v>15</v>
      </c>
      <c r="J327" s="7">
        <f t="shared" si="30"/>
        <v>13</v>
      </c>
      <c r="K327" s="12">
        <f>J327*GiaDinh!$C$16</f>
        <v>91</v>
      </c>
      <c r="L327" s="7">
        <f t="shared" si="31"/>
        <v>2</v>
      </c>
      <c r="M327" s="12">
        <f t="shared" si="32"/>
        <v>30</v>
      </c>
      <c r="N327" s="7">
        <f>L327*ROUNDUP(I327/GiaDinh!$C$5-0.0005,0)</f>
        <v>6</v>
      </c>
      <c r="O327" s="7">
        <f>L327*(ROUNDUP(I327/GiaDinh!$C$5-0.0005,0)-1)</f>
        <v>4</v>
      </c>
      <c r="P327" s="7">
        <f t="shared" si="33"/>
        <v>26</v>
      </c>
      <c r="Q327" s="7">
        <f t="shared" si="34"/>
        <v>52</v>
      </c>
      <c r="R327" s="7">
        <f t="shared" si="35"/>
        <v>26</v>
      </c>
      <c r="S327" s="13">
        <f>M327*GiaDinh!$C$7</f>
        <v>90.3</v>
      </c>
    </row>
    <row r="328" spans="1:19" ht="31" x14ac:dyDescent="0.35">
      <c r="A328" s="7" t="s">
        <v>13</v>
      </c>
      <c r="B328" s="7">
        <v>1</v>
      </c>
      <c r="C328" s="7" t="s">
        <v>160</v>
      </c>
      <c r="D328" s="7" t="s">
        <v>486</v>
      </c>
      <c r="E328" s="7">
        <v>2</v>
      </c>
      <c r="F328" s="7">
        <v>117.4</v>
      </c>
      <c r="G328" s="12">
        <f>E328*F328*GiaDinh!$C$18*GiaDinh!$C$17</f>
        <v>197.23199999999997</v>
      </c>
      <c r="H328" s="7">
        <f>GiaDinh!$C$21</f>
        <v>1.2250000000000001</v>
      </c>
      <c r="I328" s="7">
        <f>GiaDinh!$C$15</f>
        <v>15</v>
      </c>
      <c r="J328" s="7">
        <f t="shared" si="30"/>
        <v>13</v>
      </c>
      <c r="K328" s="12">
        <f>J328*GiaDinh!$C$16</f>
        <v>91</v>
      </c>
      <c r="L328" s="7">
        <f t="shared" si="31"/>
        <v>3</v>
      </c>
      <c r="M328" s="12">
        <f t="shared" si="32"/>
        <v>45</v>
      </c>
      <c r="N328" s="7">
        <f>L328*ROUNDUP(I328/GiaDinh!$C$5-0.0005,0)</f>
        <v>9</v>
      </c>
      <c r="O328" s="7">
        <f>L328*(ROUNDUP(I328/GiaDinh!$C$5-0.0005,0)-1)</f>
        <v>6</v>
      </c>
      <c r="P328" s="7">
        <f t="shared" si="33"/>
        <v>39</v>
      </c>
      <c r="Q328" s="7">
        <f t="shared" si="34"/>
        <v>78</v>
      </c>
      <c r="R328" s="7">
        <f t="shared" si="35"/>
        <v>39</v>
      </c>
      <c r="S328" s="13">
        <f>M328*GiaDinh!$C$7</f>
        <v>135.44999999999999</v>
      </c>
    </row>
    <row r="329" spans="1:19" ht="31" x14ac:dyDescent="0.35">
      <c r="A329" s="7" t="s">
        <v>13</v>
      </c>
      <c r="B329" s="7">
        <v>2</v>
      </c>
      <c r="C329" s="7" t="s">
        <v>160</v>
      </c>
      <c r="D329" s="7" t="s">
        <v>487</v>
      </c>
      <c r="E329" s="7">
        <v>2</v>
      </c>
      <c r="F329" s="7">
        <v>117.4</v>
      </c>
      <c r="G329" s="12">
        <f>E329*F329*GiaDinh!$C$18*GiaDinh!$C$17</f>
        <v>197.23199999999997</v>
      </c>
      <c r="H329" s="7">
        <f>GiaDinh!$C$21</f>
        <v>1.2250000000000001</v>
      </c>
      <c r="I329" s="7">
        <f>GiaDinh!$C$15</f>
        <v>15</v>
      </c>
      <c r="J329" s="7">
        <f t="shared" si="30"/>
        <v>13</v>
      </c>
      <c r="K329" s="12">
        <f>J329*GiaDinh!$C$16</f>
        <v>91</v>
      </c>
      <c r="L329" s="7">
        <f t="shared" si="31"/>
        <v>3</v>
      </c>
      <c r="M329" s="12">
        <f t="shared" si="32"/>
        <v>45</v>
      </c>
      <c r="N329" s="7">
        <f>L329*ROUNDUP(I329/GiaDinh!$C$5-0.0005,0)</f>
        <v>9</v>
      </c>
      <c r="O329" s="7">
        <f>L329*(ROUNDUP(I329/GiaDinh!$C$5-0.0005,0)-1)</f>
        <v>6</v>
      </c>
      <c r="P329" s="7">
        <f t="shared" si="33"/>
        <v>39</v>
      </c>
      <c r="Q329" s="7">
        <f t="shared" si="34"/>
        <v>78</v>
      </c>
      <c r="R329" s="7">
        <f t="shared" si="35"/>
        <v>39</v>
      </c>
      <c r="S329" s="13">
        <f>M329*GiaDinh!$C$7</f>
        <v>135.44999999999999</v>
      </c>
    </row>
    <row r="330" spans="1:19" ht="31" x14ac:dyDescent="0.35">
      <c r="A330" s="7" t="s">
        <v>13</v>
      </c>
      <c r="B330" s="7">
        <v>3</v>
      </c>
      <c r="C330" s="7" t="s">
        <v>160</v>
      </c>
      <c r="D330" s="7" t="s">
        <v>488</v>
      </c>
      <c r="E330" s="7">
        <v>2</v>
      </c>
      <c r="F330" s="7">
        <v>117.4</v>
      </c>
      <c r="G330" s="12">
        <f>E330*F330*GiaDinh!$C$18*GiaDinh!$C$17</f>
        <v>197.23199999999997</v>
      </c>
      <c r="H330" s="7">
        <f>GiaDinh!$C$21</f>
        <v>1.2250000000000001</v>
      </c>
      <c r="I330" s="7">
        <f>GiaDinh!$C$15</f>
        <v>15</v>
      </c>
      <c r="J330" s="7">
        <f t="shared" si="30"/>
        <v>13</v>
      </c>
      <c r="K330" s="12">
        <f>J330*GiaDinh!$C$16</f>
        <v>91</v>
      </c>
      <c r="L330" s="7">
        <f t="shared" si="31"/>
        <v>3</v>
      </c>
      <c r="M330" s="12">
        <f t="shared" si="32"/>
        <v>45</v>
      </c>
      <c r="N330" s="7">
        <f>L330*ROUNDUP(I330/GiaDinh!$C$5-0.0005,0)</f>
        <v>9</v>
      </c>
      <c r="O330" s="7">
        <f>L330*(ROUNDUP(I330/GiaDinh!$C$5-0.0005,0)-1)</f>
        <v>6</v>
      </c>
      <c r="P330" s="7">
        <f t="shared" si="33"/>
        <v>39</v>
      </c>
      <c r="Q330" s="7">
        <f t="shared" si="34"/>
        <v>78</v>
      </c>
      <c r="R330" s="7">
        <f t="shared" si="35"/>
        <v>39</v>
      </c>
      <c r="S330" s="13">
        <f>M330*GiaDinh!$C$7</f>
        <v>135.44999999999999</v>
      </c>
    </row>
    <row r="331" spans="1:19" ht="31" x14ac:dyDescent="0.35">
      <c r="A331" s="7" t="s">
        <v>13</v>
      </c>
      <c r="B331" s="7">
        <v>4</v>
      </c>
      <c r="C331" s="7" t="s">
        <v>160</v>
      </c>
      <c r="D331" s="7" t="s">
        <v>489</v>
      </c>
      <c r="E331" s="7">
        <v>2</v>
      </c>
      <c r="F331" s="7">
        <v>117.4</v>
      </c>
      <c r="G331" s="12">
        <f>E331*F331*GiaDinh!$C$18*GiaDinh!$C$17</f>
        <v>197.23199999999997</v>
      </c>
      <c r="H331" s="7">
        <f>GiaDinh!$C$21</f>
        <v>1.2250000000000001</v>
      </c>
      <c r="I331" s="7">
        <f>GiaDinh!$C$15</f>
        <v>15</v>
      </c>
      <c r="J331" s="7">
        <f t="shared" si="30"/>
        <v>13</v>
      </c>
      <c r="K331" s="12">
        <f>J331*GiaDinh!$C$16</f>
        <v>91</v>
      </c>
      <c r="L331" s="7">
        <f t="shared" si="31"/>
        <v>3</v>
      </c>
      <c r="M331" s="12">
        <f t="shared" si="32"/>
        <v>45</v>
      </c>
      <c r="N331" s="7">
        <f>L331*ROUNDUP(I331/GiaDinh!$C$5-0.0005,0)</f>
        <v>9</v>
      </c>
      <c r="O331" s="7">
        <f>L331*(ROUNDUP(I331/GiaDinh!$C$5-0.0005,0)-1)</f>
        <v>6</v>
      </c>
      <c r="P331" s="7">
        <f t="shared" si="33"/>
        <v>39</v>
      </c>
      <c r="Q331" s="7">
        <f t="shared" si="34"/>
        <v>78</v>
      </c>
      <c r="R331" s="7">
        <f t="shared" si="35"/>
        <v>39</v>
      </c>
      <c r="S331" s="13">
        <f>M331*GiaDinh!$C$7</f>
        <v>135.44999999999999</v>
      </c>
    </row>
    <row r="332" spans="1:19" ht="31" x14ac:dyDescent="0.35">
      <c r="A332" s="7" t="s">
        <v>13</v>
      </c>
      <c r="B332" s="7">
        <v>5</v>
      </c>
      <c r="C332" s="7" t="s">
        <v>160</v>
      </c>
      <c r="D332" s="7" t="s">
        <v>490</v>
      </c>
      <c r="E332" s="7">
        <v>2</v>
      </c>
      <c r="F332" s="7">
        <v>117.4</v>
      </c>
      <c r="G332" s="12">
        <f>E332*F332*GiaDinh!$C$18*GiaDinh!$C$17</f>
        <v>197.23199999999997</v>
      </c>
      <c r="H332" s="7">
        <f>GiaDinh!$C$21</f>
        <v>1.2250000000000001</v>
      </c>
      <c r="I332" s="7">
        <f>GiaDinh!$C$15</f>
        <v>15</v>
      </c>
      <c r="J332" s="7">
        <f t="shared" si="30"/>
        <v>13</v>
      </c>
      <c r="K332" s="12">
        <f>J332*GiaDinh!$C$16</f>
        <v>91</v>
      </c>
      <c r="L332" s="7">
        <f t="shared" si="31"/>
        <v>3</v>
      </c>
      <c r="M332" s="12">
        <f t="shared" si="32"/>
        <v>45</v>
      </c>
      <c r="N332" s="7">
        <f>L332*ROUNDUP(I332/GiaDinh!$C$5-0.0005,0)</f>
        <v>9</v>
      </c>
      <c r="O332" s="7">
        <f>L332*(ROUNDUP(I332/GiaDinh!$C$5-0.0005,0)-1)</f>
        <v>6</v>
      </c>
      <c r="P332" s="7">
        <f t="shared" si="33"/>
        <v>39</v>
      </c>
      <c r="Q332" s="7">
        <f t="shared" si="34"/>
        <v>78</v>
      </c>
      <c r="R332" s="7">
        <f t="shared" si="35"/>
        <v>39</v>
      </c>
      <c r="S332" s="13">
        <f>M332*GiaDinh!$C$7</f>
        <v>135.44999999999999</v>
      </c>
    </row>
    <row r="333" spans="1:19" ht="31" x14ac:dyDescent="0.35">
      <c r="A333" s="7" t="s">
        <v>13</v>
      </c>
      <c r="B333" s="7">
        <v>6</v>
      </c>
      <c r="C333" s="7" t="s">
        <v>160</v>
      </c>
      <c r="D333" s="7" t="s">
        <v>491</v>
      </c>
      <c r="E333" s="7">
        <v>2</v>
      </c>
      <c r="F333" s="7">
        <v>117.4</v>
      </c>
      <c r="G333" s="12">
        <f>E333*F333*GiaDinh!$C$18*GiaDinh!$C$17</f>
        <v>197.23199999999997</v>
      </c>
      <c r="H333" s="7">
        <f>GiaDinh!$C$21</f>
        <v>1.2250000000000001</v>
      </c>
      <c r="I333" s="7">
        <f>GiaDinh!$C$15</f>
        <v>15</v>
      </c>
      <c r="J333" s="7">
        <f t="shared" si="30"/>
        <v>13</v>
      </c>
      <c r="K333" s="12">
        <f>J333*GiaDinh!$C$16</f>
        <v>91</v>
      </c>
      <c r="L333" s="7">
        <f t="shared" si="31"/>
        <v>3</v>
      </c>
      <c r="M333" s="12">
        <f t="shared" si="32"/>
        <v>45</v>
      </c>
      <c r="N333" s="7">
        <f>L333*ROUNDUP(I333/GiaDinh!$C$5-0.0005,0)</f>
        <v>9</v>
      </c>
      <c r="O333" s="7">
        <f>L333*(ROUNDUP(I333/GiaDinh!$C$5-0.0005,0)-1)</f>
        <v>6</v>
      </c>
      <c r="P333" s="7">
        <f t="shared" si="33"/>
        <v>39</v>
      </c>
      <c r="Q333" s="7">
        <f t="shared" si="34"/>
        <v>78</v>
      </c>
      <c r="R333" s="7">
        <f t="shared" si="35"/>
        <v>39</v>
      </c>
      <c r="S333" s="13">
        <f>M333*GiaDinh!$C$7</f>
        <v>135.44999999999999</v>
      </c>
    </row>
    <row r="334" spans="1:19" ht="31" x14ac:dyDescent="0.35">
      <c r="A334" s="7" t="s">
        <v>13</v>
      </c>
      <c r="B334" s="7">
        <v>7</v>
      </c>
      <c r="C334" s="7" t="s">
        <v>160</v>
      </c>
      <c r="D334" s="7" t="s">
        <v>492</v>
      </c>
      <c r="E334" s="7">
        <v>2</v>
      </c>
      <c r="F334" s="7">
        <v>117.4</v>
      </c>
      <c r="G334" s="12">
        <f>E334*F334*GiaDinh!$C$18*GiaDinh!$C$17</f>
        <v>197.23199999999997</v>
      </c>
      <c r="H334" s="7">
        <f>GiaDinh!$C$21</f>
        <v>1.2250000000000001</v>
      </c>
      <c r="I334" s="7">
        <f>GiaDinh!$C$15</f>
        <v>15</v>
      </c>
      <c r="J334" s="7">
        <f t="shared" si="30"/>
        <v>13</v>
      </c>
      <c r="K334" s="12">
        <f>J334*GiaDinh!$C$16</f>
        <v>91</v>
      </c>
      <c r="L334" s="7">
        <f t="shared" si="31"/>
        <v>3</v>
      </c>
      <c r="M334" s="12">
        <f t="shared" si="32"/>
        <v>45</v>
      </c>
      <c r="N334" s="7">
        <f>L334*ROUNDUP(I334/GiaDinh!$C$5-0.0005,0)</f>
        <v>9</v>
      </c>
      <c r="O334" s="7">
        <f>L334*(ROUNDUP(I334/GiaDinh!$C$5-0.0005,0)-1)</f>
        <v>6</v>
      </c>
      <c r="P334" s="7">
        <f t="shared" si="33"/>
        <v>39</v>
      </c>
      <c r="Q334" s="7">
        <f t="shared" si="34"/>
        <v>78</v>
      </c>
      <c r="R334" s="7">
        <f t="shared" si="35"/>
        <v>39</v>
      </c>
      <c r="S334" s="13">
        <f>M334*GiaDinh!$C$7</f>
        <v>135.44999999999999</v>
      </c>
    </row>
    <row r="335" spans="1:19" ht="31" x14ac:dyDescent="0.35">
      <c r="A335" s="7" t="s">
        <v>13</v>
      </c>
      <c r="B335" s="7">
        <v>8</v>
      </c>
      <c r="C335" s="7" t="s">
        <v>160</v>
      </c>
      <c r="D335" s="7" t="s">
        <v>493</v>
      </c>
      <c r="E335" s="7">
        <v>2</v>
      </c>
      <c r="F335" s="7">
        <v>117.4</v>
      </c>
      <c r="G335" s="12">
        <f>E335*F335*GiaDinh!$C$18*GiaDinh!$C$17</f>
        <v>197.23199999999997</v>
      </c>
      <c r="H335" s="7">
        <f>GiaDinh!$C$21</f>
        <v>1.2250000000000001</v>
      </c>
      <c r="I335" s="7">
        <f>GiaDinh!$C$15</f>
        <v>15</v>
      </c>
      <c r="J335" s="7">
        <f t="shared" si="30"/>
        <v>13</v>
      </c>
      <c r="K335" s="12">
        <f>J335*GiaDinh!$C$16</f>
        <v>91</v>
      </c>
      <c r="L335" s="7">
        <f t="shared" si="31"/>
        <v>3</v>
      </c>
      <c r="M335" s="12">
        <f t="shared" si="32"/>
        <v>45</v>
      </c>
      <c r="N335" s="7">
        <f>L335*ROUNDUP(I335/GiaDinh!$C$5-0.0005,0)</f>
        <v>9</v>
      </c>
      <c r="O335" s="7">
        <f>L335*(ROUNDUP(I335/GiaDinh!$C$5-0.0005,0)-1)</f>
        <v>6</v>
      </c>
      <c r="P335" s="7">
        <f t="shared" si="33"/>
        <v>39</v>
      </c>
      <c r="Q335" s="7">
        <f t="shared" si="34"/>
        <v>78</v>
      </c>
      <c r="R335" s="7">
        <f t="shared" si="35"/>
        <v>39</v>
      </c>
      <c r="S335" s="13">
        <f>M335*GiaDinh!$C$7</f>
        <v>135.44999999999999</v>
      </c>
    </row>
    <row r="336" spans="1:19" ht="31" x14ac:dyDescent="0.35">
      <c r="A336" s="7" t="s">
        <v>13</v>
      </c>
      <c r="B336" s="7">
        <v>9</v>
      </c>
      <c r="C336" s="7" t="s">
        <v>160</v>
      </c>
      <c r="D336" s="7" t="s">
        <v>494</v>
      </c>
      <c r="E336" s="7">
        <v>2</v>
      </c>
      <c r="F336" s="7">
        <v>117.4</v>
      </c>
      <c r="G336" s="12">
        <f>E336*F336*GiaDinh!$C$18*GiaDinh!$C$17</f>
        <v>197.23199999999997</v>
      </c>
      <c r="H336" s="7">
        <f>GiaDinh!$C$21</f>
        <v>1.2250000000000001</v>
      </c>
      <c r="I336" s="7">
        <f>GiaDinh!$C$15</f>
        <v>15</v>
      </c>
      <c r="J336" s="7">
        <f t="shared" si="30"/>
        <v>13</v>
      </c>
      <c r="K336" s="12">
        <f>J336*GiaDinh!$C$16</f>
        <v>91</v>
      </c>
      <c r="L336" s="7">
        <f t="shared" si="31"/>
        <v>3</v>
      </c>
      <c r="M336" s="12">
        <f t="shared" si="32"/>
        <v>45</v>
      </c>
      <c r="N336" s="7">
        <f>L336*ROUNDUP(I336/GiaDinh!$C$5-0.0005,0)</f>
        <v>9</v>
      </c>
      <c r="O336" s="7">
        <f>L336*(ROUNDUP(I336/GiaDinh!$C$5-0.0005,0)-1)</f>
        <v>6</v>
      </c>
      <c r="P336" s="7">
        <f t="shared" si="33"/>
        <v>39</v>
      </c>
      <c r="Q336" s="7">
        <f t="shared" si="34"/>
        <v>78</v>
      </c>
      <c r="R336" s="7">
        <f t="shared" si="35"/>
        <v>39</v>
      </c>
      <c r="S336" s="13">
        <f>M336*GiaDinh!$C$7</f>
        <v>135.44999999999999</v>
      </c>
    </row>
    <row r="337" spans="1:19" ht="31" x14ac:dyDescent="0.35">
      <c r="A337" s="7" t="s">
        <v>13</v>
      </c>
      <c r="B337" s="7">
        <v>10</v>
      </c>
      <c r="C337" s="7" t="s">
        <v>160</v>
      </c>
      <c r="D337" s="7" t="s">
        <v>495</v>
      </c>
      <c r="E337" s="7">
        <v>2</v>
      </c>
      <c r="F337" s="7">
        <v>117.4</v>
      </c>
      <c r="G337" s="12">
        <f>E337*F337*GiaDinh!$C$18*GiaDinh!$C$17</f>
        <v>197.23199999999997</v>
      </c>
      <c r="H337" s="7">
        <f>GiaDinh!$C$21</f>
        <v>1.2250000000000001</v>
      </c>
      <c r="I337" s="7">
        <f>GiaDinh!$C$15</f>
        <v>15</v>
      </c>
      <c r="J337" s="7">
        <f t="shared" si="30"/>
        <v>13</v>
      </c>
      <c r="K337" s="12">
        <f>J337*GiaDinh!$C$16</f>
        <v>91</v>
      </c>
      <c r="L337" s="7">
        <f t="shared" si="31"/>
        <v>3</v>
      </c>
      <c r="M337" s="12">
        <f t="shared" si="32"/>
        <v>45</v>
      </c>
      <c r="N337" s="7">
        <f>L337*ROUNDUP(I337/GiaDinh!$C$5-0.0005,0)</f>
        <v>9</v>
      </c>
      <c r="O337" s="7">
        <f>L337*(ROUNDUP(I337/GiaDinh!$C$5-0.0005,0)-1)</f>
        <v>6</v>
      </c>
      <c r="P337" s="7">
        <f t="shared" si="33"/>
        <v>39</v>
      </c>
      <c r="Q337" s="7">
        <f t="shared" si="34"/>
        <v>78</v>
      </c>
      <c r="R337" s="7">
        <f t="shared" si="35"/>
        <v>39</v>
      </c>
      <c r="S337" s="13">
        <f>M337*GiaDinh!$C$7</f>
        <v>135.44999999999999</v>
      </c>
    </row>
    <row r="338" spans="1:19" ht="31" x14ac:dyDescent="0.35">
      <c r="A338" s="7" t="s">
        <v>13</v>
      </c>
      <c r="B338" s="7">
        <v>11</v>
      </c>
      <c r="C338" s="7" t="s">
        <v>160</v>
      </c>
      <c r="D338" s="7" t="s">
        <v>496</v>
      </c>
      <c r="E338" s="7">
        <v>2</v>
      </c>
      <c r="F338" s="7">
        <v>117.4</v>
      </c>
      <c r="G338" s="12">
        <f>E338*F338*GiaDinh!$C$18*GiaDinh!$C$17</f>
        <v>197.23199999999997</v>
      </c>
      <c r="H338" s="7">
        <f>GiaDinh!$C$21</f>
        <v>1.2250000000000001</v>
      </c>
      <c r="I338" s="7">
        <f>GiaDinh!$C$15</f>
        <v>15</v>
      </c>
      <c r="J338" s="7">
        <f t="shared" si="30"/>
        <v>13</v>
      </c>
      <c r="K338" s="12">
        <f>J338*GiaDinh!$C$16</f>
        <v>91</v>
      </c>
      <c r="L338" s="7">
        <f t="shared" si="31"/>
        <v>3</v>
      </c>
      <c r="M338" s="12">
        <f t="shared" si="32"/>
        <v>45</v>
      </c>
      <c r="N338" s="7">
        <f>L338*ROUNDUP(I338/GiaDinh!$C$5-0.0005,0)</f>
        <v>9</v>
      </c>
      <c r="O338" s="7">
        <f>L338*(ROUNDUP(I338/GiaDinh!$C$5-0.0005,0)-1)</f>
        <v>6</v>
      </c>
      <c r="P338" s="7">
        <f t="shared" si="33"/>
        <v>39</v>
      </c>
      <c r="Q338" s="7">
        <f t="shared" si="34"/>
        <v>78</v>
      </c>
      <c r="R338" s="7">
        <f t="shared" si="35"/>
        <v>39</v>
      </c>
      <c r="S338" s="13">
        <f>M338*GiaDinh!$C$7</f>
        <v>135.44999999999999</v>
      </c>
    </row>
    <row r="339" spans="1:19" ht="31" x14ac:dyDescent="0.35">
      <c r="A339" s="7" t="s">
        <v>13</v>
      </c>
      <c r="B339" s="7">
        <v>12</v>
      </c>
      <c r="C339" s="7" t="s">
        <v>160</v>
      </c>
      <c r="D339" s="7" t="s">
        <v>497</v>
      </c>
      <c r="E339" s="7">
        <v>2</v>
      </c>
      <c r="F339" s="7">
        <v>117.4</v>
      </c>
      <c r="G339" s="12">
        <f>E339*F339*GiaDinh!$C$18*GiaDinh!$C$17</f>
        <v>197.23199999999997</v>
      </c>
      <c r="H339" s="7">
        <f>GiaDinh!$C$21</f>
        <v>1.2250000000000001</v>
      </c>
      <c r="I339" s="7">
        <f>GiaDinh!$C$15</f>
        <v>15</v>
      </c>
      <c r="J339" s="7">
        <f t="shared" si="30"/>
        <v>13</v>
      </c>
      <c r="K339" s="12">
        <f>J339*GiaDinh!$C$16</f>
        <v>91</v>
      </c>
      <c r="L339" s="7">
        <f t="shared" si="31"/>
        <v>3</v>
      </c>
      <c r="M339" s="12">
        <f t="shared" si="32"/>
        <v>45</v>
      </c>
      <c r="N339" s="7">
        <f>L339*ROUNDUP(I339/GiaDinh!$C$5-0.0005,0)</f>
        <v>9</v>
      </c>
      <c r="O339" s="7">
        <f>L339*(ROUNDUP(I339/GiaDinh!$C$5-0.0005,0)-1)</f>
        <v>6</v>
      </c>
      <c r="P339" s="7">
        <f t="shared" si="33"/>
        <v>39</v>
      </c>
      <c r="Q339" s="7">
        <f t="shared" si="34"/>
        <v>78</v>
      </c>
      <c r="R339" s="7">
        <f t="shared" si="35"/>
        <v>39</v>
      </c>
      <c r="S339" s="13">
        <f>M339*GiaDinh!$C$7</f>
        <v>135.44999999999999</v>
      </c>
    </row>
    <row r="340" spans="1:19" ht="31" x14ac:dyDescent="0.35">
      <c r="A340" s="7" t="s">
        <v>13</v>
      </c>
      <c r="B340" s="7">
        <v>13</v>
      </c>
      <c r="C340" s="7" t="s">
        <v>160</v>
      </c>
      <c r="D340" s="7" t="s">
        <v>498</v>
      </c>
      <c r="E340" s="7">
        <v>2</v>
      </c>
      <c r="F340" s="7">
        <v>117.4</v>
      </c>
      <c r="G340" s="12">
        <f>E340*F340*GiaDinh!$C$18*GiaDinh!$C$17</f>
        <v>197.23199999999997</v>
      </c>
      <c r="H340" s="7">
        <f>GiaDinh!$C$21</f>
        <v>1.2250000000000001</v>
      </c>
      <c r="I340" s="7">
        <f>GiaDinh!$C$15</f>
        <v>15</v>
      </c>
      <c r="J340" s="7">
        <f t="shared" si="30"/>
        <v>13</v>
      </c>
      <c r="K340" s="12">
        <f>J340*GiaDinh!$C$16</f>
        <v>91</v>
      </c>
      <c r="L340" s="7">
        <f t="shared" si="31"/>
        <v>3</v>
      </c>
      <c r="M340" s="12">
        <f t="shared" si="32"/>
        <v>45</v>
      </c>
      <c r="N340" s="7">
        <f>L340*ROUNDUP(I340/GiaDinh!$C$5-0.0005,0)</f>
        <v>9</v>
      </c>
      <c r="O340" s="7">
        <f>L340*(ROUNDUP(I340/GiaDinh!$C$5-0.0005,0)-1)</f>
        <v>6</v>
      </c>
      <c r="P340" s="7">
        <f t="shared" si="33"/>
        <v>39</v>
      </c>
      <c r="Q340" s="7">
        <f t="shared" si="34"/>
        <v>78</v>
      </c>
      <c r="R340" s="7">
        <f t="shared" si="35"/>
        <v>39</v>
      </c>
      <c r="S340" s="13">
        <f>M340*GiaDinh!$C$7</f>
        <v>135.44999999999999</v>
      </c>
    </row>
    <row r="341" spans="1:19" ht="31" x14ac:dyDescent="0.35">
      <c r="A341" s="7" t="s">
        <v>13</v>
      </c>
      <c r="B341" s="7">
        <v>14</v>
      </c>
      <c r="C341" s="7" t="s">
        <v>160</v>
      </c>
      <c r="D341" s="7" t="s">
        <v>499</v>
      </c>
      <c r="E341" s="7">
        <v>2</v>
      </c>
      <c r="F341" s="7">
        <v>117.4</v>
      </c>
      <c r="G341" s="12">
        <f>E341*F341*GiaDinh!$C$18*GiaDinh!$C$17</f>
        <v>197.23199999999997</v>
      </c>
      <c r="H341" s="7">
        <f>GiaDinh!$C$21</f>
        <v>1.2250000000000001</v>
      </c>
      <c r="I341" s="7">
        <f>GiaDinh!$C$15</f>
        <v>15</v>
      </c>
      <c r="J341" s="7">
        <f t="shared" si="30"/>
        <v>13</v>
      </c>
      <c r="K341" s="12">
        <f>J341*GiaDinh!$C$16</f>
        <v>91</v>
      </c>
      <c r="L341" s="7">
        <f t="shared" si="31"/>
        <v>3</v>
      </c>
      <c r="M341" s="12">
        <f t="shared" si="32"/>
        <v>45</v>
      </c>
      <c r="N341" s="7">
        <f>L341*ROUNDUP(I341/GiaDinh!$C$5-0.0005,0)</f>
        <v>9</v>
      </c>
      <c r="O341" s="7">
        <f>L341*(ROUNDUP(I341/GiaDinh!$C$5-0.0005,0)-1)</f>
        <v>6</v>
      </c>
      <c r="P341" s="7">
        <f t="shared" si="33"/>
        <v>39</v>
      </c>
      <c r="Q341" s="7">
        <f t="shared" si="34"/>
        <v>78</v>
      </c>
      <c r="R341" s="7">
        <f t="shared" si="35"/>
        <v>39</v>
      </c>
      <c r="S341" s="13">
        <f>M341*GiaDinh!$C$7</f>
        <v>135.44999999999999</v>
      </c>
    </row>
    <row r="342" spans="1:19" ht="31" x14ac:dyDescent="0.35">
      <c r="A342" s="7" t="s">
        <v>13</v>
      </c>
      <c r="B342" s="7">
        <v>15</v>
      </c>
      <c r="C342" s="7" t="s">
        <v>160</v>
      </c>
      <c r="D342" s="7" t="s">
        <v>500</v>
      </c>
      <c r="E342" s="7">
        <v>2</v>
      </c>
      <c r="F342" s="7">
        <v>117.4</v>
      </c>
      <c r="G342" s="12">
        <f>E342*F342*GiaDinh!$C$18*GiaDinh!$C$17</f>
        <v>197.23199999999997</v>
      </c>
      <c r="H342" s="7">
        <f>GiaDinh!$C$21</f>
        <v>1.2250000000000001</v>
      </c>
      <c r="I342" s="7">
        <f>GiaDinh!$C$15</f>
        <v>15</v>
      </c>
      <c r="J342" s="7">
        <f t="shared" si="30"/>
        <v>13</v>
      </c>
      <c r="K342" s="12">
        <f>J342*GiaDinh!$C$16</f>
        <v>91</v>
      </c>
      <c r="L342" s="7">
        <f t="shared" si="31"/>
        <v>3</v>
      </c>
      <c r="M342" s="12">
        <f t="shared" si="32"/>
        <v>45</v>
      </c>
      <c r="N342" s="7">
        <f>L342*ROUNDUP(I342/GiaDinh!$C$5-0.0005,0)</f>
        <v>9</v>
      </c>
      <c r="O342" s="7">
        <f>L342*(ROUNDUP(I342/GiaDinh!$C$5-0.0005,0)-1)</f>
        <v>6</v>
      </c>
      <c r="P342" s="7">
        <f t="shared" si="33"/>
        <v>39</v>
      </c>
      <c r="Q342" s="7">
        <f t="shared" si="34"/>
        <v>78</v>
      </c>
      <c r="R342" s="7">
        <f t="shared" si="35"/>
        <v>39</v>
      </c>
      <c r="S342" s="13">
        <f>M342*GiaDinh!$C$7</f>
        <v>135.44999999999999</v>
      </c>
    </row>
    <row r="343" spans="1:19" ht="31" x14ac:dyDescent="0.35">
      <c r="A343" s="7" t="s">
        <v>13</v>
      </c>
      <c r="B343" s="7">
        <v>16</v>
      </c>
      <c r="C343" s="7" t="s">
        <v>160</v>
      </c>
      <c r="D343" s="7" t="s">
        <v>501</v>
      </c>
      <c r="E343" s="7">
        <v>2</v>
      </c>
      <c r="F343" s="7">
        <v>117.4</v>
      </c>
      <c r="G343" s="12">
        <f>E343*F343*GiaDinh!$C$18*GiaDinh!$C$17</f>
        <v>197.23199999999997</v>
      </c>
      <c r="H343" s="7">
        <f>GiaDinh!$C$21</f>
        <v>1.2250000000000001</v>
      </c>
      <c r="I343" s="7">
        <f>GiaDinh!$C$15</f>
        <v>15</v>
      </c>
      <c r="J343" s="7">
        <f t="shared" si="30"/>
        <v>13</v>
      </c>
      <c r="K343" s="12">
        <f>J343*GiaDinh!$C$16</f>
        <v>91</v>
      </c>
      <c r="L343" s="7">
        <f t="shared" si="31"/>
        <v>3</v>
      </c>
      <c r="M343" s="12">
        <f t="shared" si="32"/>
        <v>45</v>
      </c>
      <c r="N343" s="7">
        <f>L343*ROUNDUP(I343/GiaDinh!$C$5-0.0005,0)</f>
        <v>9</v>
      </c>
      <c r="O343" s="7">
        <f>L343*(ROUNDUP(I343/GiaDinh!$C$5-0.0005,0)-1)</f>
        <v>6</v>
      </c>
      <c r="P343" s="7">
        <f t="shared" si="33"/>
        <v>39</v>
      </c>
      <c r="Q343" s="7">
        <f t="shared" si="34"/>
        <v>78</v>
      </c>
      <c r="R343" s="7">
        <f t="shared" si="35"/>
        <v>39</v>
      </c>
      <c r="S343" s="13">
        <f>M343*GiaDinh!$C$7</f>
        <v>135.44999999999999</v>
      </c>
    </row>
    <row r="344" spans="1:19" ht="31" x14ac:dyDescent="0.35">
      <c r="A344" s="7" t="s">
        <v>13</v>
      </c>
      <c r="B344" s="7">
        <v>17</v>
      </c>
      <c r="C344" s="7" t="s">
        <v>160</v>
      </c>
      <c r="D344" s="7" t="s">
        <v>502</v>
      </c>
      <c r="E344" s="7">
        <v>2</v>
      </c>
      <c r="F344" s="7">
        <v>117.4</v>
      </c>
      <c r="G344" s="12">
        <f>E344*F344*GiaDinh!$C$18*GiaDinh!$C$17</f>
        <v>197.23199999999997</v>
      </c>
      <c r="H344" s="7">
        <f>GiaDinh!$C$21</f>
        <v>1.2250000000000001</v>
      </c>
      <c r="I344" s="7">
        <f>GiaDinh!$C$15</f>
        <v>15</v>
      </c>
      <c r="J344" s="7">
        <f t="shared" si="30"/>
        <v>13</v>
      </c>
      <c r="K344" s="12">
        <f>J344*GiaDinh!$C$16</f>
        <v>91</v>
      </c>
      <c r="L344" s="7">
        <f t="shared" si="31"/>
        <v>3</v>
      </c>
      <c r="M344" s="12">
        <f t="shared" si="32"/>
        <v>45</v>
      </c>
      <c r="N344" s="7">
        <f>L344*ROUNDUP(I344/GiaDinh!$C$5-0.0005,0)</f>
        <v>9</v>
      </c>
      <c r="O344" s="7">
        <f>L344*(ROUNDUP(I344/GiaDinh!$C$5-0.0005,0)-1)</f>
        <v>6</v>
      </c>
      <c r="P344" s="7">
        <f t="shared" si="33"/>
        <v>39</v>
      </c>
      <c r="Q344" s="7">
        <f t="shared" si="34"/>
        <v>78</v>
      </c>
      <c r="R344" s="7">
        <f t="shared" si="35"/>
        <v>39</v>
      </c>
      <c r="S344" s="13">
        <f>M344*GiaDinh!$C$7</f>
        <v>135.44999999999999</v>
      </c>
    </row>
    <row r="345" spans="1:19" ht="31" x14ac:dyDescent="0.35">
      <c r="A345" s="7" t="s">
        <v>13</v>
      </c>
      <c r="B345" s="7">
        <v>18</v>
      </c>
      <c r="C345" s="7" t="s">
        <v>160</v>
      </c>
      <c r="D345" s="7" t="s">
        <v>503</v>
      </c>
      <c r="E345" s="7">
        <v>2</v>
      </c>
      <c r="F345" s="7">
        <v>117.4</v>
      </c>
      <c r="G345" s="12">
        <f>E345*F345*GiaDinh!$C$18*GiaDinh!$C$17</f>
        <v>197.23199999999997</v>
      </c>
      <c r="H345" s="7">
        <f>GiaDinh!$C$21</f>
        <v>1.2250000000000001</v>
      </c>
      <c r="I345" s="7">
        <f>GiaDinh!$C$15</f>
        <v>15</v>
      </c>
      <c r="J345" s="7">
        <f t="shared" si="30"/>
        <v>13</v>
      </c>
      <c r="K345" s="12">
        <f>J345*GiaDinh!$C$16</f>
        <v>91</v>
      </c>
      <c r="L345" s="7">
        <f t="shared" si="31"/>
        <v>3</v>
      </c>
      <c r="M345" s="12">
        <f t="shared" si="32"/>
        <v>45</v>
      </c>
      <c r="N345" s="7">
        <f>L345*ROUNDUP(I345/GiaDinh!$C$5-0.0005,0)</f>
        <v>9</v>
      </c>
      <c r="O345" s="7">
        <f>L345*(ROUNDUP(I345/GiaDinh!$C$5-0.0005,0)-1)</f>
        <v>6</v>
      </c>
      <c r="P345" s="7">
        <f t="shared" si="33"/>
        <v>39</v>
      </c>
      <c r="Q345" s="7">
        <f t="shared" si="34"/>
        <v>78</v>
      </c>
      <c r="R345" s="7">
        <f t="shared" si="35"/>
        <v>39</v>
      </c>
      <c r="S345" s="13">
        <f>M345*GiaDinh!$C$7</f>
        <v>135.44999999999999</v>
      </c>
    </row>
    <row r="346" spans="1:19" ht="46.5" x14ac:dyDescent="0.35">
      <c r="A346" s="7" t="s">
        <v>13</v>
      </c>
      <c r="B346" s="7">
        <v>19</v>
      </c>
      <c r="C346" s="7" t="s">
        <v>179</v>
      </c>
      <c r="D346" s="7" t="s">
        <v>504</v>
      </c>
      <c r="E346" s="7">
        <v>1</v>
      </c>
      <c r="F346" s="7">
        <v>117.4</v>
      </c>
      <c r="G346" s="12">
        <f>E346*F346*GiaDinh!$C$18*GiaDinh!$C$17</f>
        <v>98.615999999999985</v>
      </c>
      <c r="H346" s="7">
        <f>GiaDinh!$C$21</f>
        <v>1.2250000000000001</v>
      </c>
      <c r="I346" s="7">
        <f>GiaDinh!$C$15</f>
        <v>15</v>
      </c>
      <c r="J346" s="7">
        <f t="shared" si="30"/>
        <v>13</v>
      </c>
      <c r="K346" s="12">
        <f>J346*GiaDinh!$C$16</f>
        <v>91</v>
      </c>
      <c r="L346" s="7">
        <f t="shared" si="31"/>
        <v>2</v>
      </c>
      <c r="M346" s="12">
        <f t="shared" si="32"/>
        <v>30</v>
      </c>
      <c r="N346" s="7">
        <f>L346*ROUNDUP(I346/GiaDinh!$C$5-0.0005,0)</f>
        <v>6</v>
      </c>
      <c r="O346" s="7">
        <f>L346*(ROUNDUP(I346/GiaDinh!$C$5-0.0005,0)-1)</f>
        <v>4</v>
      </c>
      <c r="P346" s="7">
        <f t="shared" si="33"/>
        <v>26</v>
      </c>
      <c r="Q346" s="7">
        <f t="shared" si="34"/>
        <v>52</v>
      </c>
      <c r="R346" s="7">
        <f t="shared" si="35"/>
        <v>26</v>
      </c>
      <c r="S346" s="13">
        <f>M346*GiaDinh!$C$7</f>
        <v>90.3</v>
      </c>
    </row>
    <row r="347" spans="1:19" ht="46.5" x14ac:dyDescent="0.35">
      <c r="A347" s="7" t="s">
        <v>13</v>
      </c>
      <c r="B347" s="7">
        <v>20</v>
      </c>
      <c r="C347" s="7" t="s">
        <v>179</v>
      </c>
      <c r="D347" s="7" t="s">
        <v>505</v>
      </c>
      <c r="E347" s="7">
        <v>1</v>
      </c>
      <c r="F347" s="7">
        <v>117.4</v>
      </c>
      <c r="G347" s="12">
        <f>E347*F347*GiaDinh!$C$18*GiaDinh!$C$17</f>
        <v>98.615999999999985</v>
      </c>
      <c r="H347" s="7">
        <f>GiaDinh!$C$21</f>
        <v>1.2250000000000001</v>
      </c>
      <c r="I347" s="7">
        <f>GiaDinh!$C$15</f>
        <v>15</v>
      </c>
      <c r="J347" s="7">
        <f t="shared" si="30"/>
        <v>13</v>
      </c>
      <c r="K347" s="12">
        <f>J347*GiaDinh!$C$16</f>
        <v>91</v>
      </c>
      <c r="L347" s="7">
        <f t="shared" si="31"/>
        <v>2</v>
      </c>
      <c r="M347" s="12">
        <f t="shared" si="32"/>
        <v>30</v>
      </c>
      <c r="N347" s="7">
        <f>L347*ROUNDUP(I347/GiaDinh!$C$5-0.0005,0)</f>
        <v>6</v>
      </c>
      <c r="O347" s="7">
        <f>L347*(ROUNDUP(I347/GiaDinh!$C$5-0.0005,0)-1)</f>
        <v>4</v>
      </c>
      <c r="P347" s="7">
        <f t="shared" si="33"/>
        <v>26</v>
      </c>
      <c r="Q347" s="7">
        <f t="shared" si="34"/>
        <v>52</v>
      </c>
      <c r="R347" s="7">
        <f t="shared" si="35"/>
        <v>26</v>
      </c>
      <c r="S347" s="13">
        <f>M347*GiaDinh!$C$7</f>
        <v>90.3</v>
      </c>
    </row>
    <row r="348" spans="1:19" ht="46.5" x14ac:dyDescent="0.35">
      <c r="A348" s="7" t="s">
        <v>13</v>
      </c>
      <c r="B348" s="7">
        <v>21</v>
      </c>
      <c r="C348" s="7" t="s">
        <v>179</v>
      </c>
      <c r="D348" s="7" t="s">
        <v>506</v>
      </c>
      <c r="E348" s="7">
        <v>1</v>
      </c>
      <c r="F348" s="7">
        <v>117.4</v>
      </c>
      <c r="G348" s="12">
        <f>E348*F348*GiaDinh!$C$18*GiaDinh!$C$17</f>
        <v>98.615999999999985</v>
      </c>
      <c r="H348" s="7">
        <f>GiaDinh!$C$21</f>
        <v>1.2250000000000001</v>
      </c>
      <c r="I348" s="7">
        <f>GiaDinh!$C$15</f>
        <v>15</v>
      </c>
      <c r="J348" s="7">
        <f t="shared" si="30"/>
        <v>13</v>
      </c>
      <c r="K348" s="12">
        <f>J348*GiaDinh!$C$16</f>
        <v>91</v>
      </c>
      <c r="L348" s="7">
        <f t="shared" si="31"/>
        <v>2</v>
      </c>
      <c r="M348" s="12">
        <f t="shared" si="32"/>
        <v>30</v>
      </c>
      <c r="N348" s="7">
        <f>L348*ROUNDUP(I348/GiaDinh!$C$5-0.0005,0)</f>
        <v>6</v>
      </c>
      <c r="O348" s="7">
        <f>L348*(ROUNDUP(I348/GiaDinh!$C$5-0.0005,0)-1)</f>
        <v>4</v>
      </c>
      <c r="P348" s="7">
        <f t="shared" si="33"/>
        <v>26</v>
      </c>
      <c r="Q348" s="7">
        <f t="shared" si="34"/>
        <v>52</v>
      </c>
      <c r="R348" s="7">
        <f t="shared" si="35"/>
        <v>26</v>
      </c>
      <c r="S348" s="13">
        <f>M348*GiaDinh!$C$7</f>
        <v>90.3</v>
      </c>
    </row>
    <row r="349" spans="1:19" ht="46.5" x14ac:dyDescent="0.35">
      <c r="A349" s="7" t="s">
        <v>13</v>
      </c>
      <c r="B349" s="7">
        <v>22</v>
      </c>
      <c r="C349" s="7" t="s">
        <v>179</v>
      </c>
      <c r="D349" s="7" t="s">
        <v>507</v>
      </c>
      <c r="E349" s="7">
        <v>1</v>
      </c>
      <c r="F349" s="7">
        <v>117.4</v>
      </c>
      <c r="G349" s="12">
        <f>E349*F349*GiaDinh!$C$18*GiaDinh!$C$17</f>
        <v>98.615999999999985</v>
      </c>
      <c r="H349" s="7">
        <f>GiaDinh!$C$21</f>
        <v>1.2250000000000001</v>
      </c>
      <c r="I349" s="7">
        <f>GiaDinh!$C$15</f>
        <v>15</v>
      </c>
      <c r="J349" s="7">
        <f t="shared" si="30"/>
        <v>13</v>
      </c>
      <c r="K349" s="12">
        <f>J349*GiaDinh!$C$16</f>
        <v>91</v>
      </c>
      <c r="L349" s="7">
        <f t="shared" si="31"/>
        <v>2</v>
      </c>
      <c r="M349" s="12">
        <f t="shared" si="32"/>
        <v>30</v>
      </c>
      <c r="N349" s="7">
        <f>L349*ROUNDUP(I349/GiaDinh!$C$5-0.0005,0)</f>
        <v>6</v>
      </c>
      <c r="O349" s="7">
        <f>L349*(ROUNDUP(I349/GiaDinh!$C$5-0.0005,0)-1)</f>
        <v>4</v>
      </c>
      <c r="P349" s="7">
        <f t="shared" si="33"/>
        <v>26</v>
      </c>
      <c r="Q349" s="7">
        <f t="shared" si="34"/>
        <v>52</v>
      </c>
      <c r="R349" s="7">
        <f t="shared" si="35"/>
        <v>26</v>
      </c>
      <c r="S349" s="13">
        <f>M349*GiaDinh!$C$7</f>
        <v>90.3</v>
      </c>
    </row>
    <row r="350" spans="1:19" ht="46.5" x14ac:dyDescent="0.35">
      <c r="A350" s="7" t="s">
        <v>13</v>
      </c>
      <c r="B350" s="7">
        <v>23</v>
      </c>
      <c r="C350" s="7" t="s">
        <v>179</v>
      </c>
      <c r="D350" s="7" t="s">
        <v>508</v>
      </c>
      <c r="E350" s="7">
        <v>1</v>
      </c>
      <c r="F350" s="7">
        <v>117.4</v>
      </c>
      <c r="G350" s="12">
        <f>E350*F350*GiaDinh!$C$18*GiaDinh!$C$17</f>
        <v>98.615999999999985</v>
      </c>
      <c r="H350" s="7">
        <f>GiaDinh!$C$21</f>
        <v>1.2250000000000001</v>
      </c>
      <c r="I350" s="7">
        <f>GiaDinh!$C$15</f>
        <v>15</v>
      </c>
      <c r="J350" s="7">
        <f t="shared" si="30"/>
        <v>13</v>
      </c>
      <c r="K350" s="12">
        <f>J350*GiaDinh!$C$16</f>
        <v>91</v>
      </c>
      <c r="L350" s="7">
        <f t="shared" si="31"/>
        <v>2</v>
      </c>
      <c r="M350" s="12">
        <f t="shared" si="32"/>
        <v>30</v>
      </c>
      <c r="N350" s="7">
        <f>L350*ROUNDUP(I350/GiaDinh!$C$5-0.0005,0)</f>
        <v>6</v>
      </c>
      <c r="O350" s="7">
        <f>L350*(ROUNDUP(I350/GiaDinh!$C$5-0.0005,0)-1)</f>
        <v>4</v>
      </c>
      <c r="P350" s="7">
        <f t="shared" si="33"/>
        <v>26</v>
      </c>
      <c r="Q350" s="7">
        <f t="shared" si="34"/>
        <v>52</v>
      </c>
      <c r="R350" s="7">
        <f t="shared" si="35"/>
        <v>26</v>
      </c>
      <c r="S350" s="13">
        <f>M350*GiaDinh!$C$7</f>
        <v>90.3</v>
      </c>
    </row>
    <row r="351" spans="1:19" ht="46.5" x14ac:dyDescent="0.35">
      <c r="A351" s="7" t="s">
        <v>13</v>
      </c>
      <c r="B351" s="7">
        <v>24</v>
      </c>
      <c r="C351" s="7" t="s">
        <v>179</v>
      </c>
      <c r="D351" s="7" t="s">
        <v>509</v>
      </c>
      <c r="E351" s="7">
        <v>1</v>
      </c>
      <c r="F351" s="7">
        <v>117.4</v>
      </c>
      <c r="G351" s="12">
        <f>E351*F351*GiaDinh!$C$18*GiaDinh!$C$17</f>
        <v>98.615999999999985</v>
      </c>
      <c r="H351" s="7">
        <f>GiaDinh!$C$21</f>
        <v>1.2250000000000001</v>
      </c>
      <c r="I351" s="7">
        <f>GiaDinh!$C$15</f>
        <v>15</v>
      </c>
      <c r="J351" s="7">
        <f t="shared" si="30"/>
        <v>13</v>
      </c>
      <c r="K351" s="12">
        <f>J351*GiaDinh!$C$16</f>
        <v>91</v>
      </c>
      <c r="L351" s="7">
        <f t="shared" si="31"/>
        <v>2</v>
      </c>
      <c r="M351" s="12">
        <f t="shared" si="32"/>
        <v>30</v>
      </c>
      <c r="N351" s="7">
        <f>L351*ROUNDUP(I351/GiaDinh!$C$5-0.0005,0)</f>
        <v>6</v>
      </c>
      <c r="O351" s="7">
        <f>L351*(ROUNDUP(I351/GiaDinh!$C$5-0.0005,0)-1)</f>
        <v>4</v>
      </c>
      <c r="P351" s="7">
        <f t="shared" si="33"/>
        <v>26</v>
      </c>
      <c r="Q351" s="7">
        <f t="shared" si="34"/>
        <v>52</v>
      </c>
      <c r="R351" s="7">
        <f t="shared" si="35"/>
        <v>26</v>
      </c>
      <c r="S351" s="13">
        <f>M351*GiaDinh!$C$7</f>
        <v>90.3</v>
      </c>
    </row>
    <row r="352" spans="1:19" ht="46.5" x14ac:dyDescent="0.35">
      <c r="A352" s="7" t="s">
        <v>13</v>
      </c>
      <c r="B352" s="7">
        <v>25</v>
      </c>
      <c r="C352" s="7" t="s">
        <v>179</v>
      </c>
      <c r="D352" s="7" t="s">
        <v>510</v>
      </c>
      <c r="E352" s="7">
        <v>1</v>
      </c>
      <c r="F352" s="7">
        <v>117.4</v>
      </c>
      <c r="G352" s="12">
        <f>E352*F352*GiaDinh!$C$18*GiaDinh!$C$17</f>
        <v>98.615999999999985</v>
      </c>
      <c r="H352" s="7">
        <f>GiaDinh!$C$21</f>
        <v>1.2250000000000001</v>
      </c>
      <c r="I352" s="7">
        <f>GiaDinh!$C$15</f>
        <v>15</v>
      </c>
      <c r="J352" s="7">
        <f t="shared" si="30"/>
        <v>13</v>
      </c>
      <c r="K352" s="12">
        <f>J352*GiaDinh!$C$16</f>
        <v>91</v>
      </c>
      <c r="L352" s="7">
        <f t="shared" si="31"/>
        <v>2</v>
      </c>
      <c r="M352" s="12">
        <f t="shared" si="32"/>
        <v>30</v>
      </c>
      <c r="N352" s="7">
        <f>L352*ROUNDUP(I352/GiaDinh!$C$5-0.0005,0)</f>
        <v>6</v>
      </c>
      <c r="O352" s="7">
        <f>L352*(ROUNDUP(I352/GiaDinh!$C$5-0.0005,0)-1)</f>
        <v>4</v>
      </c>
      <c r="P352" s="7">
        <f t="shared" si="33"/>
        <v>26</v>
      </c>
      <c r="Q352" s="7">
        <f t="shared" si="34"/>
        <v>52</v>
      </c>
      <c r="R352" s="7">
        <f t="shared" si="35"/>
        <v>26</v>
      </c>
      <c r="S352" s="13">
        <f>M352*GiaDinh!$C$7</f>
        <v>90.3</v>
      </c>
    </row>
    <row r="353" spans="1:19" ht="46.5" x14ac:dyDescent="0.35">
      <c r="A353" s="7" t="s">
        <v>13</v>
      </c>
      <c r="B353" s="7">
        <v>26</v>
      </c>
      <c r="C353" s="7" t="s">
        <v>179</v>
      </c>
      <c r="D353" s="7" t="s">
        <v>511</v>
      </c>
      <c r="E353" s="7">
        <v>1</v>
      </c>
      <c r="F353" s="7">
        <v>117.4</v>
      </c>
      <c r="G353" s="12">
        <f>E353*F353*GiaDinh!$C$18*GiaDinh!$C$17</f>
        <v>98.615999999999985</v>
      </c>
      <c r="H353" s="7">
        <f>GiaDinh!$C$21</f>
        <v>1.2250000000000001</v>
      </c>
      <c r="I353" s="7">
        <f>GiaDinh!$C$15</f>
        <v>15</v>
      </c>
      <c r="J353" s="7">
        <f t="shared" si="30"/>
        <v>13</v>
      </c>
      <c r="K353" s="12">
        <f>J353*GiaDinh!$C$16</f>
        <v>91</v>
      </c>
      <c r="L353" s="7">
        <f t="shared" si="31"/>
        <v>2</v>
      </c>
      <c r="M353" s="12">
        <f t="shared" si="32"/>
        <v>30</v>
      </c>
      <c r="N353" s="7">
        <f>L353*ROUNDUP(I353/GiaDinh!$C$5-0.0005,0)</f>
        <v>6</v>
      </c>
      <c r="O353" s="7">
        <f>L353*(ROUNDUP(I353/GiaDinh!$C$5-0.0005,0)-1)</f>
        <v>4</v>
      </c>
      <c r="P353" s="7">
        <f t="shared" si="33"/>
        <v>26</v>
      </c>
      <c r="Q353" s="7">
        <f t="shared" si="34"/>
        <v>52</v>
      </c>
      <c r="R353" s="7">
        <f t="shared" si="35"/>
        <v>26</v>
      </c>
      <c r="S353" s="13">
        <f>M353*GiaDinh!$C$7</f>
        <v>90.3</v>
      </c>
    </row>
    <row r="354" spans="1:19" ht="46.5" x14ac:dyDescent="0.35">
      <c r="A354" s="7" t="s">
        <v>13</v>
      </c>
      <c r="B354" s="7">
        <v>27</v>
      </c>
      <c r="C354" s="7" t="s">
        <v>179</v>
      </c>
      <c r="D354" s="7" t="s">
        <v>512</v>
      </c>
      <c r="E354" s="7">
        <v>1</v>
      </c>
      <c r="F354" s="7">
        <v>117.4</v>
      </c>
      <c r="G354" s="12">
        <f>E354*F354*GiaDinh!$C$18*GiaDinh!$C$17</f>
        <v>98.615999999999985</v>
      </c>
      <c r="H354" s="7">
        <f>GiaDinh!$C$21</f>
        <v>1.2250000000000001</v>
      </c>
      <c r="I354" s="7">
        <f>GiaDinh!$C$15</f>
        <v>15</v>
      </c>
      <c r="J354" s="7">
        <f t="shared" si="30"/>
        <v>13</v>
      </c>
      <c r="K354" s="12">
        <f>J354*GiaDinh!$C$16</f>
        <v>91</v>
      </c>
      <c r="L354" s="7">
        <f t="shared" si="31"/>
        <v>2</v>
      </c>
      <c r="M354" s="12">
        <f t="shared" si="32"/>
        <v>30</v>
      </c>
      <c r="N354" s="7">
        <f>L354*ROUNDUP(I354/GiaDinh!$C$5-0.0005,0)</f>
        <v>6</v>
      </c>
      <c r="O354" s="7">
        <f>L354*(ROUNDUP(I354/GiaDinh!$C$5-0.0005,0)-1)</f>
        <v>4</v>
      </c>
      <c r="P354" s="7">
        <f t="shared" si="33"/>
        <v>26</v>
      </c>
      <c r="Q354" s="7">
        <f t="shared" si="34"/>
        <v>52</v>
      </c>
      <c r="R354" s="7">
        <f t="shared" si="35"/>
        <v>26</v>
      </c>
      <c r="S354" s="13">
        <f>M354*GiaDinh!$C$7</f>
        <v>90.3</v>
      </c>
    </row>
    <row r="355" spans="1:19" ht="46.5" x14ac:dyDescent="0.35">
      <c r="A355" s="7" t="s">
        <v>13</v>
      </c>
      <c r="B355" s="7">
        <v>28</v>
      </c>
      <c r="C355" s="7" t="s">
        <v>179</v>
      </c>
      <c r="D355" s="7" t="s">
        <v>513</v>
      </c>
      <c r="E355" s="7">
        <v>1</v>
      </c>
      <c r="F355" s="7">
        <v>117.4</v>
      </c>
      <c r="G355" s="12">
        <f>E355*F355*GiaDinh!$C$18*GiaDinh!$C$17</f>
        <v>98.615999999999985</v>
      </c>
      <c r="H355" s="7">
        <f>GiaDinh!$C$21</f>
        <v>1.2250000000000001</v>
      </c>
      <c r="I355" s="7">
        <f>GiaDinh!$C$15</f>
        <v>15</v>
      </c>
      <c r="J355" s="7">
        <f t="shared" si="30"/>
        <v>13</v>
      </c>
      <c r="K355" s="12">
        <f>J355*GiaDinh!$C$16</f>
        <v>91</v>
      </c>
      <c r="L355" s="7">
        <f t="shared" si="31"/>
        <v>2</v>
      </c>
      <c r="M355" s="12">
        <f t="shared" si="32"/>
        <v>30</v>
      </c>
      <c r="N355" s="7">
        <f>L355*ROUNDUP(I355/GiaDinh!$C$5-0.0005,0)</f>
        <v>6</v>
      </c>
      <c r="O355" s="7">
        <f>L355*(ROUNDUP(I355/GiaDinh!$C$5-0.0005,0)-1)</f>
        <v>4</v>
      </c>
      <c r="P355" s="7">
        <f t="shared" si="33"/>
        <v>26</v>
      </c>
      <c r="Q355" s="7">
        <f t="shared" si="34"/>
        <v>52</v>
      </c>
      <c r="R355" s="7">
        <f t="shared" si="35"/>
        <v>26</v>
      </c>
      <c r="S355" s="13">
        <f>M355*GiaDinh!$C$7</f>
        <v>90.3</v>
      </c>
    </row>
    <row r="356" spans="1:19" ht="46.5" x14ac:dyDescent="0.35">
      <c r="A356" s="7" t="s">
        <v>13</v>
      </c>
      <c r="B356" s="7">
        <v>29</v>
      </c>
      <c r="C356" s="7" t="s">
        <v>179</v>
      </c>
      <c r="D356" s="7" t="s">
        <v>514</v>
      </c>
      <c r="E356" s="7">
        <v>1</v>
      </c>
      <c r="F356" s="7">
        <v>117.4</v>
      </c>
      <c r="G356" s="12">
        <f>E356*F356*GiaDinh!$C$18*GiaDinh!$C$17</f>
        <v>98.615999999999985</v>
      </c>
      <c r="H356" s="7">
        <f>GiaDinh!$C$21</f>
        <v>1.2250000000000001</v>
      </c>
      <c r="I356" s="7">
        <f>GiaDinh!$C$15</f>
        <v>15</v>
      </c>
      <c r="J356" s="7">
        <f t="shared" si="30"/>
        <v>13</v>
      </c>
      <c r="K356" s="12">
        <f>J356*GiaDinh!$C$16</f>
        <v>91</v>
      </c>
      <c r="L356" s="7">
        <f t="shared" si="31"/>
        <v>2</v>
      </c>
      <c r="M356" s="12">
        <f t="shared" si="32"/>
        <v>30</v>
      </c>
      <c r="N356" s="7">
        <f>L356*ROUNDUP(I356/GiaDinh!$C$5-0.0005,0)</f>
        <v>6</v>
      </c>
      <c r="O356" s="7">
        <f>L356*(ROUNDUP(I356/GiaDinh!$C$5-0.0005,0)-1)</f>
        <v>4</v>
      </c>
      <c r="P356" s="7">
        <f t="shared" si="33"/>
        <v>26</v>
      </c>
      <c r="Q356" s="7">
        <f t="shared" si="34"/>
        <v>52</v>
      </c>
      <c r="R356" s="7">
        <f t="shared" si="35"/>
        <v>26</v>
      </c>
      <c r="S356" s="13">
        <f>M356*GiaDinh!$C$7</f>
        <v>90.3</v>
      </c>
    </row>
    <row r="357" spans="1:19" ht="46.5" x14ac:dyDescent="0.35">
      <c r="A357" s="7" t="s">
        <v>13</v>
      </c>
      <c r="B357" s="7">
        <v>30</v>
      </c>
      <c r="C357" s="7" t="s">
        <v>179</v>
      </c>
      <c r="D357" s="7" t="s">
        <v>515</v>
      </c>
      <c r="E357" s="7">
        <v>1</v>
      </c>
      <c r="F357" s="7">
        <v>117.4</v>
      </c>
      <c r="G357" s="12">
        <f>E357*F357*GiaDinh!$C$18*GiaDinh!$C$17</f>
        <v>98.615999999999985</v>
      </c>
      <c r="H357" s="7">
        <f>GiaDinh!$C$21</f>
        <v>1.2250000000000001</v>
      </c>
      <c r="I357" s="7">
        <f>GiaDinh!$C$15</f>
        <v>15</v>
      </c>
      <c r="J357" s="7">
        <f t="shared" si="30"/>
        <v>13</v>
      </c>
      <c r="K357" s="12">
        <f>J357*GiaDinh!$C$16</f>
        <v>91</v>
      </c>
      <c r="L357" s="7">
        <f t="shared" si="31"/>
        <v>2</v>
      </c>
      <c r="M357" s="12">
        <f t="shared" si="32"/>
        <v>30</v>
      </c>
      <c r="N357" s="7">
        <f>L357*ROUNDUP(I357/GiaDinh!$C$5-0.0005,0)</f>
        <v>6</v>
      </c>
      <c r="O357" s="7">
        <f>L357*(ROUNDUP(I357/GiaDinh!$C$5-0.0005,0)-1)</f>
        <v>4</v>
      </c>
      <c r="P357" s="7">
        <f t="shared" si="33"/>
        <v>26</v>
      </c>
      <c r="Q357" s="7">
        <f t="shared" si="34"/>
        <v>52</v>
      </c>
      <c r="R357" s="7">
        <f t="shared" si="35"/>
        <v>26</v>
      </c>
      <c r="S357" s="13">
        <f>M357*GiaDinh!$C$7</f>
        <v>90.3</v>
      </c>
    </row>
    <row r="358" spans="1:19" ht="46.5" x14ac:dyDescent="0.35">
      <c r="A358" s="7" t="s">
        <v>13</v>
      </c>
      <c r="B358" s="7">
        <v>31</v>
      </c>
      <c r="C358" s="7" t="s">
        <v>179</v>
      </c>
      <c r="D358" s="7" t="s">
        <v>516</v>
      </c>
      <c r="E358" s="7">
        <v>1</v>
      </c>
      <c r="F358" s="7">
        <v>117.4</v>
      </c>
      <c r="G358" s="12">
        <f>E358*F358*GiaDinh!$C$18*GiaDinh!$C$17</f>
        <v>98.615999999999985</v>
      </c>
      <c r="H358" s="7">
        <f>GiaDinh!$C$21</f>
        <v>1.2250000000000001</v>
      </c>
      <c r="I358" s="7">
        <f>GiaDinh!$C$15</f>
        <v>15</v>
      </c>
      <c r="J358" s="7">
        <f t="shared" si="30"/>
        <v>13</v>
      </c>
      <c r="K358" s="12">
        <f>J358*GiaDinh!$C$16</f>
        <v>91</v>
      </c>
      <c r="L358" s="7">
        <f t="shared" si="31"/>
        <v>2</v>
      </c>
      <c r="M358" s="12">
        <f t="shared" si="32"/>
        <v>30</v>
      </c>
      <c r="N358" s="7">
        <f>L358*ROUNDUP(I358/GiaDinh!$C$5-0.0005,0)</f>
        <v>6</v>
      </c>
      <c r="O358" s="7">
        <f>L358*(ROUNDUP(I358/GiaDinh!$C$5-0.0005,0)-1)</f>
        <v>4</v>
      </c>
      <c r="P358" s="7">
        <f t="shared" si="33"/>
        <v>26</v>
      </c>
      <c r="Q358" s="7">
        <f t="shared" si="34"/>
        <v>52</v>
      </c>
      <c r="R358" s="7">
        <f t="shared" si="35"/>
        <v>26</v>
      </c>
      <c r="S358" s="13">
        <f>M358*GiaDinh!$C$7</f>
        <v>90.3</v>
      </c>
    </row>
    <row r="359" spans="1:19" ht="46.5" x14ac:dyDescent="0.35">
      <c r="A359" s="7" t="s">
        <v>13</v>
      </c>
      <c r="B359" s="7">
        <v>32</v>
      </c>
      <c r="C359" s="7" t="s">
        <v>179</v>
      </c>
      <c r="D359" s="7" t="s">
        <v>517</v>
      </c>
      <c r="E359" s="7">
        <v>1</v>
      </c>
      <c r="F359" s="7">
        <v>117.4</v>
      </c>
      <c r="G359" s="12">
        <f>E359*F359*GiaDinh!$C$18*GiaDinh!$C$17</f>
        <v>98.615999999999985</v>
      </c>
      <c r="H359" s="7">
        <f>GiaDinh!$C$21</f>
        <v>1.2250000000000001</v>
      </c>
      <c r="I359" s="7">
        <f>GiaDinh!$C$15</f>
        <v>15</v>
      </c>
      <c r="J359" s="7">
        <f t="shared" si="30"/>
        <v>13</v>
      </c>
      <c r="K359" s="12">
        <f>J359*GiaDinh!$C$16</f>
        <v>91</v>
      </c>
      <c r="L359" s="7">
        <f t="shared" si="31"/>
        <v>2</v>
      </c>
      <c r="M359" s="12">
        <f t="shared" si="32"/>
        <v>30</v>
      </c>
      <c r="N359" s="7">
        <f>L359*ROUNDUP(I359/GiaDinh!$C$5-0.0005,0)</f>
        <v>6</v>
      </c>
      <c r="O359" s="7">
        <f>L359*(ROUNDUP(I359/GiaDinh!$C$5-0.0005,0)-1)</f>
        <v>4</v>
      </c>
      <c r="P359" s="7">
        <f t="shared" si="33"/>
        <v>26</v>
      </c>
      <c r="Q359" s="7">
        <f t="shared" si="34"/>
        <v>52</v>
      </c>
      <c r="R359" s="7">
        <f t="shared" si="35"/>
        <v>26</v>
      </c>
      <c r="S359" s="13">
        <f>M359*GiaDinh!$C$7</f>
        <v>90.3</v>
      </c>
    </row>
    <row r="360" spans="1:19" ht="46.5" x14ac:dyDescent="0.35">
      <c r="A360" s="7" t="s">
        <v>13</v>
      </c>
      <c r="B360" s="7">
        <v>33</v>
      </c>
      <c r="C360" s="7" t="s">
        <v>179</v>
      </c>
      <c r="D360" s="7" t="s">
        <v>518</v>
      </c>
      <c r="E360" s="7">
        <v>1</v>
      </c>
      <c r="F360" s="7">
        <v>117.4</v>
      </c>
      <c r="G360" s="12">
        <f>E360*F360*GiaDinh!$C$18*GiaDinh!$C$17</f>
        <v>98.615999999999985</v>
      </c>
      <c r="H360" s="7">
        <f>GiaDinh!$C$21</f>
        <v>1.2250000000000001</v>
      </c>
      <c r="I360" s="7">
        <f>GiaDinh!$C$15</f>
        <v>15</v>
      </c>
      <c r="J360" s="7">
        <f t="shared" si="30"/>
        <v>13</v>
      </c>
      <c r="K360" s="12">
        <f>J360*GiaDinh!$C$16</f>
        <v>91</v>
      </c>
      <c r="L360" s="7">
        <f t="shared" si="31"/>
        <v>2</v>
      </c>
      <c r="M360" s="12">
        <f t="shared" si="32"/>
        <v>30</v>
      </c>
      <c r="N360" s="7">
        <f>L360*ROUNDUP(I360/GiaDinh!$C$5-0.0005,0)</f>
        <v>6</v>
      </c>
      <c r="O360" s="7">
        <f>L360*(ROUNDUP(I360/GiaDinh!$C$5-0.0005,0)-1)</f>
        <v>4</v>
      </c>
      <c r="P360" s="7">
        <f t="shared" si="33"/>
        <v>26</v>
      </c>
      <c r="Q360" s="7">
        <f t="shared" si="34"/>
        <v>52</v>
      </c>
      <c r="R360" s="7">
        <f t="shared" si="35"/>
        <v>26</v>
      </c>
      <c r="S360" s="13">
        <f>M360*GiaDinh!$C$7</f>
        <v>90.3</v>
      </c>
    </row>
    <row r="361" spans="1:19" ht="46.5" x14ac:dyDescent="0.35">
      <c r="A361" s="7" t="s">
        <v>13</v>
      </c>
      <c r="B361" s="7">
        <v>34</v>
      </c>
      <c r="C361" s="7" t="s">
        <v>179</v>
      </c>
      <c r="D361" s="7" t="s">
        <v>519</v>
      </c>
      <c r="E361" s="7">
        <v>1</v>
      </c>
      <c r="F361" s="7">
        <v>117.4</v>
      </c>
      <c r="G361" s="12">
        <f>E361*F361*GiaDinh!$C$18*GiaDinh!$C$17</f>
        <v>98.615999999999985</v>
      </c>
      <c r="H361" s="7">
        <f>GiaDinh!$C$21</f>
        <v>1.2250000000000001</v>
      </c>
      <c r="I361" s="7">
        <f>GiaDinh!$C$15</f>
        <v>15</v>
      </c>
      <c r="J361" s="7">
        <f t="shared" si="30"/>
        <v>13</v>
      </c>
      <c r="K361" s="12">
        <f>J361*GiaDinh!$C$16</f>
        <v>91</v>
      </c>
      <c r="L361" s="7">
        <f t="shared" si="31"/>
        <v>2</v>
      </c>
      <c r="M361" s="12">
        <f t="shared" si="32"/>
        <v>30</v>
      </c>
      <c r="N361" s="7">
        <f>L361*ROUNDUP(I361/GiaDinh!$C$5-0.0005,0)</f>
        <v>6</v>
      </c>
      <c r="O361" s="7">
        <f>L361*(ROUNDUP(I361/GiaDinh!$C$5-0.0005,0)-1)</f>
        <v>4</v>
      </c>
      <c r="P361" s="7">
        <f t="shared" si="33"/>
        <v>26</v>
      </c>
      <c r="Q361" s="7">
        <f t="shared" si="34"/>
        <v>52</v>
      </c>
      <c r="R361" s="7">
        <f t="shared" si="35"/>
        <v>26</v>
      </c>
      <c r="S361" s="13">
        <f>M361*GiaDinh!$C$7</f>
        <v>90.3</v>
      </c>
    </row>
    <row r="362" spans="1:19" ht="46.5" x14ac:dyDescent="0.35">
      <c r="A362" s="7" t="s">
        <v>13</v>
      </c>
      <c r="B362" s="7">
        <v>35</v>
      </c>
      <c r="C362" s="7" t="s">
        <v>179</v>
      </c>
      <c r="D362" s="7" t="s">
        <v>520</v>
      </c>
      <c r="E362" s="7">
        <v>1</v>
      </c>
      <c r="F362" s="7">
        <v>117.4</v>
      </c>
      <c r="G362" s="12">
        <f>E362*F362*GiaDinh!$C$18*GiaDinh!$C$17</f>
        <v>98.615999999999985</v>
      </c>
      <c r="H362" s="7">
        <f>GiaDinh!$C$21</f>
        <v>1.2250000000000001</v>
      </c>
      <c r="I362" s="7">
        <f>GiaDinh!$C$15</f>
        <v>15</v>
      </c>
      <c r="J362" s="7">
        <f t="shared" si="30"/>
        <v>13</v>
      </c>
      <c r="K362" s="12">
        <f>J362*GiaDinh!$C$16</f>
        <v>91</v>
      </c>
      <c r="L362" s="7">
        <f t="shared" si="31"/>
        <v>2</v>
      </c>
      <c r="M362" s="12">
        <f t="shared" si="32"/>
        <v>30</v>
      </c>
      <c r="N362" s="7">
        <f>L362*ROUNDUP(I362/GiaDinh!$C$5-0.0005,0)</f>
        <v>6</v>
      </c>
      <c r="O362" s="7">
        <f>L362*(ROUNDUP(I362/GiaDinh!$C$5-0.0005,0)-1)</f>
        <v>4</v>
      </c>
      <c r="P362" s="7">
        <f t="shared" si="33"/>
        <v>26</v>
      </c>
      <c r="Q362" s="7">
        <f t="shared" si="34"/>
        <v>52</v>
      </c>
      <c r="R362" s="7">
        <f t="shared" si="35"/>
        <v>26</v>
      </c>
      <c r="S362" s="13">
        <f>M362*GiaDinh!$C$7</f>
        <v>90.3</v>
      </c>
    </row>
    <row r="363" spans="1:19" ht="46.5" x14ac:dyDescent="0.35">
      <c r="A363" s="7" t="s">
        <v>13</v>
      </c>
      <c r="B363" s="7">
        <v>36</v>
      </c>
      <c r="C363" s="7" t="s">
        <v>179</v>
      </c>
      <c r="D363" s="7" t="s">
        <v>521</v>
      </c>
      <c r="E363" s="7">
        <v>1</v>
      </c>
      <c r="F363" s="7">
        <v>117.4</v>
      </c>
      <c r="G363" s="12">
        <f>E363*F363*GiaDinh!$C$18*GiaDinh!$C$17</f>
        <v>98.615999999999985</v>
      </c>
      <c r="H363" s="7">
        <f>GiaDinh!$C$21</f>
        <v>1.2250000000000001</v>
      </c>
      <c r="I363" s="7">
        <f>GiaDinh!$C$15</f>
        <v>15</v>
      </c>
      <c r="J363" s="7">
        <f t="shared" si="30"/>
        <v>13</v>
      </c>
      <c r="K363" s="12">
        <f>J363*GiaDinh!$C$16</f>
        <v>91</v>
      </c>
      <c r="L363" s="7">
        <f t="shared" si="31"/>
        <v>2</v>
      </c>
      <c r="M363" s="12">
        <f t="shared" si="32"/>
        <v>30</v>
      </c>
      <c r="N363" s="7">
        <f>L363*ROUNDUP(I363/GiaDinh!$C$5-0.0005,0)</f>
        <v>6</v>
      </c>
      <c r="O363" s="7">
        <f>L363*(ROUNDUP(I363/GiaDinh!$C$5-0.0005,0)-1)</f>
        <v>4</v>
      </c>
      <c r="P363" s="7">
        <f t="shared" si="33"/>
        <v>26</v>
      </c>
      <c r="Q363" s="7">
        <f t="shared" si="34"/>
        <v>52</v>
      </c>
      <c r="R363" s="7">
        <f t="shared" si="35"/>
        <v>26</v>
      </c>
      <c r="S363" s="13">
        <f>M363*GiaDinh!$C$7</f>
        <v>90.3</v>
      </c>
    </row>
    <row r="364" spans="1:19" ht="46.5" x14ac:dyDescent="0.35">
      <c r="A364" s="7" t="s">
        <v>13</v>
      </c>
      <c r="B364" s="7">
        <v>37</v>
      </c>
      <c r="C364" s="7" t="s">
        <v>179</v>
      </c>
      <c r="D364" s="7" t="s">
        <v>522</v>
      </c>
      <c r="E364" s="7">
        <v>1</v>
      </c>
      <c r="F364" s="7">
        <v>117.4</v>
      </c>
      <c r="G364" s="12">
        <f>E364*F364*GiaDinh!$C$18*GiaDinh!$C$17</f>
        <v>98.615999999999985</v>
      </c>
      <c r="H364" s="7">
        <f>GiaDinh!$C$21</f>
        <v>1.2250000000000001</v>
      </c>
      <c r="I364" s="7">
        <f>GiaDinh!$C$15</f>
        <v>15</v>
      </c>
      <c r="J364" s="7">
        <f t="shared" si="30"/>
        <v>13</v>
      </c>
      <c r="K364" s="12">
        <f>J364*GiaDinh!$C$16</f>
        <v>91</v>
      </c>
      <c r="L364" s="7">
        <f t="shared" si="31"/>
        <v>2</v>
      </c>
      <c r="M364" s="12">
        <f t="shared" si="32"/>
        <v>30</v>
      </c>
      <c r="N364" s="7">
        <f>L364*ROUNDUP(I364/GiaDinh!$C$5-0.0005,0)</f>
        <v>6</v>
      </c>
      <c r="O364" s="7">
        <f>L364*(ROUNDUP(I364/GiaDinh!$C$5-0.0005,0)-1)</f>
        <v>4</v>
      </c>
      <c r="P364" s="7">
        <f t="shared" si="33"/>
        <v>26</v>
      </c>
      <c r="Q364" s="7">
        <f t="shared" si="34"/>
        <v>52</v>
      </c>
      <c r="R364" s="7">
        <f t="shared" si="35"/>
        <v>26</v>
      </c>
      <c r="S364" s="13">
        <f>M364*GiaDinh!$C$7</f>
        <v>90.3</v>
      </c>
    </row>
    <row r="365" spans="1:19" ht="46.5" x14ac:dyDescent="0.35">
      <c r="A365" s="7" t="s">
        <v>13</v>
      </c>
      <c r="B365" s="7">
        <v>38</v>
      </c>
      <c r="C365" s="7" t="s">
        <v>179</v>
      </c>
      <c r="D365" s="7" t="s">
        <v>523</v>
      </c>
      <c r="E365" s="7">
        <v>1</v>
      </c>
      <c r="F365" s="7">
        <v>117.4</v>
      </c>
      <c r="G365" s="12">
        <f>E365*F365*GiaDinh!$C$18*GiaDinh!$C$17</f>
        <v>98.615999999999985</v>
      </c>
      <c r="H365" s="7">
        <f>GiaDinh!$C$21</f>
        <v>1.2250000000000001</v>
      </c>
      <c r="I365" s="7">
        <f>GiaDinh!$C$15</f>
        <v>15</v>
      </c>
      <c r="J365" s="7">
        <f t="shared" si="30"/>
        <v>13</v>
      </c>
      <c r="K365" s="12">
        <f>J365*GiaDinh!$C$16</f>
        <v>91</v>
      </c>
      <c r="L365" s="7">
        <f t="shared" si="31"/>
        <v>2</v>
      </c>
      <c r="M365" s="12">
        <f t="shared" si="32"/>
        <v>30</v>
      </c>
      <c r="N365" s="7">
        <f>L365*ROUNDUP(I365/GiaDinh!$C$5-0.0005,0)</f>
        <v>6</v>
      </c>
      <c r="O365" s="7">
        <f>L365*(ROUNDUP(I365/GiaDinh!$C$5-0.0005,0)-1)</f>
        <v>4</v>
      </c>
      <c r="P365" s="7">
        <f t="shared" si="33"/>
        <v>26</v>
      </c>
      <c r="Q365" s="7">
        <f t="shared" si="34"/>
        <v>52</v>
      </c>
      <c r="R365" s="7">
        <f t="shared" si="35"/>
        <v>26</v>
      </c>
      <c r="S365" s="13">
        <f>M365*GiaDinh!$C$7</f>
        <v>90.3</v>
      </c>
    </row>
    <row r="366" spans="1:19" ht="46.5" x14ac:dyDescent="0.35">
      <c r="A366" s="7" t="s">
        <v>13</v>
      </c>
      <c r="B366" s="7">
        <v>39</v>
      </c>
      <c r="C366" s="7" t="s">
        <v>179</v>
      </c>
      <c r="D366" s="7" t="s">
        <v>524</v>
      </c>
      <c r="E366" s="7">
        <v>1</v>
      </c>
      <c r="F366" s="7">
        <v>117.4</v>
      </c>
      <c r="G366" s="12">
        <f>E366*F366*GiaDinh!$C$18*GiaDinh!$C$17</f>
        <v>98.615999999999985</v>
      </c>
      <c r="H366" s="7">
        <f>GiaDinh!$C$21</f>
        <v>1.2250000000000001</v>
      </c>
      <c r="I366" s="7">
        <f>GiaDinh!$C$15</f>
        <v>15</v>
      </c>
      <c r="J366" s="7">
        <f t="shared" si="30"/>
        <v>13</v>
      </c>
      <c r="K366" s="12">
        <f>J366*GiaDinh!$C$16</f>
        <v>91</v>
      </c>
      <c r="L366" s="7">
        <f t="shared" si="31"/>
        <v>2</v>
      </c>
      <c r="M366" s="12">
        <f t="shared" si="32"/>
        <v>30</v>
      </c>
      <c r="N366" s="7">
        <f>L366*ROUNDUP(I366/GiaDinh!$C$5-0.0005,0)</f>
        <v>6</v>
      </c>
      <c r="O366" s="7">
        <f>L366*(ROUNDUP(I366/GiaDinh!$C$5-0.0005,0)-1)</f>
        <v>4</v>
      </c>
      <c r="P366" s="7">
        <f t="shared" si="33"/>
        <v>26</v>
      </c>
      <c r="Q366" s="7">
        <f t="shared" si="34"/>
        <v>52</v>
      </c>
      <c r="R366" s="7">
        <f t="shared" si="35"/>
        <v>26</v>
      </c>
      <c r="S366" s="13">
        <f>M366*GiaDinh!$C$7</f>
        <v>90.3</v>
      </c>
    </row>
    <row r="367" spans="1:19" ht="46.5" x14ac:dyDescent="0.35">
      <c r="A367" s="7" t="s">
        <v>13</v>
      </c>
      <c r="B367" s="7">
        <v>40</v>
      </c>
      <c r="C367" s="7" t="s">
        <v>179</v>
      </c>
      <c r="D367" s="7" t="s">
        <v>525</v>
      </c>
      <c r="E367" s="7">
        <v>1</v>
      </c>
      <c r="F367" s="7">
        <v>117.4</v>
      </c>
      <c r="G367" s="12">
        <f>E367*F367*GiaDinh!$C$18*GiaDinh!$C$17</f>
        <v>98.615999999999985</v>
      </c>
      <c r="H367" s="7">
        <f>GiaDinh!$C$21</f>
        <v>1.2250000000000001</v>
      </c>
      <c r="I367" s="7">
        <f>GiaDinh!$C$15</f>
        <v>15</v>
      </c>
      <c r="J367" s="7">
        <f t="shared" si="30"/>
        <v>13</v>
      </c>
      <c r="K367" s="12">
        <f>J367*GiaDinh!$C$16</f>
        <v>91</v>
      </c>
      <c r="L367" s="7">
        <f t="shared" si="31"/>
        <v>2</v>
      </c>
      <c r="M367" s="12">
        <f t="shared" si="32"/>
        <v>30</v>
      </c>
      <c r="N367" s="7">
        <f>L367*ROUNDUP(I367/GiaDinh!$C$5-0.0005,0)</f>
        <v>6</v>
      </c>
      <c r="O367" s="7">
        <f>L367*(ROUNDUP(I367/GiaDinh!$C$5-0.0005,0)-1)</f>
        <v>4</v>
      </c>
      <c r="P367" s="7">
        <f t="shared" si="33"/>
        <v>26</v>
      </c>
      <c r="Q367" s="7">
        <f t="shared" si="34"/>
        <v>52</v>
      </c>
      <c r="R367" s="7">
        <f t="shared" si="35"/>
        <v>26</v>
      </c>
      <c r="S367" s="13">
        <f>M367*GiaDinh!$C$7</f>
        <v>90.3</v>
      </c>
    </row>
    <row r="368" spans="1:19" ht="46.5" x14ac:dyDescent="0.35">
      <c r="A368" s="7" t="s">
        <v>13</v>
      </c>
      <c r="B368" s="7">
        <v>41</v>
      </c>
      <c r="C368" s="7" t="s">
        <v>179</v>
      </c>
      <c r="D368" s="7" t="s">
        <v>526</v>
      </c>
      <c r="E368" s="7">
        <v>1</v>
      </c>
      <c r="F368" s="7">
        <v>117.4</v>
      </c>
      <c r="G368" s="12">
        <f>E368*F368*GiaDinh!$C$18*GiaDinh!$C$17</f>
        <v>98.615999999999985</v>
      </c>
      <c r="H368" s="7">
        <f>GiaDinh!$C$21</f>
        <v>1.2250000000000001</v>
      </c>
      <c r="I368" s="7">
        <f>GiaDinh!$C$15</f>
        <v>15</v>
      </c>
      <c r="J368" s="7">
        <f t="shared" si="30"/>
        <v>13</v>
      </c>
      <c r="K368" s="12">
        <f>J368*GiaDinh!$C$16</f>
        <v>91</v>
      </c>
      <c r="L368" s="7">
        <f t="shared" si="31"/>
        <v>2</v>
      </c>
      <c r="M368" s="12">
        <f t="shared" si="32"/>
        <v>30</v>
      </c>
      <c r="N368" s="7">
        <f>L368*ROUNDUP(I368/GiaDinh!$C$5-0.0005,0)</f>
        <v>6</v>
      </c>
      <c r="O368" s="7">
        <f>L368*(ROUNDUP(I368/GiaDinh!$C$5-0.0005,0)-1)</f>
        <v>4</v>
      </c>
      <c r="P368" s="7">
        <f t="shared" si="33"/>
        <v>26</v>
      </c>
      <c r="Q368" s="7">
        <f t="shared" si="34"/>
        <v>52</v>
      </c>
      <c r="R368" s="7">
        <f t="shared" si="35"/>
        <v>26</v>
      </c>
      <c r="S368" s="13">
        <f>M368*GiaDinh!$C$7</f>
        <v>90.3</v>
      </c>
    </row>
    <row r="369" spans="1:19" ht="46.5" x14ac:dyDescent="0.35">
      <c r="A369" s="7" t="s">
        <v>13</v>
      </c>
      <c r="B369" s="7">
        <v>42</v>
      </c>
      <c r="C369" s="7" t="s">
        <v>179</v>
      </c>
      <c r="D369" s="7" t="s">
        <v>527</v>
      </c>
      <c r="E369" s="7">
        <v>1</v>
      </c>
      <c r="F369" s="7">
        <v>117.4</v>
      </c>
      <c r="G369" s="12">
        <f>E369*F369*GiaDinh!$C$18*GiaDinh!$C$17</f>
        <v>98.615999999999985</v>
      </c>
      <c r="H369" s="7">
        <f>GiaDinh!$C$21</f>
        <v>1.2250000000000001</v>
      </c>
      <c r="I369" s="7">
        <f>GiaDinh!$C$15</f>
        <v>15</v>
      </c>
      <c r="J369" s="7">
        <f t="shared" si="30"/>
        <v>13</v>
      </c>
      <c r="K369" s="12">
        <f>J369*GiaDinh!$C$16</f>
        <v>91</v>
      </c>
      <c r="L369" s="7">
        <f t="shared" si="31"/>
        <v>2</v>
      </c>
      <c r="M369" s="12">
        <f t="shared" si="32"/>
        <v>30</v>
      </c>
      <c r="N369" s="7">
        <f>L369*ROUNDUP(I369/GiaDinh!$C$5-0.0005,0)</f>
        <v>6</v>
      </c>
      <c r="O369" s="7">
        <f>L369*(ROUNDUP(I369/GiaDinh!$C$5-0.0005,0)-1)</f>
        <v>4</v>
      </c>
      <c r="P369" s="7">
        <f t="shared" si="33"/>
        <v>26</v>
      </c>
      <c r="Q369" s="7">
        <f t="shared" si="34"/>
        <v>52</v>
      </c>
      <c r="R369" s="7">
        <f t="shared" si="35"/>
        <v>26</v>
      </c>
      <c r="S369" s="13">
        <f>M369*GiaDinh!$C$7</f>
        <v>90.3</v>
      </c>
    </row>
    <row r="370" spans="1:19" ht="46.5" x14ac:dyDescent="0.35">
      <c r="A370" s="7" t="s">
        <v>13</v>
      </c>
      <c r="B370" s="7">
        <v>43</v>
      </c>
      <c r="C370" s="7" t="s">
        <v>179</v>
      </c>
      <c r="D370" s="7" t="s">
        <v>528</v>
      </c>
      <c r="E370" s="7">
        <v>1</v>
      </c>
      <c r="F370" s="7">
        <v>117.4</v>
      </c>
      <c r="G370" s="12">
        <f>E370*F370*GiaDinh!$C$18*GiaDinh!$C$17</f>
        <v>98.615999999999985</v>
      </c>
      <c r="H370" s="7">
        <f>GiaDinh!$C$21</f>
        <v>1.2250000000000001</v>
      </c>
      <c r="I370" s="7">
        <f>GiaDinh!$C$15</f>
        <v>15</v>
      </c>
      <c r="J370" s="7">
        <f t="shared" si="30"/>
        <v>13</v>
      </c>
      <c r="K370" s="12">
        <f>J370*GiaDinh!$C$16</f>
        <v>91</v>
      </c>
      <c r="L370" s="7">
        <f t="shared" si="31"/>
        <v>2</v>
      </c>
      <c r="M370" s="12">
        <f t="shared" si="32"/>
        <v>30</v>
      </c>
      <c r="N370" s="7">
        <f>L370*ROUNDUP(I370/GiaDinh!$C$5-0.0005,0)</f>
        <v>6</v>
      </c>
      <c r="O370" s="7">
        <f>L370*(ROUNDUP(I370/GiaDinh!$C$5-0.0005,0)-1)</f>
        <v>4</v>
      </c>
      <c r="P370" s="7">
        <f t="shared" si="33"/>
        <v>26</v>
      </c>
      <c r="Q370" s="7">
        <f t="shared" si="34"/>
        <v>52</v>
      </c>
      <c r="R370" s="7">
        <f t="shared" si="35"/>
        <v>26</v>
      </c>
      <c r="S370" s="13">
        <f>M370*GiaDinh!$C$7</f>
        <v>90.3</v>
      </c>
    </row>
    <row r="371" spans="1:19" ht="46.5" x14ac:dyDescent="0.35">
      <c r="A371" s="7" t="s">
        <v>13</v>
      </c>
      <c r="B371" s="7">
        <v>44</v>
      </c>
      <c r="C371" s="7" t="s">
        <v>179</v>
      </c>
      <c r="D371" s="7" t="s">
        <v>529</v>
      </c>
      <c r="E371" s="7">
        <v>1</v>
      </c>
      <c r="F371" s="7">
        <v>117.4</v>
      </c>
      <c r="G371" s="12">
        <f>E371*F371*GiaDinh!$C$18*GiaDinh!$C$17</f>
        <v>98.615999999999985</v>
      </c>
      <c r="H371" s="7">
        <f>GiaDinh!$C$21</f>
        <v>1.2250000000000001</v>
      </c>
      <c r="I371" s="7">
        <f>GiaDinh!$C$15</f>
        <v>15</v>
      </c>
      <c r="J371" s="7">
        <f t="shared" si="30"/>
        <v>13</v>
      </c>
      <c r="K371" s="12">
        <f>J371*GiaDinh!$C$16</f>
        <v>91</v>
      </c>
      <c r="L371" s="7">
        <f t="shared" si="31"/>
        <v>2</v>
      </c>
      <c r="M371" s="12">
        <f t="shared" si="32"/>
        <v>30</v>
      </c>
      <c r="N371" s="7">
        <f>L371*ROUNDUP(I371/GiaDinh!$C$5-0.0005,0)</f>
        <v>6</v>
      </c>
      <c r="O371" s="7">
        <f>L371*(ROUNDUP(I371/GiaDinh!$C$5-0.0005,0)-1)</f>
        <v>4</v>
      </c>
      <c r="P371" s="7">
        <f t="shared" si="33"/>
        <v>26</v>
      </c>
      <c r="Q371" s="7">
        <f t="shared" si="34"/>
        <v>52</v>
      </c>
      <c r="R371" s="7">
        <f t="shared" si="35"/>
        <v>26</v>
      </c>
      <c r="S371" s="13">
        <f>M371*GiaDinh!$C$7</f>
        <v>90.3</v>
      </c>
    </row>
    <row r="372" spans="1:19" ht="46.5" x14ac:dyDescent="0.35">
      <c r="A372" s="7" t="s">
        <v>13</v>
      </c>
      <c r="B372" s="7">
        <v>45</v>
      </c>
      <c r="C372" s="7" t="s">
        <v>179</v>
      </c>
      <c r="D372" s="7" t="s">
        <v>530</v>
      </c>
      <c r="E372" s="7">
        <v>1</v>
      </c>
      <c r="F372" s="7">
        <v>117.4</v>
      </c>
      <c r="G372" s="12">
        <f>E372*F372*GiaDinh!$C$18*GiaDinh!$C$17</f>
        <v>98.615999999999985</v>
      </c>
      <c r="H372" s="7">
        <f>GiaDinh!$C$21</f>
        <v>1.2250000000000001</v>
      </c>
      <c r="I372" s="7">
        <f>GiaDinh!$C$15</f>
        <v>15</v>
      </c>
      <c r="J372" s="7">
        <f t="shared" si="30"/>
        <v>13</v>
      </c>
      <c r="K372" s="12">
        <f>J372*GiaDinh!$C$16</f>
        <v>91</v>
      </c>
      <c r="L372" s="7">
        <f t="shared" si="31"/>
        <v>2</v>
      </c>
      <c r="M372" s="12">
        <f t="shared" si="32"/>
        <v>30</v>
      </c>
      <c r="N372" s="7">
        <f>L372*ROUNDUP(I372/GiaDinh!$C$5-0.0005,0)</f>
        <v>6</v>
      </c>
      <c r="O372" s="7">
        <f>L372*(ROUNDUP(I372/GiaDinh!$C$5-0.0005,0)-1)</f>
        <v>4</v>
      </c>
      <c r="P372" s="7">
        <f t="shared" si="33"/>
        <v>26</v>
      </c>
      <c r="Q372" s="7">
        <f t="shared" si="34"/>
        <v>52</v>
      </c>
      <c r="R372" s="7">
        <f t="shared" si="35"/>
        <v>26</v>
      </c>
      <c r="S372" s="13">
        <f>M372*GiaDinh!$C$7</f>
        <v>90.3</v>
      </c>
    </row>
    <row r="373" spans="1:19" ht="46.5" x14ac:dyDescent="0.35">
      <c r="A373" s="7" t="s">
        <v>13</v>
      </c>
      <c r="B373" s="7">
        <v>46</v>
      </c>
      <c r="C373" s="7" t="s">
        <v>179</v>
      </c>
      <c r="D373" s="7" t="s">
        <v>531</v>
      </c>
      <c r="E373" s="7">
        <v>1</v>
      </c>
      <c r="F373" s="7">
        <v>117.4</v>
      </c>
      <c r="G373" s="12">
        <f>E373*F373*GiaDinh!$C$18*GiaDinh!$C$17</f>
        <v>98.615999999999985</v>
      </c>
      <c r="H373" s="7">
        <f>GiaDinh!$C$21</f>
        <v>1.2250000000000001</v>
      </c>
      <c r="I373" s="7">
        <f>GiaDinh!$C$15</f>
        <v>15</v>
      </c>
      <c r="J373" s="7">
        <f t="shared" si="30"/>
        <v>13</v>
      </c>
      <c r="K373" s="12">
        <f>J373*GiaDinh!$C$16</f>
        <v>91</v>
      </c>
      <c r="L373" s="7">
        <f t="shared" si="31"/>
        <v>2</v>
      </c>
      <c r="M373" s="12">
        <f t="shared" si="32"/>
        <v>30</v>
      </c>
      <c r="N373" s="7">
        <f>L373*ROUNDUP(I373/GiaDinh!$C$5-0.0005,0)</f>
        <v>6</v>
      </c>
      <c r="O373" s="7">
        <f>L373*(ROUNDUP(I373/GiaDinh!$C$5-0.0005,0)-1)</f>
        <v>4</v>
      </c>
      <c r="P373" s="7">
        <f t="shared" si="33"/>
        <v>26</v>
      </c>
      <c r="Q373" s="7">
        <f t="shared" si="34"/>
        <v>52</v>
      </c>
      <c r="R373" s="7">
        <f t="shared" si="35"/>
        <v>26</v>
      </c>
      <c r="S373" s="13">
        <f>M373*GiaDinh!$C$7</f>
        <v>90.3</v>
      </c>
    </row>
    <row r="374" spans="1:19" ht="46.5" x14ac:dyDescent="0.35">
      <c r="A374" s="7" t="s">
        <v>13</v>
      </c>
      <c r="B374" s="7">
        <v>47</v>
      </c>
      <c r="C374" s="7" t="s">
        <v>179</v>
      </c>
      <c r="D374" s="7" t="s">
        <v>532</v>
      </c>
      <c r="E374" s="7">
        <v>1</v>
      </c>
      <c r="F374" s="7">
        <v>117.4</v>
      </c>
      <c r="G374" s="12">
        <f>E374*F374*GiaDinh!$C$18*GiaDinh!$C$17</f>
        <v>98.615999999999985</v>
      </c>
      <c r="H374" s="7">
        <f>GiaDinh!$C$21</f>
        <v>1.2250000000000001</v>
      </c>
      <c r="I374" s="7">
        <f>GiaDinh!$C$15</f>
        <v>15</v>
      </c>
      <c r="J374" s="7">
        <f t="shared" si="30"/>
        <v>13</v>
      </c>
      <c r="K374" s="12">
        <f>J374*GiaDinh!$C$16</f>
        <v>91</v>
      </c>
      <c r="L374" s="7">
        <f t="shared" si="31"/>
        <v>2</v>
      </c>
      <c r="M374" s="12">
        <f t="shared" si="32"/>
        <v>30</v>
      </c>
      <c r="N374" s="7">
        <f>L374*ROUNDUP(I374/GiaDinh!$C$5-0.0005,0)</f>
        <v>6</v>
      </c>
      <c r="O374" s="7">
        <f>L374*(ROUNDUP(I374/GiaDinh!$C$5-0.0005,0)-1)</f>
        <v>4</v>
      </c>
      <c r="P374" s="7">
        <f t="shared" si="33"/>
        <v>26</v>
      </c>
      <c r="Q374" s="7">
        <f t="shared" si="34"/>
        <v>52</v>
      </c>
      <c r="R374" s="7">
        <f t="shared" si="35"/>
        <v>26</v>
      </c>
      <c r="S374" s="13">
        <f>M374*GiaDinh!$C$7</f>
        <v>90.3</v>
      </c>
    </row>
    <row r="375" spans="1:19" ht="46.5" x14ac:dyDescent="0.35">
      <c r="A375" s="7" t="s">
        <v>13</v>
      </c>
      <c r="B375" s="7">
        <v>48</v>
      </c>
      <c r="C375" s="7" t="s">
        <v>179</v>
      </c>
      <c r="D375" s="7" t="s">
        <v>533</v>
      </c>
      <c r="E375" s="7">
        <v>1</v>
      </c>
      <c r="F375" s="7">
        <v>117.4</v>
      </c>
      <c r="G375" s="12">
        <f>E375*F375*GiaDinh!$C$18*GiaDinh!$C$17</f>
        <v>98.615999999999985</v>
      </c>
      <c r="H375" s="7">
        <f>GiaDinh!$C$21</f>
        <v>1.2250000000000001</v>
      </c>
      <c r="I375" s="7">
        <f>GiaDinh!$C$15</f>
        <v>15</v>
      </c>
      <c r="J375" s="7">
        <f t="shared" si="30"/>
        <v>13</v>
      </c>
      <c r="K375" s="12">
        <f>J375*GiaDinh!$C$16</f>
        <v>91</v>
      </c>
      <c r="L375" s="7">
        <f t="shared" si="31"/>
        <v>2</v>
      </c>
      <c r="M375" s="12">
        <f t="shared" si="32"/>
        <v>30</v>
      </c>
      <c r="N375" s="7">
        <f>L375*ROUNDUP(I375/GiaDinh!$C$5-0.0005,0)</f>
        <v>6</v>
      </c>
      <c r="O375" s="7">
        <f>L375*(ROUNDUP(I375/GiaDinh!$C$5-0.0005,0)-1)</f>
        <v>4</v>
      </c>
      <c r="P375" s="7">
        <f t="shared" si="33"/>
        <v>26</v>
      </c>
      <c r="Q375" s="7">
        <f t="shared" si="34"/>
        <v>52</v>
      </c>
      <c r="R375" s="7">
        <f t="shared" si="35"/>
        <v>26</v>
      </c>
      <c r="S375" s="13">
        <f>M375*GiaDinh!$C$7</f>
        <v>90.3</v>
      </c>
    </row>
  </sheetData>
  <mergeCells count="1">
    <mergeCell ref="A2:S2"/>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2"/>
  <sheetViews>
    <sheetView workbookViewId="0"/>
  </sheetViews>
  <sheetFormatPr defaultRowHeight="14.5" x14ac:dyDescent="0.35"/>
  <cols>
    <col min="1" max="2" width="8" customWidth="1"/>
    <col min="3" max="4" width="12" customWidth="1"/>
    <col min="5" max="5" width="10" customWidth="1"/>
    <col min="6" max="7" width="16" customWidth="1"/>
    <col min="8" max="8" width="10" customWidth="1"/>
    <col min="9" max="9" width="11" customWidth="1"/>
    <col min="10" max="10" width="9" customWidth="1"/>
    <col min="11" max="12" width="11" customWidth="1"/>
    <col min="13" max="13" width="10" customWidth="1"/>
    <col min="14" max="14" width="9" customWidth="1"/>
  </cols>
  <sheetData>
    <row r="1" spans="1:14" ht="17" x14ac:dyDescent="0.4">
      <c r="A1" s="1" t="s">
        <v>534</v>
      </c>
    </row>
    <row r="2" spans="1:14" ht="34" customHeight="1" x14ac:dyDescent="0.35">
      <c r="A2" s="21" t="s">
        <v>535</v>
      </c>
      <c r="B2" s="20"/>
      <c r="C2" s="20"/>
      <c r="D2" s="20"/>
      <c r="E2" s="20"/>
      <c r="F2" s="20"/>
      <c r="G2" s="20"/>
      <c r="H2" s="20"/>
      <c r="I2" s="20"/>
      <c r="J2" s="20"/>
      <c r="K2" s="20"/>
      <c r="L2" s="20"/>
      <c r="M2" s="20"/>
      <c r="N2" s="20"/>
    </row>
    <row r="3" spans="1:14" ht="48" customHeight="1" x14ac:dyDescent="0.35">
      <c r="A3" s="2" t="s">
        <v>141</v>
      </c>
      <c r="B3" s="2" t="s">
        <v>536</v>
      </c>
      <c r="C3" s="2" t="s">
        <v>537</v>
      </c>
      <c r="D3" s="2" t="s">
        <v>538</v>
      </c>
      <c r="E3" s="2" t="s">
        <v>539</v>
      </c>
      <c r="F3" s="2" t="s">
        <v>540</v>
      </c>
      <c r="G3" s="2" t="s">
        <v>541</v>
      </c>
      <c r="H3" s="2" t="s">
        <v>542</v>
      </c>
      <c r="I3" s="2" t="s">
        <v>543</v>
      </c>
      <c r="J3" s="2" t="s">
        <v>544</v>
      </c>
      <c r="K3" s="2" t="s">
        <v>545</v>
      </c>
      <c r="L3" s="2" t="s">
        <v>546</v>
      </c>
      <c r="M3" s="2" t="s">
        <v>547</v>
      </c>
      <c r="N3" s="2" t="s">
        <v>548</v>
      </c>
    </row>
    <row r="4" spans="1:14" ht="15.5" x14ac:dyDescent="0.35">
      <c r="A4" s="7" t="s">
        <v>6</v>
      </c>
      <c r="B4" s="7" t="s">
        <v>549</v>
      </c>
      <c r="C4" s="8">
        <v>12517</v>
      </c>
      <c r="D4" s="8">
        <v>12085</v>
      </c>
      <c r="E4" s="14">
        <f t="shared" ref="E4:E12" si="0">C4/D4-1</f>
        <v>3.5746793545717859E-2</v>
      </c>
      <c r="F4" s="7" t="s">
        <v>550</v>
      </c>
      <c r="G4" s="7" t="s">
        <v>551</v>
      </c>
      <c r="H4" s="8">
        <v>2352</v>
      </c>
      <c r="I4" s="8">
        <v>2352</v>
      </c>
      <c r="J4" s="14">
        <f t="shared" ref="J4:J12" si="1">H4/I4-1</f>
        <v>0</v>
      </c>
      <c r="K4" s="12">
        <f>DuLieuBanVe!C16/DuLieuBanVe!C15</f>
        <v>85.618983050847461</v>
      </c>
      <c r="L4" s="12">
        <f>DuLieuBanVe!C18/DuLieuBanVe!C17</f>
        <v>108.48952380952382</v>
      </c>
      <c r="M4" s="7" t="s">
        <v>552</v>
      </c>
      <c r="N4" s="7">
        <v>35</v>
      </c>
    </row>
    <row r="5" spans="1:14" ht="15.5" x14ac:dyDescent="0.35">
      <c r="A5" s="7" t="s">
        <v>7</v>
      </c>
      <c r="B5" s="7" t="s">
        <v>549</v>
      </c>
      <c r="C5" s="8">
        <v>12654</v>
      </c>
      <c r="D5" s="8">
        <v>12028</v>
      </c>
      <c r="E5" s="14">
        <f t="shared" si="0"/>
        <v>5.2045227801795768E-2</v>
      </c>
      <c r="F5" s="7" t="s">
        <v>553</v>
      </c>
      <c r="G5" s="7" t="s">
        <v>554</v>
      </c>
      <c r="H5" s="8">
        <v>2380</v>
      </c>
      <c r="I5" s="8">
        <v>2380</v>
      </c>
      <c r="J5" s="14">
        <f t="shared" si="1"/>
        <v>0</v>
      </c>
      <c r="K5" s="12">
        <f>DuLieuBanVe!D16/DuLieuBanVe!D15</f>
        <v>113.45122222222223</v>
      </c>
      <c r="L5" s="12">
        <f>DuLieuBanVe!D18/DuLieuBanVe!D17</f>
        <v>110.5475</v>
      </c>
      <c r="M5" s="7" t="s">
        <v>555</v>
      </c>
      <c r="N5" s="7">
        <v>35</v>
      </c>
    </row>
    <row r="6" spans="1:14" ht="15.5" x14ac:dyDescent="0.35">
      <c r="A6" s="7" t="s">
        <v>8</v>
      </c>
      <c r="B6" s="7" t="s">
        <v>556</v>
      </c>
      <c r="C6" s="8">
        <v>16708</v>
      </c>
      <c r="D6" s="8">
        <v>16289</v>
      </c>
      <c r="E6" s="14">
        <f t="shared" si="0"/>
        <v>2.5722880471483744E-2</v>
      </c>
      <c r="F6" s="7" t="s">
        <v>557</v>
      </c>
      <c r="G6" s="7" t="s">
        <v>558</v>
      </c>
      <c r="H6" s="8">
        <v>3136</v>
      </c>
      <c r="I6" s="8">
        <v>3136</v>
      </c>
      <c r="J6" s="14">
        <f t="shared" si="1"/>
        <v>0</v>
      </c>
      <c r="K6" s="12">
        <f>DuLieuBanVe!E16/DuLieuBanVe!E15</f>
        <v>71.804838709677426</v>
      </c>
      <c r="L6" s="12">
        <f>DuLieuBanVe!E18/DuLieuBanVe!E17</f>
        <v>187.30052631578948</v>
      </c>
      <c r="M6" s="7" t="s">
        <v>552</v>
      </c>
      <c r="N6" s="7">
        <v>43</v>
      </c>
    </row>
    <row r="7" spans="1:14" ht="15.5" x14ac:dyDescent="0.35">
      <c r="A7" s="7" t="s">
        <v>9</v>
      </c>
      <c r="B7" s="7" t="s">
        <v>559</v>
      </c>
      <c r="C7" s="8">
        <v>12145</v>
      </c>
      <c r="D7" s="8">
        <v>11697</v>
      </c>
      <c r="E7" s="14">
        <f t="shared" si="0"/>
        <v>3.8300418910831802E-2</v>
      </c>
      <c r="F7" s="7" t="s">
        <v>560</v>
      </c>
      <c r="G7" s="7" t="s">
        <v>561</v>
      </c>
      <c r="H7" s="8">
        <v>2252</v>
      </c>
      <c r="I7" s="8">
        <v>2252</v>
      </c>
      <c r="J7" s="14">
        <f t="shared" si="1"/>
        <v>0</v>
      </c>
      <c r="K7" s="12">
        <f>DuLieuBanVe!F16/DuLieuBanVe!F15</f>
        <v>151.82441558441559</v>
      </c>
      <c r="L7" s="12">
        <f>DuLieuBanVe!F18/DuLieuBanVe!F17</f>
        <v>82.28</v>
      </c>
      <c r="M7" s="7" t="s">
        <v>555</v>
      </c>
      <c r="N7" s="7">
        <v>37</v>
      </c>
    </row>
    <row r="8" spans="1:14" ht="15.5" x14ac:dyDescent="0.35">
      <c r="A8" s="7" t="s">
        <v>10</v>
      </c>
      <c r="B8" s="7" t="s">
        <v>562</v>
      </c>
      <c r="C8" s="8">
        <v>4439</v>
      </c>
      <c r="D8" s="8">
        <v>4146</v>
      </c>
      <c r="E8" s="14">
        <f t="shared" si="0"/>
        <v>7.0670525808007811E-2</v>
      </c>
      <c r="F8" s="7" t="s">
        <v>563</v>
      </c>
      <c r="G8" s="7" t="s">
        <v>564</v>
      </c>
      <c r="H8" s="8">
        <v>784</v>
      </c>
      <c r="I8" s="8">
        <v>784</v>
      </c>
      <c r="J8" s="14">
        <f t="shared" si="1"/>
        <v>0</v>
      </c>
      <c r="K8" s="12">
        <f>DuLieuBanVe!G16/DuLieuBanVe!G15</f>
        <v>113.0475</v>
      </c>
      <c r="L8" s="12">
        <f>DuLieuBanVe!G18/DuLieuBanVe!G17</f>
        <v>39.204999999999998</v>
      </c>
      <c r="M8" s="7" t="s">
        <v>555</v>
      </c>
      <c r="N8" s="7">
        <v>21</v>
      </c>
    </row>
    <row r="9" spans="1:14" ht="15.5" x14ac:dyDescent="0.35">
      <c r="A9" s="7" t="s">
        <v>11</v>
      </c>
      <c r="B9" s="7" t="s">
        <v>549</v>
      </c>
      <c r="C9" s="8">
        <v>8383</v>
      </c>
      <c r="D9" s="8">
        <v>8103</v>
      </c>
      <c r="E9" s="14">
        <f t="shared" si="0"/>
        <v>3.4555103048253821E-2</v>
      </c>
      <c r="F9" s="7" t="s">
        <v>565</v>
      </c>
      <c r="G9" s="7" t="s">
        <v>566</v>
      </c>
      <c r="H9" s="8">
        <v>1568</v>
      </c>
      <c r="I9" s="8">
        <v>1568</v>
      </c>
      <c r="J9" s="14">
        <f t="shared" si="1"/>
        <v>0</v>
      </c>
      <c r="K9" s="12">
        <f>DuLieuBanVe!H16/DuLieuBanVe!H15</f>
        <v>117.85476923076924</v>
      </c>
      <c r="L9" s="12">
        <f>DuLieuBanVe!H18/DuLieuBanVe!H17</f>
        <v>74.320000000000007</v>
      </c>
      <c r="M9" s="7" t="s">
        <v>555</v>
      </c>
      <c r="N9" s="7">
        <v>27</v>
      </c>
    </row>
    <row r="10" spans="1:14" ht="15.5" x14ac:dyDescent="0.35">
      <c r="A10" s="7" t="s">
        <v>12</v>
      </c>
      <c r="B10" s="7" t="s">
        <v>556</v>
      </c>
      <c r="C10" s="8">
        <v>15314</v>
      </c>
      <c r="D10" s="8">
        <v>14962</v>
      </c>
      <c r="E10" s="14">
        <f t="shared" si="0"/>
        <v>2.352626654190626E-2</v>
      </c>
      <c r="F10" s="7" t="s">
        <v>567</v>
      </c>
      <c r="G10" s="7" t="s">
        <v>568</v>
      </c>
      <c r="H10" s="8">
        <v>2884</v>
      </c>
      <c r="I10" s="8">
        <v>2884</v>
      </c>
      <c r="J10" s="14">
        <f t="shared" si="1"/>
        <v>0</v>
      </c>
      <c r="K10" s="12">
        <f>DuLieuBanVe!I16/DuLieuBanVe!I15</f>
        <v>69.792897727272717</v>
      </c>
      <c r="L10" s="12">
        <f>DuLieuBanVe!I18/DuLieuBanVe!I17</f>
        <v>203.65142857142857</v>
      </c>
      <c r="M10" s="7" t="s">
        <v>552</v>
      </c>
      <c r="N10" s="7">
        <v>40</v>
      </c>
    </row>
    <row r="11" spans="1:14" ht="15.5" x14ac:dyDescent="0.35">
      <c r="A11" s="7" t="s">
        <v>13</v>
      </c>
      <c r="B11" s="7" t="s">
        <v>559</v>
      </c>
      <c r="C11" s="8">
        <v>14139</v>
      </c>
      <c r="D11" s="8">
        <v>13868</v>
      </c>
      <c r="E11" s="14">
        <f t="shared" si="0"/>
        <v>1.9541390250937374E-2</v>
      </c>
      <c r="F11" s="7" t="s">
        <v>569</v>
      </c>
      <c r="G11" s="7" t="s">
        <v>570</v>
      </c>
      <c r="H11" s="8">
        <v>2884</v>
      </c>
      <c r="I11" s="8">
        <v>2884</v>
      </c>
      <c r="J11" s="14">
        <f t="shared" si="1"/>
        <v>0</v>
      </c>
      <c r="K11" s="12">
        <f>DuLieuBanVe!J16/DuLieuBanVe!J15</f>
        <v>96.62127118644068</v>
      </c>
      <c r="L11" s="12">
        <f>DuLieuBanVe!J18/DuLieuBanVe!J17</f>
        <v>140.40722222222223</v>
      </c>
      <c r="M11" s="7" t="s">
        <v>552</v>
      </c>
      <c r="N11" s="7">
        <v>33</v>
      </c>
    </row>
    <row r="12" spans="1:14" ht="15.5" x14ac:dyDescent="0.35">
      <c r="A12" s="15" t="s">
        <v>14</v>
      </c>
      <c r="B12" s="15"/>
      <c r="C12" s="16">
        <f>SUM(C4:C11)</f>
        <v>96299</v>
      </c>
      <c r="D12" s="16">
        <f>SUM(D4:D11)</f>
        <v>93178</v>
      </c>
      <c r="E12" s="17">
        <f t="shared" si="0"/>
        <v>3.3495031015905008E-2</v>
      </c>
      <c r="F12" s="15"/>
      <c r="G12" s="15"/>
      <c r="H12" s="16">
        <f>SUM(H4:H11)</f>
        <v>18240</v>
      </c>
      <c r="I12" s="16">
        <f>SUM(I4:I11)</f>
        <v>18240</v>
      </c>
      <c r="J12" s="17">
        <f t="shared" si="1"/>
        <v>0</v>
      </c>
      <c r="K12" s="15"/>
      <c r="L12" s="15"/>
      <c r="M12" s="15"/>
      <c r="N12" s="15">
        <f>SUM(N4:N11)</f>
        <v>271</v>
      </c>
    </row>
  </sheetData>
  <mergeCells count="1">
    <mergeCell ref="A2:N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
  <sheetViews>
    <sheetView workbookViewId="0"/>
  </sheetViews>
  <sheetFormatPr defaultRowHeight="14.5" x14ac:dyDescent="0.35"/>
  <cols>
    <col min="1" max="1" width="9" customWidth="1"/>
    <col min="2" max="2" width="52" customWidth="1"/>
    <col min="3" max="4" width="10" customWidth="1"/>
    <col min="5" max="5" width="110" customWidth="1"/>
  </cols>
  <sheetData>
    <row r="1" spans="1:5" ht="17" x14ac:dyDescent="0.4">
      <c r="A1" s="1" t="s">
        <v>571</v>
      </c>
    </row>
    <row r="3" spans="1:5" ht="15.5" x14ac:dyDescent="0.35">
      <c r="A3" s="2" t="s">
        <v>91</v>
      </c>
      <c r="B3" s="2" t="s">
        <v>572</v>
      </c>
      <c r="C3" s="2" t="s">
        <v>573</v>
      </c>
      <c r="D3" s="2" t="s">
        <v>5</v>
      </c>
      <c r="E3" s="2" t="s">
        <v>17</v>
      </c>
    </row>
    <row r="4" spans="1:5" ht="15.5" x14ac:dyDescent="0.35">
      <c r="A4" s="7" t="s">
        <v>574</v>
      </c>
      <c r="B4" s="7" t="s">
        <v>575</v>
      </c>
      <c r="C4" s="18">
        <v>6</v>
      </c>
      <c r="D4" s="7" t="s">
        <v>44</v>
      </c>
      <c r="E4" s="7" t="s">
        <v>576</v>
      </c>
    </row>
    <row r="5" spans="1:5" ht="15.5" x14ac:dyDescent="0.35">
      <c r="A5" s="7" t="s">
        <v>577</v>
      </c>
      <c r="B5" s="7" t="s">
        <v>578</v>
      </c>
      <c r="C5" s="18">
        <v>6</v>
      </c>
      <c r="D5" s="7" t="s">
        <v>44</v>
      </c>
      <c r="E5" s="7" t="s">
        <v>579</v>
      </c>
    </row>
    <row r="6" spans="1:5" ht="15.5" x14ac:dyDescent="0.35">
      <c r="A6" s="7" t="s">
        <v>580</v>
      </c>
      <c r="B6" s="7" t="s">
        <v>581</v>
      </c>
      <c r="C6" s="18">
        <v>2.36</v>
      </c>
      <c r="D6" s="7" t="s">
        <v>582</v>
      </c>
      <c r="E6" s="7" t="s">
        <v>583</v>
      </c>
    </row>
    <row r="7" spans="1:5" ht="15.5" x14ac:dyDescent="0.35">
      <c r="A7" s="7" t="s">
        <v>584</v>
      </c>
      <c r="B7" s="7" t="s">
        <v>585</v>
      </c>
      <c r="C7" s="18">
        <v>3.01</v>
      </c>
      <c r="D7" s="7" t="s">
        <v>582</v>
      </c>
      <c r="E7" s="7" t="s">
        <v>586</v>
      </c>
    </row>
    <row r="8" spans="1:5" ht="15.5" x14ac:dyDescent="0.35">
      <c r="A8" s="7" t="s">
        <v>587</v>
      </c>
      <c r="B8" s="7" t="s">
        <v>588</v>
      </c>
      <c r="C8" s="18">
        <v>2</v>
      </c>
      <c r="D8" s="7" t="s">
        <v>589</v>
      </c>
      <c r="E8" s="7" t="s">
        <v>590</v>
      </c>
    </row>
    <row r="9" spans="1:5" ht="15.5" x14ac:dyDescent="0.35">
      <c r="A9" s="7" t="s">
        <v>591</v>
      </c>
      <c r="B9" s="7" t="s">
        <v>592</v>
      </c>
      <c r="C9" s="18">
        <v>2</v>
      </c>
      <c r="D9" s="7" t="s">
        <v>589</v>
      </c>
      <c r="E9" s="7" t="s">
        <v>593</v>
      </c>
    </row>
    <row r="10" spans="1:5" ht="15.5" x14ac:dyDescent="0.35">
      <c r="A10" s="7" t="s">
        <v>594</v>
      </c>
      <c r="B10" s="7" t="s">
        <v>595</v>
      </c>
      <c r="C10" s="18">
        <v>2</v>
      </c>
      <c r="D10" s="7" t="s">
        <v>596</v>
      </c>
      <c r="E10" s="7" t="s">
        <v>593</v>
      </c>
    </row>
    <row r="11" spans="1:5" ht="15.5" x14ac:dyDescent="0.35">
      <c r="A11" s="7" t="s">
        <v>597</v>
      </c>
      <c r="B11" s="7" t="s">
        <v>598</v>
      </c>
      <c r="C11" s="18">
        <v>2</v>
      </c>
      <c r="D11" s="7" t="s">
        <v>596</v>
      </c>
      <c r="E11" s="7" t="s">
        <v>599</v>
      </c>
    </row>
    <row r="12" spans="1:5" ht="15.5" x14ac:dyDescent="0.35">
      <c r="A12" s="7" t="s">
        <v>600</v>
      </c>
      <c r="B12" s="7" t="s">
        <v>601</v>
      </c>
      <c r="C12" s="18">
        <v>4</v>
      </c>
      <c r="D12" s="7" t="s">
        <v>596</v>
      </c>
      <c r="E12" s="7" t="s">
        <v>602</v>
      </c>
    </row>
    <row r="13" spans="1:5" ht="15.5" x14ac:dyDescent="0.35">
      <c r="A13" s="7" t="s">
        <v>603</v>
      </c>
      <c r="B13" s="7" t="s">
        <v>37</v>
      </c>
      <c r="C13" s="18">
        <v>2</v>
      </c>
      <c r="D13" s="7" t="s">
        <v>604</v>
      </c>
      <c r="E13" s="7" t="s">
        <v>605</v>
      </c>
    </row>
    <row r="14" spans="1:5" ht="15.5" x14ac:dyDescent="0.35">
      <c r="A14" s="7" t="s">
        <v>606</v>
      </c>
      <c r="B14" s="7" t="s">
        <v>607</v>
      </c>
      <c r="C14" s="18">
        <v>3</v>
      </c>
      <c r="D14" s="7" t="s">
        <v>608</v>
      </c>
      <c r="E14" s="7" t="s">
        <v>609</v>
      </c>
    </row>
    <row r="15" spans="1:5" ht="15.5" x14ac:dyDescent="0.35">
      <c r="A15" s="7" t="s">
        <v>610</v>
      </c>
      <c r="B15" s="7" t="s">
        <v>611</v>
      </c>
      <c r="C15" s="18">
        <v>15</v>
      </c>
      <c r="D15" s="7" t="s">
        <v>44</v>
      </c>
      <c r="E15" s="7" t="s">
        <v>612</v>
      </c>
    </row>
    <row r="16" spans="1:5" ht="31" x14ac:dyDescent="0.35">
      <c r="A16" s="7" t="s">
        <v>613</v>
      </c>
      <c r="B16" s="7" t="s">
        <v>614</v>
      </c>
      <c r="C16" s="18">
        <v>7</v>
      </c>
      <c r="D16" s="7" t="s">
        <v>615</v>
      </c>
      <c r="E16" s="7" t="s">
        <v>616</v>
      </c>
    </row>
    <row r="17" spans="1:5" ht="15.5" x14ac:dyDescent="0.35">
      <c r="A17" s="7" t="s">
        <v>617</v>
      </c>
      <c r="B17" s="7" t="s">
        <v>618</v>
      </c>
      <c r="C17" s="18">
        <v>1.2</v>
      </c>
      <c r="D17" s="7"/>
      <c r="E17" s="7" t="s">
        <v>619</v>
      </c>
    </row>
    <row r="18" spans="1:5" ht="15.5" x14ac:dyDescent="0.35">
      <c r="A18" s="7" t="s">
        <v>620</v>
      </c>
      <c r="B18" s="7" t="s">
        <v>621</v>
      </c>
      <c r="C18" s="18">
        <v>0.7</v>
      </c>
      <c r="D18" s="7" t="s">
        <v>622</v>
      </c>
      <c r="E18" s="7" t="s">
        <v>623</v>
      </c>
    </row>
    <row r="19" spans="1:5" ht="31" x14ac:dyDescent="0.35">
      <c r="A19" s="7" t="s">
        <v>624</v>
      </c>
      <c r="B19" s="7" t="s">
        <v>625</v>
      </c>
      <c r="C19" s="18">
        <v>0.5</v>
      </c>
      <c r="D19" s="7" t="s">
        <v>626</v>
      </c>
      <c r="E19" s="7" t="s">
        <v>627</v>
      </c>
    </row>
    <row r="20" spans="1:5" ht="15.5" x14ac:dyDescent="0.35">
      <c r="A20" s="7" t="s">
        <v>628</v>
      </c>
      <c r="B20" s="7" t="s">
        <v>629</v>
      </c>
      <c r="C20" s="18">
        <v>0.52200000000000002</v>
      </c>
      <c r="D20" s="7" t="s">
        <v>630</v>
      </c>
      <c r="E20" s="7" t="s">
        <v>631</v>
      </c>
    </row>
    <row r="21" spans="1:5" ht="31" x14ac:dyDescent="0.35">
      <c r="A21" s="7" t="s">
        <v>632</v>
      </c>
      <c r="B21" s="7" t="s">
        <v>633</v>
      </c>
      <c r="C21" s="18">
        <v>1.2250000000000001</v>
      </c>
      <c r="D21" s="7" t="s">
        <v>44</v>
      </c>
      <c r="E21" s="7" t="s">
        <v>634</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2"/>
  <sheetViews>
    <sheetView workbookViewId="0"/>
  </sheetViews>
  <sheetFormatPr defaultRowHeight="14.5" x14ac:dyDescent="0.35"/>
  <cols>
    <col min="1" max="1" width="5" customWidth="1"/>
    <col min="2" max="2" width="150" customWidth="1"/>
  </cols>
  <sheetData>
    <row r="1" spans="1:2" ht="17" x14ac:dyDescent="0.4">
      <c r="A1" s="1" t="s">
        <v>635</v>
      </c>
    </row>
    <row r="3" spans="1:2" ht="31" x14ac:dyDescent="0.35">
      <c r="A3" s="7">
        <v>1</v>
      </c>
      <c r="B3" s="7" t="s">
        <v>636</v>
      </c>
    </row>
    <row r="4" spans="1:2" ht="15.5" x14ac:dyDescent="0.35">
      <c r="A4" s="7">
        <v>2</v>
      </c>
      <c r="B4" s="7" t="s">
        <v>637</v>
      </c>
    </row>
    <row r="5" spans="1:2" ht="46.5" x14ac:dyDescent="0.35">
      <c r="A5" s="7">
        <v>3</v>
      </c>
      <c r="B5" s="7" t="s">
        <v>638</v>
      </c>
    </row>
    <row r="6" spans="1:2" ht="62" x14ac:dyDescent="0.35">
      <c r="A6" s="7">
        <v>4</v>
      </c>
      <c r="B6" s="7" t="s">
        <v>639</v>
      </c>
    </row>
    <row r="7" spans="1:2" ht="31" x14ac:dyDescent="0.35">
      <c r="A7" s="7">
        <v>5</v>
      </c>
      <c r="B7" s="7" t="s">
        <v>640</v>
      </c>
    </row>
    <row r="8" spans="1:2" ht="31" x14ac:dyDescent="0.35">
      <c r="A8" s="7">
        <v>6</v>
      </c>
      <c r="B8" s="7" t="s">
        <v>641</v>
      </c>
    </row>
    <row r="9" spans="1:2" ht="15.5" x14ac:dyDescent="0.35">
      <c r="A9" s="7">
        <v>7</v>
      </c>
      <c r="B9" s="7" t="s">
        <v>642</v>
      </c>
    </row>
    <row r="10" spans="1:2" ht="31" x14ac:dyDescent="0.35">
      <c r="A10" s="7">
        <v>8</v>
      </c>
      <c r="B10" s="7" t="s">
        <v>643</v>
      </c>
    </row>
    <row r="11" spans="1:2" ht="31" x14ac:dyDescent="0.35">
      <c r="A11" s="7">
        <v>9</v>
      </c>
      <c r="B11" s="7" t="s">
        <v>644</v>
      </c>
    </row>
    <row r="12" spans="1:2" ht="15.5" x14ac:dyDescent="0.35">
      <c r="A12" s="7">
        <v>10</v>
      </c>
      <c r="B12" s="7" t="s">
        <v>645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TongHop</vt:lpstr>
      <vt:lpstr>DuLieuBanVe</vt:lpstr>
      <vt:lpstr>GiaCuong_UocTinh</vt:lpstr>
      <vt:lpstr>DoiChieu_MatBang</vt:lpstr>
      <vt:lpstr>GiaDinh</vt:lpstr>
      <vt:lpstr>GhiChu</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Nhật Lê</cp:lastModifiedBy>
  <dcterms:created xsi:type="dcterms:W3CDTF">2026-10-24T03:11:58Z</dcterms:created>
  <dcterms:modified xsi:type="dcterms:W3CDTF">2026-10-24T03:12:00Z</dcterms:modified>
</cp:coreProperties>
</file>