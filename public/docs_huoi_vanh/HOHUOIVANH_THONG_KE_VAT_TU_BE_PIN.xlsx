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ngHop" sheetId="1" state="visible" r:id="rId1"/>
    <sheet name="DuLieuBanVe" sheetId="2" state="visible" r:id="rId2"/>
    <sheet name="GiaCuong_TaiNeo" sheetId="3" state="visible" r:id="rId3"/>
    <sheet name="DoiChieu_MatBang" sheetId="4" state="visible" r:id="rId4"/>
    <sheet name="GiaDinh" sheetId="5" state="visible" r:id="rId5"/>
    <sheet name="GhiChu" sheetId="6" state="visible" r:id="rId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4">
    <font>
      <name val="Calibri"/>
      <family val="2"/>
      <color theme="1"/>
      <sz val="11"/>
      <scheme val="minor"/>
    </font>
    <font>
      <name val="Calibri"/>
      <b val="1"/>
      <sz val="13"/>
    </font>
    <font>
      <name val="Calibri"/>
      <b val="1"/>
      <sz val="12"/>
    </font>
    <font>
      <name val="Calibri"/>
      <sz val="12"/>
    </font>
  </fonts>
  <fills count="5">
    <fill>
      <patternFill/>
    </fill>
    <fill>
      <patternFill patternType="gray125"/>
    </fill>
    <fill>
      <patternFill patternType="solid">
        <fgColor rgb="00F2F2F2"/>
      </patternFill>
    </fill>
    <fill>
      <patternFill patternType="solid">
        <fgColor rgb="00FFFF99"/>
      </patternFill>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20">
    <xf numFmtId="0" fontId="0" fillId="0" borderId="0" pivotButton="0" quotePrefix="0" xfId="0"/>
    <xf applyFont="1" numFmtId="0" fontId="1" fillId="0" borderId="0" pivotButton="0" quotePrefix="0" xfId="0"/>
    <xf numFmtId="0" fontId="0" fillId="0" borderId="0" applyAlignment="1" pivotButton="0" quotePrefix="0" xfId="0">
      <alignment vertical="center" wrapText="1"/>
    </xf>
    <xf applyBorder="1" applyFill="1" applyFont="1" numFmtId="0" fontId="2" fillId="2" borderId="1" applyAlignment="1" pivotButton="0" quotePrefix="0" xfId="0">
      <alignment horizontal="center" vertical="center" wrapText="1"/>
    </xf>
    <xf applyBorder="1" applyFill="1" applyFont="1" numFmtId="0" fontId="3" fillId="4" borderId="1" applyAlignment="1" pivotButton="0" quotePrefix="0" xfId="0">
      <alignment horizontal="center" vertical="center" wrapText="1"/>
    </xf>
    <xf applyBorder="1" applyFill="1" applyFont="1" numFmtId="0" fontId="2" fillId="4" borderId="1" applyAlignment="1" pivotButton="0" quotePrefix="0" xfId="0">
      <alignment vertical="center" wrapText="1"/>
    </xf>
    <xf applyBorder="1" applyFill="1" applyFont="1" numFmtId="0" fontId="3" fillId="4" borderId="1" applyAlignment="1" pivotButton="0" quotePrefix="0" xfId="0">
      <alignment vertical="center" wrapText="1"/>
    </xf>
    <xf applyBorder="1" applyFont="1" numFmtId="0" fontId="3" fillId="0" borderId="1" applyAlignment="1" pivotButton="0" quotePrefix="0" xfId="0">
      <alignment horizontal="center" vertical="center" wrapText="1"/>
    </xf>
    <xf applyBorder="1" applyFont="1" numFmtId="0" fontId="3" fillId="0" borderId="1" applyAlignment="1" pivotButton="0" quotePrefix="0" xfId="0">
      <alignment vertical="center" wrapText="1"/>
    </xf>
    <xf applyBorder="1" applyFont="1" applyNumberFormat="1" numFmtId="3" fontId="3" fillId="0" borderId="1" applyAlignment="1" pivotButton="0" quotePrefix="0" xfId="0">
      <alignment vertical="center" wrapText="1"/>
    </xf>
    <xf applyBorder="1" applyFont="1" applyNumberFormat="1" numFmtId="4" fontId="3" fillId="0" borderId="1" applyAlignment="1" pivotButton="0" quotePrefix="0" xfId="0">
      <alignment vertical="center" wrapText="1"/>
    </xf>
    <xf applyFont="1" numFmtId="0" fontId="2" fillId="0" borderId="0" pivotButton="0" quotePrefix="0" xfId="0"/>
    <xf applyFont="1" numFmtId="0" fontId="3" fillId="0" borderId="0" applyAlignment="1" pivotButton="0" quotePrefix="0" xfId="0">
      <alignment vertical="center" wrapText="1"/>
    </xf>
    <xf applyBorder="1" applyFont="1" applyNumberFormat="1" numFmtId="164" fontId="3" fillId="0" borderId="1" applyAlignment="1" pivotButton="0" quotePrefix="0" xfId="0">
      <alignment vertical="center" wrapText="1"/>
    </xf>
    <xf applyBorder="1" applyFont="1" applyNumberFormat="1" numFmtId="165" fontId="3" fillId="0" borderId="1" applyAlignment="1" pivotButton="0" quotePrefix="0" xfId="0">
      <alignment vertical="center" wrapText="1"/>
    </xf>
    <xf applyBorder="1" applyFont="1" applyNumberFormat="1" numFmtId="166" fontId="3" fillId="0" borderId="1" applyAlignment="1" pivotButton="0" quotePrefix="0" xfId="0">
      <alignment vertical="center" wrapText="1"/>
    </xf>
    <xf applyBorder="1" applyFont="1" numFmtId="0" fontId="2" fillId="0" borderId="1" applyAlignment="1" pivotButton="0" quotePrefix="0" xfId="0">
      <alignment vertical="center" wrapText="1"/>
    </xf>
    <xf applyBorder="1" applyFont="1" applyNumberFormat="1" numFmtId="3" fontId="2" fillId="0" borderId="1" applyAlignment="1" pivotButton="0" quotePrefix="0" xfId="0">
      <alignment vertical="center" wrapText="1"/>
    </xf>
    <xf applyBorder="1" applyFont="1" applyNumberFormat="1" numFmtId="166" fontId="2" fillId="0" borderId="1" applyAlignment="1" pivotButton="0" quotePrefix="0" xfId="0">
      <alignment vertical="center" wrapText="1"/>
    </xf>
    <xf applyBorder="1" applyFill="1" applyFont="1" numFmtId="0" fontId="3" fillId="3"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jpe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jpe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 Type="http://schemas.openxmlformats.org/officeDocument/2006/relationships/image" Target="/xl/media/image15.png" Id="rId15" /><Relationship Type="http://schemas.openxmlformats.org/officeDocument/2006/relationships/image" Target="/xl/media/image16.png" Id="rId16" /><Relationship Type="http://schemas.openxmlformats.org/officeDocument/2006/relationships/image" Target="/xl/media/image17.png" Id="rId17" /><Relationship Type="http://schemas.openxmlformats.org/officeDocument/2006/relationships/image" Target="/xl/media/image18.png" Id="rId18" /><Relationship Type="http://schemas.openxmlformats.org/officeDocument/2006/relationships/image" Target="/xl/media/image19.png" Id="rId19" /><Relationship Type="http://schemas.openxmlformats.org/officeDocument/2006/relationships/image" Target="/xl/media/image20.png" Id="rId20" /><Relationship Type="http://schemas.openxmlformats.org/officeDocument/2006/relationships/image" Target="/xl/media/image21.png" Id="rId21" /><Relationship Type="http://schemas.openxmlformats.org/officeDocument/2006/relationships/image" Target="/xl/media/image22.png" Id="rId22" /><Relationship Type="http://schemas.openxmlformats.org/officeDocument/2006/relationships/image" Target="/xl/media/image23.png" Id="rId23" /><Relationship Type="http://schemas.openxmlformats.org/officeDocument/2006/relationships/image" Target="/xl/media/image24.png" Id="rId24" /><Relationship Type="http://schemas.openxmlformats.org/officeDocument/2006/relationships/image" Target="/xl/media/image25.png" Id="rId25" /><Relationship Type="http://schemas.openxmlformats.org/officeDocument/2006/relationships/image" Target="/xl/media/image26.png" Id="rId26" /><Relationship Type="http://schemas.openxmlformats.org/officeDocument/2006/relationships/image" Target="/xl/media/image27.png" Id="rId27" /><Relationship Type="http://schemas.openxmlformats.org/officeDocument/2006/relationships/image" Target="/xl/media/image28.png" Id="rId28" /><Relationship Type="http://schemas.openxmlformats.org/officeDocument/2006/relationships/image" Target="/xl/media/image29.png" Id="rId29" /><Relationship Type="http://schemas.openxmlformats.org/officeDocument/2006/relationships/image" Target="/xl/media/image30.png" Id="rId3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2</col>
      <colOff>0</colOff>
      <row>4</row>
      <rowOff>0</rowOff>
    </from>
    <ext cx="1400302" cy="939800"/>
    <pic>
      <nvPicPr>
        <cNvPr id="1" name="Image 1" descr="Picture"/>
        <cNvPicPr/>
      </nvPicPr>
      <blipFill>
        <a:blip cstate="print" r:embed="rId1"/>
        <a:stretch>
          <a:fillRect/>
        </a:stretch>
      </blipFill>
      <spPr>
        <a:prstGeom prst="rect"/>
      </spPr>
    </pic>
    <clientData/>
  </oneCellAnchor>
  <oneCellAnchor>
    <from>
      <col>2</col>
      <colOff>0</colOff>
      <row>6</row>
      <rowOff>0</rowOff>
    </from>
    <ext cx="1271325" cy="939800"/>
    <pic>
      <nvPicPr>
        <cNvPr id="2" name="Image 2" descr="Picture"/>
        <cNvPicPr/>
      </nvPicPr>
      <blipFill>
        <a:blip cstate="print" r:embed="rId2"/>
        <a:stretch>
          <a:fillRect/>
        </a:stretch>
      </blipFill>
      <spPr>
        <a:prstGeom prst="rect"/>
      </spPr>
    </pic>
    <clientData/>
  </oneCellAnchor>
  <oneCellAnchor>
    <from>
      <col>2</col>
      <colOff>0</colOff>
      <row>7</row>
      <rowOff>0</rowOff>
    </from>
    <ext cx="1340513" cy="939800"/>
    <pic>
      <nvPicPr>
        <cNvPr id="3" name="Image 3" descr="Picture"/>
        <cNvPicPr/>
      </nvPicPr>
      <blipFill>
        <a:blip cstate="print" r:embed="rId3"/>
        <a:stretch>
          <a:fillRect/>
        </a:stretch>
      </blipFill>
      <spPr>
        <a:prstGeom prst="rect"/>
      </spPr>
    </pic>
    <clientData/>
  </oneCellAnchor>
  <oneCellAnchor>
    <from>
      <col>2</col>
      <colOff>0</colOff>
      <row>8</row>
      <rowOff>0</rowOff>
    </from>
    <ext cx="1271325" cy="939800"/>
    <pic>
      <nvPicPr>
        <cNvPr id="4" name="Image 4" descr="Picture"/>
        <cNvPicPr/>
      </nvPicPr>
      <blipFill>
        <a:blip cstate="print" r:embed="rId4"/>
        <a:stretch>
          <a:fillRect/>
        </a:stretch>
      </blipFill>
      <spPr>
        <a:prstGeom prst="rect"/>
      </spPr>
    </pic>
    <clientData/>
  </oneCellAnchor>
  <oneCellAnchor>
    <from>
      <col>2</col>
      <colOff>0</colOff>
      <row>11</row>
      <rowOff>0</rowOff>
    </from>
    <ext cx="1141741" cy="939800"/>
    <pic>
      <nvPicPr>
        <cNvPr id="5" name="Image 5" descr="Picture"/>
        <cNvPicPr/>
      </nvPicPr>
      <blipFill>
        <a:blip cstate="print" r:embed="rId5"/>
        <a:stretch>
          <a:fillRect/>
        </a:stretch>
      </blipFill>
      <spPr>
        <a:prstGeom prst="rect"/>
      </spPr>
    </pic>
    <clientData/>
  </oneCellAnchor>
  <oneCellAnchor>
    <from>
      <col>2</col>
      <colOff>0</colOff>
      <row>13</row>
      <rowOff>0</rowOff>
    </from>
    <ext cx="1213909" cy="939800"/>
    <pic>
      <nvPicPr>
        <cNvPr id="6" name="Image 6" descr="Picture"/>
        <cNvPicPr/>
      </nvPicPr>
      <blipFill>
        <a:blip cstate="print" r:embed="rId6"/>
        <a:stretch>
          <a:fillRect/>
        </a:stretch>
      </blipFill>
      <spPr>
        <a:prstGeom prst="rect"/>
      </spPr>
    </pic>
    <clientData/>
  </oneCellAnchor>
  <oneCellAnchor>
    <from>
      <col>2</col>
      <colOff>0</colOff>
      <row>14</row>
      <rowOff>0</rowOff>
    </from>
    <ext cx="1213909" cy="939800"/>
    <pic>
      <nvPicPr>
        <cNvPr id="7" name="Image 7" descr="Picture"/>
        <cNvPicPr/>
      </nvPicPr>
      <blipFill>
        <a:blip cstate="print" r:embed="rId7"/>
        <a:stretch>
          <a:fillRect/>
        </a:stretch>
      </blipFill>
      <spPr>
        <a:prstGeom prst="rect"/>
      </spPr>
    </pic>
    <clientData/>
  </oneCellAnchor>
  <oneCellAnchor>
    <from>
      <col>2</col>
      <colOff>0</colOff>
      <row>15</row>
      <rowOff>0</rowOff>
    </from>
    <ext cx="1213909" cy="939800"/>
    <pic>
      <nvPicPr>
        <cNvPr id="8" name="Image 8" descr="Picture"/>
        <cNvPicPr/>
      </nvPicPr>
      <blipFill>
        <a:blip cstate="print" r:embed="rId8"/>
        <a:stretch>
          <a:fillRect/>
        </a:stretch>
      </blipFill>
      <spPr>
        <a:prstGeom prst="rect"/>
      </spPr>
    </pic>
    <clientData/>
  </oneCellAnchor>
  <oneCellAnchor>
    <from>
      <col>2</col>
      <colOff>0</colOff>
      <row>16</row>
      <rowOff>0</rowOff>
    </from>
    <ext cx="1153866" cy="939800"/>
    <pic>
      <nvPicPr>
        <cNvPr id="9" name="Image 9" descr="Picture"/>
        <cNvPicPr/>
      </nvPicPr>
      <blipFill>
        <a:blip cstate="print" r:embed="rId9"/>
        <a:stretch>
          <a:fillRect/>
        </a:stretch>
      </blipFill>
      <spPr>
        <a:prstGeom prst="rect"/>
      </spPr>
    </pic>
    <clientData/>
  </oneCellAnchor>
  <oneCellAnchor>
    <from>
      <col>2</col>
      <colOff>0</colOff>
      <row>17</row>
      <rowOff>0</rowOff>
    </from>
    <ext cx="1213909" cy="939800"/>
    <pic>
      <nvPicPr>
        <cNvPr id="10" name="Image 10" descr="Picture"/>
        <cNvPicPr/>
      </nvPicPr>
      <blipFill>
        <a:blip cstate="print" r:embed="rId10"/>
        <a:stretch>
          <a:fillRect/>
        </a:stretch>
      </blipFill>
      <spPr>
        <a:prstGeom prst="rect"/>
      </spPr>
    </pic>
    <clientData/>
  </oneCellAnchor>
  <oneCellAnchor>
    <from>
      <col>2</col>
      <colOff>0</colOff>
      <row>18</row>
      <rowOff>0</rowOff>
    </from>
    <ext cx="1015961" cy="939800"/>
    <pic>
      <nvPicPr>
        <cNvPr id="11" name="Image 11" descr="Picture"/>
        <cNvPicPr/>
      </nvPicPr>
      <blipFill>
        <a:blip cstate="print" r:embed="rId11"/>
        <a:stretch>
          <a:fillRect/>
        </a:stretch>
      </blipFill>
      <spPr>
        <a:prstGeom prst="rect"/>
      </spPr>
    </pic>
    <clientData/>
  </oneCellAnchor>
  <oneCellAnchor>
    <from>
      <col>2</col>
      <colOff>0</colOff>
      <row>20</row>
      <rowOff>0</rowOff>
    </from>
    <ext cx="1274207" cy="939800"/>
    <pic>
      <nvPicPr>
        <cNvPr id="12" name="Image 12" descr="Picture"/>
        <cNvPicPr/>
      </nvPicPr>
      <blipFill>
        <a:blip cstate="print" r:embed="rId12"/>
        <a:stretch>
          <a:fillRect/>
        </a:stretch>
      </blipFill>
      <spPr>
        <a:prstGeom prst="rect"/>
      </spPr>
    </pic>
    <clientData/>
  </oneCellAnchor>
  <oneCellAnchor>
    <from>
      <col>2</col>
      <colOff>0</colOff>
      <row>21</row>
      <rowOff>0</rowOff>
    </from>
    <ext cx="1274207" cy="939800"/>
    <pic>
      <nvPicPr>
        <cNvPr id="13" name="Image 13" descr="Picture"/>
        <cNvPicPr/>
      </nvPicPr>
      <blipFill>
        <a:blip cstate="print" r:embed="rId13"/>
        <a:stretch>
          <a:fillRect/>
        </a:stretch>
      </blipFill>
      <spPr>
        <a:prstGeom prst="rect"/>
      </spPr>
    </pic>
    <clientData/>
  </oneCellAnchor>
  <oneCellAnchor>
    <from>
      <col>2</col>
      <colOff>0</colOff>
      <row>22</row>
      <rowOff>0</rowOff>
    </from>
    <ext cx="1274207" cy="939800"/>
    <pic>
      <nvPicPr>
        <cNvPr id="14" name="Image 14" descr="Picture"/>
        <cNvPicPr/>
      </nvPicPr>
      <blipFill>
        <a:blip cstate="print" r:embed="rId14"/>
        <a:stretch>
          <a:fillRect/>
        </a:stretch>
      </blipFill>
      <spPr>
        <a:prstGeom prst="rect"/>
      </spPr>
    </pic>
    <clientData/>
  </oneCellAnchor>
  <oneCellAnchor>
    <from>
      <col>2</col>
      <colOff>0</colOff>
      <row>23</row>
      <rowOff>0</rowOff>
    </from>
    <ext cx="1023805" cy="939800"/>
    <pic>
      <nvPicPr>
        <cNvPr id="15" name="Image 15" descr="Picture"/>
        <cNvPicPr/>
      </nvPicPr>
      <blipFill>
        <a:blip cstate="print" r:embed="rId15"/>
        <a:stretch>
          <a:fillRect/>
        </a:stretch>
      </blipFill>
      <spPr>
        <a:prstGeom prst="rect"/>
      </spPr>
    </pic>
    <clientData/>
  </oneCellAnchor>
  <oneCellAnchor>
    <from>
      <col>2</col>
      <colOff>0</colOff>
      <row>24</row>
      <rowOff>0</rowOff>
    </from>
    <ext cx="1274207" cy="939800"/>
    <pic>
      <nvPicPr>
        <cNvPr id="16" name="Image 16" descr="Picture"/>
        <cNvPicPr/>
      </nvPicPr>
      <blipFill>
        <a:blip cstate="print" r:embed="rId16"/>
        <a:stretch>
          <a:fillRect/>
        </a:stretch>
      </blipFill>
      <spPr>
        <a:prstGeom prst="rect"/>
      </spPr>
    </pic>
    <clientData/>
  </oneCellAnchor>
  <oneCellAnchor>
    <from>
      <col>2</col>
      <colOff>0</colOff>
      <row>25</row>
      <rowOff>0</rowOff>
    </from>
    <ext cx="678124" cy="939800"/>
    <pic>
      <nvPicPr>
        <cNvPr id="17" name="Image 17" descr="Picture"/>
        <cNvPicPr/>
      </nvPicPr>
      <blipFill>
        <a:blip cstate="print" r:embed="rId17"/>
        <a:stretch>
          <a:fillRect/>
        </a:stretch>
      </blipFill>
      <spPr>
        <a:prstGeom prst="rect"/>
      </spPr>
    </pic>
    <clientData/>
  </oneCellAnchor>
  <oneCellAnchor>
    <from>
      <col>2</col>
      <colOff>0</colOff>
      <row>27</row>
      <rowOff>0</rowOff>
    </from>
    <ext cx="1106072" cy="939800"/>
    <pic>
      <nvPicPr>
        <cNvPr id="18" name="Image 18" descr="Picture"/>
        <cNvPicPr/>
      </nvPicPr>
      <blipFill>
        <a:blip cstate="print" r:embed="rId18"/>
        <a:stretch>
          <a:fillRect/>
        </a:stretch>
      </blipFill>
      <spPr>
        <a:prstGeom prst="rect"/>
      </spPr>
    </pic>
    <clientData/>
  </oneCellAnchor>
  <oneCellAnchor>
    <from>
      <col>2</col>
      <colOff>0</colOff>
      <row>28</row>
      <rowOff>0</rowOff>
    </from>
    <ext cx="1106072" cy="939800"/>
    <pic>
      <nvPicPr>
        <cNvPr id="19" name="Image 19" descr="Picture"/>
        <cNvPicPr/>
      </nvPicPr>
      <blipFill>
        <a:blip cstate="print" r:embed="rId19"/>
        <a:stretch>
          <a:fillRect/>
        </a:stretch>
      </blipFill>
      <spPr>
        <a:prstGeom prst="rect"/>
      </spPr>
    </pic>
    <clientData/>
  </oneCellAnchor>
  <oneCellAnchor>
    <from>
      <col>2</col>
      <colOff>0</colOff>
      <row>29</row>
      <rowOff>0</rowOff>
    </from>
    <ext cx="1106072" cy="939800"/>
    <pic>
      <nvPicPr>
        <cNvPr id="20" name="Image 20" descr="Picture"/>
        <cNvPicPr/>
      </nvPicPr>
      <blipFill>
        <a:blip cstate="print" r:embed="rId20"/>
        <a:stretch>
          <a:fillRect/>
        </a:stretch>
      </blipFill>
      <spPr>
        <a:prstGeom prst="rect"/>
      </spPr>
    </pic>
    <clientData/>
  </oneCellAnchor>
  <oneCellAnchor>
    <from>
      <col>2</col>
      <colOff>0</colOff>
      <row>30</row>
      <rowOff>0</rowOff>
    </from>
    <ext cx="1023805" cy="939800"/>
    <pic>
      <nvPicPr>
        <cNvPr id="21" name="Image 21" descr="Picture"/>
        <cNvPicPr/>
      </nvPicPr>
      <blipFill>
        <a:blip cstate="print" r:embed="rId21"/>
        <a:stretch>
          <a:fillRect/>
        </a:stretch>
      </blipFill>
      <spPr>
        <a:prstGeom prst="rect"/>
      </spPr>
    </pic>
    <clientData/>
  </oneCellAnchor>
  <oneCellAnchor>
    <from>
      <col>2</col>
      <colOff>0</colOff>
      <row>31</row>
      <rowOff>0</rowOff>
    </from>
    <ext cx="1282156" cy="939800"/>
    <pic>
      <nvPicPr>
        <cNvPr id="22" name="Image 22" descr="Picture"/>
        <cNvPicPr/>
      </nvPicPr>
      <blipFill>
        <a:blip cstate="print" r:embed="rId22"/>
        <a:stretch>
          <a:fillRect/>
        </a:stretch>
      </blipFill>
      <spPr>
        <a:prstGeom prst="rect"/>
      </spPr>
    </pic>
    <clientData/>
  </oneCellAnchor>
  <oneCellAnchor>
    <from>
      <col>2</col>
      <colOff>0</colOff>
      <row>32</row>
      <rowOff>0</rowOff>
    </from>
    <ext cx="1282156" cy="939800"/>
    <pic>
      <nvPicPr>
        <cNvPr id="23" name="Image 23" descr="Picture"/>
        <cNvPicPr/>
      </nvPicPr>
      <blipFill>
        <a:blip cstate="print" r:embed="rId23"/>
        <a:stretch>
          <a:fillRect/>
        </a:stretch>
      </blipFill>
      <spPr>
        <a:prstGeom prst="rect"/>
      </spPr>
    </pic>
    <clientData/>
  </oneCellAnchor>
  <oneCellAnchor>
    <from>
      <col>2</col>
      <colOff>0</colOff>
      <row>33</row>
      <rowOff>0</rowOff>
    </from>
    <ext cx="678124" cy="939800"/>
    <pic>
      <nvPicPr>
        <cNvPr id="24" name="Image 24" descr="Picture"/>
        <cNvPicPr/>
      </nvPicPr>
      <blipFill>
        <a:blip cstate="print" r:embed="rId24"/>
        <a:stretch>
          <a:fillRect/>
        </a:stretch>
      </blipFill>
      <spPr>
        <a:prstGeom prst="rect"/>
      </spPr>
    </pic>
    <clientData/>
  </oneCellAnchor>
  <oneCellAnchor>
    <from>
      <col>2</col>
      <colOff>0</colOff>
      <row>34</row>
      <rowOff>0</rowOff>
    </from>
    <ext cx="1106072" cy="939800"/>
    <pic>
      <nvPicPr>
        <cNvPr id="25" name="Image 25" descr="Picture"/>
        <cNvPicPr/>
      </nvPicPr>
      <blipFill>
        <a:blip cstate="print" r:embed="rId25"/>
        <a:stretch>
          <a:fillRect/>
        </a:stretch>
      </blipFill>
      <spPr>
        <a:prstGeom prst="rect"/>
      </spPr>
    </pic>
    <clientData/>
  </oneCellAnchor>
  <oneCellAnchor>
    <from>
      <col>2</col>
      <colOff>0</colOff>
      <row>36</row>
      <rowOff>0</rowOff>
    </from>
    <ext cx="1360692" cy="939800"/>
    <pic>
      <nvPicPr>
        <cNvPr id="26" name="Image 26" descr="Picture"/>
        <cNvPicPr/>
      </nvPicPr>
      <blipFill>
        <a:blip cstate="print" r:embed="rId26"/>
        <a:stretch>
          <a:fillRect/>
        </a:stretch>
      </blipFill>
      <spPr>
        <a:prstGeom prst="rect"/>
      </spPr>
    </pic>
    <clientData/>
  </oneCellAnchor>
  <oneCellAnchor>
    <from>
      <col>2</col>
      <colOff>0</colOff>
      <row>37</row>
      <rowOff>0</rowOff>
    </from>
    <ext cx="1151255" cy="939800"/>
    <pic>
      <nvPicPr>
        <cNvPr id="27" name="Image 27" descr="Picture"/>
        <cNvPicPr/>
      </nvPicPr>
      <blipFill>
        <a:blip cstate="print" r:embed="rId27"/>
        <a:stretch>
          <a:fillRect/>
        </a:stretch>
      </blipFill>
      <spPr>
        <a:prstGeom prst="rect"/>
      </spPr>
    </pic>
    <clientData/>
  </oneCellAnchor>
  <oneCellAnchor>
    <from>
      <col>2</col>
      <colOff>0</colOff>
      <row>38</row>
      <rowOff>0</rowOff>
    </from>
    <ext cx="1232182" cy="939800"/>
    <pic>
      <nvPicPr>
        <cNvPr id="28" name="Image 28" descr="Picture"/>
        <cNvPicPr/>
      </nvPicPr>
      <blipFill>
        <a:blip cstate="print" r:embed="rId28"/>
        <a:stretch>
          <a:fillRect/>
        </a:stretch>
      </blipFill>
      <spPr>
        <a:prstGeom prst="rect"/>
      </spPr>
    </pic>
    <clientData/>
  </oneCellAnchor>
  <oneCellAnchor>
    <from>
      <col>2</col>
      <colOff>0</colOff>
      <row>40</row>
      <rowOff>0</rowOff>
    </from>
    <ext cx="1067286" cy="939800"/>
    <pic>
      <nvPicPr>
        <cNvPr id="29" name="Image 29" descr="Picture"/>
        <cNvPicPr/>
      </nvPicPr>
      <blipFill>
        <a:blip cstate="print" r:embed="rId29"/>
        <a:stretch>
          <a:fillRect/>
        </a:stretch>
      </blipFill>
      <spPr>
        <a:prstGeom prst="rect"/>
      </spPr>
    </pic>
    <clientData/>
  </oneCellAnchor>
  <oneCellAnchor>
    <from>
      <col>2</col>
      <colOff>0</colOff>
      <row>42</row>
      <rowOff>0</rowOff>
    </from>
    <ext cx="1128129" cy="939800"/>
    <pic>
      <nvPicPr>
        <cNvPr id="30" name="Image 30" descr="Picture"/>
        <cNvPicPr/>
      </nvPicPr>
      <blipFill>
        <a:blip cstate="print" r:embed="rId30"/>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43"/>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3" customWidth="1" min="3" max="3"/>
    <col width="8" customWidth="1" min="4" max="4"/>
    <col width="11" customWidth="1" min="5" max="5"/>
    <col width="11" customWidth="1" min="6" max="6"/>
    <col width="11" customWidth="1" min="7" max="7"/>
    <col width="11" customWidth="1" min="8" max="8"/>
    <col width="12" customWidth="1" min="9" max="9"/>
    <col width="13" customWidth="1" min="10" max="10"/>
    <col width="8" customWidth="1" min="11" max="11"/>
    <col width="80" customWidth="1" min="12" max="12"/>
  </cols>
  <sheetData>
    <row r="1" ht="17" customHeight="1">
      <c r="A1" s="1" t="inlineStr">
        <is>
          <t>BẢNG TỔNG HỢP VẬT TƯ BÈ PIN — 4 BÈ HỒ HUỔI VANH (bản vẽ "HOHUOIVANH.BỐ TRÍ BÈ PIN 281026", HD lắp Mibet MRac G5)</t>
        </is>
      </c>
    </row>
    <row r="2" ht="34" customHeight="1">
      <c r="A2" s="2" t="inlineStr">
        <is>
          <t>Nguồn: BV = lấy đúng bảng thống kê trên bản vẽ; ƯL = ước lượng theo thông số sheet GiaDinh (phải đối chiếu BOM nhà sản xuất); NEO = theo mặt bằng neo trên web. Bản vẽ CHƯA có hộp 40x60 gia cường tai neo: mục D bố trí theo sơ đồ GC-01 (ước tính).</t>
        </is>
      </c>
    </row>
    <row r="3" ht="31" customHeight="1">
      <c r="A3" s="3" t="inlineStr">
        <is>
          <t>STT</t>
        </is>
      </c>
      <c r="B3" s="3" t="inlineStr">
        <is>
          <t>Hạng mục</t>
        </is>
      </c>
      <c r="C3" s="3" t="inlineStr">
        <is>
          <t>Hình minh họa (tài liệu Mibet)</t>
        </is>
      </c>
      <c r="D3" s="3" t="inlineStr">
        <is>
          <t>Đơn vị</t>
        </is>
      </c>
      <c r="E3" s="3" t="inlineStr">
        <is>
          <t>BÈ 1</t>
        </is>
      </c>
      <c r="F3" s="3" t="inlineStr">
        <is>
          <t>BÈ 2</t>
        </is>
      </c>
      <c r="G3" s="3" t="inlineStr">
        <is>
          <t>BÈ 3</t>
        </is>
      </c>
      <c r="H3" s="3" t="inlineStr">
        <is>
          <t>BÈ 4</t>
        </is>
      </c>
      <c r="I3" s="3" t="inlineStr">
        <is>
          <t>TỔNG</t>
        </is>
      </c>
      <c r="J3" s="3" t="inlineStr">
        <is>
          <t>Tổng có hao hụt</t>
        </is>
      </c>
      <c r="K3" s="3" t="inlineStr">
        <is>
          <t>Nguồn</t>
        </is>
      </c>
      <c r="L3" s="3" t="inlineStr">
        <is>
          <t>Ghi chú</t>
        </is>
      </c>
    </row>
    <row r="4">
      <c r="A4" s="4" t="n"/>
      <c r="B4" s="5" t="inlineStr">
        <is>
          <t>A. PIN, INVERTER, PHAO NỔI</t>
        </is>
      </c>
      <c r="C4" s="6" t="n"/>
      <c r="D4" s="4" t="n"/>
      <c r="E4" s="6" t="n"/>
      <c r="F4" s="6" t="n"/>
      <c r="G4" s="6" t="n"/>
      <c r="H4" s="6" t="n"/>
      <c r="I4" s="6" t="n"/>
      <c r="J4" s="6" t="n"/>
      <c r="K4" s="6" t="n"/>
      <c r="L4" s="6" t="n"/>
    </row>
    <row r="5" ht="78" customHeight="1">
      <c r="A5" s="7" t="n">
        <v>1</v>
      </c>
      <c r="B5" s="8" t="inlineStr">
        <is>
          <t>Tấm pin mặt trời</t>
        </is>
      </c>
      <c r="C5" s="8" t="n"/>
      <c r="D5" s="7" t="inlineStr">
        <is>
          <t>tấm</t>
        </is>
      </c>
      <c r="E5" s="9">
        <f>DuLieuBanVe!C4</f>
        <v/>
      </c>
      <c r="F5" s="9">
        <f>DuLieuBanVe!D4</f>
        <v/>
      </c>
      <c r="G5" s="9">
        <f>DuLieuBanVe!E4</f>
        <v/>
      </c>
      <c r="H5" s="9">
        <f>DuLieuBanVe!F4</f>
        <v/>
      </c>
      <c r="I5" s="9">
        <f>SUM(E5:H5)</f>
        <v/>
      </c>
      <c r="J5" s="9">
        <f>I5</f>
        <v/>
      </c>
      <c r="K5" s="8" t="inlineStr">
        <is>
          <t>BV</t>
        </is>
      </c>
      <c r="L5" s="8" t="inlineStr">
        <is>
          <t>18.914 tấm theo bảng từng tờ CT-BE (28/10/2026); lực gió và lực dây trên web tính theo số tấm từng bè này</t>
        </is>
      </c>
    </row>
    <row r="6" ht="30" customHeight="1">
      <c r="A6" s="7" t="n">
        <v>2</v>
      </c>
      <c r="B6" s="8" t="inlineStr">
        <is>
          <t>Inverter SG-510HX</t>
        </is>
      </c>
      <c r="C6" s="7" t="inlineStr">
        <is>
          <t>(không có hình trong tài liệu)</t>
        </is>
      </c>
      <c r="D6" s="7" t="inlineStr">
        <is>
          <t>bộ</t>
        </is>
      </c>
      <c r="E6" s="9">
        <f>DuLieuBanVe!C6</f>
        <v/>
      </c>
      <c r="F6" s="9">
        <f>DuLieuBanVe!D6</f>
        <v/>
      </c>
      <c r="G6" s="9">
        <f>DuLieuBanVe!E6</f>
        <v/>
      </c>
      <c r="H6" s="9">
        <f>DuLieuBanVe!F6</f>
        <v/>
      </c>
      <c r="I6" s="9">
        <f>SUM(E6:H6)</f>
        <v/>
      </c>
      <c r="J6" s="9">
        <f>I6</f>
        <v/>
      </c>
      <c r="K6" s="8" t="inlineStr">
        <is>
          <t>BV</t>
        </is>
      </c>
      <c r="L6" s="8" t="inlineStr">
        <is>
          <t>27 inverter; bản vẽ không có SG350HX</t>
        </is>
      </c>
    </row>
    <row r="7" ht="78" customHeight="1">
      <c r="A7" s="7" t="n">
        <v>3</v>
      </c>
      <c r="B7" s="8" t="inlineStr">
        <is>
          <t>Phao đỡ pin (Main Floater G5G)</t>
        </is>
      </c>
      <c r="C7" s="8" t="n"/>
      <c r="D7" s="7" t="inlineStr">
        <is>
          <t>cái</t>
        </is>
      </c>
      <c r="E7" s="9">
        <f>DuLieuBanVe!C7</f>
        <v/>
      </c>
      <c r="F7" s="9">
        <f>DuLieuBanVe!D7</f>
        <v/>
      </c>
      <c r="G7" s="9">
        <f>DuLieuBanVe!E7</f>
        <v/>
      </c>
      <c r="H7" s="9">
        <f>DuLieuBanVe!F7</f>
        <v/>
      </c>
      <c r="I7" s="9">
        <f>SUM(E7:H7)</f>
        <v/>
      </c>
      <c r="J7" s="9">
        <f>I7</f>
        <v/>
      </c>
      <c r="K7" s="8" t="inlineStr">
        <is>
          <t>BV</t>
        </is>
      </c>
      <c r="L7" s="8" t="inlineStr"/>
    </row>
    <row r="8" ht="78" customHeight="1">
      <c r="A8" s="7" t="n">
        <v>4</v>
      </c>
      <c r="B8" s="8" t="inlineStr">
        <is>
          <t>Phao đi lại (Walkway Floater) — nhóm 1</t>
        </is>
      </c>
      <c r="C8" s="8" t="n"/>
      <c r="D8" s="7" t="inlineStr">
        <is>
          <t>cái</t>
        </is>
      </c>
      <c r="E8" s="9">
        <f>DuLieuBanVe!C9</f>
        <v/>
      </c>
      <c r="F8" s="9">
        <f>DuLieuBanVe!D9</f>
        <v/>
      </c>
      <c r="G8" s="9">
        <f>DuLieuBanVe!E9</f>
        <v/>
      </c>
      <c r="H8" s="9">
        <f>DuLieuBanVe!F9</f>
        <v/>
      </c>
      <c r="I8" s="9">
        <f>SUM(E8:H8)</f>
        <v/>
      </c>
      <c r="J8" s="9">
        <f>I8</f>
        <v/>
      </c>
      <c r="K8" s="8" t="inlineStr">
        <is>
          <t>BV</t>
        </is>
      </c>
      <c r="L8" s="8" t="inlineStr">
        <is>
          <t>Bản vẽ chia phao đi lại thành 2 dòng; cần nhà sản xuất xác nhận là 1 hay 2 loại phao</t>
        </is>
      </c>
    </row>
    <row r="9" ht="78" customHeight="1">
      <c r="A9" s="7" t="n">
        <v>5</v>
      </c>
      <c r="B9" s="8" t="inlineStr">
        <is>
          <t>Phao đi lại (Walkway Floater) — nhóm 2</t>
        </is>
      </c>
      <c r="C9" s="8" t="n"/>
      <c r="D9" s="7" t="inlineStr">
        <is>
          <t>cái</t>
        </is>
      </c>
      <c r="E9" s="9">
        <f>DuLieuBanVe!C10</f>
        <v/>
      </c>
      <c r="F9" s="9">
        <f>DuLieuBanVe!D10</f>
        <v/>
      </c>
      <c r="G9" s="9">
        <f>DuLieuBanVe!E10</f>
        <v/>
      </c>
      <c r="H9" s="9">
        <f>DuLieuBanVe!F10</f>
        <v/>
      </c>
      <c r="I9" s="9">
        <f>SUM(E9:H9)</f>
        <v/>
      </c>
      <c r="J9" s="9">
        <f>I9</f>
        <v/>
      </c>
      <c r="K9" s="8" t="inlineStr">
        <is>
          <t>BV</t>
        </is>
      </c>
      <c r="L9" s="8" t="inlineStr"/>
    </row>
    <row r="10" ht="30" customHeight="1">
      <c r="A10" s="7" t="n">
        <v>6</v>
      </c>
      <c r="B10" s="8" t="inlineStr">
        <is>
          <t>Tổng phao</t>
        </is>
      </c>
      <c r="C10" s="7" t="inlineStr">
        <is>
          <t>(không có hình trong tài liệu)</t>
        </is>
      </c>
      <c r="D10" s="7" t="inlineStr">
        <is>
          <t>cái</t>
        </is>
      </c>
      <c r="E10" s="9">
        <f>DuLieuBanVe!C12</f>
        <v/>
      </c>
      <c r="F10" s="9">
        <f>DuLieuBanVe!D12</f>
        <v/>
      </c>
      <c r="G10" s="9">
        <f>DuLieuBanVe!E12</f>
        <v/>
      </c>
      <c r="H10" s="9">
        <f>DuLieuBanVe!F12</f>
        <v/>
      </c>
      <c r="I10" s="9">
        <f>SUM(E10:H10)</f>
        <v/>
      </c>
      <c r="J10" s="9">
        <f>I10</f>
        <v/>
      </c>
      <c r="K10" s="8" t="inlineStr">
        <is>
          <t>BV</t>
        </is>
      </c>
      <c r="L10" s="8" t="inlineStr"/>
    </row>
    <row r="11" ht="30" customHeight="1">
      <c r="A11" s="7" t="n">
        <v>7</v>
      </c>
      <c r="B11" s="8" t="inlineStr">
        <is>
          <t>Phao đỡ cáp điện giữa các bè</t>
        </is>
      </c>
      <c r="C11" s="7" t="inlineStr">
        <is>
          <t>(không có hình trong tài liệu)</t>
        </is>
      </c>
      <c r="D11" s="7" t="inlineStr">
        <is>
          <t>cái</t>
        </is>
      </c>
      <c r="E11" s="9" t="n"/>
      <c r="F11" s="9" t="n"/>
      <c r="G11" s="9" t="n"/>
      <c r="H11" s="9" t="n"/>
      <c r="I11" s="9">
        <f>DuLieuBanVe!G18</f>
        <v/>
      </c>
      <c r="J11" s="9">
        <f>I11</f>
        <v/>
      </c>
      <c r="K11" s="8" t="inlineStr">
        <is>
          <t>BV</t>
        </is>
      </c>
      <c r="L11" s="8" t="inlineStr">
        <is>
          <t>Tờ MB-BP-01: 1209 hàng × 2 = 2418 phao, cả hồ (không chia theo bè)</t>
        </is>
      </c>
    </row>
    <row r="12" ht="78" customHeight="1">
      <c r="A12" s="7" t="n">
        <v>8</v>
      </c>
      <c r="B12" s="8" t="inlineStr">
        <is>
          <t>Bộ bulông nhựa nối phao</t>
        </is>
      </c>
      <c r="C12" s="8" t="n"/>
      <c r="D12" s="7" t="inlineStr">
        <is>
          <t>bộ</t>
        </is>
      </c>
      <c r="E12" s="9">
        <f>ROUNDUP(DuLieuBanVe!C12*GiaDinh!$C$13,0)</f>
        <v/>
      </c>
      <c r="F12" s="9">
        <f>ROUNDUP(DuLieuBanVe!D12*GiaDinh!$C$13,0)</f>
        <v/>
      </c>
      <c r="G12" s="9">
        <f>ROUNDUP(DuLieuBanVe!E12*GiaDinh!$C$13,0)</f>
        <v/>
      </c>
      <c r="H12" s="9">
        <f>ROUNDUP(DuLieuBanVe!F12*GiaDinh!$C$13,0)</f>
        <v/>
      </c>
      <c r="I12" s="9">
        <f>SUM(E12:H12)</f>
        <v/>
      </c>
      <c r="J12" s="9">
        <f>ROUNDUP(I12*(1+GiaDinh!$C$14/100),0)</f>
        <v/>
      </c>
      <c r="K12" s="8" t="inlineStr">
        <is>
          <t>ƯL</t>
        </is>
      </c>
      <c r="L12" s="8" t="inlineStr">
        <is>
          <t>Tổng phao bè × hệ số K_FB ở GiaDinh (chưa gồm phao đỡ cáp)</t>
        </is>
      </c>
    </row>
    <row r="13">
      <c r="A13" s="4" t="n"/>
      <c r="B13" s="5" t="inlineStr">
        <is>
          <t>B. DẦM C52 (đặt trên rãnh phao)</t>
        </is>
      </c>
      <c r="C13" s="6" t="n"/>
      <c r="D13" s="4" t="n"/>
      <c r="E13" s="6" t="n"/>
      <c r="F13" s="6" t="n"/>
      <c r="G13" s="6" t="n"/>
      <c r="H13" s="6" t="n"/>
      <c r="I13" s="6" t="n"/>
      <c r="J13" s="6" t="n"/>
      <c r="K13" s="6" t="n"/>
      <c r="L13" s="6" t="n"/>
    </row>
    <row r="14" ht="78" customHeight="1">
      <c r="A14" s="7" t="n">
        <v>9</v>
      </c>
      <c r="B14" s="8" t="inlineStr">
        <is>
          <t>Dầm C52 — số thanh liên tục (bảng bản vẽ)</t>
        </is>
      </c>
      <c r="C14" s="8" t="n"/>
      <c r="D14" s="7" t="inlineStr">
        <is>
          <t>thanh</t>
        </is>
      </c>
      <c r="E14" s="9">
        <f>DuLieuBanVe!C13</f>
        <v/>
      </c>
      <c r="F14" s="9">
        <f>DuLieuBanVe!D13</f>
        <v/>
      </c>
      <c r="G14" s="9">
        <f>DuLieuBanVe!E13</f>
        <v/>
      </c>
      <c r="H14" s="9">
        <f>DuLieuBanVe!F13</f>
        <v/>
      </c>
      <c r="I14" s="9">
        <f>SUM(E14:H14)</f>
        <v/>
      </c>
      <c r="J14" s="9">
        <f>I14</f>
        <v/>
      </c>
      <c r="K14" s="8" t="inlineStr">
        <is>
          <t>BV</t>
        </is>
      </c>
      <c r="L14" s="8" t="inlineStr"/>
    </row>
    <row r="15" ht="78" customHeight="1">
      <c r="A15" s="7" t="n">
        <v>10</v>
      </c>
      <c r="B15" s="8" t="inlineStr">
        <is>
          <t>Dầm C52 — chiều dài</t>
        </is>
      </c>
      <c r="C15" s="8" t="n"/>
      <c r="D15" s="7" t="inlineStr">
        <is>
          <t>m</t>
        </is>
      </c>
      <c r="E15" s="9">
        <f>DuLieuBanVe!C14</f>
        <v/>
      </c>
      <c r="F15" s="9">
        <f>DuLieuBanVe!D14</f>
        <v/>
      </c>
      <c r="G15" s="9">
        <f>DuLieuBanVe!E14</f>
        <v/>
      </c>
      <c r="H15" s="9">
        <f>DuLieuBanVe!F14</f>
        <v/>
      </c>
      <c r="I15" s="9">
        <f>SUM(E15:H15)</f>
        <v/>
      </c>
      <c r="J15" s="9">
        <f>I15</f>
        <v/>
      </c>
      <c r="K15" s="8" t="inlineStr">
        <is>
          <t>BV</t>
        </is>
      </c>
      <c r="L15" s="8" t="inlineStr">
        <is>
          <t>Bảng tờ KC-BE</t>
        </is>
      </c>
    </row>
    <row r="16" ht="78" customHeight="1">
      <c r="A16" s="7" t="n">
        <v>11</v>
      </c>
      <c r="B16" s="8" t="inlineStr">
        <is>
          <t>Dầm C52 — số cây cấp hàng</t>
        </is>
      </c>
      <c r="C16" s="8" t="n"/>
      <c r="D16" s="7" t="inlineStr">
        <is>
          <t>cây</t>
        </is>
      </c>
      <c r="E16" s="9">
        <f>ROUNDUP(DuLieuBanVe!C14/GiaDinh!$C$4+DuLieuBanVe!C13*GiaDinh!$C$19,0)</f>
        <v/>
      </c>
      <c r="F16" s="9">
        <f>ROUNDUP(DuLieuBanVe!D14/GiaDinh!$C$4+DuLieuBanVe!D13*GiaDinh!$C$19,0)</f>
        <v/>
      </c>
      <c r="G16" s="9">
        <f>ROUNDUP(DuLieuBanVe!E14/GiaDinh!$C$4+DuLieuBanVe!E13*GiaDinh!$C$19,0)</f>
        <v/>
      </c>
      <c r="H16" s="9">
        <f>ROUNDUP(DuLieuBanVe!F14/GiaDinh!$C$4+DuLieuBanVe!F13*GiaDinh!$C$19,0)</f>
        <v/>
      </c>
      <c r="I16" s="9">
        <f>SUM(E16:H16)</f>
        <v/>
      </c>
      <c r="J16" s="9">
        <f>I16</f>
        <v/>
      </c>
      <c r="K16" s="8" t="inlineStr">
        <is>
          <t>ƯL</t>
        </is>
      </c>
      <c r="L16" s="8" t="inlineStr">
        <is>
          <t>Không đo được từng thanh: tổng dài / L_C52 + số thanh × K_DU (GiaDinh)</t>
        </is>
      </c>
    </row>
    <row r="17" ht="78" customHeight="1">
      <c r="A17" s="7" t="n">
        <v>12</v>
      </c>
      <c r="B17" s="8" t="inlineStr">
        <is>
          <t>Bộ nối dầm C52 (Splice for Beam-C)</t>
        </is>
      </c>
      <c r="C17" s="8" t="n"/>
      <c r="D17" s="7" t="inlineStr">
        <is>
          <t>bộ</t>
        </is>
      </c>
      <c r="E17" s="9">
        <f>E16-E14</f>
        <v/>
      </c>
      <c r="F17" s="9">
        <f>F16-F14</f>
        <v/>
      </c>
      <c r="G17" s="9">
        <f>G16-G14</f>
        <v/>
      </c>
      <c r="H17" s="9">
        <f>H16-H14</f>
        <v/>
      </c>
      <c r="I17" s="9">
        <f>SUM(E17:H17)</f>
        <v/>
      </c>
      <c r="J17" s="9">
        <f>ROUNDUP(I17*(1+GiaDinh!$C$14/100),0)</f>
        <v/>
      </c>
      <c r="K17" s="8" t="inlineStr">
        <is>
          <t>ƯL</t>
        </is>
      </c>
      <c r="L17" s="8" t="inlineStr">
        <is>
          <t>Số cây − số thanh. Nối đối đầu; mỗi bộ: 1 bản nối + 2 bulông M10×70 + 2 chốt M10×60 + đai ốc, long đen (tài liệu phụ kiện Mibet)</t>
        </is>
      </c>
    </row>
    <row r="18" ht="78" customHeight="1">
      <c r="A18" s="7" t="n">
        <v>13</v>
      </c>
      <c r="B18" s="8" t="inlineStr">
        <is>
          <t>Dầm C52 — khối lượng</t>
        </is>
      </c>
      <c r="C18" s="8" t="n"/>
      <c r="D18" s="7" t="inlineStr">
        <is>
          <t>kg</t>
        </is>
      </c>
      <c r="E18" s="9">
        <f>DuLieuBanVe!C14*GiaDinh!$C$6</f>
        <v/>
      </c>
      <c r="F18" s="9">
        <f>DuLieuBanVe!D14*GiaDinh!$C$6</f>
        <v/>
      </c>
      <c r="G18" s="9">
        <f>DuLieuBanVe!E14*GiaDinh!$C$6</f>
        <v/>
      </c>
      <c r="H18" s="9">
        <f>DuLieuBanVe!F14*GiaDinh!$C$6</f>
        <v/>
      </c>
      <c r="I18" s="9">
        <f>SUM(E18:H18)</f>
        <v/>
      </c>
      <c r="J18" s="9">
        <f>I18</f>
        <v/>
      </c>
      <c r="K18" s="8" t="inlineStr">
        <is>
          <t>ƯL</t>
        </is>
      </c>
      <c r="L18" s="8" t="inlineStr">
        <is>
          <t>Theo tiết diện GIẢ ĐỊNH</t>
        </is>
      </c>
    </row>
    <row r="19" ht="78" customHeight="1">
      <c r="A19" s="7" t="n">
        <v>14</v>
      </c>
      <c r="B19" s="8" t="inlineStr">
        <is>
          <t>Bulông M8×35 bắt dầm C52 vào phao</t>
        </is>
      </c>
      <c r="C19" s="8" t="n"/>
      <c r="D19" s="7" t="inlineStr">
        <is>
          <t>bộ</t>
        </is>
      </c>
      <c r="E19" s="9">
        <f>ROUNDUP(DuLieuBanVe!C14*GiaDinh!$C$20,0)</f>
        <v/>
      </c>
      <c r="F19" s="9">
        <f>ROUNDUP(DuLieuBanVe!D14*GiaDinh!$C$20,0)</f>
        <v/>
      </c>
      <c r="G19" s="9">
        <f>ROUNDUP(DuLieuBanVe!E14*GiaDinh!$C$20,0)</f>
        <v/>
      </c>
      <c r="H19" s="9">
        <f>ROUNDUP(DuLieuBanVe!F14*GiaDinh!$C$20,0)</f>
        <v/>
      </c>
      <c r="I19" s="9">
        <f>SUM(E19:H19)</f>
        <v/>
      </c>
      <c r="J19" s="9">
        <f>ROUNDUP(I19*(1+GiaDinh!$C$14/100),0)</f>
        <v/>
      </c>
      <c r="K19" s="8" t="inlineStr">
        <is>
          <t>ƯL</t>
        </is>
      </c>
      <c r="L19" s="8" t="inlineStr">
        <is>
          <t>1 bộ tại mỗi chỗ dầm C52 vượt qua một hàng phao (K_XF)</t>
        </is>
      </c>
    </row>
    <row r="20">
      <c r="A20" s="4" t="n"/>
      <c r="B20" s="5" t="inlineStr">
        <is>
          <t>C. HỘP 40x60 KẾT CẤU (nằm ngang trên dầm C52)</t>
        </is>
      </c>
      <c r="C20" s="6" t="n"/>
      <c r="D20" s="4" t="n"/>
      <c r="E20" s="6" t="n"/>
      <c r="F20" s="6" t="n"/>
      <c r="G20" s="6" t="n"/>
      <c r="H20" s="6" t="n"/>
      <c r="I20" s="6" t="n"/>
      <c r="J20" s="6" t="n"/>
      <c r="K20" s="6" t="n"/>
      <c r="L20" s="6" t="n"/>
    </row>
    <row r="21" ht="78" customHeight="1">
      <c r="A21" s="7" t="n">
        <v>15</v>
      </c>
      <c r="B21" s="8" t="inlineStr">
        <is>
          <t>Hộp 40x60 — số thanh liên tục</t>
        </is>
      </c>
      <c r="C21" s="8" t="n"/>
      <c r="D21" s="7" t="inlineStr">
        <is>
          <t>thanh</t>
        </is>
      </c>
      <c r="E21" s="9">
        <f>DuLieuBanVe!C15</f>
        <v/>
      </c>
      <c r="F21" s="9">
        <f>DuLieuBanVe!D15</f>
        <v/>
      </c>
      <c r="G21" s="9">
        <f>DuLieuBanVe!E15</f>
        <v/>
      </c>
      <c r="H21" s="9">
        <f>DuLieuBanVe!F15</f>
        <v/>
      </c>
      <c r="I21" s="9">
        <f>SUM(E21:H21)</f>
        <v/>
      </c>
      <c r="J21" s="9">
        <f>I21</f>
        <v/>
      </c>
      <c r="K21" s="8" t="inlineStr">
        <is>
          <t>BV</t>
        </is>
      </c>
      <c r="L21" s="8" t="inlineStr"/>
    </row>
    <row r="22" ht="78" customHeight="1">
      <c r="A22" s="7" t="n">
        <v>16</v>
      </c>
      <c r="B22" s="8" t="inlineStr">
        <is>
          <t>Hộp 40x60 — chiều dài</t>
        </is>
      </c>
      <c r="C22" s="8" t="n"/>
      <c r="D22" s="7" t="inlineStr">
        <is>
          <t>m</t>
        </is>
      </c>
      <c r="E22" s="9">
        <f>DuLieuBanVe!C16</f>
        <v/>
      </c>
      <c r="F22" s="9">
        <f>DuLieuBanVe!D16</f>
        <v/>
      </c>
      <c r="G22" s="9">
        <f>DuLieuBanVe!E16</f>
        <v/>
      </c>
      <c r="H22" s="9">
        <f>DuLieuBanVe!F16</f>
        <v/>
      </c>
      <c r="I22" s="9">
        <f>SUM(E22:H22)</f>
        <v/>
      </c>
      <c r="J22" s="9">
        <f>I22</f>
        <v/>
      </c>
      <c r="K22" s="8" t="inlineStr">
        <is>
          <t>BV</t>
        </is>
      </c>
      <c r="L22" s="8" t="inlineStr">
        <is>
          <t>Bảng tờ KC-BE. BÈ 3: 23 thanh, trung bình 148 m/thanh &gt; 109,9 m (kích thước lớn nhất của bè) — CẦN KIỂM LẠI bảng KC-BE-03</t>
        </is>
      </c>
    </row>
    <row r="23" ht="78" customHeight="1">
      <c r="A23" s="7" t="n">
        <v>17</v>
      </c>
      <c r="B23" s="8" t="inlineStr">
        <is>
          <t>Hộp 40x60 — số cây cấp hàng</t>
        </is>
      </c>
      <c r="C23" s="8" t="n"/>
      <c r="D23" s="7" t="inlineStr">
        <is>
          <t>cây</t>
        </is>
      </c>
      <c r="E23" s="9">
        <f>ROUNDUP(DuLieuBanVe!C16/GiaDinh!$C$5+DuLieuBanVe!C15*GiaDinh!$C$19,0)</f>
        <v/>
      </c>
      <c r="F23" s="9">
        <f>ROUNDUP(DuLieuBanVe!D16/GiaDinh!$C$5+DuLieuBanVe!D15*GiaDinh!$C$19,0)</f>
        <v/>
      </c>
      <c r="G23" s="9">
        <f>ROUNDUP(DuLieuBanVe!E16/GiaDinh!$C$5+DuLieuBanVe!E15*GiaDinh!$C$19,0)</f>
        <v/>
      </c>
      <c r="H23" s="9">
        <f>ROUNDUP(DuLieuBanVe!F16/GiaDinh!$C$5+DuLieuBanVe!F15*GiaDinh!$C$19,0)</f>
        <v/>
      </c>
      <c r="I23" s="9">
        <f>SUM(E23:H23)</f>
        <v/>
      </c>
      <c r="J23" s="9">
        <f>I23</f>
        <v/>
      </c>
      <c r="K23" s="8" t="inlineStr">
        <is>
          <t>ƯL</t>
        </is>
      </c>
      <c r="L23" s="8" t="inlineStr"/>
    </row>
    <row r="24" ht="78" customHeight="1">
      <c r="A24" s="7" t="n">
        <v>18</v>
      </c>
      <c r="B24" s="8" t="inlineStr">
        <is>
          <t>Bộ nối hộp 40x60 (Splice for Square Steel)</t>
        </is>
      </c>
      <c r="C24" s="8" t="n"/>
      <c r="D24" s="7" t="inlineStr">
        <is>
          <t>bộ</t>
        </is>
      </c>
      <c r="E24" s="9">
        <f>E23-E21</f>
        <v/>
      </c>
      <c r="F24" s="9">
        <f>F23-F21</f>
        <v/>
      </c>
      <c r="G24" s="9">
        <f>G23-G21</f>
        <v/>
      </c>
      <c r="H24" s="9">
        <f>H23-H21</f>
        <v/>
      </c>
      <c r="I24" s="9">
        <f>SUM(E24:H24)</f>
        <v/>
      </c>
      <c r="J24" s="9">
        <f>ROUNDUP(I24*(1+GiaDinh!$C$14/100),0)</f>
        <v/>
      </c>
      <c r="K24" s="8" t="inlineStr">
        <is>
          <t>ƯL</t>
        </is>
      </c>
      <c r="L24" s="8" t="inlineStr">
        <is>
          <t>Nối đối đầu bằng bộ nối của nhà sản xuất (datasheet G5G); tài liệu Mibet không dùng nối chồng</t>
        </is>
      </c>
    </row>
    <row r="25" ht="78" customHeight="1">
      <c r="A25" s="7" t="n">
        <v>19</v>
      </c>
      <c r="B25" s="8" t="inlineStr">
        <is>
          <t>Hộp 40x60 — khối lượng</t>
        </is>
      </c>
      <c r="C25" s="8" t="n"/>
      <c r="D25" s="7" t="inlineStr">
        <is>
          <t>kg</t>
        </is>
      </c>
      <c r="E25" s="9">
        <f>DuLieuBanVe!C16*GiaDinh!$C$7</f>
        <v/>
      </c>
      <c r="F25" s="9">
        <f>DuLieuBanVe!D16*GiaDinh!$C$7</f>
        <v/>
      </c>
      <c r="G25" s="9">
        <f>DuLieuBanVe!E16*GiaDinh!$C$7</f>
        <v/>
      </c>
      <c r="H25" s="9">
        <f>DuLieuBanVe!F16*GiaDinh!$C$7</f>
        <v/>
      </c>
      <c r="I25" s="9">
        <f>SUM(E25:H25)</f>
        <v/>
      </c>
      <c r="J25" s="9">
        <f>I25</f>
        <v/>
      </c>
      <c r="K25" s="8" t="inlineStr">
        <is>
          <t>ƯL</t>
        </is>
      </c>
      <c r="L25" s="8" t="inlineStr">
        <is>
          <t>Theo tiết diện GIẢ ĐỊNH</t>
        </is>
      </c>
    </row>
    <row r="26" ht="78" customHeight="1">
      <c r="A26" s="7" t="n">
        <v>20</v>
      </c>
      <c r="B26" s="8" t="inlineStr">
        <is>
          <t>Bulông M10×120 bắt hộp 40x60 vào dầm C52</t>
        </is>
      </c>
      <c r="C26" s="8" t="n"/>
      <c r="D26" s="7" t="inlineStr">
        <is>
          <t>bộ</t>
        </is>
      </c>
      <c r="E26" s="9">
        <f>ROUNDUP(DuLieuBanVe!C16/GiaDinh!$C$21,0)</f>
        <v/>
      </c>
      <c r="F26" s="9">
        <f>ROUNDUP(DuLieuBanVe!D16/GiaDinh!$C$21,0)</f>
        <v/>
      </c>
      <c r="G26" s="9">
        <f>ROUNDUP(DuLieuBanVe!E16/GiaDinh!$C$21,0)</f>
        <v/>
      </c>
      <c r="H26" s="9">
        <f>ROUNDUP(DuLieuBanVe!F16/GiaDinh!$C$21,0)</f>
        <v/>
      </c>
      <c r="I26" s="9">
        <f>SUM(E26:H26)</f>
        <v/>
      </c>
      <c r="J26" s="9">
        <f>ROUNDUP(I26*(1+GiaDinh!$C$14/100),0)</f>
        <v/>
      </c>
      <c r="K26" s="8" t="inlineStr">
        <is>
          <t>ƯL</t>
        </is>
      </c>
      <c r="L26" s="8" t="inlineStr">
        <is>
          <t>1 bộ tại mỗi giao điểm hộp – dầm C52 (HD lắp G5 bước 8)</t>
        </is>
      </c>
    </row>
    <row r="27">
      <c r="A27" s="4" t="n"/>
      <c r="B27" s="5" t="inlineStr">
        <is>
          <t>D. HỘP 40x60 GIA CƯỜNG TAI NEO (bản vẽ bè CHƯA có — bố trí theo sơ đồ GC-01, ƯỚC TÍNH)</t>
        </is>
      </c>
      <c r="C27" s="6" t="n"/>
      <c r="D27" s="4" t="n"/>
      <c r="E27" s="6" t="n"/>
      <c r="F27" s="6" t="n"/>
      <c r="G27" s="6" t="n"/>
      <c r="H27" s="6" t="n"/>
      <c r="I27" s="6" t="n"/>
      <c r="J27" s="6" t="n"/>
      <c r="K27" s="6" t="n"/>
      <c r="L27" s="6" t="n"/>
    </row>
    <row r="28" ht="78" customHeight="1">
      <c r="A28" s="7" t="n">
        <v>21</v>
      </c>
      <c r="B28" s="8" t="inlineStr">
        <is>
          <t>Hộp 40x60 gia cường — số thanh</t>
        </is>
      </c>
      <c r="C28" s="8" t="n"/>
      <c r="D28" s="7" t="inlineStr">
        <is>
          <t>thanh</t>
        </is>
      </c>
      <c r="E28" s="9">
        <f>SUMIF(GiaCuong_TaiNeo!$A$4:$A$312,"BÈ 1",GiaCuong_TaiNeo!$L$4:$L$312)</f>
        <v/>
      </c>
      <c r="F28" s="9">
        <f>SUMIF(GiaCuong_TaiNeo!$A$4:$A$312,"BÈ 2",GiaCuong_TaiNeo!$L$4:$L$312)</f>
        <v/>
      </c>
      <c r="G28" s="9">
        <f>SUMIF(GiaCuong_TaiNeo!$A$4:$A$312,"BÈ 3",GiaCuong_TaiNeo!$L$4:$L$312)</f>
        <v/>
      </c>
      <c r="H28" s="9">
        <f>SUMIF(GiaCuong_TaiNeo!$A$4:$A$312,"BÈ 4",GiaCuong_TaiNeo!$L$4:$L$312)</f>
        <v/>
      </c>
      <c r="I28" s="9">
        <f>SUM(E28:H28)</f>
        <v/>
      </c>
      <c r="J28" s="9">
        <f>I28</f>
        <v/>
      </c>
      <c r="K28" s="8" t="inlineStr">
        <is>
          <t>ƯL</t>
        </is>
      </c>
      <c r="L28" s="8" t="inlineStr">
        <is>
          <t>Sheet GiaCuong_TaiNeo (từng cụm tai neo, mã cụm như bản vẽ GC-01)</t>
        </is>
      </c>
    </row>
    <row r="29" ht="78" customHeight="1">
      <c r="A29" s="7" t="n">
        <v>22</v>
      </c>
      <c r="B29" s="8" t="inlineStr">
        <is>
          <t>Hộp 40x60 gia cường — chiều dài</t>
        </is>
      </c>
      <c r="C29" s="8" t="n"/>
      <c r="D29" s="7" t="inlineStr">
        <is>
          <t>m</t>
        </is>
      </c>
      <c r="E29" s="9">
        <f>SUMIF(GiaCuong_TaiNeo!$A$4:$A$312,"BÈ 1",GiaCuong_TaiNeo!$M$4:$M$312)</f>
        <v/>
      </c>
      <c r="F29" s="9">
        <f>SUMIF(GiaCuong_TaiNeo!$A$4:$A$312,"BÈ 2",GiaCuong_TaiNeo!$M$4:$M$312)</f>
        <v/>
      </c>
      <c r="G29" s="9">
        <f>SUMIF(GiaCuong_TaiNeo!$A$4:$A$312,"BÈ 3",GiaCuong_TaiNeo!$M$4:$M$312)</f>
        <v/>
      </c>
      <c r="H29" s="9">
        <f>SUMIF(GiaCuong_TaiNeo!$A$4:$A$312,"BÈ 4",GiaCuong_TaiNeo!$M$4:$M$312)</f>
        <v/>
      </c>
      <c r="I29" s="9">
        <f>SUM(E29:H29)</f>
        <v/>
      </c>
      <c r="J29" s="9">
        <f>I29</f>
        <v/>
      </c>
      <c r="K29" s="8" t="inlineStr">
        <is>
          <t>ƯL</t>
        </is>
      </c>
      <c r="L29" s="8" t="inlineStr"/>
    </row>
    <row r="30" ht="78" customHeight="1">
      <c r="A30" s="7" t="n">
        <v>23</v>
      </c>
      <c r="B30" s="8" t="inlineStr">
        <is>
          <t>Hộp 40x60 gia cường — số cây cấp hàng</t>
        </is>
      </c>
      <c r="C30" s="8" t="n"/>
      <c r="D30" s="7" t="inlineStr">
        <is>
          <t>cây</t>
        </is>
      </c>
      <c r="E30" s="9">
        <f>SUMIF(GiaCuong_TaiNeo!$A$4:$A$312,"BÈ 1",GiaCuong_TaiNeo!$N$4:$N$312)</f>
        <v/>
      </c>
      <c r="F30" s="9">
        <f>SUMIF(GiaCuong_TaiNeo!$A$4:$A$312,"BÈ 2",GiaCuong_TaiNeo!$N$4:$N$312)</f>
        <v/>
      </c>
      <c r="G30" s="9">
        <f>SUMIF(GiaCuong_TaiNeo!$A$4:$A$312,"BÈ 3",GiaCuong_TaiNeo!$N$4:$N$312)</f>
        <v/>
      </c>
      <c r="H30" s="9">
        <f>SUMIF(GiaCuong_TaiNeo!$A$4:$A$312,"BÈ 4",GiaCuong_TaiNeo!$N$4:$N$312)</f>
        <v/>
      </c>
      <c r="I30" s="9">
        <f>SUM(E30:H30)</f>
        <v/>
      </c>
      <c r="J30" s="9">
        <f>I30</f>
        <v/>
      </c>
      <c r="K30" s="8" t="inlineStr">
        <is>
          <t>ƯL</t>
        </is>
      </c>
      <c r="L30" s="8" t="inlineStr"/>
    </row>
    <row r="31" ht="78" customHeight="1">
      <c r="A31" s="7" t="n">
        <v>24</v>
      </c>
      <c r="B31" s="8" t="inlineStr">
        <is>
          <t>Bộ nối hộp 40x60 (gia cường)</t>
        </is>
      </c>
      <c r="C31" s="8" t="n"/>
      <c r="D31" s="7" t="inlineStr">
        <is>
          <t>bộ</t>
        </is>
      </c>
      <c r="E31" s="9">
        <f>SUMIF(GiaCuong_TaiNeo!$A$4:$A$312,"BÈ 1",GiaCuong_TaiNeo!$O$4:$O$312)</f>
        <v/>
      </c>
      <c r="F31" s="9">
        <f>SUMIF(GiaCuong_TaiNeo!$A$4:$A$312,"BÈ 2",GiaCuong_TaiNeo!$O$4:$O$312)</f>
        <v/>
      </c>
      <c r="G31" s="9">
        <f>SUMIF(GiaCuong_TaiNeo!$A$4:$A$312,"BÈ 3",GiaCuong_TaiNeo!$O$4:$O$312)</f>
        <v/>
      </c>
      <c r="H31" s="9">
        <f>SUMIF(GiaCuong_TaiNeo!$A$4:$A$312,"BÈ 4",GiaCuong_TaiNeo!$O$4:$O$312)</f>
        <v/>
      </c>
      <c r="I31" s="9">
        <f>SUM(E31:H31)</f>
        <v/>
      </c>
      <c r="J31" s="9">
        <f>ROUNDUP(I31*(1+GiaDinh!$C$14/100),0)</f>
        <v/>
      </c>
      <c r="K31" s="8" t="inlineStr">
        <is>
          <t>ƯL</t>
        </is>
      </c>
      <c r="L31" s="8" t="inlineStr"/>
    </row>
    <row r="32" ht="78" customHeight="1">
      <c r="A32" s="7" t="n">
        <v>25</v>
      </c>
      <c r="B32" s="8" t="inlineStr">
        <is>
          <t>Móc chữ "几" kẹp hộp vào dầm C52</t>
        </is>
      </c>
      <c r="C32" s="8" t="n"/>
      <c r="D32" s="7" t="inlineStr">
        <is>
          <t>cái</t>
        </is>
      </c>
      <c r="E32" s="9">
        <f>SUMIF(GiaCuong_TaiNeo!$A$4:$A$312,"BÈ 1",GiaCuong_TaiNeo!$P$4:$P$312)</f>
        <v/>
      </c>
      <c r="F32" s="9">
        <f>SUMIF(GiaCuong_TaiNeo!$A$4:$A$312,"BÈ 2",GiaCuong_TaiNeo!$P$4:$P$312)</f>
        <v/>
      </c>
      <c r="G32" s="9">
        <f>SUMIF(GiaCuong_TaiNeo!$A$4:$A$312,"BÈ 3",GiaCuong_TaiNeo!$P$4:$P$312)</f>
        <v/>
      </c>
      <c r="H32" s="9">
        <f>SUMIF(GiaCuong_TaiNeo!$A$4:$A$312,"BÈ 4",GiaCuong_TaiNeo!$P$4:$P$312)</f>
        <v/>
      </c>
      <c r="I32" s="9">
        <f>SUM(E32:H32)</f>
        <v/>
      </c>
      <c r="J32" s="9">
        <f>ROUNDUP(I32*(1+GiaDinh!$C$14/100),0)</f>
        <v/>
      </c>
      <c r="K32" s="8" t="inlineStr">
        <is>
          <t>ƯL</t>
        </is>
      </c>
      <c r="L32" s="8" t="inlineStr">
        <is>
          <t>HD lắp G5 bước 8: hộp dùng làm điểm neo kẹp bằng móc "几" tại mọi giao điểm với C52</t>
        </is>
      </c>
    </row>
    <row r="33" ht="78" customHeight="1">
      <c r="A33" s="7" t="n">
        <v>26</v>
      </c>
      <c r="B33" s="8" t="inlineStr">
        <is>
          <t>Bộ đai ốc thoi M10×30 (cho móc "几")</t>
        </is>
      </c>
      <c r="C33" s="8" t="n"/>
      <c r="D33" s="7" t="inlineStr">
        <is>
          <t>bộ</t>
        </is>
      </c>
      <c r="E33" s="9">
        <f>SUMIF(GiaCuong_TaiNeo!$A$4:$A$312,"BÈ 1",GiaCuong_TaiNeo!$Q$4:$Q$312)</f>
        <v/>
      </c>
      <c r="F33" s="9">
        <f>SUMIF(GiaCuong_TaiNeo!$A$4:$A$312,"BÈ 2",GiaCuong_TaiNeo!$Q$4:$Q$312)</f>
        <v/>
      </c>
      <c r="G33" s="9">
        <f>SUMIF(GiaCuong_TaiNeo!$A$4:$A$312,"BÈ 3",GiaCuong_TaiNeo!$Q$4:$Q$312)</f>
        <v/>
      </c>
      <c r="H33" s="9">
        <f>SUMIF(GiaCuong_TaiNeo!$A$4:$A$312,"BÈ 4",GiaCuong_TaiNeo!$Q$4:$Q$312)</f>
        <v/>
      </c>
      <c r="I33" s="9">
        <f>SUM(E33:H33)</f>
        <v/>
      </c>
      <c r="J33" s="9">
        <f>ROUNDUP(I33*(1+GiaDinh!$C$14/100),0)</f>
        <v/>
      </c>
      <c r="K33" s="8" t="inlineStr">
        <is>
          <t>ƯL</t>
        </is>
      </c>
      <c r="L33" s="8" t="inlineStr">
        <is>
          <t>2 bộ mỗi móc</t>
        </is>
      </c>
    </row>
    <row r="34" ht="78" customHeight="1">
      <c r="A34" s="7" t="n">
        <v>27</v>
      </c>
      <c r="B34" s="8" t="inlineStr">
        <is>
          <t>Bulông M10×120 (hộp gia cường)</t>
        </is>
      </c>
      <c r="C34" s="8" t="n"/>
      <c r="D34" s="7" t="inlineStr">
        <is>
          <t>bộ</t>
        </is>
      </c>
      <c r="E34" s="9">
        <f>SUMIF(GiaCuong_TaiNeo!$A$4:$A$312,"BÈ 1",GiaCuong_TaiNeo!$R$4:$R$312)</f>
        <v/>
      </c>
      <c r="F34" s="9">
        <f>SUMIF(GiaCuong_TaiNeo!$A$4:$A$312,"BÈ 2",GiaCuong_TaiNeo!$R$4:$R$312)</f>
        <v/>
      </c>
      <c r="G34" s="9">
        <f>SUMIF(GiaCuong_TaiNeo!$A$4:$A$312,"BÈ 3",GiaCuong_TaiNeo!$R$4:$R$312)</f>
        <v/>
      </c>
      <c r="H34" s="9">
        <f>SUMIF(GiaCuong_TaiNeo!$A$4:$A$312,"BÈ 4",GiaCuong_TaiNeo!$R$4:$R$312)</f>
        <v/>
      </c>
      <c r="I34" s="9">
        <f>SUM(E34:H34)</f>
        <v/>
      </c>
      <c r="J34" s="9">
        <f>ROUNDUP(I34*(1+GiaDinh!$C$14/100),0)</f>
        <v/>
      </c>
      <c r="K34" s="8" t="inlineStr">
        <is>
          <t>ƯL</t>
        </is>
      </c>
      <c r="L34" s="8" t="inlineStr">
        <is>
          <t>1 bộ mỗi móc</t>
        </is>
      </c>
    </row>
    <row r="35" ht="78" customHeight="1">
      <c r="A35" s="7" t="n">
        <v>28</v>
      </c>
      <c r="B35" s="8" t="inlineStr">
        <is>
          <t>Hộp 40x60 gia cường — khối lượng</t>
        </is>
      </c>
      <c r="C35" s="8" t="n"/>
      <c r="D35" s="7" t="inlineStr">
        <is>
          <t>kg</t>
        </is>
      </c>
      <c r="E35" s="9">
        <f>SUMIF(GiaCuong_TaiNeo!$A$4:$A$312,"BÈ 1",GiaCuong_TaiNeo!$S$4:$S$312)</f>
        <v/>
      </c>
      <c r="F35" s="9">
        <f>SUMIF(GiaCuong_TaiNeo!$A$4:$A$312,"BÈ 2",GiaCuong_TaiNeo!$S$4:$S$312)</f>
        <v/>
      </c>
      <c r="G35" s="9">
        <f>SUMIF(GiaCuong_TaiNeo!$A$4:$A$312,"BÈ 3",GiaCuong_TaiNeo!$S$4:$S$312)</f>
        <v/>
      </c>
      <c r="H35" s="9">
        <f>SUMIF(GiaCuong_TaiNeo!$A$4:$A$312,"BÈ 4",GiaCuong_TaiNeo!$S$4:$S$312)</f>
        <v/>
      </c>
      <c r="I35" s="9">
        <f>SUM(E35:H35)</f>
        <v/>
      </c>
      <c r="J35" s="9">
        <f>I35</f>
        <v/>
      </c>
      <c r="K35" s="8" t="inlineStr">
        <is>
          <t>ƯL</t>
        </is>
      </c>
      <c r="L35" s="8" t="inlineStr">
        <is>
          <t>Theo tiết diện GIẢ ĐỊNH</t>
        </is>
      </c>
    </row>
    <row r="36">
      <c r="A36" s="4" t="n"/>
      <c r="B36" s="5" t="inlineStr">
        <is>
          <t>E. GÁ ĐỠ VÀ KẸP TẤM PIN</t>
        </is>
      </c>
      <c r="C36" s="6" t="n"/>
      <c r="D36" s="4" t="n"/>
      <c r="E36" s="6" t="n"/>
      <c r="F36" s="6" t="n"/>
      <c r="G36" s="6" t="n"/>
      <c r="H36" s="6" t="n"/>
      <c r="I36" s="6" t="n"/>
      <c r="J36" s="6" t="n"/>
      <c r="K36" s="6" t="n"/>
      <c r="L36" s="6" t="n"/>
    </row>
    <row r="37" ht="78" customHeight="1">
      <c r="A37" s="7" t="n">
        <v>29</v>
      </c>
      <c r="B37" s="8" t="inlineStr">
        <is>
          <t>Gá trước (Front Support G5)</t>
        </is>
      </c>
      <c r="C37" s="8" t="n"/>
      <c r="D37" s="7" t="inlineStr">
        <is>
          <t>cái</t>
        </is>
      </c>
      <c r="E37" s="9">
        <f>DuLieuBanVe!C4*GiaDinh!$C$8</f>
        <v/>
      </c>
      <c r="F37" s="9">
        <f>DuLieuBanVe!D4*GiaDinh!$C$8</f>
        <v/>
      </c>
      <c r="G37" s="9">
        <f>DuLieuBanVe!E4*GiaDinh!$C$8</f>
        <v/>
      </c>
      <c r="H37" s="9">
        <f>DuLieuBanVe!F4*GiaDinh!$C$8</f>
        <v/>
      </c>
      <c r="I37" s="9">
        <f>SUM(E37:H37)</f>
        <v/>
      </c>
      <c r="J37" s="9">
        <f>ROUNDUP(I37*(1+GiaDinh!$C$14/100),0)</f>
        <v/>
      </c>
      <c r="K37" s="8" t="inlineStr">
        <is>
          <t>ƯL</t>
        </is>
      </c>
      <c r="L37" s="8" t="inlineStr"/>
    </row>
    <row r="38" ht="78" customHeight="1">
      <c r="A38" s="7" t="n">
        <v>30</v>
      </c>
      <c r="B38" s="8" t="inlineStr">
        <is>
          <t>Gá sau (Back Support G5)</t>
        </is>
      </c>
      <c r="C38" s="8" t="n"/>
      <c r="D38" s="7" t="inlineStr">
        <is>
          <t>cái</t>
        </is>
      </c>
      <c r="E38" s="9">
        <f>DuLieuBanVe!C4*GiaDinh!$C$9</f>
        <v/>
      </c>
      <c r="F38" s="9">
        <f>DuLieuBanVe!D4*GiaDinh!$C$9</f>
        <v/>
      </c>
      <c r="G38" s="9">
        <f>DuLieuBanVe!E4*GiaDinh!$C$9</f>
        <v/>
      </c>
      <c r="H38" s="9">
        <f>DuLieuBanVe!F4*GiaDinh!$C$9</f>
        <v/>
      </c>
      <c r="I38" s="9">
        <f>SUM(E38:H38)</f>
        <v/>
      </c>
      <c r="J38" s="9">
        <f>ROUNDUP(I38*(1+GiaDinh!$C$14/100),0)</f>
        <v/>
      </c>
      <c r="K38" s="8" t="inlineStr">
        <is>
          <t>ƯL</t>
        </is>
      </c>
      <c r="L38" s="8" t="inlineStr"/>
    </row>
    <row r="39" ht="78" customHeight="1">
      <c r="A39" s="7" t="n">
        <v>31</v>
      </c>
      <c r="B39" s="8" t="inlineStr">
        <is>
          <t>Bộ kẹp biên tấm pin (End Clamp Kit, bulông M8×30)</t>
        </is>
      </c>
      <c r="C39" s="8" t="n"/>
      <c r="D39" s="7" t="inlineStr">
        <is>
          <t>bộ</t>
        </is>
      </c>
      <c r="E39" s="9">
        <f>DuLieuBanVe!C4*GiaDinh!$C$10</f>
        <v/>
      </c>
      <c r="F39" s="9">
        <f>DuLieuBanVe!D4*GiaDinh!$C$10</f>
        <v/>
      </c>
      <c r="G39" s="9">
        <f>DuLieuBanVe!E4*GiaDinh!$C$10</f>
        <v/>
      </c>
      <c r="H39" s="9">
        <f>DuLieuBanVe!F4*GiaDinh!$C$10</f>
        <v/>
      </c>
      <c r="I39" s="9">
        <f>SUM(E39:H39)</f>
        <v/>
      </c>
      <c r="J39" s="9">
        <f>ROUNDUP(I39*(1+GiaDinh!$C$14/100),0)</f>
        <v/>
      </c>
      <c r="K39" s="8" t="inlineStr">
        <is>
          <t>ƯL</t>
        </is>
      </c>
      <c r="L39" s="8" t="inlineStr"/>
    </row>
    <row r="40" ht="30" customHeight="1">
      <c r="A40" s="7" t="n">
        <v>32</v>
      </c>
      <c r="B40" s="8" t="inlineStr">
        <is>
          <t>Bộ kẹp tiếp địa tấm pin</t>
        </is>
      </c>
      <c r="C40" s="7" t="inlineStr">
        <is>
          <t>(không có hình trong tài liệu)</t>
        </is>
      </c>
      <c r="D40" s="7" t="inlineStr">
        <is>
          <t>bộ</t>
        </is>
      </c>
      <c r="E40" s="9">
        <f>DuLieuBanVe!C4*GiaDinh!$C$11</f>
        <v/>
      </c>
      <c r="F40" s="9">
        <f>DuLieuBanVe!D4*GiaDinh!$C$11</f>
        <v/>
      </c>
      <c r="G40" s="9">
        <f>DuLieuBanVe!E4*GiaDinh!$C$11</f>
        <v/>
      </c>
      <c r="H40" s="9">
        <f>DuLieuBanVe!F4*GiaDinh!$C$11</f>
        <v/>
      </c>
      <c r="I40" s="9">
        <f>SUM(E40:H40)</f>
        <v/>
      </c>
      <c r="J40" s="9">
        <f>ROUNDUP(I40*(1+GiaDinh!$C$14/100),0)</f>
        <v/>
      </c>
      <c r="K40" s="8" t="inlineStr">
        <is>
          <t>ƯL</t>
        </is>
      </c>
      <c r="L40" s="8" t="inlineStr">
        <is>
          <t>Cần nối đẳng thế khung tấm pin; hỏi Mibet kẹp của MRac G5 có răng tiếp địa không và định mức bộ/tấm trước khi đặt</t>
        </is>
      </c>
    </row>
    <row r="41" ht="78" customHeight="1">
      <c r="A41" s="7" t="n">
        <v>33</v>
      </c>
      <c r="B41" s="8" t="inlineStr">
        <is>
          <t>Bộ đai ốc thoi M8×25 + long đen lớn (gá vào C52)</t>
        </is>
      </c>
      <c r="C41" s="8" t="n"/>
      <c r="D41" s="7" t="inlineStr">
        <is>
          <t>bộ</t>
        </is>
      </c>
      <c r="E41" s="9">
        <f>DuLieuBanVe!C4*GiaDinh!$C$12</f>
        <v/>
      </c>
      <c r="F41" s="9">
        <f>DuLieuBanVe!D4*GiaDinh!$C$12</f>
        <v/>
      </c>
      <c r="G41" s="9">
        <f>DuLieuBanVe!E4*GiaDinh!$C$12</f>
        <v/>
      </c>
      <c r="H41" s="9">
        <f>DuLieuBanVe!F4*GiaDinh!$C$12</f>
        <v/>
      </c>
      <c r="I41" s="9">
        <f>SUM(E41:H41)</f>
        <v/>
      </c>
      <c r="J41" s="9">
        <f>ROUNDUP(I41*(1+GiaDinh!$C$14/100),0)</f>
        <v/>
      </c>
      <c r="K41" s="8" t="inlineStr">
        <is>
          <t>ƯL</t>
        </is>
      </c>
      <c r="L41" s="8" t="inlineStr"/>
    </row>
    <row r="42">
      <c r="A42" s="4" t="n"/>
      <c r="B42" s="5" t="inlineStr">
        <is>
          <t>F. ĐIỂM NEO TRÊN BÈ</t>
        </is>
      </c>
      <c r="C42" s="6" t="n"/>
      <c r="D42" s="4" t="n"/>
      <c r="E42" s="6" t="n"/>
      <c r="F42" s="6" t="n"/>
      <c r="G42" s="6" t="n"/>
      <c r="H42" s="6" t="n"/>
      <c r="I42" s="6" t="n"/>
      <c r="J42" s="6" t="n"/>
      <c r="K42" s="6" t="n"/>
      <c r="L42" s="6" t="n"/>
    </row>
    <row r="43" ht="78" customHeight="1">
      <c r="A43" s="7" t="n">
        <v>34</v>
      </c>
      <c r="B43" s="8" t="inlineStr">
        <is>
          <t>Ma ní chữ U (U-Shaped Shackle) làm bích neo trên bè</t>
        </is>
      </c>
      <c r="C43" s="8" t="n"/>
      <c r="D43" s="7" t="inlineStr">
        <is>
          <t>cái</t>
        </is>
      </c>
      <c r="E43" s="9">
        <f>2*DuLieuBanVe!C17</f>
        <v/>
      </c>
      <c r="F43" s="9">
        <f>2*DuLieuBanVe!D17</f>
        <v/>
      </c>
      <c r="G43" s="9">
        <f>2*DuLieuBanVe!E17</f>
        <v/>
      </c>
      <c r="H43" s="9">
        <f>2*DuLieuBanVe!F17</f>
        <v/>
      </c>
      <c r="I43" s="9">
        <f>SUM(E43:H43)</f>
        <v/>
      </c>
      <c r="J43" s="9">
        <f>ROUNDUP(I43*(1+GiaDinh!$C$14/100),0)</f>
        <v/>
      </c>
      <c r="K43" s="8" t="inlineStr">
        <is>
          <t>NEO</t>
        </is>
      </c>
      <c r="L43" s="8" t="inlineStr">
        <is>
          <t>Cáp 2 nhánh chữ Y: 2 bích mỗi dây, bắt vào hộp 40x60 gia cường; mắt nhánh cáp móc thẳng vào ma ní này. Số dây theo mặt bằng neo của web (222 dây)</t>
        </is>
      </c>
    </row>
  </sheetData>
  <mergeCells count="2">
    <mergeCell ref="A2:L2"/>
    <mergeCell ref="A1:L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44" customWidth="1" min="2" max="2"/>
    <col width="11" customWidth="1" min="3" max="3"/>
    <col width="11" customWidth="1" min="4" max="4"/>
    <col width="11" customWidth="1" min="5" max="5"/>
    <col width="11" customWidth="1" min="6" max="6"/>
    <col width="12" customWidth="1" min="7" max="7"/>
    <col width="80" customWidth="1" min="8" max="8"/>
  </cols>
  <sheetData>
    <row r="1">
      <c r="A1" s="1" t="inlineStr">
        <is>
          <t>SỐ LIỆU LẤY TỪ BẢN VẼ "HOHUOIVANH.BỐ TRÍ BÈ PIN 281026" (bảng thống kê trên các tờ CT-BE01…04, KC-BE-01…04, MB-BP-01)</t>
        </is>
      </c>
    </row>
    <row r="3">
      <c r="A3" s="3" t="inlineStr">
        <is>
          <t>Mã</t>
        </is>
      </c>
      <c r="B3" s="3" t="inlineStr">
        <is>
          <t>Hạng mục</t>
        </is>
      </c>
      <c r="C3" s="3" t="inlineStr">
        <is>
          <t>BÈ 1</t>
        </is>
      </c>
      <c r="D3" s="3" t="inlineStr">
        <is>
          <t>BÈ 2</t>
        </is>
      </c>
      <c r="E3" s="3" t="inlineStr">
        <is>
          <t>BÈ 3</t>
        </is>
      </c>
      <c r="F3" s="3" t="inlineStr">
        <is>
          <t>BÈ 4</t>
        </is>
      </c>
      <c r="G3" s="3" t="inlineStr">
        <is>
          <t>TỔNG</t>
        </is>
      </c>
      <c r="H3" s="3" t="inlineStr">
        <is>
          <t>Nguồn</t>
        </is>
      </c>
    </row>
    <row r="4">
      <c r="A4" s="8" t="inlineStr">
        <is>
          <t>PV</t>
        </is>
      </c>
      <c r="B4" s="8" t="inlineStr">
        <is>
          <t>Tấm pin (tấm)</t>
        </is>
      </c>
      <c r="C4" s="9" t="n">
        <v>2800</v>
      </c>
      <c r="D4" s="9" t="n">
        <v>9114</v>
      </c>
      <c r="E4" s="9" t="n">
        <v>1400</v>
      </c>
      <c r="F4" s="9" t="n">
        <v>5600</v>
      </c>
      <c r="G4" s="9">
        <f>SUM(C4:F4)</f>
        <v/>
      </c>
      <c r="H4" s="8" t="inlineStr">
        <is>
          <t>Bảng "SỐ TẤM PIN MẶT TRỜI THEO BÈ" (tờ CT-BE), cột Số tấm pin</t>
        </is>
      </c>
    </row>
    <row r="5">
      <c r="A5" s="8" t="inlineStr">
        <is>
          <t>DPV</t>
        </is>
      </c>
      <c r="B5" s="8" t="inlineStr">
        <is>
          <t>Dải pin (hàng)</t>
        </is>
      </c>
      <c r="C5" s="9" t="n">
        <v>100</v>
      </c>
      <c r="D5" s="9" t="n">
        <v>375</v>
      </c>
      <c r="E5" s="9" t="n">
        <v>55</v>
      </c>
      <c r="F5" s="9" t="n">
        <v>278</v>
      </c>
      <c r="G5" s="9">
        <f>SUM(C5:F5)</f>
        <v/>
      </c>
      <c r="H5" s="8" t="inlineStr">
        <is>
          <t>Như trên, cột SỐ LƯỢNG HÀNG</t>
        </is>
      </c>
    </row>
    <row r="6">
      <c r="A6" s="8" t="inlineStr">
        <is>
          <t>I510</t>
        </is>
      </c>
      <c r="B6" s="8" t="inlineStr">
        <is>
          <t>Inverter SG-510HX (bộ)</t>
        </is>
      </c>
      <c r="C6" s="9" t="n">
        <v>4</v>
      </c>
      <c r="D6" s="9" t="n">
        <v>13</v>
      </c>
      <c r="E6" s="9" t="n">
        <v>2</v>
      </c>
      <c r="F6" s="9" t="n">
        <v>8</v>
      </c>
      <c r="G6" s="9">
        <f>SUM(C6:F6)</f>
        <v/>
      </c>
      <c r="H6" s="8" t="inlineStr">
        <is>
          <t>Bảng "INVESTER" (tờ CT-BE)</t>
        </is>
      </c>
    </row>
    <row r="7">
      <c r="A7" s="8" t="inlineStr">
        <is>
          <t>FS</t>
        </is>
      </c>
      <c r="B7" s="8" t="inlineStr">
        <is>
          <t>Phao đỡ pin — Main Floater (cái)</t>
        </is>
      </c>
      <c r="C7" s="9" t="n">
        <v>2912</v>
      </c>
      <c r="D7" s="9" t="n">
        <v>9260</v>
      </c>
      <c r="E7" s="9" t="n">
        <v>1442</v>
      </c>
      <c r="F7" s="9" t="n">
        <v>5642</v>
      </c>
      <c r="G7" s="9">
        <f>SUM(C7:F7)</f>
        <v/>
      </c>
      <c r="H7" s="8" t="inlineStr">
        <is>
          <t>Bảng "SỐ PHAO NỔI THEO BÈ", dòng "DẢI PHAO ĐỠ PIN"</t>
        </is>
      </c>
    </row>
    <row r="8">
      <c r="A8" s="8" t="inlineStr">
        <is>
          <t>FSR</t>
        </is>
      </c>
      <c r="B8" s="8" t="inlineStr">
        <is>
          <t>Số hàng phao đỡ pin</t>
        </is>
      </c>
      <c r="C8" s="9" t="n">
        <v>104</v>
      </c>
      <c r="D8" s="9" t="n">
        <v>382</v>
      </c>
      <c r="E8" s="9" t="n">
        <v>57</v>
      </c>
      <c r="F8" s="9" t="n">
        <v>281</v>
      </c>
      <c r="G8" s="9">
        <f>SUM(C8:F8)</f>
        <v/>
      </c>
      <c r="H8" s="8" t="inlineStr">
        <is>
          <t>Như trên, cột SỐ LƯỢNG HÀNG</t>
        </is>
      </c>
    </row>
    <row r="9">
      <c r="A9" s="8" t="inlineStr">
        <is>
          <t>FWA</t>
        </is>
      </c>
      <c r="B9" s="8" t="inlineStr">
        <is>
          <t>Phao đi lại nhóm 1 (cái)</t>
        </is>
      </c>
      <c r="C9" s="9" t="n">
        <v>202</v>
      </c>
      <c r="D9" s="9" t="n">
        <v>266</v>
      </c>
      <c r="E9" s="9" t="n">
        <v>41</v>
      </c>
      <c r="F9" s="9" t="n">
        <v>502</v>
      </c>
      <c r="G9" s="9">
        <f>SUM(C9:F9)</f>
        <v/>
      </c>
      <c r="H9" s="8" t="inlineStr">
        <is>
          <t>Dòng "DẢI PHAO ĐI LẠI" thứ nhất của bảng phao</t>
        </is>
      </c>
    </row>
    <row r="10">
      <c r="A10" s="8" t="inlineStr">
        <is>
          <t>FWB</t>
        </is>
      </c>
      <c r="B10" s="8" t="inlineStr">
        <is>
          <t>Phao đi lại nhóm 2 (cái)</t>
        </is>
      </c>
      <c r="C10" s="9" t="n">
        <v>303</v>
      </c>
      <c r="D10" s="9" t="n">
        <v>1538</v>
      </c>
      <c r="E10" s="9" t="n">
        <v>362</v>
      </c>
      <c r="F10" s="9" t="n">
        <v>1310</v>
      </c>
      <c r="G10" s="9">
        <f>SUM(C10:F10)</f>
        <v/>
      </c>
      <c r="H10" s="8" t="inlineStr">
        <is>
          <t>Dòng "DẢI PHAO ĐI LẠI" thứ hai</t>
        </is>
      </c>
    </row>
    <row r="11">
      <c r="A11" s="8" t="inlineStr">
        <is>
          <t>FWR</t>
        </is>
      </c>
      <c r="B11" s="8" t="inlineStr">
        <is>
          <t>Số hàng phao đi lại</t>
        </is>
      </c>
      <c r="C11" s="9" t="n">
        <v>5</v>
      </c>
      <c r="D11" s="9" t="n">
        <v>9</v>
      </c>
      <c r="E11" s="9" t="n">
        <v>3</v>
      </c>
      <c r="F11" s="9" t="n">
        <v>5</v>
      </c>
      <c r="G11" s="9">
        <f>SUM(C11:F11)</f>
        <v/>
      </c>
      <c r="H11" s="8" t="inlineStr">
        <is>
          <t>Cộng cột SỐ LƯỢNG HÀNG các dòng phao đi lại</t>
        </is>
      </c>
    </row>
    <row r="12">
      <c r="A12" s="8" t="inlineStr">
        <is>
          <t>FT</t>
        </is>
      </c>
      <c r="B12" s="8" t="inlineStr">
        <is>
          <t>Tổng phao (cái)</t>
        </is>
      </c>
      <c r="C12" s="9">
        <f>C7+C9+C10</f>
        <v/>
      </c>
      <c r="D12" s="9">
        <f>D7+D9+D10</f>
        <v/>
      </c>
      <c r="E12" s="9">
        <f>E7+E9+E10</f>
        <v/>
      </c>
      <c r="F12" s="9">
        <f>F7+F9+F10</f>
        <v/>
      </c>
      <c r="G12" s="9">
        <f>SUM(C12:F12)</f>
        <v/>
      </c>
      <c r="H12" s="8" t="inlineStr">
        <is>
          <t>Khớp "Grand total" của bảng phao từng tờ</t>
        </is>
      </c>
    </row>
    <row r="13">
      <c r="A13" s="8" t="inlineStr">
        <is>
          <t>C52N</t>
        </is>
      </c>
      <c r="B13" s="8" t="inlineStr">
        <is>
          <t>Dầm C52 — số thanh</t>
        </is>
      </c>
      <c r="C13" s="9" t="n">
        <v>234</v>
      </c>
      <c r="D13" s="9" t="n">
        <v>309</v>
      </c>
      <c r="E13" s="9" t="n">
        <v>90</v>
      </c>
      <c r="F13" s="9" t="n">
        <v>92</v>
      </c>
      <c r="G13" s="9">
        <f>SUM(C13:F13)</f>
        <v/>
      </c>
      <c r="H13" s="8" t="inlineStr">
        <is>
          <t>Bảng "THỐNG KÊ KHUNG THÉP" (tờ KC-BE)</t>
        </is>
      </c>
    </row>
    <row r="14">
      <c r="A14" s="8" t="inlineStr">
        <is>
          <t>C52L</t>
        </is>
      </c>
      <c r="B14" s="8" t="inlineStr">
        <is>
          <t>Dầm C52 — chiều dài (m)</t>
        </is>
      </c>
      <c r="C14" s="10" t="n">
        <v>11925.06</v>
      </c>
      <c r="D14" s="10" t="n">
        <v>38745.81</v>
      </c>
      <c r="E14" s="10" t="n">
        <v>6109.92</v>
      </c>
      <c r="F14" s="10" t="n">
        <v>24310.61</v>
      </c>
      <c r="G14" s="10">
        <f>SUM(C14:F14)</f>
        <v/>
      </c>
      <c r="H14" s="8" t="inlineStr">
        <is>
          <t>Bảng "THỐNG KÊ KHUNG THÉP" (tờ KC-BE)</t>
        </is>
      </c>
    </row>
    <row r="15">
      <c r="A15" s="8" t="inlineStr">
        <is>
          <t>HN</t>
        </is>
      </c>
      <c r="B15" s="8" t="inlineStr">
        <is>
          <t>Hộp 40x60 kết cấu — số thanh</t>
        </is>
      </c>
      <c r="C15" s="9" t="n">
        <v>10</v>
      </c>
      <c r="D15" s="9" t="n">
        <v>29</v>
      </c>
      <c r="E15" s="9" t="n">
        <v>23</v>
      </c>
      <c r="F15" s="9" t="n">
        <v>60</v>
      </c>
      <c r="G15" s="9">
        <f>SUM(C15:F15)</f>
        <v/>
      </c>
      <c r="H15" s="8" t="inlineStr">
        <is>
          <t>Bảng "THỐNG KÊ KHUNG THÉP" (tờ KC-BE)</t>
        </is>
      </c>
    </row>
    <row r="16">
      <c r="A16" s="8" t="inlineStr">
        <is>
          <t>HL</t>
        </is>
      </c>
      <c r="B16" s="8" t="inlineStr">
        <is>
          <t>Hộp 40x60 kết cấu — chiều dài (m)</t>
        </is>
      </c>
      <c r="C16" s="10" t="n">
        <v>2916.22</v>
      </c>
      <c r="D16" s="10" t="n">
        <v>8718.940000000001</v>
      </c>
      <c r="E16" s="10" t="n">
        <v>3402.96</v>
      </c>
      <c r="F16" s="10" t="n">
        <v>5161.46</v>
      </c>
      <c r="G16" s="10">
        <f>SUM(C16:F16)</f>
        <v/>
      </c>
      <c r="H16" s="8" t="inlineStr">
        <is>
          <t>Bảng "THỐNG KÊ KHUNG THÉP" (tờ KC-BE). BÈ 3: trung bình 148 m/thanh, dài hơn kích thước lớn nhất của bè (109,9 m) — cần kiểm lại bảng tờ KC-BE-03</t>
        </is>
      </c>
    </row>
    <row r="17">
      <c r="A17" s="8" t="inlineStr">
        <is>
          <t>LINE</t>
        </is>
      </c>
      <c r="B17" s="8" t="inlineStr">
        <is>
          <t>Số dây neo của bè (tuyến cáp)</t>
        </is>
      </c>
      <c r="C17" s="9" t="n">
        <v>46</v>
      </c>
      <c r="D17" s="9" t="n">
        <v>78</v>
      </c>
      <c r="E17" s="9" t="n">
        <v>30</v>
      </c>
      <c r="F17" s="9" t="n">
        <v>68</v>
      </c>
      <c r="G17" s="9">
        <f>SUM(C17:F17)</f>
        <v/>
      </c>
      <c r="H17" s="8" t="inlineStr">
        <is>
          <t>Mặt bằng neo trên web (bảng vật tư neo Huổi Vanh)</t>
        </is>
      </c>
    </row>
    <row r="18">
      <c r="A18" s="8" t="inlineStr">
        <is>
          <t>FC</t>
        </is>
      </c>
      <c r="B18" s="8" t="inlineStr">
        <is>
          <t>Phao đỡ cáp điện giữa các bè (cái, cả hồ)</t>
        </is>
      </c>
      <c r="C18" s="8" t="n"/>
      <c r="D18" s="8" t="n"/>
      <c r="E18" s="8" t="n"/>
      <c r="F18" s="8" t="n"/>
      <c r="G18" s="8" t="n">
        <v>2418</v>
      </c>
      <c r="H18" s="8" t="inlineStr">
        <is>
          <t>Tờ MB-BP-01, bảng "PHAO ĐỠ CÁP": 1209 hàng, 2418 phao (không chia theo bè)</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12"/>
  <sheetViews>
    <sheetView workbookViewId="0">
      <selection activeCell="A1" sqref="A1"/>
    </sheetView>
  </sheetViews>
  <sheetFormatPr baseColWidth="8" defaultRowHeight="15"/>
  <cols>
    <col width="8" customWidth="1" min="1" max="1"/>
    <col width="10" customWidth="1" min="2" max="2"/>
    <col width="30" customWidth="1" min="3" max="3"/>
    <col width="34" customWidth="1" min="4" max="4"/>
    <col width="7" customWidth="1" min="5" max="5"/>
    <col width="10" customWidth="1" min="6" max="6"/>
    <col width="14" customWidth="1" min="7" max="7"/>
    <col width="10" customWidth="1" min="8" max="8"/>
    <col width="8" customWidth="1" min="9" max="9"/>
    <col width="9" customWidth="1" min="10" max="10"/>
    <col width="10" customWidth="1" min="11" max="11"/>
    <col width="8" customWidth="1" min="12" max="12"/>
    <col width="9" customWidth="1" min="13" max="13"/>
    <col width="9" customWidth="1" min="14" max="14"/>
    <col width="8" customWidth="1" min="15" max="15"/>
    <col width="9" customWidth="1" min="16" max="16"/>
    <col width="10" customWidth="1" min="17" max="17"/>
    <col width="10" customWidth="1" min="18" max="18"/>
    <col width="11" customWidth="1" min="19" max="19"/>
  </cols>
  <sheetData>
    <row r="1">
      <c r="A1" s="11" t="inlineStr">
        <is>
          <t>HỘP 40x60 GIA CƯỜNG TAI NEO — BỐ TRÍ CHO CẢ 4 BÈ (bản vẽ 28/10 chưa có), CÁP 2 NHÁNH CHỮ Y (2 bích mỗi dây, cách nhau 3,5 m). Sơ đồ vị trí: bản vẽ GC-01</t>
        </is>
      </c>
    </row>
    <row r="2" ht="48" customHeight="1">
      <c r="A2" s="12" t="inlineStr">
        <is>
          <t>Mỗi cụm tai neo một (hoặc vài) thanh hộp dài L_GC kẹp móc "几" vào mọi dầm C52 nó cắt qua. Số thanh = MAX(1; số bích × K_Y × T × γ / (số giao C52 × P_KEP)). Bích trên cạnh song song với hộp 40x60 → các bích trong đoạn L_GC − 1 m dùng chung 1 thanh dọc cạnh; bích trên cạnh vuông góc → mỗi bích 1 thanh từ mép vào trong. Vị trí dây theo mặt bằng neo của web; hướng hộp 40x60 của từng bè theo tờ KC-BE (28/10). T là lực dây của bè (như cáp, ma-nê, tấm chia Y trong bảng vật tư neo).</t>
        </is>
      </c>
    </row>
    <row r="3" ht="62" customHeight="1">
      <c r="A3" s="3" t="inlineStr">
        <is>
          <t>Bè</t>
        </is>
      </c>
      <c r="B3" s="3" t="inlineStr">
        <is>
          <t>Mã cụm (bản vẽ GC-01)</t>
        </is>
      </c>
      <c r="C3" s="3" t="inlineStr">
        <is>
          <t>Cách bố trí</t>
        </is>
      </c>
      <c r="D3" s="3" t="inlineStr">
        <is>
          <t>Bích trong cụm (mã dây + a/b)</t>
        </is>
      </c>
      <c r="E3" s="3" t="inlineStr">
        <is>
          <t>Số bích</t>
        </is>
      </c>
      <c r="F3" s="3" t="inlineStr">
        <is>
          <t>T dây (kN, gió 20 m/s)</t>
        </is>
      </c>
      <c r="G3" s="3" t="inlineStr">
        <is>
          <t>Lực thiết kế cụm = số bích × K_Y × T × γ (kN)</t>
        </is>
      </c>
      <c r="H3" s="3" t="inlineStr">
        <is>
          <t>Khoảng cách dầm C52 (m)</t>
        </is>
      </c>
      <c r="I3" s="3" t="inlineStr">
        <is>
          <t>Dài 1 thanh (m)</t>
        </is>
      </c>
      <c r="J3" s="3" t="inlineStr">
        <is>
          <t>Giao C52 mỗi thanh</t>
        </is>
      </c>
      <c r="K3" s="3" t="inlineStr">
        <is>
          <t>Sức chịu 1 thanh (kN)</t>
        </is>
      </c>
      <c r="L3" s="3" t="inlineStr">
        <is>
          <t>Số thanh</t>
        </is>
      </c>
      <c r="M3" s="3" t="inlineStr">
        <is>
          <t>Tổng dài (m)</t>
        </is>
      </c>
      <c r="N3" s="3" t="inlineStr">
        <is>
          <t>Số cây cấp hàng</t>
        </is>
      </c>
      <c r="O3" s="3" t="inlineStr">
        <is>
          <t>Số mối nối</t>
        </is>
      </c>
      <c r="P3" s="3" t="inlineStr">
        <is>
          <t>Móc "几" (cái)</t>
        </is>
      </c>
      <c r="Q3" s="3" t="inlineStr">
        <is>
          <t>Đai ốc thoi M10×30 (bộ)</t>
        </is>
      </c>
      <c r="R3" s="3" t="inlineStr">
        <is>
          <t>Bulông M10×120 (bộ)</t>
        </is>
      </c>
      <c r="S3" s="3" t="inlineStr">
        <is>
          <t>Khối lượng (kg)</t>
        </is>
      </c>
    </row>
    <row r="4">
      <c r="A4" s="8" t="inlineStr">
        <is>
          <t>BÈ 1</t>
        </is>
      </c>
      <c r="B4" s="8" t="inlineStr">
        <is>
          <t>B1-01</t>
        </is>
      </c>
      <c r="C4" s="8" t="inlineStr">
        <is>
          <t>Dọc cạnh (hộp song song mép bè, cách mép 1 hàng phao)</t>
        </is>
      </c>
      <c r="D4" s="8" t="inlineStr">
        <is>
          <t>B1-D25a, B1-D25b</t>
        </is>
      </c>
      <c r="E4" s="8" t="n">
        <v>2</v>
      </c>
      <c r="F4" s="8" t="n">
        <v>104.1</v>
      </c>
      <c r="G4" s="13">
        <f>E4*F4*GiaDinh!$C$18*GiaDinh!$C$17</f>
        <v/>
      </c>
      <c r="H4" s="8">
        <f>GiaDinh!$C$21</f>
        <v/>
      </c>
      <c r="I4" s="8">
        <f>GiaDinh!$C$15</f>
        <v/>
      </c>
      <c r="J4" s="8">
        <f>ROUNDDOWN(I4/H4,0)+1</f>
        <v/>
      </c>
      <c r="K4" s="13">
        <f>J4*GiaDinh!$C$16</f>
        <v/>
      </c>
      <c r="L4" s="8">
        <f>MAX(1,ROUNDUP(G4/K4-0.0005,0))</f>
        <v/>
      </c>
      <c r="M4" s="13">
        <f>L4*I4</f>
        <v/>
      </c>
      <c r="N4" s="8">
        <f>L4*ROUNDUP(I4/GiaDinh!$C$5-0.0005,0)</f>
        <v/>
      </c>
      <c r="O4" s="8">
        <f>L4*(ROUNDUP(I4/GiaDinh!$C$5-0.0005,0)-1)</f>
        <v/>
      </c>
      <c r="P4" s="8">
        <f>L4*J4</f>
        <v/>
      </c>
      <c r="Q4" s="8">
        <f>2*P4</f>
        <v/>
      </c>
      <c r="R4" s="8">
        <f>P4</f>
        <v/>
      </c>
      <c r="S4" s="14">
        <f>M4*GiaDinh!$C$7</f>
        <v/>
      </c>
    </row>
    <row r="5">
      <c r="A5" s="8" t="inlineStr">
        <is>
          <t>BÈ 1</t>
        </is>
      </c>
      <c r="B5" s="8" t="inlineStr">
        <is>
          <t>B1-02</t>
        </is>
      </c>
      <c r="C5" s="8" t="inlineStr">
        <is>
          <t>Dọc cạnh (hộp song song mép bè, cách mép 1 hàng phao)</t>
        </is>
      </c>
      <c r="D5" s="8" t="inlineStr">
        <is>
          <t>B1-D26a, B1-D26b</t>
        </is>
      </c>
      <c r="E5" s="8" t="n">
        <v>2</v>
      </c>
      <c r="F5" s="8" t="n">
        <v>104.1</v>
      </c>
      <c r="G5" s="13">
        <f>E5*F5*GiaDinh!$C$18*GiaDinh!$C$17</f>
        <v/>
      </c>
      <c r="H5" s="8">
        <f>GiaDinh!$C$21</f>
        <v/>
      </c>
      <c r="I5" s="8">
        <f>GiaDinh!$C$15</f>
        <v/>
      </c>
      <c r="J5" s="8">
        <f>ROUNDDOWN(I5/H5,0)+1</f>
        <v/>
      </c>
      <c r="K5" s="13">
        <f>J5*GiaDinh!$C$16</f>
        <v/>
      </c>
      <c r="L5" s="8">
        <f>MAX(1,ROUNDUP(G5/K5-0.0005,0))</f>
        <v/>
      </c>
      <c r="M5" s="13">
        <f>L5*I5</f>
        <v/>
      </c>
      <c r="N5" s="8">
        <f>L5*ROUNDUP(I5/GiaDinh!$C$5-0.0005,0)</f>
        <v/>
      </c>
      <c r="O5" s="8">
        <f>L5*(ROUNDUP(I5/GiaDinh!$C$5-0.0005,0)-1)</f>
        <v/>
      </c>
      <c r="P5" s="8">
        <f>L5*J5</f>
        <v/>
      </c>
      <c r="Q5" s="8">
        <f>2*P5</f>
        <v/>
      </c>
      <c r="R5" s="8">
        <f>P5</f>
        <v/>
      </c>
      <c r="S5" s="14">
        <f>M5*GiaDinh!$C$7</f>
        <v/>
      </c>
    </row>
    <row r="6">
      <c r="A6" s="8" t="inlineStr">
        <is>
          <t>BÈ 1</t>
        </is>
      </c>
      <c r="B6" s="8" t="inlineStr">
        <is>
          <t>B1-03</t>
        </is>
      </c>
      <c r="C6" s="8" t="inlineStr">
        <is>
          <t>Dọc cạnh (hộp song song mép bè, cách mép 1 hàng phao)</t>
        </is>
      </c>
      <c r="D6" s="8" t="inlineStr">
        <is>
          <t>B1-D27a, B1-D27b</t>
        </is>
      </c>
      <c r="E6" s="8" t="n">
        <v>2</v>
      </c>
      <c r="F6" s="8" t="n">
        <v>104.1</v>
      </c>
      <c r="G6" s="13">
        <f>E6*F6*GiaDinh!$C$18*GiaDinh!$C$17</f>
        <v/>
      </c>
      <c r="H6" s="8">
        <f>GiaDinh!$C$21</f>
        <v/>
      </c>
      <c r="I6" s="8">
        <f>GiaDinh!$C$15</f>
        <v/>
      </c>
      <c r="J6" s="8">
        <f>ROUNDDOWN(I6/H6,0)+1</f>
        <v/>
      </c>
      <c r="K6" s="13">
        <f>J6*GiaDinh!$C$16</f>
        <v/>
      </c>
      <c r="L6" s="8">
        <f>MAX(1,ROUNDUP(G6/K6-0.0005,0))</f>
        <v/>
      </c>
      <c r="M6" s="13">
        <f>L6*I6</f>
        <v/>
      </c>
      <c r="N6" s="8">
        <f>L6*ROUNDUP(I6/GiaDinh!$C$5-0.0005,0)</f>
        <v/>
      </c>
      <c r="O6" s="8">
        <f>L6*(ROUNDUP(I6/GiaDinh!$C$5-0.0005,0)-1)</f>
        <v/>
      </c>
      <c r="P6" s="8">
        <f>L6*J6</f>
        <v/>
      </c>
      <c r="Q6" s="8">
        <f>2*P6</f>
        <v/>
      </c>
      <c r="R6" s="8">
        <f>P6</f>
        <v/>
      </c>
      <c r="S6" s="14">
        <f>M6*GiaDinh!$C$7</f>
        <v/>
      </c>
    </row>
    <row r="7">
      <c r="A7" s="8" t="inlineStr">
        <is>
          <t>BÈ 1</t>
        </is>
      </c>
      <c r="B7" s="8" t="inlineStr">
        <is>
          <t>B1-04</t>
        </is>
      </c>
      <c r="C7" s="8" t="inlineStr">
        <is>
          <t>Dọc cạnh (hộp song song mép bè, cách mép 1 hàng phao)</t>
        </is>
      </c>
      <c r="D7" s="8" t="inlineStr">
        <is>
          <t>B1-D28a, B1-D28b</t>
        </is>
      </c>
      <c r="E7" s="8" t="n">
        <v>2</v>
      </c>
      <c r="F7" s="8" t="n">
        <v>104.1</v>
      </c>
      <c r="G7" s="13">
        <f>E7*F7*GiaDinh!$C$18*GiaDinh!$C$17</f>
        <v/>
      </c>
      <c r="H7" s="8">
        <f>GiaDinh!$C$21</f>
        <v/>
      </c>
      <c r="I7" s="8">
        <f>GiaDinh!$C$15</f>
        <v/>
      </c>
      <c r="J7" s="8">
        <f>ROUNDDOWN(I7/H7,0)+1</f>
        <v/>
      </c>
      <c r="K7" s="13">
        <f>J7*GiaDinh!$C$16</f>
        <v/>
      </c>
      <c r="L7" s="8">
        <f>MAX(1,ROUNDUP(G7/K7-0.0005,0))</f>
        <v/>
      </c>
      <c r="M7" s="13">
        <f>L7*I7</f>
        <v/>
      </c>
      <c r="N7" s="8">
        <f>L7*ROUNDUP(I7/GiaDinh!$C$5-0.0005,0)</f>
        <v/>
      </c>
      <c r="O7" s="8">
        <f>L7*(ROUNDUP(I7/GiaDinh!$C$5-0.0005,0)-1)</f>
        <v/>
      </c>
      <c r="P7" s="8">
        <f>L7*J7</f>
        <v/>
      </c>
      <c r="Q7" s="8">
        <f>2*P7</f>
        <v/>
      </c>
      <c r="R7" s="8">
        <f>P7</f>
        <v/>
      </c>
      <c r="S7" s="14">
        <f>M7*GiaDinh!$C$7</f>
        <v/>
      </c>
    </row>
    <row r="8">
      <c r="A8" s="8" t="inlineStr">
        <is>
          <t>BÈ 1</t>
        </is>
      </c>
      <c r="B8" s="8" t="inlineStr">
        <is>
          <t>B1-05</t>
        </is>
      </c>
      <c r="C8" s="8" t="inlineStr">
        <is>
          <t>Dọc cạnh (hộp song song mép bè, cách mép 1 hàng phao)</t>
        </is>
      </c>
      <c r="D8" s="8" t="inlineStr">
        <is>
          <t>B1-D29a, B1-D29b</t>
        </is>
      </c>
      <c r="E8" s="8" t="n">
        <v>2</v>
      </c>
      <c r="F8" s="8" t="n">
        <v>104.1</v>
      </c>
      <c r="G8" s="13">
        <f>E8*F8*GiaDinh!$C$18*GiaDinh!$C$17</f>
        <v/>
      </c>
      <c r="H8" s="8">
        <f>GiaDinh!$C$21</f>
        <v/>
      </c>
      <c r="I8" s="8">
        <f>GiaDinh!$C$15</f>
        <v/>
      </c>
      <c r="J8" s="8">
        <f>ROUNDDOWN(I8/H8,0)+1</f>
        <v/>
      </c>
      <c r="K8" s="13">
        <f>J8*GiaDinh!$C$16</f>
        <v/>
      </c>
      <c r="L8" s="8">
        <f>MAX(1,ROUNDUP(G8/K8-0.0005,0))</f>
        <v/>
      </c>
      <c r="M8" s="13">
        <f>L8*I8</f>
        <v/>
      </c>
      <c r="N8" s="8">
        <f>L8*ROUNDUP(I8/GiaDinh!$C$5-0.0005,0)</f>
        <v/>
      </c>
      <c r="O8" s="8">
        <f>L8*(ROUNDUP(I8/GiaDinh!$C$5-0.0005,0)-1)</f>
        <v/>
      </c>
      <c r="P8" s="8">
        <f>L8*J8</f>
        <v/>
      </c>
      <c r="Q8" s="8">
        <f>2*P8</f>
        <v/>
      </c>
      <c r="R8" s="8">
        <f>P8</f>
        <v/>
      </c>
      <c r="S8" s="14">
        <f>M8*GiaDinh!$C$7</f>
        <v/>
      </c>
    </row>
    <row r="9">
      <c r="A9" s="8" t="inlineStr">
        <is>
          <t>BÈ 1</t>
        </is>
      </c>
      <c r="B9" s="8" t="inlineStr">
        <is>
          <t>B1-06</t>
        </is>
      </c>
      <c r="C9" s="8" t="inlineStr">
        <is>
          <t>Dọc cạnh (hộp song song mép bè, cách mép 1 hàng phao)</t>
        </is>
      </c>
      <c r="D9" s="8" t="inlineStr">
        <is>
          <t>B1-D30a, B1-D30b</t>
        </is>
      </c>
      <c r="E9" s="8" t="n">
        <v>2</v>
      </c>
      <c r="F9" s="8" t="n">
        <v>104.1</v>
      </c>
      <c r="G9" s="13">
        <f>E9*F9*GiaDinh!$C$18*GiaDinh!$C$17</f>
        <v/>
      </c>
      <c r="H9" s="8">
        <f>GiaDinh!$C$21</f>
        <v/>
      </c>
      <c r="I9" s="8">
        <f>GiaDinh!$C$15</f>
        <v/>
      </c>
      <c r="J9" s="8">
        <f>ROUNDDOWN(I9/H9,0)+1</f>
        <v/>
      </c>
      <c r="K9" s="13">
        <f>J9*GiaDinh!$C$16</f>
        <v/>
      </c>
      <c r="L9" s="8">
        <f>MAX(1,ROUNDUP(G9/K9-0.0005,0))</f>
        <v/>
      </c>
      <c r="M9" s="13">
        <f>L9*I9</f>
        <v/>
      </c>
      <c r="N9" s="8">
        <f>L9*ROUNDUP(I9/GiaDinh!$C$5-0.0005,0)</f>
        <v/>
      </c>
      <c r="O9" s="8">
        <f>L9*(ROUNDUP(I9/GiaDinh!$C$5-0.0005,0)-1)</f>
        <v/>
      </c>
      <c r="P9" s="8">
        <f>L9*J9</f>
        <v/>
      </c>
      <c r="Q9" s="8">
        <f>2*P9</f>
        <v/>
      </c>
      <c r="R9" s="8">
        <f>P9</f>
        <v/>
      </c>
      <c r="S9" s="14">
        <f>M9*GiaDinh!$C$7</f>
        <v/>
      </c>
    </row>
    <row r="10">
      <c r="A10" s="8" t="inlineStr">
        <is>
          <t>BÈ 1</t>
        </is>
      </c>
      <c r="B10" s="8" t="inlineStr">
        <is>
          <t>B1-07</t>
        </is>
      </c>
      <c r="C10" s="8" t="inlineStr">
        <is>
          <t>Dọc cạnh (hộp song song mép bè, cách mép 1 hàng phao)</t>
        </is>
      </c>
      <c r="D10" s="8" t="inlineStr">
        <is>
          <t>B1-D31a, B1-D31b</t>
        </is>
      </c>
      <c r="E10" s="8" t="n">
        <v>2</v>
      </c>
      <c r="F10" s="8" t="n">
        <v>104.1</v>
      </c>
      <c r="G10" s="13">
        <f>E10*F10*GiaDinh!$C$18*GiaDinh!$C$17</f>
        <v/>
      </c>
      <c r="H10" s="8">
        <f>GiaDinh!$C$21</f>
        <v/>
      </c>
      <c r="I10" s="8">
        <f>GiaDinh!$C$15</f>
        <v/>
      </c>
      <c r="J10" s="8">
        <f>ROUNDDOWN(I10/H10,0)+1</f>
        <v/>
      </c>
      <c r="K10" s="13">
        <f>J10*GiaDinh!$C$16</f>
        <v/>
      </c>
      <c r="L10" s="8">
        <f>MAX(1,ROUNDUP(G10/K10-0.0005,0))</f>
        <v/>
      </c>
      <c r="M10" s="13">
        <f>L10*I10</f>
        <v/>
      </c>
      <c r="N10" s="8">
        <f>L10*ROUNDUP(I10/GiaDinh!$C$5-0.0005,0)</f>
        <v/>
      </c>
      <c r="O10" s="8">
        <f>L10*(ROUNDUP(I10/GiaDinh!$C$5-0.0005,0)-1)</f>
        <v/>
      </c>
      <c r="P10" s="8">
        <f>L10*J10</f>
        <v/>
      </c>
      <c r="Q10" s="8">
        <f>2*P10</f>
        <v/>
      </c>
      <c r="R10" s="8">
        <f>P10</f>
        <v/>
      </c>
      <c r="S10" s="14">
        <f>M10*GiaDinh!$C$7</f>
        <v/>
      </c>
    </row>
    <row r="11">
      <c r="A11" s="8" t="inlineStr">
        <is>
          <t>BÈ 1</t>
        </is>
      </c>
      <c r="B11" s="8" t="inlineStr">
        <is>
          <t>B1-08</t>
        </is>
      </c>
      <c r="C11" s="8" t="inlineStr">
        <is>
          <t>Dọc cạnh (hộp song song mép bè, cách mép 1 hàng phao)</t>
        </is>
      </c>
      <c r="D11" s="8" t="inlineStr">
        <is>
          <t>B1-D32a, B1-D32b</t>
        </is>
      </c>
      <c r="E11" s="8" t="n">
        <v>2</v>
      </c>
      <c r="F11" s="8" t="n">
        <v>104.1</v>
      </c>
      <c r="G11" s="13">
        <f>E11*F11*GiaDinh!$C$18*GiaDinh!$C$17</f>
        <v/>
      </c>
      <c r="H11" s="8">
        <f>GiaDinh!$C$21</f>
        <v/>
      </c>
      <c r="I11" s="8">
        <f>GiaDinh!$C$15</f>
        <v/>
      </c>
      <c r="J11" s="8">
        <f>ROUNDDOWN(I11/H11,0)+1</f>
        <v/>
      </c>
      <c r="K11" s="13">
        <f>J11*GiaDinh!$C$16</f>
        <v/>
      </c>
      <c r="L11" s="8">
        <f>MAX(1,ROUNDUP(G11/K11-0.0005,0))</f>
        <v/>
      </c>
      <c r="M11" s="13">
        <f>L11*I11</f>
        <v/>
      </c>
      <c r="N11" s="8">
        <f>L11*ROUNDUP(I11/GiaDinh!$C$5-0.0005,0)</f>
        <v/>
      </c>
      <c r="O11" s="8">
        <f>L11*(ROUNDUP(I11/GiaDinh!$C$5-0.0005,0)-1)</f>
        <v/>
      </c>
      <c r="P11" s="8">
        <f>L11*J11</f>
        <v/>
      </c>
      <c r="Q11" s="8">
        <f>2*P11</f>
        <v/>
      </c>
      <c r="R11" s="8">
        <f>P11</f>
        <v/>
      </c>
      <c r="S11" s="14">
        <f>M11*GiaDinh!$C$7</f>
        <v/>
      </c>
    </row>
    <row r="12">
      <c r="A12" s="8" t="inlineStr">
        <is>
          <t>BÈ 1</t>
        </is>
      </c>
      <c r="B12" s="8" t="inlineStr">
        <is>
          <t>B1-09</t>
        </is>
      </c>
      <c r="C12" s="8" t="inlineStr">
        <is>
          <t>Dọc cạnh (hộp song song mép bè, cách mép 1 hàng phao)</t>
        </is>
      </c>
      <c r="D12" s="8" t="inlineStr">
        <is>
          <t>B1-D33a, B1-D33b</t>
        </is>
      </c>
      <c r="E12" s="8" t="n">
        <v>2</v>
      </c>
      <c r="F12" s="8" t="n">
        <v>104.1</v>
      </c>
      <c r="G12" s="13">
        <f>E12*F12*GiaDinh!$C$18*GiaDinh!$C$17</f>
        <v/>
      </c>
      <c r="H12" s="8">
        <f>GiaDinh!$C$21</f>
        <v/>
      </c>
      <c r="I12" s="8">
        <f>GiaDinh!$C$15</f>
        <v/>
      </c>
      <c r="J12" s="8">
        <f>ROUNDDOWN(I12/H12,0)+1</f>
        <v/>
      </c>
      <c r="K12" s="13">
        <f>J12*GiaDinh!$C$16</f>
        <v/>
      </c>
      <c r="L12" s="8">
        <f>MAX(1,ROUNDUP(G12/K12-0.0005,0))</f>
        <v/>
      </c>
      <c r="M12" s="13">
        <f>L12*I12</f>
        <v/>
      </c>
      <c r="N12" s="8">
        <f>L12*ROUNDUP(I12/GiaDinh!$C$5-0.0005,0)</f>
        <v/>
      </c>
      <c r="O12" s="8">
        <f>L12*(ROUNDUP(I12/GiaDinh!$C$5-0.0005,0)-1)</f>
        <v/>
      </c>
      <c r="P12" s="8">
        <f>L12*J12</f>
        <v/>
      </c>
      <c r="Q12" s="8">
        <f>2*P12</f>
        <v/>
      </c>
      <c r="R12" s="8">
        <f>P12</f>
        <v/>
      </c>
      <c r="S12" s="14">
        <f>M12*GiaDinh!$C$7</f>
        <v/>
      </c>
    </row>
    <row r="13">
      <c r="A13" s="8" t="inlineStr">
        <is>
          <t>BÈ 1</t>
        </is>
      </c>
      <c r="B13" s="8" t="inlineStr">
        <is>
          <t>B1-10</t>
        </is>
      </c>
      <c r="C13" s="8" t="inlineStr">
        <is>
          <t>Dọc cạnh (hộp song song mép bè, cách mép 1 hàng phao)</t>
        </is>
      </c>
      <c r="D13" s="8" t="inlineStr">
        <is>
          <t>B1-D34a, B1-D34b</t>
        </is>
      </c>
      <c r="E13" s="8" t="n">
        <v>2</v>
      </c>
      <c r="F13" s="8" t="n">
        <v>104.1</v>
      </c>
      <c r="G13" s="13">
        <f>E13*F13*GiaDinh!$C$18*GiaDinh!$C$17</f>
        <v/>
      </c>
      <c r="H13" s="8">
        <f>GiaDinh!$C$21</f>
        <v/>
      </c>
      <c r="I13" s="8">
        <f>GiaDinh!$C$15</f>
        <v/>
      </c>
      <c r="J13" s="8">
        <f>ROUNDDOWN(I13/H13,0)+1</f>
        <v/>
      </c>
      <c r="K13" s="13">
        <f>J13*GiaDinh!$C$16</f>
        <v/>
      </c>
      <c r="L13" s="8">
        <f>MAX(1,ROUNDUP(G13/K13-0.0005,0))</f>
        <v/>
      </c>
      <c r="M13" s="13">
        <f>L13*I13</f>
        <v/>
      </c>
      <c r="N13" s="8">
        <f>L13*ROUNDUP(I13/GiaDinh!$C$5-0.0005,0)</f>
        <v/>
      </c>
      <c r="O13" s="8">
        <f>L13*(ROUNDUP(I13/GiaDinh!$C$5-0.0005,0)-1)</f>
        <v/>
      </c>
      <c r="P13" s="8">
        <f>L13*J13</f>
        <v/>
      </c>
      <c r="Q13" s="8">
        <f>2*P13</f>
        <v/>
      </c>
      <c r="R13" s="8">
        <f>P13</f>
        <v/>
      </c>
      <c r="S13" s="14">
        <f>M13*GiaDinh!$C$7</f>
        <v/>
      </c>
    </row>
    <row r="14">
      <c r="A14" s="8" t="inlineStr">
        <is>
          <t>BÈ 1</t>
        </is>
      </c>
      <c r="B14" s="8" t="inlineStr">
        <is>
          <t>B1-11</t>
        </is>
      </c>
      <c r="C14" s="8" t="inlineStr">
        <is>
          <t>Dọc cạnh (hộp song song mép bè, cách mép 1 hàng phao)</t>
        </is>
      </c>
      <c r="D14" s="8" t="inlineStr">
        <is>
          <t>B1-D35a, B1-D35b</t>
        </is>
      </c>
      <c r="E14" s="8" t="n">
        <v>2</v>
      </c>
      <c r="F14" s="8" t="n">
        <v>104.1</v>
      </c>
      <c r="G14" s="13">
        <f>E14*F14*GiaDinh!$C$18*GiaDinh!$C$17</f>
        <v/>
      </c>
      <c r="H14" s="8">
        <f>GiaDinh!$C$21</f>
        <v/>
      </c>
      <c r="I14" s="8">
        <f>GiaDinh!$C$15</f>
        <v/>
      </c>
      <c r="J14" s="8">
        <f>ROUNDDOWN(I14/H14,0)+1</f>
        <v/>
      </c>
      <c r="K14" s="13">
        <f>J14*GiaDinh!$C$16</f>
        <v/>
      </c>
      <c r="L14" s="8">
        <f>MAX(1,ROUNDUP(G14/K14-0.0005,0))</f>
        <v/>
      </c>
      <c r="M14" s="13">
        <f>L14*I14</f>
        <v/>
      </c>
      <c r="N14" s="8">
        <f>L14*ROUNDUP(I14/GiaDinh!$C$5-0.0005,0)</f>
        <v/>
      </c>
      <c r="O14" s="8">
        <f>L14*(ROUNDUP(I14/GiaDinh!$C$5-0.0005,0)-1)</f>
        <v/>
      </c>
      <c r="P14" s="8">
        <f>L14*J14</f>
        <v/>
      </c>
      <c r="Q14" s="8">
        <f>2*P14</f>
        <v/>
      </c>
      <c r="R14" s="8">
        <f>P14</f>
        <v/>
      </c>
      <c r="S14" s="14">
        <f>M14*GiaDinh!$C$7</f>
        <v/>
      </c>
    </row>
    <row r="15">
      <c r="A15" s="8" t="inlineStr">
        <is>
          <t>BÈ 1</t>
        </is>
      </c>
      <c r="B15" s="8" t="inlineStr">
        <is>
          <t>B1-12</t>
        </is>
      </c>
      <c r="C15" s="8" t="inlineStr">
        <is>
          <t>Dọc cạnh (hộp song song mép bè, cách mép 1 hàng phao)</t>
        </is>
      </c>
      <c r="D15" s="8" t="inlineStr">
        <is>
          <t>B1-D36a, B1-D36b</t>
        </is>
      </c>
      <c r="E15" s="8" t="n">
        <v>2</v>
      </c>
      <c r="F15" s="8" t="n">
        <v>104.1</v>
      </c>
      <c r="G15" s="13">
        <f>E15*F15*GiaDinh!$C$18*GiaDinh!$C$17</f>
        <v/>
      </c>
      <c r="H15" s="8">
        <f>GiaDinh!$C$21</f>
        <v/>
      </c>
      <c r="I15" s="8">
        <f>GiaDinh!$C$15</f>
        <v/>
      </c>
      <c r="J15" s="8">
        <f>ROUNDDOWN(I15/H15,0)+1</f>
        <v/>
      </c>
      <c r="K15" s="13">
        <f>J15*GiaDinh!$C$16</f>
        <v/>
      </c>
      <c r="L15" s="8">
        <f>MAX(1,ROUNDUP(G15/K15-0.0005,0))</f>
        <v/>
      </c>
      <c r="M15" s="13">
        <f>L15*I15</f>
        <v/>
      </c>
      <c r="N15" s="8">
        <f>L15*ROUNDUP(I15/GiaDinh!$C$5-0.0005,0)</f>
        <v/>
      </c>
      <c r="O15" s="8">
        <f>L15*(ROUNDUP(I15/GiaDinh!$C$5-0.0005,0)-1)</f>
        <v/>
      </c>
      <c r="P15" s="8">
        <f>L15*J15</f>
        <v/>
      </c>
      <c r="Q15" s="8">
        <f>2*P15</f>
        <v/>
      </c>
      <c r="R15" s="8">
        <f>P15</f>
        <v/>
      </c>
      <c r="S15" s="14">
        <f>M15*GiaDinh!$C$7</f>
        <v/>
      </c>
    </row>
    <row r="16">
      <c r="A16" s="8" t="inlineStr">
        <is>
          <t>BÈ 1</t>
        </is>
      </c>
      <c r="B16" s="8" t="inlineStr">
        <is>
          <t>B1-13</t>
        </is>
      </c>
      <c r="C16" s="8" t="inlineStr">
        <is>
          <t>Dọc cạnh (hộp song song mép bè, cách mép 1 hàng phao)</t>
        </is>
      </c>
      <c r="D16" s="8" t="inlineStr">
        <is>
          <t>B1-D37a, B1-D37b</t>
        </is>
      </c>
      <c r="E16" s="8" t="n">
        <v>2</v>
      </c>
      <c r="F16" s="8" t="n">
        <v>104.1</v>
      </c>
      <c r="G16" s="13">
        <f>E16*F16*GiaDinh!$C$18*GiaDinh!$C$17</f>
        <v/>
      </c>
      <c r="H16" s="8">
        <f>GiaDinh!$C$21</f>
        <v/>
      </c>
      <c r="I16" s="8">
        <f>GiaDinh!$C$15</f>
        <v/>
      </c>
      <c r="J16" s="8">
        <f>ROUNDDOWN(I16/H16,0)+1</f>
        <v/>
      </c>
      <c r="K16" s="13">
        <f>J16*GiaDinh!$C$16</f>
        <v/>
      </c>
      <c r="L16" s="8">
        <f>MAX(1,ROUNDUP(G16/K16-0.0005,0))</f>
        <v/>
      </c>
      <c r="M16" s="13">
        <f>L16*I16</f>
        <v/>
      </c>
      <c r="N16" s="8">
        <f>L16*ROUNDUP(I16/GiaDinh!$C$5-0.0005,0)</f>
        <v/>
      </c>
      <c r="O16" s="8">
        <f>L16*(ROUNDUP(I16/GiaDinh!$C$5-0.0005,0)-1)</f>
        <v/>
      </c>
      <c r="P16" s="8">
        <f>L16*J16</f>
        <v/>
      </c>
      <c r="Q16" s="8">
        <f>2*P16</f>
        <v/>
      </c>
      <c r="R16" s="8">
        <f>P16</f>
        <v/>
      </c>
      <c r="S16" s="14">
        <f>M16*GiaDinh!$C$7</f>
        <v/>
      </c>
    </row>
    <row r="17">
      <c r="A17" s="8" t="inlineStr">
        <is>
          <t>BÈ 1</t>
        </is>
      </c>
      <c r="B17" s="8" t="inlineStr">
        <is>
          <t>B1-14</t>
        </is>
      </c>
      <c r="C17" s="8" t="inlineStr">
        <is>
          <t>Dọc cạnh (hộp song song mép bè, cách mép 1 hàng phao)</t>
        </is>
      </c>
      <c r="D17" s="8" t="inlineStr">
        <is>
          <t>B1-D38a, B1-D38b</t>
        </is>
      </c>
      <c r="E17" s="8" t="n">
        <v>2</v>
      </c>
      <c r="F17" s="8" t="n">
        <v>104.1</v>
      </c>
      <c r="G17" s="13">
        <f>E17*F17*GiaDinh!$C$18*GiaDinh!$C$17</f>
        <v/>
      </c>
      <c r="H17" s="8">
        <f>GiaDinh!$C$21</f>
        <v/>
      </c>
      <c r="I17" s="8">
        <f>GiaDinh!$C$15</f>
        <v/>
      </c>
      <c r="J17" s="8">
        <f>ROUNDDOWN(I17/H17,0)+1</f>
        <v/>
      </c>
      <c r="K17" s="13">
        <f>J17*GiaDinh!$C$16</f>
        <v/>
      </c>
      <c r="L17" s="8">
        <f>MAX(1,ROUNDUP(G17/K17-0.0005,0))</f>
        <v/>
      </c>
      <c r="M17" s="13">
        <f>L17*I17</f>
        <v/>
      </c>
      <c r="N17" s="8">
        <f>L17*ROUNDUP(I17/GiaDinh!$C$5-0.0005,0)</f>
        <v/>
      </c>
      <c r="O17" s="8">
        <f>L17*(ROUNDUP(I17/GiaDinh!$C$5-0.0005,0)-1)</f>
        <v/>
      </c>
      <c r="P17" s="8">
        <f>L17*J17</f>
        <v/>
      </c>
      <c r="Q17" s="8">
        <f>2*P17</f>
        <v/>
      </c>
      <c r="R17" s="8">
        <f>P17</f>
        <v/>
      </c>
      <c r="S17" s="14">
        <f>M17*GiaDinh!$C$7</f>
        <v/>
      </c>
    </row>
    <row r="18">
      <c r="A18" s="8" t="inlineStr">
        <is>
          <t>BÈ 1</t>
        </is>
      </c>
      <c r="B18" s="8" t="inlineStr">
        <is>
          <t>B1-15</t>
        </is>
      </c>
      <c r="C18" s="8" t="inlineStr">
        <is>
          <t>Dọc cạnh (hộp song song mép bè, cách mép 1 hàng phao)</t>
        </is>
      </c>
      <c r="D18" s="8" t="inlineStr">
        <is>
          <t>B1-D39a, B1-D39b</t>
        </is>
      </c>
      <c r="E18" s="8" t="n">
        <v>2</v>
      </c>
      <c r="F18" s="8" t="n">
        <v>104.1</v>
      </c>
      <c r="G18" s="13">
        <f>E18*F18*GiaDinh!$C$18*GiaDinh!$C$17</f>
        <v/>
      </c>
      <c r="H18" s="8">
        <f>GiaDinh!$C$21</f>
        <v/>
      </c>
      <c r="I18" s="8">
        <f>GiaDinh!$C$15</f>
        <v/>
      </c>
      <c r="J18" s="8">
        <f>ROUNDDOWN(I18/H18,0)+1</f>
        <v/>
      </c>
      <c r="K18" s="13">
        <f>J18*GiaDinh!$C$16</f>
        <v/>
      </c>
      <c r="L18" s="8">
        <f>MAX(1,ROUNDUP(G18/K18-0.0005,0))</f>
        <v/>
      </c>
      <c r="M18" s="13">
        <f>L18*I18</f>
        <v/>
      </c>
      <c r="N18" s="8">
        <f>L18*ROUNDUP(I18/GiaDinh!$C$5-0.0005,0)</f>
        <v/>
      </c>
      <c r="O18" s="8">
        <f>L18*(ROUNDUP(I18/GiaDinh!$C$5-0.0005,0)-1)</f>
        <v/>
      </c>
      <c r="P18" s="8">
        <f>L18*J18</f>
        <v/>
      </c>
      <c r="Q18" s="8">
        <f>2*P18</f>
        <v/>
      </c>
      <c r="R18" s="8">
        <f>P18</f>
        <v/>
      </c>
      <c r="S18" s="14">
        <f>M18*GiaDinh!$C$7</f>
        <v/>
      </c>
    </row>
    <row r="19">
      <c r="A19" s="8" t="inlineStr">
        <is>
          <t>BÈ 1</t>
        </is>
      </c>
      <c r="B19" s="8" t="inlineStr">
        <is>
          <t>B1-16</t>
        </is>
      </c>
      <c r="C19" s="8" t="inlineStr">
        <is>
          <t>Dọc cạnh (hộp song song mép bè, cách mép 1 hàng phao)</t>
        </is>
      </c>
      <c r="D19" s="8" t="inlineStr">
        <is>
          <t>B1-D40a, B1-D40b</t>
        </is>
      </c>
      <c r="E19" s="8" t="n">
        <v>2</v>
      </c>
      <c r="F19" s="8" t="n">
        <v>104.1</v>
      </c>
      <c r="G19" s="13">
        <f>E19*F19*GiaDinh!$C$18*GiaDinh!$C$17</f>
        <v/>
      </c>
      <c r="H19" s="8">
        <f>GiaDinh!$C$21</f>
        <v/>
      </c>
      <c r="I19" s="8">
        <f>GiaDinh!$C$15</f>
        <v/>
      </c>
      <c r="J19" s="8">
        <f>ROUNDDOWN(I19/H19,0)+1</f>
        <v/>
      </c>
      <c r="K19" s="13">
        <f>J19*GiaDinh!$C$16</f>
        <v/>
      </c>
      <c r="L19" s="8">
        <f>MAX(1,ROUNDUP(G19/K19-0.0005,0))</f>
        <v/>
      </c>
      <c r="M19" s="13">
        <f>L19*I19</f>
        <v/>
      </c>
      <c r="N19" s="8">
        <f>L19*ROUNDUP(I19/GiaDinh!$C$5-0.0005,0)</f>
        <v/>
      </c>
      <c r="O19" s="8">
        <f>L19*(ROUNDUP(I19/GiaDinh!$C$5-0.0005,0)-1)</f>
        <v/>
      </c>
      <c r="P19" s="8">
        <f>L19*J19</f>
        <v/>
      </c>
      <c r="Q19" s="8">
        <f>2*P19</f>
        <v/>
      </c>
      <c r="R19" s="8">
        <f>P19</f>
        <v/>
      </c>
      <c r="S19" s="14">
        <f>M19*GiaDinh!$C$7</f>
        <v/>
      </c>
    </row>
    <row r="20">
      <c r="A20" s="8" t="inlineStr">
        <is>
          <t>BÈ 1</t>
        </is>
      </c>
      <c r="B20" s="8" t="inlineStr">
        <is>
          <t>B1-17</t>
        </is>
      </c>
      <c r="C20" s="8" t="inlineStr">
        <is>
          <t>Dọc cạnh (hộp song song mép bè, cách mép 1 hàng phao)</t>
        </is>
      </c>
      <c r="D20" s="8" t="inlineStr">
        <is>
          <t>B1-D41a, B1-D41b</t>
        </is>
      </c>
      <c r="E20" s="8" t="n">
        <v>2</v>
      </c>
      <c r="F20" s="8" t="n">
        <v>104.1</v>
      </c>
      <c r="G20" s="13">
        <f>E20*F20*GiaDinh!$C$18*GiaDinh!$C$17</f>
        <v/>
      </c>
      <c r="H20" s="8">
        <f>GiaDinh!$C$21</f>
        <v/>
      </c>
      <c r="I20" s="8">
        <f>GiaDinh!$C$15</f>
        <v/>
      </c>
      <c r="J20" s="8">
        <f>ROUNDDOWN(I20/H20,0)+1</f>
        <v/>
      </c>
      <c r="K20" s="13">
        <f>J20*GiaDinh!$C$16</f>
        <v/>
      </c>
      <c r="L20" s="8">
        <f>MAX(1,ROUNDUP(G20/K20-0.0005,0))</f>
        <v/>
      </c>
      <c r="M20" s="13">
        <f>L20*I20</f>
        <v/>
      </c>
      <c r="N20" s="8">
        <f>L20*ROUNDUP(I20/GiaDinh!$C$5-0.0005,0)</f>
        <v/>
      </c>
      <c r="O20" s="8">
        <f>L20*(ROUNDUP(I20/GiaDinh!$C$5-0.0005,0)-1)</f>
        <v/>
      </c>
      <c r="P20" s="8">
        <f>L20*J20</f>
        <v/>
      </c>
      <c r="Q20" s="8">
        <f>2*P20</f>
        <v/>
      </c>
      <c r="R20" s="8">
        <f>P20</f>
        <v/>
      </c>
      <c r="S20" s="14">
        <f>M20*GiaDinh!$C$7</f>
        <v/>
      </c>
    </row>
    <row r="21">
      <c r="A21" s="8" t="inlineStr">
        <is>
          <t>BÈ 1</t>
        </is>
      </c>
      <c r="B21" s="8" t="inlineStr">
        <is>
          <t>B1-18</t>
        </is>
      </c>
      <c r="C21" s="8" t="inlineStr">
        <is>
          <t>Dọc cạnh (hộp song song mép bè, cách mép 1 hàng phao)</t>
        </is>
      </c>
      <c r="D21" s="8" t="inlineStr">
        <is>
          <t>B1-D42a, B1-D42b</t>
        </is>
      </c>
      <c r="E21" s="8" t="n">
        <v>2</v>
      </c>
      <c r="F21" s="8" t="n">
        <v>104.1</v>
      </c>
      <c r="G21" s="13">
        <f>E21*F21*GiaDinh!$C$18*GiaDinh!$C$17</f>
        <v/>
      </c>
      <c r="H21" s="8">
        <f>GiaDinh!$C$21</f>
        <v/>
      </c>
      <c r="I21" s="8">
        <f>GiaDinh!$C$15</f>
        <v/>
      </c>
      <c r="J21" s="8">
        <f>ROUNDDOWN(I21/H21,0)+1</f>
        <v/>
      </c>
      <c r="K21" s="13">
        <f>J21*GiaDinh!$C$16</f>
        <v/>
      </c>
      <c r="L21" s="8">
        <f>MAX(1,ROUNDUP(G21/K21-0.0005,0))</f>
        <v/>
      </c>
      <c r="M21" s="13">
        <f>L21*I21</f>
        <v/>
      </c>
      <c r="N21" s="8">
        <f>L21*ROUNDUP(I21/GiaDinh!$C$5-0.0005,0)</f>
        <v/>
      </c>
      <c r="O21" s="8">
        <f>L21*(ROUNDUP(I21/GiaDinh!$C$5-0.0005,0)-1)</f>
        <v/>
      </c>
      <c r="P21" s="8">
        <f>L21*J21</f>
        <v/>
      </c>
      <c r="Q21" s="8">
        <f>2*P21</f>
        <v/>
      </c>
      <c r="R21" s="8">
        <f>P21</f>
        <v/>
      </c>
      <c r="S21" s="14">
        <f>M21*GiaDinh!$C$7</f>
        <v/>
      </c>
    </row>
    <row r="22">
      <c r="A22" s="8" t="inlineStr">
        <is>
          <t>BÈ 1</t>
        </is>
      </c>
      <c r="B22" s="8" t="inlineStr">
        <is>
          <t>B1-19</t>
        </is>
      </c>
      <c r="C22" s="8" t="inlineStr">
        <is>
          <t>Dọc cạnh (hộp song song mép bè, cách mép 1 hàng phao)</t>
        </is>
      </c>
      <c r="D22" s="8" t="inlineStr">
        <is>
          <t>B1-D43a, B1-D43b</t>
        </is>
      </c>
      <c r="E22" s="8" t="n">
        <v>2</v>
      </c>
      <c r="F22" s="8" t="n">
        <v>104.1</v>
      </c>
      <c r="G22" s="13">
        <f>E22*F22*GiaDinh!$C$18*GiaDinh!$C$17</f>
        <v/>
      </c>
      <c r="H22" s="8">
        <f>GiaDinh!$C$21</f>
        <v/>
      </c>
      <c r="I22" s="8">
        <f>GiaDinh!$C$15</f>
        <v/>
      </c>
      <c r="J22" s="8">
        <f>ROUNDDOWN(I22/H22,0)+1</f>
        <v/>
      </c>
      <c r="K22" s="13">
        <f>J22*GiaDinh!$C$16</f>
        <v/>
      </c>
      <c r="L22" s="8">
        <f>MAX(1,ROUNDUP(G22/K22-0.0005,0))</f>
        <v/>
      </c>
      <c r="M22" s="13">
        <f>L22*I22</f>
        <v/>
      </c>
      <c r="N22" s="8">
        <f>L22*ROUNDUP(I22/GiaDinh!$C$5-0.0005,0)</f>
        <v/>
      </c>
      <c r="O22" s="8">
        <f>L22*(ROUNDUP(I22/GiaDinh!$C$5-0.0005,0)-1)</f>
        <v/>
      </c>
      <c r="P22" s="8">
        <f>L22*J22</f>
        <v/>
      </c>
      <c r="Q22" s="8">
        <f>2*P22</f>
        <v/>
      </c>
      <c r="R22" s="8">
        <f>P22</f>
        <v/>
      </c>
      <c r="S22" s="14">
        <f>M22*GiaDinh!$C$7</f>
        <v/>
      </c>
    </row>
    <row r="23">
      <c r="A23" s="8" t="inlineStr">
        <is>
          <t>BÈ 1</t>
        </is>
      </c>
      <c r="B23" s="8" t="inlineStr">
        <is>
          <t>B1-20</t>
        </is>
      </c>
      <c r="C23" s="8" t="inlineStr">
        <is>
          <t>Dọc cạnh (hộp song song mép bè, cách mép 1 hàng phao)</t>
        </is>
      </c>
      <c r="D23" s="8" t="inlineStr">
        <is>
          <t>B1-D01a, B1-D01b</t>
        </is>
      </c>
      <c r="E23" s="8" t="n">
        <v>2</v>
      </c>
      <c r="F23" s="8" t="n">
        <v>104.1</v>
      </c>
      <c r="G23" s="13">
        <f>E23*F23*GiaDinh!$C$18*GiaDinh!$C$17</f>
        <v/>
      </c>
      <c r="H23" s="8">
        <f>GiaDinh!$C$21</f>
        <v/>
      </c>
      <c r="I23" s="8">
        <f>GiaDinh!$C$15</f>
        <v/>
      </c>
      <c r="J23" s="8">
        <f>ROUNDDOWN(I23/H23,0)+1</f>
        <v/>
      </c>
      <c r="K23" s="13">
        <f>J23*GiaDinh!$C$16</f>
        <v/>
      </c>
      <c r="L23" s="8">
        <f>MAX(1,ROUNDUP(G23/K23-0.0005,0))</f>
        <v/>
      </c>
      <c r="M23" s="13">
        <f>L23*I23</f>
        <v/>
      </c>
      <c r="N23" s="8">
        <f>L23*ROUNDUP(I23/GiaDinh!$C$5-0.0005,0)</f>
        <v/>
      </c>
      <c r="O23" s="8">
        <f>L23*(ROUNDUP(I23/GiaDinh!$C$5-0.0005,0)-1)</f>
        <v/>
      </c>
      <c r="P23" s="8">
        <f>L23*J23</f>
        <v/>
      </c>
      <c r="Q23" s="8">
        <f>2*P23</f>
        <v/>
      </c>
      <c r="R23" s="8">
        <f>P23</f>
        <v/>
      </c>
      <c r="S23" s="14">
        <f>M23*GiaDinh!$C$7</f>
        <v/>
      </c>
    </row>
    <row r="24">
      <c r="A24" s="8" t="inlineStr">
        <is>
          <t>BÈ 1</t>
        </is>
      </c>
      <c r="B24" s="8" t="inlineStr">
        <is>
          <t>B1-21</t>
        </is>
      </c>
      <c r="C24" s="8" t="inlineStr">
        <is>
          <t>Dọc cạnh (hộp song song mép bè, cách mép 1 hàng phao)</t>
        </is>
      </c>
      <c r="D24" s="8" t="inlineStr">
        <is>
          <t>B1-D02a, B1-D02b</t>
        </is>
      </c>
      <c r="E24" s="8" t="n">
        <v>2</v>
      </c>
      <c r="F24" s="8" t="n">
        <v>104.1</v>
      </c>
      <c r="G24" s="13">
        <f>E24*F24*GiaDinh!$C$18*GiaDinh!$C$17</f>
        <v/>
      </c>
      <c r="H24" s="8">
        <f>GiaDinh!$C$21</f>
        <v/>
      </c>
      <c r="I24" s="8">
        <f>GiaDinh!$C$15</f>
        <v/>
      </c>
      <c r="J24" s="8">
        <f>ROUNDDOWN(I24/H24,0)+1</f>
        <v/>
      </c>
      <c r="K24" s="13">
        <f>J24*GiaDinh!$C$16</f>
        <v/>
      </c>
      <c r="L24" s="8">
        <f>MAX(1,ROUNDUP(G24/K24-0.0005,0))</f>
        <v/>
      </c>
      <c r="M24" s="13">
        <f>L24*I24</f>
        <v/>
      </c>
      <c r="N24" s="8">
        <f>L24*ROUNDUP(I24/GiaDinh!$C$5-0.0005,0)</f>
        <v/>
      </c>
      <c r="O24" s="8">
        <f>L24*(ROUNDUP(I24/GiaDinh!$C$5-0.0005,0)-1)</f>
        <v/>
      </c>
      <c r="P24" s="8">
        <f>L24*J24</f>
        <v/>
      </c>
      <c r="Q24" s="8">
        <f>2*P24</f>
        <v/>
      </c>
      <c r="R24" s="8">
        <f>P24</f>
        <v/>
      </c>
      <c r="S24" s="14">
        <f>M24*GiaDinh!$C$7</f>
        <v/>
      </c>
    </row>
    <row r="25">
      <c r="A25" s="8" t="inlineStr">
        <is>
          <t>BÈ 1</t>
        </is>
      </c>
      <c r="B25" s="8" t="inlineStr">
        <is>
          <t>B1-22</t>
        </is>
      </c>
      <c r="C25" s="8" t="inlineStr">
        <is>
          <t>Dọc cạnh (hộp song song mép bè, cách mép 1 hàng phao)</t>
        </is>
      </c>
      <c r="D25" s="8" t="inlineStr">
        <is>
          <t>B1-D03a, B1-D03b</t>
        </is>
      </c>
      <c r="E25" s="8" t="n">
        <v>2</v>
      </c>
      <c r="F25" s="8" t="n">
        <v>104.1</v>
      </c>
      <c r="G25" s="13">
        <f>E25*F25*GiaDinh!$C$18*GiaDinh!$C$17</f>
        <v/>
      </c>
      <c r="H25" s="8">
        <f>GiaDinh!$C$21</f>
        <v/>
      </c>
      <c r="I25" s="8">
        <f>GiaDinh!$C$15</f>
        <v/>
      </c>
      <c r="J25" s="8">
        <f>ROUNDDOWN(I25/H25,0)+1</f>
        <v/>
      </c>
      <c r="K25" s="13">
        <f>J25*GiaDinh!$C$16</f>
        <v/>
      </c>
      <c r="L25" s="8">
        <f>MAX(1,ROUNDUP(G25/K25-0.0005,0))</f>
        <v/>
      </c>
      <c r="M25" s="13">
        <f>L25*I25</f>
        <v/>
      </c>
      <c r="N25" s="8">
        <f>L25*ROUNDUP(I25/GiaDinh!$C$5-0.0005,0)</f>
        <v/>
      </c>
      <c r="O25" s="8">
        <f>L25*(ROUNDUP(I25/GiaDinh!$C$5-0.0005,0)-1)</f>
        <v/>
      </c>
      <c r="P25" s="8">
        <f>L25*J25</f>
        <v/>
      </c>
      <c r="Q25" s="8">
        <f>2*P25</f>
        <v/>
      </c>
      <c r="R25" s="8">
        <f>P25</f>
        <v/>
      </c>
      <c r="S25" s="14">
        <f>M25*GiaDinh!$C$7</f>
        <v/>
      </c>
    </row>
    <row r="26">
      <c r="A26" s="8" t="inlineStr">
        <is>
          <t>BÈ 1</t>
        </is>
      </c>
      <c r="B26" s="8" t="inlineStr">
        <is>
          <t>B1-23</t>
        </is>
      </c>
      <c r="C26" s="8" t="inlineStr">
        <is>
          <t>Dọc cạnh (hộp song song mép bè, cách mép 1 hàng phao)</t>
        </is>
      </c>
      <c r="D26" s="8" t="inlineStr">
        <is>
          <t>B1-D04a, B1-D04b</t>
        </is>
      </c>
      <c r="E26" s="8" t="n">
        <v>2</v>
      </c>
      <c r="F26" s="8" t="n">
        <v>104.1</v>
      </c>
      <c r="G26" s="13">
        <f>E26*F26*GiaDinh!$C$18*GiaDinh!$C$17</f>
        <v/>
      </c>
      <c r="H26" s="8">
        <f>GiaDinh!$C$21</f>
        <v/>
      </c>
      <c r="I26" s="8">
        <f>GiaDinh!$C$15</f>
        <v/>
      </c>
      <c r="J26" s="8">
        <f>ROUNDDOWN(I26/H26,0)+1</f>
        <v/>
      </c>
      <c r="K26" s="13">
        <f>J26*GiaDinh!$C$16</f>
        <v/>
      </c>
      <c r="L26" s="8">
        <f>MAX(1,ROUNDUP(G26/K26-0.0005,0))</f>
        <v/>
      </c>
      <c r="M26" s="13">
        <f>L26*I26</f>
        <v/>
      </c>
      <c r="N26" s="8">
        <f>L26*ROUNDUP(I26/GiaDinh!$C$5-0.0005,0)</f>
        <v/>
      </c>
      <c r="O26" s="8">
        <f>L26*(ROUNDUP(I26/GiaDinh!$C$5-0.0005,0)-1)</f>
        <v/>
      </c>
      <c r="P26" s="8">
        <f>L26*J26</f>
        <v/>
      </c>
      <c r="Q26" s="8">
        <f>2*P26</f>
        <v/>
      </c>
      <c r="R26" s="8">
        <f>P26</f>
        <v/>
      </c>
      <c r="S26" s="14">
        <f>M26*GiaDinh!$C$7</f>
        <v/>
      </c>
    </row>
    <row r="27">
      <c r="A27" s="8" t="inlineStr">
        <is>
          <t>BÈ 1</t>
        </is>
      </c>
      <c r="B27" s="8" t="inlineStr">
        <is>
          <t>B1-24</t>
        </is>
      </c>
      <c r="C27" s="8" t="inlineStr">
        <is>
          <t>Dọc cạnh (hộp song song mép bè, cách mép 1 hàng phao)</t>
        </is>
      </c>
      <c r="D27" s="8" t="inlineStr">
        <is>
          <t>B1-D05a, B1-D05b</t>
        </is>
      </c>
      <c r="E27" s="8" t="n">
        <v>2</v>
      </c>
      <c r="F27" s="8" t="n">
        <v>104.1</v>
      </c>
      <c r="G27" s="13">
        <f>E27*F27*GiaDinh!$C$18*GiaDinh!$C$17</f>
        <v/>
      </c>
      <c r="H27" s="8">
        <f>GiaDinh!$C$21</f>
        <v/>
      </c>
      <c r="I27" s="8">
        <f>GiaDinh!$C$15</f>
        <v/>
      </c>
      <c r="J27" s="8">
        <f>ROUNDDOWN(I27/H27,0)+1</f>
        <v/>
      </c>
      <c r="K27" s="13">
        <f>J27*GiaDinh!$C$16</f>
        <v/>
      </c>
      <c r="L27" s="8">
        <f>MAX(1,ROUNDUP(G27/K27-0.0005,0))</f>
        <v/>
      </c>
      <c r="M27" s="13">
        <f>L27*I27</f>
        <v/>
      </c>
      <c r="N27" s="8">
        <f>L27*ROUNDUP(I27/GiaDinh!$C$5-0.0005,0)</f>
        <v/>
      </c>
      <c r="O27" s="8">
        <f>L27*(ROUNDUP(I27/GiaDinh!$C$5-0.0005,0)-1)</f>
        <v/>
      </c>
      <c r="P27" s="8">
        <f>L27*J27</f>
        <v/>
      </c>
      <c r="Q27" s="8">
        <f>2*P27</f>
        <v/>
      </c>
      <c r="R27" s="8">
        <f>P27</f>
        <v/>
      </c>
      <c r="S27" s="14">
        <f>M27*GiaDinh!$C$7</f>
        <v/>
      </c>
    </row>
    <row r="28">
      <c r="A28" s="8" t="inlineStr">
        <is>
          <t>BÈ 1</t>
        </is>
      </c>
      <c r="B28" s="8" t="inlineStr">
        <is>
          <t>B1-25</t>
        </is>
      </c>
      <c r="C28" s="8" t="inlineStr">
        <is>
          <t>Dọc cạnh (hộp song song mép bè, cách mép 1 hàng phao)</t>
        </is>
      </c>
      <c r="D28" s="8" t="inlineStr">
        <is>
          <t>B1-D06a, B1-D06b</t>
        </is>
      </c>
      <c r="E28" s="8" t="n">
        <v>2</v>
      </c>
      <c r="F28" s="8" t="n">
        <v>104.1</v>
      </c>
      <c r="G28" s="13">
        <f>E28*F28*GiaDinh!$C$18*GiaDinh!$C$17</f>
        <v/>
      </c>
      <c r="H28" s="8">
        <f>GiaDinh!$C$21</f>
        <v/>
      </c>
      <c r="I28" s="8">
        <f>GiaDinh!$C$15</f>
        <v/>
      </c>
      <c r="J28" s="8">
        <f>ROUNDDOWN(I28/H28,0)+1</f>
        <v/>
      </c>
      <c r="K28" s="13">
        <f>J28*GiaDinh!$C$16</f>
        <v/>
      </c>
      <c r="L28" s="8">
        <f>MAX(1,ROUNDUP(G28/K28-0.0005,0))</f>
        <v/>
      </c>
      <c r="M28" s="13">
        <f>L28*I28</f>
        <v/>
      </c>
      <c r="N28" s="8">
        <f>L28*ROUNDUP(I28/GiaDinh!$C$5-0.0005,0)</f>
        <v/>
      </c>
      <c r="O28" s="8">
        <f>L28*(ROUNDUP(I28/GiaDinh!$C$5-0.0005,0)-1)</f>
        <v/>
      </c>
      <c r="P28" s="8">
        <f>L28*J28</f>
        <v/>
      </c>
      <c r="Q28" s="8">
        <f>2*P28</f>
        <v/>
      </c>
      <c r="R28" s="8">
        <f>P28</f>
        <v/>
      </c>
      <c r="S28" s="14">
        <f>M28*GiaDinh!$C$7</f>
        <v/>
      </c>
    </row>
    <row r="29">
      <c r="A29" s="8" t="inlineStr">
        <is>
          <t>BÈ 1</t>
        </is>
      </c>
      <c r="B29" s="8" t="inlineStr">
        <is>
          <t>B1-26</t>
        </is>
      </c>
      <c r="C29" s="8" t="inlineStr">
        <is>
          <t>Dọc cạnh (hộp song song mép bè, cách mép 1 hàng phao)</t>
        </is>
      </c>
      <c r="D29" s="8" t="inlineStr">
        <is>
          <t>B1-D07a, B1-D07b</t>
        </is>
      </c>
      <c r="E29" s="8" t="n">
        <v>2</v>
      </c>
      <c r="F29" s="8" t="n">
        <v>104.1</v>
      </c>
      <c r="G29" s="13">
        <f>E29*F29*GiaDinh!$C$18*GiaDinh!$C$17</f>
        <v/>
      </c>
      <c r="H29" s="8">
        <f>GiaDinh!$C$21</f>
        <v/>
      </c>
      <c r="I29" s="8">
        <f>GiaDinh!$C$15</f>
        <v/>
      </c>
      <c r="J29" s="8">
        <f>ROUNDDOWN(I29/H29,0)+1</f>
        <v/>
      </c>
      <c r="K29" s="13">
        <f>J29*GiaDinh!$C$16</f>
        <v/>
      </c>
      <c r="L29" s="8">
        <f>MAX(1,ROUNDUP(G29/K29-0.0005,0))</f>
        <v/>
      </c>
      <c r="M29" s="13">
        <f>L29*I29</f>
        <v/>
      </c>
      <c r="N29" s="8">
        <f>L29*ROUNDUP(I29/GiaDinh!$C$5-0.0005,0)</f>
        <v/>
      </c>
      <c r="O29" s="8">
        <f>L29*(ROUNDUP(I29/GiaDinh!$C$5-0.0005,0)-1)</f>
        <v/>
      </c>
      <c r="P29" s="8">
        <f>L29*J29</f>
        <v/>
      </c>
      <c r="Q29" s="8">
        <f>2*P29</f>
        <v/>
      </c>
      <c r="R29" s="8">
        <f>P29</f>
        <v/>
      </c>
      <c r="S29" s="14">
        <f>M29*GiaDinh!$C$7</f>
        <v/>
      </c>
    </row>
    <row r="30">
      <c r="A30" s="8" t="inlineStr">
        <is>
          <t>BÈ 1</t>
        </is>
      </c>
      <c r="B30" s="8" t="inlineStr">
        <is>
          <t>B1-27</t>
        </is>
      </c>
      <c r="C30" s="8" t="inlineStr">
        <is>
          <t>Dọc cạnh (hộp song song mép bè, cách mép 1 hàng phao)</t>
        </is>
      </c>
      <c r="D30" s="8" t="inlineStr">
        <is>
          <t>B1-D08a, B1-D08b</t>
        </is>
      </c>
      <c r="E30" s="8" t="n">
        <v>2</v>
      </c>
      <c r="F30" s="8" t="n">
        <v>104.1</v>
      </c>
      <c r="G30" s="13">
        <f>E30*F30*GiaDinh!$C$18*GiaDinh!$C$17</f>
        <v/>
      </c>
      <c r="H30" s="8">
        <f>GiaDinh!$C$21</f>
        <v/>
      </c>
      <c r="I30" s="8">
        <f>GiaDinh!$C$15</f>
        <v/>
      </c>
      <c r="J30" s="8">
        <f>ROUNDDOWN(I30/H30,0)+1</f>
        <v/>
      </c>
      <c r="K30" s="13">
        <f>J30*GiaDinh!$C$16</f>
        <v/>
      </c>
      <c r="L30" s="8">
        <f>MAX(1,ROUNDUP(G30/K30-0.0005,0))</f>
        <v/>
      </c>
      <c r="M30" s="13">
        <f>L30*I30</f>
        <v/>
      </c>
      <c r="N30" s="8">
        <f>L30*ROUNDUP(I30/GiaDinh!$C$5-0.0005,0)</f>
        <v/>
      </c>
      <c r="O30" s="8">
        <f>L30*(ROUNDUP(I30/GiaDinh!$C$5-0.0005,0)-1)</f>
        <v/>
      </c>
      <c r="P30" s="8">
        <f>L30*J30</f>
        <v/>
      </c>
      <c r="Q30" s="8">
        <f>2*P30</f>
        <v/>
      </c>
      <c r="R30" s="8">
        <f>P30</f>
        <v/>
      </c>
      <c r="S30" s="14">
        <f>M30*GiaDinh!$C$7</f>
        <v/>
      </c>
    </row>
    <row r="31">
      <c r="A31" s="8" t="inlineStr">
        <is>
          <t>BÈ 1</t>
        </is>
      </c>
      <c r="B31" s="8" t="inlineStr">
        <is>
          <t>B1-28</t>
        </is>
      </c>
      <c r="C31" s="8" t="inlineStr">
        <is>
          <t>Dọc cạnh (hộp song song mép bè, cách mép 1 hàng phao)</t>
        </is>
      </c>
      <c r="D31" s="8" t="inlineStr">
        <is>
          <t>B1-D09a, B1-D09b</t>
        </is>
      </c>
      <c r="E31" s="8" t="n">
        <v>2</v>
      </c>
      <c r="F31" s="8" t="n">
        <v>104.1</v>
      </c>
      <c r="G31" s="13">
        <f>E31*F31*GiaDinh!$C$18*GiaDinh!$C$17</f>
        <v/>
      </c>
      <c r="H31" s="8">
        <f>GiaDinh!$C$21</f>
        <v/>
      </c>
      <c r="I31" s="8">
        <f>GiaDinh!$C$15</f>
        <v/>
      </c>
      <c r="J31" s="8">
        <f>ROUNDDOWN(I31/H31,0)+1</f>
        <v/>
      </c>
      <c r="K31" s="13">
        <f>J31*GiaDinh!$C$16</f>
        <v/>
      </c>
      <c r="L31" s="8">
        <f>MAX(1,ROUNDUP(G31/K31-0.0005,0))</f>
        <v/>
      </c>
      <c r="M31" s="13">
        <f>L31*I31</f>
        <v/>
      </c>
      <c r="N31" s="8">
        <f>L31*ROUNDUP(I31/GiaDinh!$C$5-0.0005,0)</f>
        <v/>
      </c>
      <c r="O31" s="8">
        <f>L31*(ROUNDUP(I31/GiaDinh!$C$5-0.0005,0)-1)</f>
        <v/>
      </c>
      <c r="P31" s="8">
        <f>L31*J31</f>
        <v/>
      </c>
      <c r="Q31" s="8">
        <f>2*P31</f>
        <v/>
      </c>
      <c r="R31" s="8">
        <f>P31</f>
        <v/>
      </c>
      <c r="S31" s="14">
        <f>M31*GiaDinh!$C$7</f>
        <v/>
      </c>
    </row>
    <row r="32">
      <c r="A32" s="8" t="inlineStr">
        <is>
          <t>BÈ 1</t>
        </is>
      </c>
      <c r="B32" s="8" t="inlineStr">
        <is>
          <t>B1-29</t>
        </is>
      </c>
      <c r="C32" s="8" t="inlineStr">
        <is>
          <t>Dọc cạnh (hộp song song mép bè, cách mép 1 hàng phao)</t>
        </is>
      </c>
      <c r="D32" s="8" t="inlineStr">
        <is>
          <t>B1-D10a, B1-D10b</t>
        </is>
      </c>
      <c r="E32" s="8" t="n">
        <v>2</v>
      </c>
      <c r="F32" s="8" t="n">
        <v>104.1</v>
      </c>
      <c r="G32" s="13">
        <f>E32*F32*GiaDinh!$C$18*GiaDinh!$C$17</f>
        <v/>
      </c>
      <c r="H32" s="8">
        <f>GiaDinh!$C$21</f>
        <v/>
      </c>
      <c r="I32" s="8">
        <f>GiaDinh!$C$15</f>
        <v/>
      </c>
      <c r="J32" s="8">
        <f>ROUNDDOWN(I32/H32,0)+1</f>
        <v/>
      </c>
      <c r="K32" s="13">
        <f>J32*GiaDinh!$C$16</f>
        <v/>
      </c>
      <c r="L32" s="8">
        <f>MAX(1,ROUNDUP(G32/K32-0.0005,0))</f>
        <v/>
      </c>
      <c r="M32" s="13">
        <f>L32*I32</f>
        <v/>
      </c>
      <c r="N32" s="8">
        <f>L32*ROUNDUP(I32/GiaDinh!$C$5-0.0005,0)</f>
        <v/>
      </c>
      <c r="O32" s="8">
        <f>L32*(ROUNDUP(I32/GiaDinh!$C$5-0.0005,0)-1)</f>
        <v/>
      </c>
      <c r="P32" s="8">
        <f>L32*J32</f>
        <v/>
      </c>
      <c r="Q32" s="8">
        <f>2*P32</f>
        <v/>
      </c>
      <c r="R32" s="8">
        <f>P32</f>
        <v/>
      </c>
      <c r="S32" s="14">
        <f>M32*GiaDinh!$C$7</f>
        <v/>
      </c>
    </row>
    <row r="33">
      <c r="A33" s="8" t="inlineStr">
        <is>
          <t>BÈ 1</t>
        </is>
      </c>
      <c r="B33" s="8" t="inlineStr">
        <is>
          <t>B1-30</t>
        </is>
      </c>
      <c r="C33" s="8" t="inlineStr">
        <is>
          <t>Dọc cạnh (hộp song song mép bè, cách mép 1 hàng phao)</t>
        </is>
      </c>
      <c r="D33" s="8" t="inlineStr">
        <is>
          <t>B1-D11a, B1-D11b</t>
        </is>
      </c>
      <c r="E33" s="8" t="n">
        <v>2</v>
      </c>
      <c r="F33" s="8" t="n">
        <v>104.1</v>
      </c>
      <c r="G33" s="13">
        <f>E33*F33*GiaDinh!$C$18*GiaDinh!$C$17</f>
        <v/>
      </c>
      <c r="H33" s="8">
        <f>GiaDinh!$C$21</f>
        <v/>
      </c>
      <c r="I33" s="8">
        <f>GiaDinh!$C$15</f>
        <v/>
      </c>
      <c r="J33" s="8">
        <f>ROUNDDOWN(I33/H33,0)+1</f>
        <v/>
      </c>
      <c r="K33" s="13">
        <f>J33*GiaDinh!$C$16</f>
        <v/>
      </c>
      <c r="L33" s="8">
        <f>MAX(1,ROUNDUP(G33/K33-0.0005,0))</f>
        <v/>
      </c>
      <c r="M33" s="13">
        <f>L33*I33</f>
        <v/>
      </c>
      <c r="N33" s="8">
        <f>L33*ROUNDUP(I33/GiaDinh!$C$5-0.0005,0)</f>
        <v/>
      </c>
      <c r="O33" s="8">
        <f>L33*(ROUNDUP(I33/GiaDinh!$C$5-0.0005,0)-1)</f>
        <v/>
      </c>
      <c r="P33" s="8">
        <f>L33*J33</f>
        <v/>
      </c>
      <c r="Q33" s="8">
        <f>2*P33</f>
        <v/>
      </c>
      <c r="R33" s="8">
        <f>P33</f>
        <v/>
      </c>
      <c r="S33" s="14">
        <f>M33*GiaDinh!$C$7</f>
        <v/>
      </c>
    </row>
    <row r="34">
      <c r="A34" s="8" t="inlineStr">
        <is>
          <t>BÈ 1</t>
        </is>
      </c>
      <c r="B34" s="8" t="inlineStr">
        <is>
          <t>B1-31</t>
        </is>
      </c>
      <c r="C34" s="8" t="inlineStr">
        <is>
          <t>Dọc cạnh (hộp song song mép bè, cách mép 1 hàng phao)</t>
        </is>
      </c>
      <c r="D34" s="8" t="inlineStr">
        <is>
          <t>B1-D12a, B1-D12b</t>
        </is>
      </c>
      <c r="E34" s="8" t="n">
        <v>2</v>
      </c>
      <c r="F34" s="8" t="n">
        <v>104.1</v>
      </c>
      <c r="G34" s="13">
        <f>E34*F34*GiaDinh!$C$18*GiaDinh!$C$17</f>
        <v/>
      </c>
      <c r="H34" s="8">
        <f>GiaDinh!$C$21</f>
        <v/>
      </c>
      <c r="I34" s="8">
        <f>GiaDinh!$C$15</f>
        <v/>
      </c>
      <c r="J34" s="8">
        <f>ROUNDDOWN(I34/H34,0)+1</f>
        <v/>
      </c>
      <c r="K34" s="13">
        <f>J34*GiaDinh!$C$16</f>
        <v/>
      </c>
      <c r="L34" s="8">
        <f>MAX(1,ROUNDUP(G34/K34-0.0005,0))</f>
        <v/>
      </c>
      <c r="M34" s="13">
        <f>L34*I34</f>
        <v/>
      </c>
      <c r="N34" s="8">
        <f>L34*ROUNDUP(I34/GiaDinh!$C$5-0.0005,0)</f>
        <v/>
      </c>
      <c r="O34" s="8">
        <f>L34*(ROUNDUP(I34/GiaDinh!$C$5-0.0005,0)-1)</f>
        <v/>
      </c>
      <c r="P34" s="8">
        <f>L34*J34</f>
        <v/>
      </c>
      <c r="Q34" s="8">
        <f>2*P34</f>
        <v/>
      </c>
      <c r="R34" s="8">
        <f>P34</f>
        <v/>
      </c>
      <c r="S34" s="14">
        <f>M34*GiaDinh!$C$7</f>
        <v/>
      </c>
    </row>
    <row r="35">
      <c r="A35" s="8" t="inlineStr">
        <is>
          <t>BÈ 1</t>
        </is>
      </c>
      <c r="B35" s="8" t="inlineStr">
        <is>
          <t>B1-32</t>
        </is>
      </c>
      <c r="C35" s="8" t="inlineStr">
        <is>
          <t>Dọc cạnh (hộp song song mép bè, cách mép 1 hàng phao)</t>
        </is>
      </c>
      <c r="D35" s="8" t="inlineStr">
        <is>
          <t>B1-D13a, B1-D13b</t>
        </is>
      </c>
      <c r="E35" s="8" t="n">
        <v>2</v>
      </c>
      <c r="F35" s="8" t="n">
        <v>104.1</v>
      </c>
      <c r="G35" s="13">
        <f>E35*F35*GiaDinh!$C$18*GiaDinh!$C$17</f>
        <v/>
      </c>
      <c r="H35" s="8">
        <f>GiaDinh!$C$21</f>
        <v/>
      </c>
      <c r="I35" s="8">
        <f>GiaDinh!$C$15</f>
        <v/>
      </c>
      <c r="J35" s="8">
        <f>ROUNDDOWN(I35/H35,0)+1</f>
        <v/>
      </c>
      <c r="K35" s="13">
        <f>J35*GiaDinh!$C$16</f>
        <v/>
      </c>
      <c r="L35" s="8">
        <f>MAX(1,ROUNDUP(G35/K35-0.0005,0))</f>
        <v/>
      </c>
      <c r="M35" s="13">
        <f>L35*I35</f>
        <v/>
      </c>
      <c r="N35" s="8">
        <f>L35*ROUNDUP(I35/GiaDinh!$C$5-0.0005,0)</f>
        <v/>
      </c>
      <c r="O35" s="8">
        <f>L35*(ROUNDUP(I35/GiaDinh!$C$5-0.0005,0)-1)</f>
        <v/>
      </c>
      <c r="P35" s="8">
        <f>L35*J35</f>
        <v/>
      </c>
      <c r="Q35" s="8">
        <f>2*P35</f>
        <v/>
      </c>
      <c r="R35" s="8">
        <f>P35</f>
        <v/>
      </c>
      <c r="S35" s="14">
        <f>M35*GiaDinh!$C$7</f>
        <v/>
      </c>
    </row>
    <row r="36">
      <c r="A36" s="8" t="inlineStr">
        <is>
          <t>BÈ 1</t>
        </is>
      </c>
      <c r="B36" s="8" t="inlineStr">
        <is>
          <t>B1-33</t>
        </is>
      </c>
      <c r="C36" s="8" t="inlineStr">
        <is>
          <t>Dọc cạnh (hộp song song mép bè, cách mép 1 hàng phao)</t>
        </is>
      </c>
      <c r="D36" s="8" t="inlineStr">
        <is>
          <t>B1-D14a, B1-D14b</t>
        </is>
      </c>
      <c r="E36" s="8" t="n">
        <v>2</v>
      </c>
      <c r="F36" s="8" t="n">
        <v>104.1</v>
      </c>
      <c r="G36" s="13">
        <f>E36*F36*GiaDinh!$C$18*GiaDinh!$C$17</f>
        <v/>
      </c>
      <c r="H36" s="8">
        <f>GiaDinh!$C$21</f>
        <v/>
      </c>
      <c r="I36" s="8">
        <f>GiaDinh!$C$15</f>
        <v/>
      </c>
      <c r="J36" s="8">
        <f>ROUNDDOWN(I36/H36,0)+1</f>
        <v/>
      </c>
      <c r="K36" s="13">
        <f>J36*GiaDinh!$C$16</f>
        <v/>
      </c>
      <c r="L36" s="8">
        <f>MAX(1,ROUNDUP(G36/K36-0.0005,0))</f>
        <v/>
      </c>
      <c r="M36" s="13">
        <f>L36*I36</f>
        <v/>
      </c>
      <c r="N36" s="8">
        <f>L36*ROUNDUP(I36/GiaDinh!$C$5-0.0005,0)</f>
        <v/>
      </c>
      <c r="O36" s="8">
        <f>L36*(ROUNDUP(I36/GiaDinh!$C$5-0.0005,0)-1)</f>
        <v/>
      </c>
      <c r="P36" s="8">
        <f>L36*J36</f>
        <v/>
      </c>
      <c r="Q36" s="8">
        <f>2*P36</f>
        <v/>
      </c>
      <c r="R36" s="8">
        <f>P36</f>
        <v/>
      </c>
      <c r="S36" s="14">
        <f>M36*GiaDinh!$C$7</f>
        <v/>
      </c>
    </row>
    <row r="37">
      <c r="A37" s="8" t="inlineStr">
        <is>
          <t>BÈ 1</t>
        </is>
      </c>
      <c r="B37" s="8" t="inlineStr">
        <is>
          <t>B1-34</t>
        </is>
      </c>
      <c r="C37" s="8" t="inlineStr">
        <is>
          <t>Dọc cạnh (hộp song song mép bè, cách mép 1 hàng phao)</t>
        </is>
      </c>
      <c r="D37" s="8" t="inlineStr">
        <is>
          <t>B1-D15a, B1-D15b</t>
        </is>
      </c>
      <c r="E37" s="8" t="n">
        <v>2</v>
      </c>
      <c r="F37" s="8" t="n">
        <v>104.1</v>
      </c>
      <c r="G37" s="13">
        <f>E37*F37*GiaDinh!$C$18*GiaDinh!$C$17</f>
        <v/>
      </c>
      <c r="H37" s="8">
        <f>GiaDinh!$C$21</f>
        <v/>
      </c>
      <c r="I37" s="8">
        <f>GiaDinh!$C$15</f>
        <v/>
      </c>
      <c r="J37" s="8">
        <f>ROUNDDOWN(I37/H37,0)+1</f>
        <v/>
      </c>
      <c r="K37" s="13">
        <f>J37*GiaDinh!$C$16</f>
        <v/>
      </c>
      <c r="L37" s="8">
        <f>MAX(1,ROUNDUP(G37/K37-0.0005,0))</f>
        <v/>
      </c>
      <c r="M37" s="13">
        <f>L37*I37</f>
        <v/>
      </c>
      <c r="N37" s="8">
        <f>L37*ROUNDUP(I37/GiaDinh!$C$5-0.0005,0)</f>
        <v/>
      </c>
      <c r="O37" s="8">
        <f>L37*(ROUNDUP(I37/GiaDinh!$C$5-0.0005,0)-1)</f>
        <v/>
      </c>
      <c r="P37" s="8">
        <f>L37*J37</f>
        <v/>
      </c>
      <c r="Q37" s="8">
        <f>2*P37</f>
        <v/>
      </c>
      <c r="R37" s="8">
        <f>P37</f>
        <v/>
      </c>
      <c r="S37" s="14">
        <f>M37*GiaDinh!$C$7</f>
        <v/>
      </c>
    </row>
    <row r="38">
      <c r="A38" s="8" t="inlineStr">
        <is>
          <t>BÈ 1</t>
        </is>
      </c>
      <c r="B38" s="8" t="inlineStr">
        <is>
          <t>B1-35</t>
        </is>
      </c>
      <c r="C38" s="8" t="inlineStr">
        <is>
          <t>Dọc cạnh (hộp song song mép bè, cách mép 1 hàng phao)</t>
        </is>
      </c>
      <c r="D38" s="8" t="inlineStr">
        <is>
          <t>B1-D16a, B1-D16b</t>
        </is>
      </c>
      <c r="E38" s="8" t="n">
        <v>2</v>
      </c>
      <c r="F38" s="8" t="n">
        <v>104.1</v>
      </c>
      <c r="G38" s="13">
        <f>E38*F38*GiaDinh!$C$18*GiaDinh!$C$17</f>
        <v/>
      </c>
      <c r="H38" s="8">
        <f>GiaDinh!$C$21</f>
        <v/>
      </c>
      <c r="I38" s="8">
        <f>GiaDinh!$C$15</f>
        <v/>
      </c>
      <c r="J38" s="8">
        <f>ROUNDDOWN(I38/H38,0)+1</f>
        <v/>
      </c>
      <c r="K38" s="13">
        <f>J38*GiaDinh!$C$16</f>
        <v/>
      </c>
      <c r="L38" s="8">
        <f>MAX(1,ROUNDUP(G38/K38-0.0005,0))</f>
        <v/>
      </c>
      <c r="M38" s="13">
        <f>L38*I38</f>
        <v/>
      </c>
      <c r="N38" s="8">
        <f>L38*ROUNDUP(I38/GiaDinh!$C$5-0.0005,0)</f>
        <v/>
      </c>
      <c r="O38" s="8">
        <f>L38*(ROUNDUP(I38/GiaDinh!$C$5-0.0005,0)-1)</f>
        <v/>
      </c>
      <c r="P38" s="8">
        <f>L38*J38</f>
        <v/>
      </c>
      <c r="Q38" s="8">
        <f>2*P38</f>
        <v/>
      </c>
      <c r="R38" s="8">
        <f>P38</f>
        <v/>
      </c>
      <c r="S38" s="14">
        <f>M38*GiaDinh!$C$7</f>
        <v/>
      </c>
    </row>
    <row r="39">
      <c r="A39" s="8" t="inlineStr">
        <is>
          <t>BÈ 1</t>
        </is>
      </c>
      <c r="B39" s="8" t="inlineStr">
        <is>
          <t>B1-36</t>
        </is>
      </c>
      <c r="C39" s="8" t="inlineStr">
        <is>
          <t>Dọc cạnh (hộp song song mép bè, cách mép 1 hàng phao)</t>
        </is>
      </c>
      <c r="D39" s="8" t="inlineStr">
        <is>
          <t>B1-D17a, B1-D17b</t>
        </is>
      </c>
      <c r="E39" s="8" t="n">
        <v>2</v>
      </c>
      <c r="F39" s="8" t="n">
        <v>104.1</v>
      </c>
      <c r="G39" s="13">
        <f>E39*F39*GiaDinh!$C$18*GiaDinh!$C$17</f>
        <v/>
      </c>
      <c r="H39" s="8">
        <f>GiaDinh!$C$21</f>
        <v/>
      </c>
      <c r="I39" s="8">
        <f>GiaDinh!$C$15</f>
        <v/>
      </c>
      <c r="J39" s="8">
        <f>ROUNDDOWN(I39/H39,0)+1</f>
        <v/>
      </c>
      <c r="K39" s="13">
        <f>J39*GiaDinh!$C$16</f>
        <v/>
      </c>
      <c r="L39" s="8">
        <f>MAX(1,ROUNDUP(G39/K39-0.0005,0))</f>
        <v/>
      </c>
      <c r="M39" s="13">
        <f>L39*I39</f>
        <v/>
      </c>
      <c r="N39" s="8">
        <f>L39*ROUNDUP(I39/GiaDinh!$C$5-0.0005,0)</f>
        <v/>
      </c>
      <c r="O39" s="8">
        <f>L39*(ROUNDUP(I39/GiaDinh!$C$5-0.0005,0)-1)</f>
        <v/>
      </c>
      <c r="P39" s="8">
        <f>L39*J39</f>
        <v/>
      </c>
      <c r="Q39" s="8">
        <f>2*P39</f>
        <v/>
      </c>
      <c r="R39" s="8">
        <f>P39</f>
        <v/>
      </c>
      <c r="S39" s="14">
        <f>M39*GiaDinh!$C$7</f>
        <v/>
      </c>
    </row>
    <row r="40">
      <c r="A40" s="8" t="inlineStr">
        <is>
          <t>BÈ 1</t>
        </is>
      </c>
      <c r="B40" s="8" t="inlineStr">
        <is>
          <t>B1-37</t>
        </is>
      </c>
      <c r="C40" s="8" t="inlineStr">
        <is>
          <t>Dọc cạnh (hộp song song mép bè, cách mép 1 hàng phao)</t>
        </is>
      </c>
      <c r="D40" s="8" t="inlineStr">
        <is>
          <t>B1-D18a, B1-D18b</t>
        </is>
      </c>
      <c r="E40" s="8" t="n">
        <v>2</v>
      </c>
      <c r="F40" s="8" t="n">
        <v>104.1</v>
      </c>
      <c r="G40" s="13">
        <f>E40*F40*GiaDinh!$C$18*GiaDinh!$C$17</f>
        <v/>
      </c>
      <c r="H40" s="8">
        <f>GiaDinh!$C$21</f>
        <v/>
      </c>
      <c r="I40" s="8">
        <f>GiaDinh!$C$15</f>
        <v/>
      </c>
      <c r="J40" s="8">
        <f>ROUNDDOWN(I40/H40,0)+1</f>
        <v/>
      </c>
      <c r="K40" s="13">
        <f>J40*GiaDinh!$C$16</f>
        <v/>
      </c>
      <c r="L40" s="8">
        <f>MAX(1,ROUNDUP(G40/K40-0.0005,0))</f>
        <v/>
      </c>
      <c r="M40" s="13">
        <f>L40*I40</f>
        <v/>
      </c>
      <c r="N40" s="8">
        <f>L40*ROUNDUP(I40/GiaDinh!$C$5-0.0005,0)</f>
        <v/>
      </c>
      <c r="O40" s="8">
        <f>L40*(ROUNDUP(I40/GiaDinh!$C$5-0.0005,0)-1)</f>
        <v/>
      </c>
      <c r="P40" s="8">
        <f>L40*J40</f>
        <v/>
      </c>
      <c r="Q40" s="8">
        <f>2*P40</f>
        <v/>
      </c>
      <c r="R40" s="8">
        <f>P40</f>
        <v/>
      </c>
      <c r="S40" s="14">
        <f>M40*GiaDinh!$C$7</f>
        <v/>
      </c>
    </row>
    <row r="41">
      <c r="A41" s="8" t="inlineStr">
        <is>
          <t>BÈ 1</t>
        </is>
      </c>
      <c r="B41" s="8" t="inlineStr">
        <is>
          <t>B1-38</t>
        </is>
      </c>
      <c r="C41" s="8" t="inlineStr">
        <is>
          <t>Dọc cạnh (hộp song song mép bè, cách mép 1 hàng phao)</t>
        </is>
      </c>
      <c r="D41" s="8" t="inlineStr">
        <is>
          <t>B1-D19a, B1-D19b</t>
        </is>
      </c>
      <c r="E41" s="8" t="n">
        <v>2</v>
      </c>
      <c r="F41" s="8" t="n">
        <v>104.1</v>
      </c>
      <c r="G41" s="13">
        <f>E41*F41*GiaDinh!$C$18*GiaDinh!$C$17</f>
        <v/>
      </c>
      <c r="H41" s="8">
        <f>GiaDinh!$C$21</f>
        <v/>
      </c>
      <c r="I41" s="8">
        <f>GiaDinh!$C$15</f>
        <v/>
      </c>
      <c r="J41" s="8">
        <f>ROUNDDOWN(I41/H41,0)+1</f>
        <v/>
      </c>
      <c r="K41" s="13">
        <f>J41*GiaDinh!$C$16</f>
        <v/>
      </c>
      <c r="L41" s="8">
        <f>MAX(1,ROUNDUP(G41/K41-0.0005,0))</f>
        <v/>
      </c>
      <c r="M41" s="13">
        <f>L41*I41</f>
        <v/>
      </c>
      <c r="N41" s="8">
        <f>L41*ROUNDUP(I41/GiaDinh!$C$5-0.0005,0)</f>
        <v/>
      </c>
      <c r="O41" s="8">
        <f>L41*(ROUNDUP(I41/GiaDinh!$C$5-0.0005,0)-1)</f>
        <v/>
      </c>
      <c r="P41" s="8">
        <f>L41*J41</f>
        <v/>
      </c>
      <c r="Q41" s="8">
        <f>2*P41</f>
        <v/>
      </c>
      <c r="R41" s="8">
        <f>P41</f>
        <v/>
      </c>
      <c r="S41" s="14">
        <f>M41*GiaDinh!$C$7</f>
        <v/>
      </c>
    </row>
    <row r="42">
      <c r="A42" s="8" t="inlineStr">
        <is>
          <t>BÈ 1</t>
        </is>
      </c>
      <c r="B42" s="8" t="inlineStr">
        <is>
          <t>B1-39</t>
        </is>
      </c>
      <c r="C42" s="8" t="inlineStr">
        <is>
          <t>Dọc cạnh (hộp song song mép bè, cách mép 1 hàng phao)</t>
        </is>
      </c>
      <c r="D42" s="8" t="inlineStr">
        <is>
          <t>B1-D20a, B1-D20b</t>
        </is>
      </c>
      <c r="E42" s="8" t="n">
        <v>2</v>
      </c>
      <c r="F42" s="8" t="n">
        <v>104.1</v>
      </c>
      <c r="G42" s="13">
        <f>E42*F42*GiaDinh!$C$18*GiaDinh!$C$17</f>
        <v/>
      </c>
      <c r="H42" s="8">
        <f>GiaDinh!$C$21</f>
        <v/>
      </c>
      <c r="I42" s="8">
        <f>GiaDinh!$C$15</f>
        <v/>
      </c>
      <c r="J42" s="8">
        <f>ROUNDDOWN(I42/H42,0)+1</f>
        <v/>
      </c>
      <c r="K42" s="13">
        <f>J42*GiaDinh!$C$16</f>
        <v/>
      </c>
      <c r="L42" s="8">
        <f>MAX(1,ROUNDUP(G42/K42-0.0005,0))</f>
        <v/>
      </c>
      <c r="M42" s="13">
        <f>L42*I42</f>
        <v/>
      </c>
      <c r="N42" s="8">
        <f>L42*ROUNDUP(I42/GiaDinh!$C$5-0.0005,0)</f>
        <v/>
      </c>
      <c r="O42" s="8">
        <f>L42*(ROUNDUP(I42/GiaDinh!$C$5-0.0005,0)-1)</f>
        <v/>
      </c>
      <c r="P42" s="8">
        <f>L42*J42</f>
        <v/>
      </c>
      <c r="Q42" s="8">
        <f>2*P42</f>
        <v/>
      </c>
      <c r="R42" s="8">
        <f>P42</f>
        <v/>
      </c>
      <c r="S42" s="14">
        <f>M42*GiaDinh!$C$7</f>
        <v/>
      </c>
    </row>
    <row r="43">
      <c r="A43" s="8" t="inlineStr">
        <is>
          <t>BÈ 1</t>
        </is>
      </c>
      <c r="B43" s="8" t="inlineStr">
        <is>
          <t>B1-40</t>
        </is>
      </c>
      <c r="C43" s="8" t="inlineStr">
        <is>
          <t>Vuông góc cạnh (hộp chạy từ mép vào trong, cùng phương lực dây)</t>
        </is>
      </c>
      <c r="D43" s="8" t="inlineStr">
        <is>
          <t>B1-D21a</t>
        </is>
      </c>
      <c r="E43" s="8" t="n">
        <v>1</v>
      </c>
      <c r="F43" s="8" t="n">
        <v>104.1</v>
      </c>
      <c r="G43" s="13">
        <f>E43*F43*GiaDinh!$C$18*GiaDinh!$C$17</f>
        <v/>
      </c>
      <c r="H43" s="8">
        <f>GiaDinh!$C$21</f>
        <v/>
      </c>
      <c r="I43" s="8">
        <f>GiaDinh!$C$15</f>
        <v/>
      </c>
      <c r="J43" s="8">
        <f>ROUNDDOWN(I43/H43,0)+1</f>
        <v/>
      </c>
      <c r="K43" s="13">
        <f>J43*GiaDinh!$C$16</f>
        <v/>
      </c>
      <c r="L43" s="8">
        <f>MAX(1,ROUNDUP(G43/K43-0.0005,0))</f>
        <v/>
      </c>
      <c r="M43" s="13">
        <f>L43*I43</f>
        <v/>
      </c>
      <c r="N43" s="8">
        <f>L43*ROUNDUP(I43/GiaDinh!$C$5-0.0005,0)</f>
        <v/>
      </c>
      <c r="O43" s="8">
        <f>L43*(ROUNDUP(I43/GiaDinh!$C$5-0.0005,0)-1)</f>
        <v/>
      </c>
      <c r="P43" s="8">
        <f>L43*J43</f>
        <v/>
      </c>
      <c r="Q43" s="8">
        <f>2*P43</f>
        <v/>
      </c>
      <c r="R43" s="8">
        <f>P43</f>
        <v/>
      </c>
      <c r="S43" s="14">
        <f>M43*GiaDinh!$C$7</f>
        <v/>
      </c>
    </row>
    <row r="44">
      <c r="A44" s="8" t="inlineStr">
        <is>
          <t>BÈ 1</t>
        </is>
      </c>
      <c r="B44" s="8" t="inlineStr">
        <is>
          <t>B1-41</t>
        </is>
      </c>
      <c r="C44" s="8" t="inlineStr">
        <is>
          <t>Vuông góc cạnh (hộp chạy từ mép vào trong, cùng phương lực dây)</t>
        </is>
      </c>
      <c r="D44" s="8" t="inlineStr">
        <is>
          <t>B1-D21b</t>
        </is>
      </c>
      <c r="E44" s="8" t="n">
        <v>1</v>
      </c>
      <c r="F44" s="8" t="n">
        <v>104.1</v>
      </c>
      <c r="G44" s="13">
        <f>E44*F44*GiaDinh!$C$18*GiaDinh!$C$17</f>
        <v/>
      </c>
      <c r="H44" s="8">
        <f>GiaDinh!$C$21</f>
        <v/>
      </c>
      <c r="I44" s="8">
        <f>GiaDinh!$C$15</f>
        <v/>
      </c>
      <c r="J44" s="8">
        <f>ROUNDDOWN(I44/H44,0)+1</f>
        <v/>
      </c>
      <c r="K44" s="13">
        <f>J44*GiaDinh!$C$16</f>
        <v/>
      </c>
      <c r="L44" s="8">
        <f>MAX(1,ROUNDUP(G44/K44-0.0005,0))</f>
        <v/>
      </c>
      <c r="M44" s="13">
        <f>L44*I44</f>
        <v/>
      </c>
      <c r="N44" s="8">
        <f>L44*ROUNDUP(I44/GiaDinh!$C$5-0.0005,0)</f>
        <v/>
      </c>
      <c r="O44" s="8">
        <f>L44*(ROUNDUP(I44/GiaDinh!$C$5-0.0005,0)-1)</f>
        <v/>
      </c>
      <c r="P44" s="8">
        <f>L44*J44</f>
        <v/>
      </c>
      <c r="Q44" s="8">
        <f>2*P44</f>
        <v/>
      </c>
      <c r="R44" s="8">
        <f>P44</f>
        <v/>
      </c>
      <c r="S44" s="14">
        <f>M44*GiaDinh!$C$7</f>
        <v/>
      </c>
    </row>
    <row r="45">
      <c r="A45" s="8" t="inlineStr">
        <is>
          <t>BÈ 1</t>
        </is>
      </c>
      <c r="B45" s="8" t="inlineStr">
        <is>
          <t>B1-42</t>
        </is>
      </c>
      <c r="C45" s="8" t="inlineStr">
        <is>
          <t>Vuông góc cạnh (hộp chạy từ mép vào trong, cùng phương lực dây)</t>
        </is>
      </c>
      <c r="D45" s="8" t="inlineStr">
        <is>
          <t>B1-D22a</t>
        </is>
      </c>
      <c r="E45" s="8" t="n">
        <v>1</v>
      </c>
      <c r="F45" s="8" t="n">
        <v>104.1</v>
      </c>
      <c r="G45" s="13">
        <f>E45*F45*GiaDinh!$C$18*GiaDinh!$C$17</f>
        <v/>
      </c>
      <c r="H45" s="8">
        <f>GiaDinh!$C$21</f>
        <v/>
      </c>
      <c r="I45" s="8">
        <f>GiaDinh!$C$15</f>
        <v/>
      </c>
      <c r="J45" s="8">
        <f>ROUNDDOWN(I45/H45,0)+1</f>
        <v/>
      </c>
      <c r="K45" s="13">
        <f>J45*GiaDinh!$C$16</f>
        <v/>
      </c>
      <c r="L45" s="8">
        <f>MAX(1,ROUNDUP(G45/K45-0.0005,0))</f>
        <v/>
      </c>
      <c r="M45" s="13">
        <f>L45*I45</f>
        <v/>
      </c>
      <c r="N45" s="8">
        <f>L45*ROUNDUP(I45/GiaDinh!$C$5-0.0005,0)</f>
        <v/>
      </c>
      <c r="O45" s="8">
        <f>L45*(ROUNDUP(I45/GiaDinh!$C$5-0.0005,0)-1)</f>
        <v/>
      </c>
      <c r="P45" s="8">
        <f>L45*J45</f>
        <v/>
      </c>
      <c r="Q45" s="8">
        <f>2*P45</f>
        <v/>
      </c>
      <c r="R45" s="8">
        <f>P45</f>
        <v/>
      </c>
      <c r="S45" s="14">
        <f>M45*GiaDinh!$C$7</f>
        <v/>
      </c>
    </row>
    <row r="46">
      <c r="A46" s="8" t="inlineStr">
        <is>
          <t>BÈ 1</t>
        </is>
      </c>
      <c r="B46" s="8" t="inlineStr">
        <is>
          <t>B1-43</t>
        </is>
      </c>
      <c r="C46" s="8" t="inlineStr">
        <is>
          <t>Vuông góc cạnh (hộp chạy từ mép vào trong, cùng phương lực dây)</t>
        </is>
      </c>
      <c r="D46" s="8" t="inlineStr">
        <is>
          <t>B1-D22b</t>
        </is>
      </c>
      <c r="E46" s="8" t="n">
        <v>1</v>
      </c>
      <c r="F46" s="8" t="n">
        <v>104.1</v>
      </c>
      <c r="G46" s="13">
        <f>E46*F46*GiaDinh!$C$18*GiaDinh!$C$17</f>
        <v/>
      </c>
      <c r="H46" s="8">
        <f>GiaDinh!$C$21</f>
        <v/>
      </c>
      <c r="I46" s="8">
        <f>GiaDinh!$C$15</f>
        <v/>
      </c>
      <c r="J46" s="8">
        <f>ROUNDDOWN(I46/H46,0)+1</f>
        <v/>
      </c>
      <c r="K46" s="13">
        <f>J46*GiaDinh!$C$16</f>
        <v/>
      </c>
      <c r="L46" s="8">
        <f>MAX(1,ROUNDUP(G46/K46-0.0005,0))</f>
        <v/>
      </c>
      <c r="M46" s="13">
        <f>L46*I46</f>
        <v/>
      </c>
      <c r="N46" s="8">
        <f>L46*ROUNDUP(I46/GiaDinh!$C$5-0.0005,0)</f>
        <v/>
      </c>
      <c r="O46" s="8">
        <f>L46*(ROUNDUP(I46/GiaDinh!$C$5-0.0005,0)-1)</f>
        <v/>
      </c>
      <c r="P46" s="8">
        <f>L46*J46</f>
        <v/>
      </c>
      <c r="Q46" s="8">
        <f>2*P46</f>
        <v/>
      </c>
      <c r="R46" s="8">
        <f>P46</f>
        <v/>
      </c>
      <c r="S46" s="14">
        <f>M46*GiaDinh!$C$7</f>
        <v/>
      </c>
    </row>
    <row r="47">
      <c r="A47" s="8" t="inlineStr">
        <is>
          <t>BÈ 1</t>
        </is>
      </c>
      <c r="B47" s="8" t="inlineStr">
        <is>
          <t>B1-44</t>
        </is>
      </c>
      <c r="C47" s="8" t="inlineStr">
        <is>
          <t>Vuông góc cạnh (hộp chạy từ mép vào trong, cùng phương lực dây)</t>
        </is>
      </c>
      <c r="D47" s="8" t="inlineStr">
        <is>
          <t>B1-D23a</t>
        </is>
      </c>
      <c r="E47" s="8" t="n">
        <v>1</v>
      </c>
      <c r="F47" s="8" t="n">
        <v>104.1</v>
      </c>
      <c r="G47" s="13">
        <f>E47*F47*GiaDinh!$C$18*GiaDinh!$C$17</f>
        <v/>
      </c>
      <c r="H47" s="8">
        <f>GiaDinh!$C$21</f>
        <v/>
      </c>
      <c r="I47" s="8">
        <f>GiaDinh!$C$15</f>
        <v/>
      </c>
      <c r="J47" s="8">
        <f>ROUNDDOWN(I47/H47,0)+1</f>
        <v/>
      </c>
      <c r="K47" s="13">
        <f>J47*GiaDinh!$C$16</f>
        <v/>
      </c>
      <c r="L47" s="8">
        <f>MAX(1,ROUNDUP(G47/K47-0.0005,0))</f>
        <v/>
      </c>
      <c r="M47" s="13">
        <f>L47*I47</f>
        <v/>
      </c>
      <c r="N47" s="8">
        <f>L47*ROUNDUP(I47/GiaDinh!$C$5-0.0005,0)</f>
        <v/>
      </c>
      <c r="O47" s="8">
        <f>L47*(ROUNDUP(I47/GiaDinh!$C$5-0.0005,0)-1)</f>
        <v/>
      </c>
      <c r="P47" s="8">
        <f>L47*J47</f>
        <v/>
      </c>
      <c r="Q47" s="8">
        <f>2*P47</f>
        <v/>
      </c>
      <c r="R47" s="8">
        <f>P47</f>
        <v/>
      </c>
      <c r="S47" s="14">
        <f>M47*GiaDinh!$C$7</f>
        <v/>
      </c>
    </row>
    <row r="48">
      <c r="A48" s="8" t="inlineStr">
        <is>
          <t>BÈ 1</t>
        </is>
      </c>
      <c r="B48" s="8" t="inlineStr">
        <is>
          <t>B1-45</t>
        </is>
      </c>
      <c r="C48" s="8" t="inlineStr">
        <is>
          <t>Vuông góc cạnh (hộp chạy từ mép vào trong, cùng phương lực dây)</t>
        </is>
      </c>
      <c r="D48" s="8" t="inlineStr">
        <is>
          <t>B1-D23b</t>
        </is>
      </c>
      <c r="E48" s="8" t="n">
        <v>1</v>
      </c>
      <c r="F48" s="8" t="n">
        <v>104.1</v>
      </c>
      <c r="G48" s="13">
        <f>E48*F48*GiaDinh!$C$18*GiaDinh!$C$17</f>
        <v/>
      </c>
      <c r="H48" s="8">
        <f>GiaDinh!$C$21</f>
        <v/>
      </c>
      <c r="I48" s="8">
        <f>GiaDinh!$C$15</f>
        <v/>
      </c>
      <c r="J48" s="8">
        <f>ROUNDDOWN(I48/H48,0)+1</f>
        <v/>
      </c>
      <c r="K48" s="13">
        <f>J48*GiaDinh!$C$16</f>
        <v/>
      </c>
      <c r="L48" s="8">
        <f>MAX(1,ROUNDUP(G48/K48-0.0005,0))</f>
        <v/>
      </c>
      <c r="M48" s="13">
        <f>L48*I48</f>
        <v/>
      </c>
      <c r="N48" s="8">
        <f>L48*ROUNDUP(I48/GiaDinh!$C$5-0.0005,0)</f>
        <v/>
      </c>
      <c r="O48" s="8">
        <f>L48*(ROUNDUP(I48/GiaDinh!$C$5-0.0005,0)-1)</f>
        <v/>
      </c>
      <c r="P48" s="8">
        <f>L48*J48</f>
        <v/>
      </c>
      <c r="Q48" s="8">
        <f>2*P48</f>
        <v/>
      </c>
      <c r="R48" s="8">
        <f>P48</f>
        <v/>
      </c>
      <c r="S48" s="14">
        <f>M48*GiaDinh!$C$7</f>
        <v/>
      </c>
    </row>
    <row r="49">
      <c r="A49" s="8" t="inlineStr">
        <is>
          <t>BÈ 1</t>
        </is>
      </c>
      <c r="B49" s="8" t="inlineStr">
        <is>
          <t>B1-46</t>
        </is>
      </c>
      <c r="C49" s="8" t="inlineStr">
        <is>
          <t>Vuông góc cạnh (hộp chạy từ mép vào trong, cùng phương lực dây)</t>
        </is>
      </c>
      <c r="D49" s="8" t="inlineStr">
        <is>
          <t>B1-D24a</t>
        </is>
      </c>
      <c r="E49" s="8" t="n">
        <v>1</v>
      </c>
      <c r="F49" s="8" t="n">
        <v>104.1</v>
      </c>
      <c r="G49" s="13">
        <f>E49*F49*GiaDinh!$C$18*GiaDinh!$C$17</f>
        <v/>
      </c>
      <c r="H49" s="8">
        <f>GiaDinh!$C$21</f>
        <v/>
      </c>
      <c r="I49" s="8">
        <f>GiaDinh!$C$15</f>
        <v/>
      </c>
      <c r="J49" s="8">
        <f>ROUNDDOWN(I49/H49,0)+1</f>
        <v/>
      </c>
      <c r="K49" s="13">
        <f>J49*GiaDinh!$C$16</f>
        <v/>
      </c>
      <c r="L49" s="8">
        <f>MAX(1,ROUNDUP(G49/K49-0.0005,0))</f>
        <v/>
      </c>
      <c r="M49" s="13">
        <f>L49*I49</f>
        <v/>
      </c>
      <c r="N49" s="8">
        <f>L49*ROUNDUP(I49/GiaDinh!$C$5-0.0005,0)</f>
        <v/>
      </c>
      <c r="O49" s="8">
        <f>L49*(ROUNDUP(I49/GiaDinh!$C$5-0.0005,0)-1)</f>
        <v/>
      </c>
      <c r="P49" s="8">
        <f>L49*J49</f>
        <v/>
      </c>
      <c r="Q49" s="8">
        <f>2*P49</f>
        <v/>
      </c>
      <c r="R49" s="8">
        <f>P49</f>
        <v/>
      </c>
      <c r="S49" s="14">
        <f>M49*GiaDinh!$C$7</f>
        <v/>
      </c>
    </row>
    <row r="50">
      <c r="A50" s="8" t="inlineStr">
        <is>
          <t>BÈ 1</t>
        </is>
      </c>
      <c r="B50" s="8" t="inlineStr">
        <is>
          <t>B1-47</t>
        </is>
      </c>
      <c r="C50" s="8" t="inlineStr">
        <is>
          <t>Vuông góc cạnh (hộp chạy từ mép vào trong, cùng phương lực dây)</t>
        </is>
      </c>
      <c r="D50" s="8" t="inlineStr">
        <is>
          <t>B1-D24b</t>
        </is>
      </c>
      <c r="E50" s="8" t="n">
        <v>1</v>
      </c>
      <c r="F50" s="8" t="n">
        <v>104.1</v>
      </c>
      <c r="G50" s="13">
        <f>E50*F50*GiaDinh!$C$18*GiaDinh!$C$17</f>
        <v/>
      </c>
      <c r="H50" s="8">
        <f>GiaDinh!$C$21</f>
        <v/>
      </c>
      <c r="I50" s="8">
        <f>GiaDinh!$C$15</f>
        <v/>
      </c>
      <c r="J50" s="8">
        <f>ROUNDDOWN(I50/H50,0)+1</f>
        <v/>
      </c>
      <c r="K50" s="13">
        <f>J50*GiaDinh!$C$16</f>
        <v/>
      </c>
      <c r="L50" s="8">
        <f>MAX(1,ROUNDUP(G50/K50-0.0005,0))</f>
        <v/>
      </c>
      <c r="M50" s="13">
        <f>L50*I50</f>
        <v/>
      </c>
      <c r="N50" s="8">
        <f>L50*ROUNDUP(I50/GiaDinh!$C$5-0.0005,0)</f>
        <v/>
      </c>
      <c r="O50" s="8">
        <f>L50*(ROUNDUP(I50/GiaDinh!$C$5-0.0005,0)-1)</f>
        <v/>
      </c>
      <c r="P50" s="8">
        <f>L50*J50</f>
        <v/>
      </c>
      <c r="Q50" s="8">
        <f>2*P50</f>
        <v/>
      </c>
      <c r="R50" s="8">
        <f>P50</f>
        <v/>
      </c>
      <c r="S50" s="14">
        <f>M50*GiaDinh!$C$7</f>
        <v/>
      </c>
    </row>
    <row r="51">
      <c r="A51" s="8" t="inlineStr">
        <is>
          <t>BÈ 1</t>
        </is>
      </c>
      <c r="B51" s="8" t="inlineStr">
        <is>
          <t>B1-48</t>
        </is>
      </c>
      <c r="C51" s="8" t="inlineStr">
        <is>
          <t>Vuông góc cạnh (hộp chạy từ mép vào trong, cùng phương lực dây)</t>
        </is>
      </c>
      <c r="D51" s="8" t="inlineStr">
        <is>
          <t>B1-D46a</t>
        </is>
      </c>
      <c r="E51" s="8" t="n">
        <v>1</v>
      </c>
      <c r="F51" s="8" t="n">
        <v>104.1</v>
      </c>
      <c r="G51" s="13">
        <f>E51*F51*GiaDinh!$C$18*GiaDinh!$C$17</f>
        <v/>
      </c>
      <c r="H51" s="8">
        <f>GiaDinh!$C$21</f>
        <v/>
      </c>
      <c r="I51" s="8">
        <f>GiaDinh!$C$15</f>
        <v/>
      </c>
      <c r="J51" s="8">
        <f>ROUNDDOWN(I51/H51,0)+1</f>
        <v/>
      </c>
      <c r="K51" s="13">
        <f>J51*GiaDinh!$C$16</f>
        <v/>
      </c>
      <c r="L51" s="8">
        <f>MAX(1,ROUNDUP(G51/K51-0.0005,0))</f>
        <v/>
      </c>
      <c r="M51" s="13">
        <f>L51*I51</f>
        <v/>
      </c>
      <c r="N51" s="8">
        <f>L51*ROUNDUP(I51/GiaDinh!$C$5-0.0005,0)</f>
        <v/>
      </c>
      <c r="O51" s="8">
        <f>L51*(ROUNDUP(I51/GiaDinh!$C$5-0.0005,0)-1)</f>
        <v/>
      </c>
      <c r="P51" s="8">
        <f>L51*J51</f>
        <v/>
      </c>
      <c r="Q51" s="8">
        <f>2*P51</f>
        <v/>
      </c>
      <c r="R51" s="8">
        <f>P51</f>
        <v/>
      </c>
      <c r="S51" s="14">
        <f>M51*GiaDinh!$C$7</f>
        <v/>
      </c>
    </row>
    <row r="52">
      <c r="A52" s="8" t="inlineStr">
        <is>
          <t>BÈ 1</t>
        </is>
      </c>
      <c r="B52" s="8" t="inlineStr">
        <is>
          <t>B1-49</t>
        </is>
      </c>
      <c r="C52" s="8" t="inlineStr">
        <is>
          <t>Vuông góc cạnh (hộp chạy từ mép vào trong, cùng phương lực dây)</t>
        </is>
      </c>
      <c r="D52" s="8" t="inlineStr">
        <is>
          <t>B1-D46b</t>
        </is>
      </c>
      <c r="E52" s="8" t="n">
        <v>1</v>
      </c>
      <c r="F52" s="8" t="n">
        <v>104.1</v>
      </c>
      <c r="G52" s="13">
        <f>E52*F52*GiaDinh!$C$18*GiaDinh!$C$17</f>
        <v/>
      </c>
      <c r="H52" s="8">
        <f>GiaDinh!$C$21</f>
        <v/>
      </c>
      <c r="I52" s="8">
        <f>GiaDinh!$C$15</f>
        <v/>
      </c>
      <c r="J52" s="8">
        <f>ROUNDDOWN(I52/H52,0)+1</f>
        <v/>
      </c>
      <c r="K52" s="13">
        <f>J52*GiaDinh!$C$16</f>
        <v/>
      </c>
      <c r="L52" s="8">
        <f>MAX(1,ROUNDUP(G52/K52-0.0005,0))</f>
        <v/>
      </c>
      <c r="M52" s="13">
        <f>L52*I52</f>
        <v/>
      </c>
      <c r="N52" s="8">
        <f>L52*ROUNDUP(I52/GiaDinh!$C$5-0.0005,0)</f>
        <v/>
      </c>
      <c r="O52" s="8">
        <f>L52*(ROUNDUP(I52/GiaDinh!$C$5-0.0005,0)-1)</f>
        <v/>
      </c>
      <c r="P52" s="8">
        <f>L52*J52</f>
        <v/>
      </c>
      <c r="Q52" s="8">
        <f>2*P52</f>
        <v/>
      </c>
      <c r="R52" s="8">
        <f>P52</f>
        <v/>
      </c>
      <c r="S52" s="14">
        <f>M52*GiaDinh!$C$7</f>
        <v/>
      </c>
    </row>
    <row r="53">
      <c r="A53" s="8" t="inlineStr">
        <is>
          <t>BÈ 1</t>
        </is>
      </c>
      <c r="B53" s="8" t="inlineStr">
        <is>
          <t>B1-50</t>
        </is>
      </c>
      <c r="C53" s="8" t="inlineStr">
        <is>
          <t>Vuông góc cạnh (hộp chạy từ mép vào trong, cùng phương lực dây)</t>
        </is>
      </c>
      <c r="D53" s="8" t="inlineStr">
        <is>
          <t>B1-D44a</t>
        </is>
      </c>
      <c r="E53" s="8" t="n">
        <v>1</v>
      </c>
      <c r="F53" s="8" t="n">
        <v>104.1</v>
      </c>
      <c r="G53" s="13">
        <f>E53*F53*GiaDinh!$C$18*GiaDinh!$C$17</f>
        <v/>
      </c>
      <c r="H53" s="8">
        <f>GiaDinh!$C$21</f>
        <v/>
      </c>
      <c r="I53" s="8">
        <f>GiaDinh!$C$15</f>
        <v/>
      </c>
      <c r="J53" s="8">
        <f>ROUNDDOWN(I53/H53,0)+1</f>
        <v/>
      </c>
      <c r="K53" s="13">
        <f>J53*GiaDinh!$C$16</f>
        <v/>
      </c>
      <c r="L53" s="8">
        <f>MAX(1,ROUNDUP(G53/K53-0.0005,0))</f>
        <v/>
      </c>
      <c r="M53" s="13">
        <f>L53*I53</f>
        <v/>
      </c>
      <c r="N53" s="8">
        <f>L53*ROUNDUP(I53/GiaDinh!$C$5-0.0005,0)</f>
        <v/>
      </c>
      <c r="O53" s="8">
        <f>L53*(ROUNDUP(I53/GiaDinh!$C$5-0.0005,0)-1)</f>
        <v/>
      </c>
      <c r="P53" s="8">
        <f>L53*J53</f>
        <v/>
      </c>
      <c r="Q53" s="8">
        <f>2*P53</f>
        <v/>
      </c>
      <c r="R53" s="8">
        <f>P53</f>
        <v/>
      </c>
      <c r="S53" s="14">
        <f>M53*GiaDinh!$C$7</f>
        <v/>
      </c>
    </row>
    <row r="54">
      <c r="A54" s="8" t="inlineStr">
        <is>
          <t>BÈ 1</t>
        </is>
      </c>
      <c r="B54" s="8" t="inlineStr">
        <is>
          <t>B1-51</t>
        </is>
      </c>
      <c r="C54" s="8" t="inlineStr">
        <is>
          <t>Vuông góc cạnh (hộp chạy từ mép vào trong, cùng phương lực dây)</t>
        </is>
      </c>
      <c r="D54" s="8" t="inlineStr">
        <is>
          <t>B1-D44b</t>
        </is>
      </c>
      <c r="E54" s="8" t="n">
        <v>1</v>
      </c>
      <c r="F54" s="8" t="n">
        <v>104.1</v>
      </c>
      <c r="G54" s="13">
        <f>E54*F54*GiaDinh!$C$18*GiaDinh!$C$17</f>
        <v/>
      </c>
      <c r="H54" s="8">
        <f>GiaDinh!$C$21</f>
        <v/>
      </c>
      <c r="I54" s="8">
        <f>GiaDinh!$C$15</f>
        <v/>
      </c>
      <c r="J54" s="8">
        <f>ROUNDDOWN(I54/H54,0)+1</f>
        <v/>
      </c>
      <c r="K54" s="13">
        <f>J54*GiaDinh!$C$16</f>
        <v/>
      </c>
      <c r="L54" s="8">
        <f>MAX(1,ROUNDUP(G54/K54-0.0005,0))</f>
        <v/>
      </c>
      <c r="M54" s="13">
        <f>L54*I54</f>
        <v/>
      </c>
      <c r="N54" s="8">
        <f>L54*ROUNDUP(I54/GiaDinh!$C$5-0.0005,0)</f>
        <v/>
      </c>
      <c r="O54" s="8">
        <f>L54*(ROUNDUP(I54/GiaDinh!$C$5-0.0005,0)-1)</f>
        <v/>
      </c>
      <c r="P54" s="8">
        <f>L54*J54</f>
        <v/>
      </c>
      <c r="Q54" s="8">
        <f>2*P54</f>
        <v/>
      </c>
      <c r="R54" s="8">
        <f>P54</f>
        <v/>
      </c>
      <c r="S54" s="14">
        <f>M54*GiaDinh!$C$7</f>
        <v/>
      </c>
    </row>
    <row r="55">
      <c r="A55" s="8" t="inlineStr">
        <is>
          <t>BÈ 1</t>
        </is>
      </c>
      <c r="B55" s="8" t="inlineStr">
        <is>
          <t>B1-52</t>
        </is>
      </c>
      <c r="C55" s="8" t="inlineStr">
        <is>
          <t>Vuông góc cạnh (hộp chạy từ mép vào trong, cùng phương lực dây)</t>
        </is>
      </c>
      <c r="D55" s="8" t="inlineStr">
        <is>
          <t>B1-D45a</t>
        </is>
      </c>
      <c r="E55" s="8" t="n">
        <v>1</v>
      </c>
      <c r="F55" s="8" t="n">
        <v>104.1</v>
      </c>
      <c r="G55" s="13">
        <f>E55*F55*GiaDinh!$C$18*GiaDinh!$C$17</f>
        <v/>
      </c>
      <c r="H55" s="8">
        <f>GiaDinh!$C$21</f>
        <v/>
      </c>
      <c r="I55" s="8">
        <f>GiaDinh!$C$15</f>
        <v/>
      </c>
      <c r="J55" s="8">
        <f>ROUNDDOWN(I55/H55,0)+1</f>
        <v/>
      </c>
      <c r="K55" s="13">
        <f>J55*GiaDinh!$C$16</f>
        <v/>
      </c>
      <c r="L55" s="8">
        <f>MAX(1,ROUNDUP(G55/K55-0.0005,0))</f>
        <v/>
      </c>
      <c r="M55" s="13">
        <f>L55*I55</f>
        <v/>
      </c>
      <c r="N55" s="8">
        <f>L55*ROUNDUP(I55/GiaDinh!$C$5-0.0005,0)</f>
        <v/>
      </c>
      <c r="O55" s="8">
        <f>L55*(ROUNDUP(I55/GiaDinh!$C$5-0.0005,0)-1)</f>
        <v/>
      </c>
      <c r="P55" s="8">
        <f>L55*J55</f>
        <v/>
      </c>
      <c r="Q55" s="8">
        <f>2*P55</f>
        <v/>
      </c>
      <c r="R55" s="8">
        <f>P55</f>
        <v/>
      </c>
      <c r="S55" s="14">
        <f>M55*GiaDinh!$C$7</f>
        <v/>
      </c>
    </row>
    <row r="56">
      <c r="A56" s="8" t="inlineStr">
        <is>
          <t>BÈ 1</t>
        </is>
      </c>
      <c r="B56" s="8" t="inlineStr">
        <is>
          <t>B1-53</t>
        </is>
      </c>
      <c r="C56" s="8" t="inlineStr">
        <is>
          <t>Vuông góc cạnh (hộp chạy từ mép vào trong, cùng phương lực dây)</t>
        </is>
      </c>
      <c r="D56" s="8" t="inlineStr">
        <is>
          <t>B1-D45b</t>
        </is>
      </c>
      <c r="E56" s="8" t="n">
        <v>1</v>
      </c>
      <c r="F56" s="8" t="n">
        <v>104.1</v>
      </c>
      <c r="G56" s="13">
        <f>E56*F56*GiaDinh!$C$18*GiaDinh!$C$17</f>
        <v/>
      </c>
      <c r="H56" s="8">
        <f>GiaDinh!$C$21</f>
        <v/>
      </c>
      <c r="I56" s="8">
        <f>GiaDinh!$C$15</f>
        <v/>
      </c>
      <c r="J56" s="8">
        <f>ROUNDDOWN(I56/H56,0)+1</f>
        <v/>
      </c>
      <c r="K56" s="13">
        <f>J56*GiaDinh!$C$16</f>
        <v/>
      </c>
      <c r="L56" s="8">
        <f>MAX(1,ROUNDUP(G56/K56-0.0005,0))</f>
        <v/>
      </c>
      <c r="M56" s="13">
        <f>L56*I56</f>
        <v/>
      </c>
      <c r="N56" s="8">
        <f>L56*ROUNDUP(I56/GiaDinh!$C$5-0.0005,0)</f>
        <v/>
      </c>
      <c r="O56" s="8">
        <f>L56*(ROUNDUP(I56/GiaDinh!$C$5-0.0005,0)-1)</f>
        <v/>
      </c>
      <c r="P56" s="8">
        <f>L56*J56</f>
        <v/>
      </c>
      <c r="Q56" s="8">
        <f>2*P56</f>
        <v/>
      </c>
      <c r="R56" s="8">
        <f>P56</f>
        <v/>
      </c>
      <c r="S56" s="14">
        <f>M56*GiaDinh!$C$7</f>
        <v/>
      </c>
    </row>
    <row r="57">
      <c r="A57" s="8" t="inlineStr">
        <is>
          <t>BÈ 2</t>
        </is>
      </c>
      <c r="B57" s="8" t="inlineStr">
        <is>
          <t>B2-01</t>
        </is>
      </c>
      <c r="C57" s="8" t="inlineStr">
        <is>
          <t>Dọc cạnh (hộp song song mép bè, cách mép 1 hàng phao)</t>
        </is>
      </c>
      <c r="D57" s="8" t="inlineStr">
        <is>
          <t>B2-D72a, B2-D72b</t>
        </is>
      </c>
      <c r="E57" s="8" t="n">
        <v>2</v>
      </c>
      <c r="F57" s="8" t="n">
        <v>146.8</v>
      </c>
      <c r="G57" s="13">
        <f>E57*F57*GiaDinh!$C$18*GiaDinh!$C$17</f>
        <v/>
      </c>
      <c r="H57" s="8">
        <f>GiaDinh!$C$21</f>
        <v/>
      </c>
      <c r="I57" s="8">
        <f>GiaDinh!$C$15</f>
        <v/>
      </c>
      <c r="J57" s="8">
        <f>ROUNDDOWN(I57/H57,0)+1</f>
        <v/>
      </c>
      <c r="K57" s="13">
        <f>J57*GiaDinh!$C$16</f>
        <v/>
      </c>
      <c r="L57" s="8">
        <f>MAX(1,ROUNDUP(G57/K57-0.0005,0))</f>
        <v/>
      </c>
      <c r="M57" s="13">
        <f>L57*I57</f>
        <v/>
      </c>
      <c r="N57" s="8">
        <f>L57*ROUNDUP(I57/GiaDinh!$C$5-0.0005,0)</f>
        <v/>
      </c>
      <c r="O57" s="8">
        <f>L57*(ROUNDUP(I57/GiaDinh!$C$5-0.0005,0)-1)</f>
        <v/>
      </c>
      <c r="P57" s="8">
        <f>L57*J57</f>
        <v/>
      </c>
      <c r="Q57" s="8">
        <f>2*P57</f>
        <v/>
      </c>
      <c r="R57" s="8">
        <f>P57</f>
        <v/>
      </c>
      <c r="S57" s="14">
        <f>M57*GiaDinh!$C$7</f>
        <v/>
      </c>
    </row>
    <row r="58">
      <c r="A58" s="8" t="inlineStr">
        <is>
          <t>BÈ 2</t>
        </is>
      </c>
      <c r="B58" s="8" t="inlineStr">
        <is>
          <t>B2-02</t>
        </is>
      </c>
      <c r="C58" s="8" t="inlineStr">
        <is>
          <t>Dọc cạnh (hộp song song mép bè, cách mép 1 hàng phao)</t>
        </is>
      </c>
      <c r="D58" s="8" t="inlineStr">
        <is>
          <t>B2-D73a, B2-D73b</t>
        </is>
      </c>
      <c r="E58" s="8" t="n">
        <v>2</v>
      </c>
      <c r="F58" s="8" t="n">
        <v>146.8</v>
      </c>
      <c r="G58" s="13">
        <f>E58*F58*GiaDinh!$C$18*GiaDinh!$C$17</f>
        <v/>
      </c>
      <c r="H58" s="8">
        <f>GiaDinh!$C$21</f>
        <v/>
      </c>
      <c r="I58" s="8">
        <f>GiaDinh!$C$15</f>
        <v/>
      </c>
      <c r="J58" s="8">
        <f>ROUNDDOWN(I58/H58,0)+1</f>
        <v/>
      </c>
      <c r="K58" s="13">
        <f>J58*GiaDinh!$C$16</f>
        <v/>
      </c>
      <c r="L58" s="8">
        <f>MAX(1,ROUNDUP(G58/K58-0.0005,0))</f>
        <v/>
      </c>
      <c r="M58" s="13">
        <f>L58*I58</f>
        <v/>
      </c>
      <c r="N58" s="8">
        <f>L58*ROUNDUP(I58/GiaDinh!$C$5-0.0005,0)</f>
        <v/>
      </c>
      <c r="O58" s="8">
        <f>L58*(ROUNDUP(I58/GiaDinh!$C$5-0.0005,0)-1)</f>
        <v/>
      </c>
      <c r="P58" s="8">
        <f>L58*J58</f>
        <v/>
      </c>
      <c r="Q58" s="8">
        <f>2*P58</f>
        <v/>
      </c>
      <c r="R58" s="8">
        <f>P58</f>
        <v/>
      </c>
      <c r="S58" s="14">
        <f>M58*GiaDinh!$C$7</f>
        <v/>
      </c>
    </row>
    <row r="59">
      <c r="A59" s="8" t="inlineStr">
        <is>
          <t>BÈ 2</t>
        </is>
      </c>
      <c r="B59" s="8" t="inlineStr">
        <is>
          <t>B2-03</t>
        </is>
      </c>
      <c r="C59" s="8" t="inlineStr">
        <is>
          <t>Dọc cạnh (hộp song song mép bè, cách mép 1 hàng phao)</t>
        </is>
      </c>
      <c r="D59" s="8" t="inlineStr">
        <is>
          <t>B2-D74a, B2-D74b</t>
        </is>
      </c>
      <c r="E59" s="8" t="n">
        <v>2</v>
      </c>
      <c r="F59" s="8" t="n">
        <v>146.8</v>
      </c>
      <c r="G59" s="13">
        <f>E59*F59*GiaDinh!$C$18*GiaDinh!$C$17</f>
        <v/>
      </c>
      <c r="H59" s="8">
        <f>GiaDinh!$C$21</f>
        <v/>
      </c>
      <c r="I59" s="8">
        <f>GiaDinh!$C$15</f>
        <v/>
      </c>
      <c r="J59" s="8">
        <f>ROUNDDOWN(I59/H59,0)+1</f>
        <v/>
      </c>
      <c r="K59" s="13">
        <f>J59*GiaDinh!$C$16</f>
        <v/>
      </c>
      <c r="L59" s="8">
        <f>MAX(1,ROUNDUP(G59/K59-0.0005,0))</f>
        <v/>
      </c>
      <c r="M59" s="13">
        <f>L59*I59</f>
        <v/>
      </c>
      <c r="N59" s="8">
        <f>L59*ROUNDUP(I59/GiaDinh!$C$5-0.0005,0)</f>
        <v/>
      </c>
      <c r="O59" s="8">
        <f>L59*(ROUNDUP(I59/GiaDinh!$C$5-0.0005,0)-1)</f>
        <v/>
      </c>
      <c r="P59" s="8">
        <f>L59*J59</f>
        <v/>
      </c>
      <c r="Q59" s="8">
        <f>2*P59</f>
        <v/>
      </c>
      <c r="R59" s="8">
        <f>P59</f>
        <v/>
      </c>
      <c r="S59" s="14">
        <f>M59*GiaDinh!$C$7</f>
        <v/>
      </c>
    </row>
    <row r="60">
      <c r="A60" s="8" t="inlineStr">
        <is>
          <t>BÈ 2</t>
        </is>
      </c>
      <c r="B60" s="8" t="inlineStr">
        <is>
          <t>B2-04</t>
        </is>
      </c>
      <c r="C60" s="8" t="inlineStr">
        <is>
          <t>Dọc cạnh (hộp song song mép bè, cách mép 1 hàng phao)</t>
        </is>
      </c>
      <c r="D60" s="8" t="inlineStr">
        <is>
          <t>B2-D04a, B2-D04b</t>
        </is>
      </c>
      <c r="E60" s="8" t="n">
        <v>2</v>
      </c>
      <c r="F60" s="8" t="n">
        <v>146.8</v>
      </c>
      <c r="G60" s="13">
        <f>E60*F60*GiaDinh!$C$18*GiaDinh!$C$17</f>
        <v/>
      </c>
      <c r="H60" s="8">
        <f>GiaDinh!$C$21</f>
        <v/>
      </c>
      <c r="I60" s="8">
        <f>GiaDinh!$C$15</f>
        <v/>
      </c>
      <c r="J60" s="8">
        <f>ROUNDDOWN(I60/H60,0)+1</f>
        <v/>
      </c>
      <c r="K60" s="13">
        <f>J60*GiaDinh!$C$16</f>
        <v/>
      </c>
      <c r="L60" s="8">
        <f>MAX(1,ROUNDUP(G60/K60-0.0005,0))</f>
        <v/>
      </c>
      <c r="M60" s="13">
        <f>L60*I60</f>
        <v/>
      </c>
      <c r="N60" s="8">
        <f>L60*ROUNDUP(I60/GiaDinh!$C$5-0.0005,0)</f>
        <v/>
      </c>
      <c r="O60" s="8">
        <f>L60*(ROUNDUP(I60/GiaDinh!$C$5-0.0005,0)-1)</f>
        <v/>
      </c>
      <c r="P60" s="8">
        <f>L60*J60</f>
        <v/>
      </c>
      <c r="Q60" s="8">
        <f>2*P60</f>
        <v/>
      </c>
      <c r="R60" s="8">
        <f>P60</f>
        <v/>
      </c>
      <c r="S60" s="14">
        <f>M60*GiaDinh!$C$7</f>
        <v/>
      </c>
    </row>
    <row r="61">
      <c r="A61" s="8" t="inlineStr">
        <is>
          <t>BÈ 2</t>
        </is>
      </c>
      <c r="B61" s="8" t="inlineStr">
        <is>
          <t>B2-05</t>
        </is>
      </c>
      <c r="C61" s="8" t="inlineStr">
        <is>
          <t>Dọc cạnh (hộp song song mép bè, cách mép 1 hàng phao)</t>
        </is>
      </c>
      <c r="D61" s="8" t="inlineStr">
        <is>
          <t>B2-D05a, B2-D05b</t>
        </is>
      </c>
      <c r="E61" s="8" t="n">
        <v>2</v>
      </c>
      <c r="F61" s="8" t="n">
        <v>146.8</v>
      </c>
      <c r="G61" s="13">
        <f>E61*F61*GiaDinh!$C$18*GiaDinh!$C$17</f>
        <v/>
      </c>
      <c r="H61" s="8">
        <f>GiaDinh!$C$21</f>
        <v/>
      </c>
      <c r="I61" s="8">
        <f>GiaDinh!$C$15</f>
        <v/>
      </c>
      <c r="J61" s="8">
        <f>ROUNDDOWN(I61/H61,0)+1</f>
        <v/>
      </c>
      <c r="K61" s="13">
        <f>J61*GiaDinh!$C$16</f>
        <v/>
      </c>
      <c r="L61" s="8">
        <f>MAX(1,ROUNDUP(G61/K61-0.0005,0))</f>
        <v/>
      </c>
      <c r="M61" s="13">
        <f>L61*I61</f>
        <v/>
      </c>
      <c r="N61" s="8">
        <f>L61*ROUNDUP(I61/GiaDinh!$C$5-0.0005,0)</f>
        <v/>
      </c>
      <c r="O61" s="8">
        <f>L61*(ROUNDUP(I61/GiaDinh!$C$5-0.0005,0)-1)</f>
        <v/>
      </c>
      <c r="P61" s="8">
        <f>L61*J61</f>
        <v/>
      </c>
      <c r="Q61" s="8">
        <f>2*P61</f>
        <v/>
      </c>
      <c r="R61" s="8">
        <f>P61</f>
        <v/>
      </c>
      <c r="S61" s="14">
        <f>M61*GiaDinh!$C$7</f>
        <v/>
      </c>
    </row>
    <row r="62">
      <c r="A62" s="8" t="inlineStr">
        <is>
          <t>BÈ 2</t>
        </is>
      </c>
      <c r="B62" s="8" t="inlineStr">
        <is>
          <t>B2-06</t>
        </is>
      </c>
      <c r="C62" s="8" t="inlineStr">
        <is>
          <t>Dọc cạnh (hộp song song mép bè, cách mép 1 hàng phao)</t>
        </is>
      </c>
      <c r="D62" s="8" t="inlineStr">
        <is>
          <t>B2-D06a, B2-D06b</t>
        </is>
      </c>
      <c r="E62" s="8" t="n">
        <v>2</v>
      </c>
      <c r="F62" s="8" t="n">
        <v>146.8</v>
      </c>
      <c r="G62" s="13">
        <f>E62*F62*GiaDinh!$C$18*GiaDinh!$C$17</f>
        <v/>
      </c>
      <c r="H62" s="8">
        <f>GiaDinh!$C$21</f>
        <v/>
      </c>
      <c r="I62" s="8">
        <f>GiaDinh!$C$15</f>
        <v/>
      </c>
      <c r="J62" s="8">
        <f>ROUNDDOWN(I62/H62,0)+1</f>
        <v/>
      </c>
      <c r="K62" s="13">
        <f>J62*GiaDinh!$C$16</f>
        <v/>
      </c>
      <c r="L62" s="8">
        <f>MAX(1,ROUNDUP(G62/K62-0.0005,0))</f>
        <v/>
      </c>
      <c r="M62" s="13">
        <f>L62*I62</f>
        <v/>
      </c>
      <c r="N62" s="8">
        <f>L62*ROUNDUP(I62/GiaDinh!$C$5-0.0005,0)</f>
        <v/>
      </c>
      <c r="O62" s="8">
        <f>L62*(ROUNDUP(I62/GiaDinh!$C$5-0.0005,0)-1)</f>
        <v/>
      </c>
      <c r="P62" s="8">
        <f>L62*J62</f>
        <v/>
      </c>
      <c r="Q62" s="8">
        <f>2*P62</f>
        <v/>
      </c>
      <c r="R62" s="8">
        <f>P62</f>
        <v/>
      </c>
      <c r="S62" s="14">
        <f>M62*GiaDinh!$C$7</f>
        <v/>
      </c>
    </row>
    <row r="63">
      <c r="A63" s="8" t="inlineStr">
        <is>
          <t>BÈ 2</t>
        </is>
      </c>
      <c r="B63" s="8" t="inlineStr">
        <is>
          <t>B2-07</t>
        </is>
      </c>
      <c r="C63" s="8" t="inlineStr">
        <is>
          <t>Dọc cạnh (hộp song song mép bè, cách mép 1 hàng phao)</t>
        </is>
      </c>
      <c r="D63" s="8" t="inlineStr">
        <is>
          <t>B2-D07a, B2-D07b</t>
        </is>
      </c>
      <c r="E63" s="8" t="n">
        <v>2</v>
      </c>
      <c r="F63" s="8" t="n">
        <v>146.8</v>
      </c>
      <c r="G63" s="13">
        <f>E63*F63*GiaDinh!$C$18*GiaDinh!$C$17</f>
        <v/>
      </c>
      <c r="H63" s="8">
        <f>GiaDinh!$C$21</f>
        <v/>
      </c>
      <c r="I63" s="8">
        <f>GiaDinh!$C$15</f>
        <v/>
      </c>
      <c r="J63" s="8">
        <f>ROUNDDOWN(I63/H63,0)+1</f>
        <v/>
      </c>
      <c r="K63" s="13">
        <f>J63*GiaDinh!$C$16</f>
        <v/>
      </c>
      <c r="L63" s="8">
        <f>MAX(1,ROUNDUP(G63/K63-0.0005,0))</f>
        <v/>
      </c>
      <c r="M63" s="13">
        <f>L63*I63</f>
        <v/>
      </c>
      <c r="N63" s="8">
        <f>L63*ROUNDUP(I63/GiaDinh!$C$5-0.0005,0)</f>
        <v/>
      </c>
      <c r="O63" s="8">
        <f>L63*(ROUNDUP(I63/GiaDinh!$C$5-0.0005,0)-1)</f>
        <v/>
      </c>
      <c r="P63" s="8">
        <f>L63*J63</f>
        <v/>
      </c>
      <c r="Q63" s="8">
        <f>2*P63</f>
        <v/>
      </c>
      <c r="R63" s="8">
        <f>P63</f>
        <v/>
      </c>
      <c r="S63" s="14">
        <f>M63*GiaDinh!$C$7</f>
        <v/>
      </c>
    </row>
    <row r="64">
      <c r="A64" s="8" t="inlineStr">
        <is>
          <t>BÈ 2</t>
        </is>
      </c>
      <c r="B64" s="8" t="inlineStr">
        <is>
          <t>B2-08</t>
        </is>
      </c>
      <c r="C64" s="8" t="inlineStr">
        <is>
          <t>Dọc cạnh (hộp song song mép bè, cách mép 1 hàng phao)</t>
        </is>
      </c>
      <c r="D64" s="8" t="inlineStr">
        <is>
          <t>B2-D08a, B2-D08b</t>
        </is>
      </c>
      <c r="E64" s="8" t="n">
        <v>2</v>
      </c>
      <c r="F64" s="8" t="n">
        <v>146.8</v>
      </c>
      <c r="G64" s="13">
        <f>E64*F64*GiaDinh!$C$18*GiaDinh!$C$17</f>
        <v/>
      </c>
      <c r="H64" s="8">
        <f>GiaDinh!$C$21</f>
        <v/>
      </c>
      <c r="I64" s="8">
        <f>GiaDinh!$C$15</f>
        <v/>
      </c>
      <c r="J64" s="8">
        <f>ROUNDDOWN(I64/H64,0)+1</f>
        <v/>
      </c>
      <c r="K64" s="13">
        <f>J64*GiaDinh!$C$16</f>
        <v/>
      </c>
      <c r="L64" s="8">
        <f>MAX(1,ROUNDUP(G64/K64-0.0005,0))</f>
        <v/>
      </c>
      <c r="M64" s="13">
        <f>L64*I64</f>
        <v/>
      </c>
      <c r="N64" s="8">
        <f>L64*ROUNDUP(I64/GiaDinh!$C$5-0.0005,0)</f>
        <v/>
      </c>
      <c r="O64" s="8">
        <f>L64*(ROUNDUP(I64/GiaDinh!$C$5-0.0005,0)-1)</f>
        <v/>
      </c>
      <c r="P64" s="8">
        <f>L64*J64</f>
        <v/>
      </c>
      <c r="Q64" s="8">
        <f>2*P64</f>
        <v/>
      </c>
      <c r="R64" s="8">
        <f>P64</f>
        <v/>
      </c>
      <c r="S64" s="14">
        <f>M64*GiaDinh!$C$7</f>
        <v/>
      </c>
    </row>
    <row r="65">
      <c r="A65" s="8" t="inlineStr">
        <is>
          <t>BÈ 2</t>
        </is>
      </c>
      <c r="B65" s="8" t="inlineStr">
        <is>
          <t>B2-09</t>
        </is>
      </c>
      <c r="C65" s="8" t="inlineStr">
        <is>
          <t>Dọc cạnh (hộp song song mép bè, cách mép 1 hàng phao)</t>
        </is>
      </c>
      <c r="D65" s="8" t="inlineStr">
        <is>
          <t>B2-D09a, B2-D09b</t>
        </is>
      </c>
      <c r="E65" s="8" t="n">
        <v>2</v>
      </c>
      <c r="F65" s="8" t="n">
        <v>146.8</v>
      </c>
      <c r="G65" s="13">
        <f>E65*F65*GiaDinh!$C$18*GiaDinh!$C$17</f>
        <v/>
      </c>
      <c r="H65" s="8">
        <f>GiaDinh!$C$21</f>
        <v/>
      </c>
      <c r="I65" s="8">
        <f>GiaDinh!$C$15</f>
        <v/>
      </c>
      <c r="J65" s="8">
        <f>ROUNDDOWN(I65/H65,0)+1</f>
        <v/>
      </c>
      <c r="K65" s="13">
        <f>J65*GiaDinh!$C$16</f>
        <v/>
      </c>
      <c r="L65" s="8">
        <f>MAX(1,ROUNDUP(G65/K65-0.0005,0))</f>
        <v/>
      </c>
      <c r="M65" s="13">
        <f>L65*I65</f>
        <v/>
      </c>
      <c r="N65" s="8">
        <f>L65*ROUNDUP(I65/GiaDinh!$C$5-0.0005,0)</f>
        <v/>
      </c>
      <c r="O65" s="8">
        <f>L65*(ROUNDUP(I65/GiaDinh!$C$5-0.0005,0)-1)</f>
        <v/>
      </c>
      <c r="P65" s="8">
        <f>L65*J65</f>
        <v/>
      </c>
      <c r="Q65" s="8">
        <f>2*P65</f>
        <v/>
      </c>
      <c r="R65" s="8">
        <f>P65</f>
        <v/>
      </c>
      <c r="S65" s="14">
        <f>M65*GiaDinh!$C$7</f>
        <v/>
      </c>
    </row>
    <row r="66">
      <c r="A66" s="8" t="inlineStr">
        <is>
          <t>BÈ 2</t>
        </is>
      </c>
      <c r="B66" s="8" t="inlineStr">
        <is>
          <t>B2-10</t>
        </is>
      </c>
      <c r="C66" s="8" t="inlineStr">
        <is>
          <t>Dọc cạnh (hộp song song mép bè, cách mép 1 hàng phao)</t>
        </is>
      </c>
      <c r="D66" s="8" t="inlineStr">
        <is>
          <t>B2-D10a, B2-D10b</t>
        </is>
      </c>
      <c r="E66" s="8" t="n">
        <v>2</v>
      </c>
      <c r="F66" s="8" t="n">
        <v>146.8</v>
      </c>
      <c r="G66" s="13">
        <f>E66*F66*GiaDinh!$C$18*GiaDinh!$C$17</f>
        <v/>
      </c>
      <c r="H66" s="8">
        <f>GiaDinh!$C$21</f>
        <v/>
      </c>
      <c r="I66" s="8">
        <f>GiaDinh!$C$15</f>
        <v/>
      </c>
      <c r="J66" s="8">
        <f>ROUNDDOWN(I66/H66,0)+1</f>
        <v/>
      </c>
      <c r="K66" s="13">
        <f>J66*GiaDinh!$C$16</f>
        <v/>
      </c>
      <c r="L66" s="8">
        <f>MAX(1,ROUNDUP(G66/K66-0.0005,0))</f>
        <v/>
      </c>
      <c r="M66" s="13">
        <f>L66*I66</f>
        <v/>
      </c>
      <c r="N66" s="8">
        <f>L66*ROUNDUP(I66/GiaDinh!$C$5-0.0005,0)</f>
        <v/>
      </c>
      <c r="O66" s="8">
        <f>L66*(ROUNDUP(I66/GiaDinh!$C$5-0.0005,0)-1)</f>
        <v/>
      </c>
      <c r="P66" s="8">
        <f>L66*J66</f>
        <v/>
      </c>
      <c r="Q66" s="8">
        <f>2*P66</f>
        <v/>
      </c>
      <c r="R66" s="8">
        <f>P66</f>
        <v/>
      </c>
      <c r="S66" s="14">
        <f>M66*GiaDinh!$C$7</f>
        <v/>
      </c>
    </row>
    <row r="67">
      <c r="A67" s="8" t="inlineStr">
        <is>
          <t>BÈ 2</t>
        </is>
      </c>
      <c r="B67" s="8" t="inlineStr">
        <is>
          <t>B2-11</t>
        </is>
      </c>
      <c r="C67" s="8" t="inlineStr">
        <is>
          <t>Dọc cạnh (hộp song song mép bè, cách mép 1 hàng phao)</t>
        </is>
      </c>
      <c r="D67" s="8" t="inlineStr">
        <is>
          <t>B2-D11a, B2-D11b</t>
        </is>
      </c>
      <c r="E67" s="8" t="n">
        <v>2</v>
      </c>
      <c r="F67" s="8" t="n">
        <v>146.8</v>
      </c>
      <c r="G67" s="13">
        <f>E67*F67*GiaDinh!$C$18*GiaDinh!$C$17</f>
        <v/>
      </c>
      <c r="H67" s="8">
        <f>GiaDinh!$C$21</f>
        <v/>
      </c>
      <c r="I67" s="8">
        <f>GiaDinh!$C$15</f>
        <v/>
      </c>
      <c r="J67" s="8">
        <f>ROUNDDOWN(I67/H67,0)+1</f>
        <v/>
      </c>
      <c r="K67" s="13">
        <f>J67*GiaDinh!$C$16</f>
        <v/>
      </c>
      <c r="L67" s="8">
        <f>MAX(1,ROUNDUP(G67/K67-0.0005,0))</f>
        <v/>
      </c>
      <c r="M67" s="13">
        <f>L67*I67</f>
        <v/>
      </c>
      <c r="N67" s="8">
        <f>L67*ROUNDUP(I67/GiaDinh!$C$5-0.0005,0)</f>
        <v/>
      </c>
      <c r="O67" s="8">
        <f>L67*(ROUNDUP(I67/GiaDinh!$C$5-0.0005,0)-1)</f>
        <v/>
      </c>
      <c r="P67" s="8">
        <f>L67*J67</f>
        <v/>
      </c>
      <c r="Q67" s="8">
        <f>2*P67</f>
        <v/>
      </c>
      <c r="R67" s="8">
        <f>P67</f>
        <v/>
      </c>
      <c r="S67" s="14">
        <f>M67*GiaDinh!$C$7</f>
        <v/>
      </c>
    </row>
    <row r="68">
      <c r="A68" s="8" t="inlineStr">
        <is>
          <t>BÈ 2</t>
        </is>
      </c>
      <c r="B68" s="8" t="inlineStr">
        <is>
          <t>B2-12</t>
        </is>
      </c>
      <c r="C68" s="8" t="inlineStr">
        <is>
          <t>Dọc cạnh (hộp song song mép bè, cách mép 1 hàng phao)</t>
        </is>
      </c>
      <c r="D68" s="8" t="inlineStr">
        <is>
          <t>B2-D14a, B2-D14b</t>
        </is>
      </c>
      <c r="E68" s="8" t="n">
        <v>2</v>
      </c>
      <c r="F68" s="8" t="n">
        <v>146.8</v>
      </c>
      <c r="G68" s="13">
        <f>E68*F68*GiaDinh!$C$18*GiaDinh!$C$17</f>
        <v/>
      </c>
      <c r="H68" s="8">
        <f>GiaDinh!$C$21</f>
        <v/>
      </c>
      <c r="I68" s="8">
        <f>GiaDinh!$C$15</f>
        <v/>
      </c>
      <c r="J68" s="8">
        <f>ROUNDDOWN(I68/H68,0)+1</f>
        <v/>
      </c>
      <c r="K68" s="13">
        <f>J68*GiaDinh!$C$16</f>
        <v/>
      </c>
      <c r="L68" s="8">
        <f>MAX(1,ROUNDUP(G68/K68-0.0005,0))</f>
        <v/>
      </c>
      <c r="M68" s="13">
        <f>L68*I68</f>
        <v/>
      </c>
      <c r="N68" s="8">
        <f>L68*ROUNDUP(I68/GiaDinh!$C$5-0.0005,0)</f>
        <v/>
      </c>
      <c r="O68" s="8">
        <f>L68*(ROUNDUP(I68/GiaDinh!$C$5-0.0005,0)-1)</f>
        <v/>
      </c>
      <c r="P68" s="8">
        <f>L68*J68</f>
        <v/>
      </c>
      <c r="Q68" s="8">
        <f>2*P68</f>
        <v/>
      </c>
      <c r="R68" s="8">
        <f>P68</f>
        <v/>
      </c>
      <c r="S68" s="14">
        <f>M68*GiaDinh!$C$7</f>
        <v/>
      </c>
    </row>
    <row r="69">
      <c r="A69" s="8" t="inlineStr">
        <is>
          <t>BÈ 2</t>
        </is>
      </c>
      <c r="B69" s="8" t="inlineStr">
        <is>
          <t>B2-13</t>
        </is>
      </c>
      <c r="C69" s="8" t="inlineStr">
        <is>
          <t>Dọc cạnh (hộp song song mép bè, cách mép 1 hàng phao)</t>
        </is>
      </c>
      <c r="D69" s="8" t="inlineStr">
        <is>
          <t>B2-D15a, B2-D15b</t>
        </is>
      </c>
      <c r="E69" s="8" t="n">
        <v>2</v>
      </c>
      <c r="F69" s="8" t="n">
        <v>146.8</v>
      </c>
      <c r="G69" s="13">
        <f>E69*F69*GiaDinh!$C$18*GiaDinh!$C$17</f>
        <v/>
      </c>
      <c r="H69" s="8">
        <f>GiaDinh!$C$21</f>
        <v/>
      </c>
      <c r="I69" s="8">
        <f>GiaDinh!$C$15</f>
        <v/>
      </c>
      <c r="J69" s="8">
        <f>ROUNDDOWN(I69/H69,0)+1</f>
        <v/>
      </c>
      <c r="K69" s="13">
        <f>J69*GiaDinh!$C$16</f>
        <v/>
      </c>
      <c r="L69" s="8">
        <f>MAX(1,ROUNDUP(G69/K69-0.0005,0))</f>
        <v/>
      </c>
      <c r="M69" s="13">
        <f>L69*I69</f>
        <v/>
      </c>
      <c r="N69" s="8">
        <f>L69*ROUNDUP(I69/GiaDinh!$C$5-0.0005,0)</f>
        <v/>
      </c>
      <c r="O69" s="8">
        <f>L69*(ROUNDUP(I69/GiaDinh!$C$5-0.0005,0)-1)</f>
        <v/>
      </c>
      <c r="P69" s="8">
        <f>L69*J69</f>
        <v/>
      </c>
      <c r="Q69" s="8">
        <f>2*P69</f>
        <v/>
      </c>
      <c r="R69" s="8">
        <f>P69</f>
        <v/>
      </c>
      <c r="S69" s="14">
        <f>M69*GiaDinh!$C$7</f>
        <v/>
      </c>
    </row>
    <row r="70">
      <c r="A70" s="8" t="inlineStr">
        <is>
          <t>BÈ 2</t>
        </is>
      </c>
      <c r="B70" s="8" t="inlineStr">
        <is>
          <t>B2-14</t>
        </is>
      </c>
      <c r="C70" s="8" t="inlineStr">
        <is>
          <t>Dọc cạnh (hộp song song mép bè, cách mép 1 hàng phao)</t>
        </is>
      </c>
      <c r="D70" s="8" t="inlineStr">
        <is>
          <t>B2-D16a, B2-D16b</t>
        </is>
      </c>
      <c r="E70" s="8" t="n">
        <v>2</v>
      </c>
      <c r="F70" s="8" t="n">
        <v>146.8</v>
      </c>
      <c r="G70" s="13">
        <f>E70*F70*GiaDinh!$C$18*GiaDinh!$C$17</f>
        <v/>
      </c>
      <c r="H70" s="8">
        <f>GiaDinh!$C$21</f>
        <v/>
      </c>
      <c r="I70" s="8">
        <f>GiaDinh!$C$15</f>
        <v/>
      </c>
      <c r="J70" s="8">
        <f>ROUNDDOWN(I70/H70,0)+1</f>
        <v/>
      </c>
      <c r="K70" s="13">
        <f>J70*GiaDinh!$C$16</f>
        <v/>
      </c>
      <c r="L70" s="8">
        <f>MAX(1,ROUNDUP(G70/K70-0.0005,0))</f>
        <v/>
      </c>
      <c r="M70" s="13">
        <f>L70*I70</f>
        <v/>
      </c>
      <c r="N70" s="8">
        <f>L70*ROUNDUP(I70/GiaDinh!$C$5-0.0005,0)</f>
        <v/>
      </c>
      <c r="O70" s="8">
        <f>L70*(ROUNDUP(I70/GiaDinh!$C$5-0.0005,0)-1)</f>
        <v/>
      </c>
      <c r="P70" s="8">
        <f>L70*J70</f>
        <v/>
      </c>
      <c r="Q70" s="8">
        <f>2*P70</f>
        <v/>
      </c>
      <c r="R70" s="8">
        <f>P70</f>
        <v/>
      </c>
      <c r="S70" s="14">
        <f>M70*GiaDinh!$C$7</f>
        <v/>
      </c>
    </row>
    <row r="71">
      <c r="A71" s="8" t="inlineStr">
        <is>
          <t>BÈ 2</t>
        </is>
      </c>
      <c r="B71" s="8" t="inlineStr">
        <is>
          <t>B2-15</t>
        </is>
      </c>
      <c r="C71" s="8" t="inlineStr">
        <is>
          <t>Dọc cạnh (hộp song song mép bè, cách mép 1 hàng phao)</t>
        </is>
      </c>
      <c r="D71" s="8" t="inlineStr">
        <is>
          <t>B2-D17a, B2-D17b</t>
        </is>
      </c>
      <c r="E71" s="8" t="n">
        <v>2</v>
      </c>
      <c r="F71" s="8" t="n">
        <v>146.8</v>
      </c>
      <c r="G71" s="13">
        <f>E71*F71*GiaDinh!$C$18*GiaDinh!$C$17</f>
        <v/>
      </c>
      <c r="H71" s="8">
        <f>GiaDinh!$C$21</f>
        <v/>
      </c>
      <c r="I71" s="8">
        <f>GiaDinh!$C$15</f>
        <v/>
      </c>
      <c r="J71" s="8">
        <f>ROUNDDOWN(I71/H71,0)+1</f>
        <v/>
      </c>
      <c r="K71" s="13">
        <f>J71*GiaDinh!$C$16</f>
        <v/>
      </c>
      <c r="L71" s="8">
        <f>MAX(1,ROUNDUP(G71/K71-0.0005,0))</f>
        <v/>
      </c>
      <c r="M71" s="13">
        <f>L71*I71</f>
        <v/>
      </c>
      <c r="N71" s="8">
        <f>L71*ROUNDUP(I71/GiaDinh!$C$5-0.0005,0)</f>
        <v/>
      </c>
      <c r="O71" s="8">
        <f>L71*(ROUNDUP(I71/GiaDinh!$C$5-0.0005,0)-1)</f>
        <v/>
      </c>
      <c r="P71" s="8">
        <f>L71*J71</f>
        <v/>
      </c>
      <c r="Q71" s="8">
        <f>2*P71</f>
        <v/>
      </c>
      <c r="R71" s="8">
        <f>P71</f>
        <v/>
      </c>
      <c r="S71" s="14">
        <f>M71*GiaDinh!$C$7</f>
        <v/>
      </c>
    </row>
    <row r="72">
      <c r="A72" s="8" t="inlineStr">
        <is>
          <t>BÈ 2</t>
        </is>
      </c>
      <c r="B72" s="8" t="inlineStr">
        <is>
          <t>B2-16</t>
        </is>
      </c>
      <c r="C72" s="8" t="inlineStr">
        <is>
          <t>Dọc cạnh (hộp song song mép bè, cách mép 1 hàng phao)</t>
        </is>
      </c>
      <c r="D72" s="8" t="inlineStr">
        <is>
          <t>B2-D18a, B2-D18b</t>
        </is>
      </c>
      <c r="E72" s="8" t="n">
        <v>2</v>
      </c>
      <c r="F72" s="8" t="n">
        <v>146.8</v>
      </c>
      <c r="G72" s="13">
        <f>E72*F72*GiaDinh!$C$18*GiaDinh!$C$17</f>
        <v/>
      </c>
      <c r="H72" s="8">
        <f>GiaDinh!$C$21</f>
        <v/>
      </c>
      <c r="I72" s="8">
        <f>GiaDinh!$C$15</f>
        <v/>
      </c>
      <c r="J72" s="8">
        <f>ROUNDDOWN(I72/H72,0)+1</f>
        <v/>
      </c>
      <c r="K72" s="13">
        <f>J72*GiaDinh!$C$16</f>
        <v/>
      </c>
      <c r="L72" s="8">
        <f>MAX(1,ROUNDUP(G72/K72-0.0005,0))</f>
        <v/>
      </c>
      <c r="M72" s="13">
        <f>L72*I72</f>
        <v/>
      </c>
      <c r="N72" s="8">
        <f>L72*ROUNDUP(I72/GiaDinh!$C$5-0.0005,0)</f>
        <v/>
      </c>
      <c r="O72" s="8">
        <f>L72*(ROUNDUP(I72/GiaDinh!$C$5-0.0005,0)-1)</f>
        <v/>
      </c>
      <c r="P72" s="8">
        <f>L72*J72</f>
        <v/>
      </c>
      <c r="Q72" s="8">
        <f>2*P72</f>
        <v/>
      </c>
      <c r="R72" s="8">
        <f>P72</f>
        <v/>
      </c>
      <c r="S72" s="14">
        <f>M72*GiaDinh!$C$7</f>
        <v/>
      </c>
    </row>
    <row r="73">
      <c r="A73" s="8" t="inlineStr">
        <is>
          <t>BÈ 2</t>
        </is>
      </c>
      <c r="B73" s="8" t="inlineStr">
        <is>
          <t>B2-17</t>
        </is>
      </c>
      <c r="C73" s="8" t="inlineStr">
        <is>
          <t>Dọc cạnh (hộp song song mép bè, cách mép 1 hàng phao)</t>
        </is>
      </c>
      <c r="D73" s="8" t="inlineStr">
        <is>
          <t>B2-D19a, B2-D19b</t>
        </is>
      </c>
      <c r="E73" s="8" t="n">
        <v>2</v>
      </c>
      <c r="F73" s="8" t="n">
        <v>146.8</v>
      </c>
      <c r="G73" s="13">
        <f>E73*F73*GiaDinh!$C$18*GiaDinh!$C$17</f>
        <v/>
      </c>
      <c r="H73" s="8">
        <f>GiaDinh!$C$21</f>
        <v/>
      </c>
      <c r="I73" s="8">
        <f>GiaDinh!$C$15</f>
        <v/>
      </c>
      <c r="J73" s="8">
        <f>ROUNDDOWN(I73/H73,0)+1</f>
        <v/>
      </c>
      <c r="K73" s="13">
        <f>J73*GiaDinh!$C$16</f>
        <v/>
      </c>
      <c r="L73" s="8">
        <f>MAX(1,ROUNDUP(G73/K73-0.0005,0))</f>
        <v/>
      </c>
      <c r="M73" s="13">
        <f>L73*I73</f>
        <v/>
      </c>
      <c r="N73" s="8">
        <f>L73*ROUNDUP(I73/GiaDinh!$C$5-0.0005,0)</f>
        <v/>
      </c>
      <c r="O73" s="8">
        <f>L73*(ROUNDUP(I73/GiaDinh!$C$5-0.0005,0)-1)</f>
        <v/>
      </c>
      <c r="P73" s="8">
        <f>L73*J73</f>
        <v/>
      </c>
      <c r="Q73" s="8">
        <f>2*P73</f>
        <v/>
      </c>
      <c r="R73" s="8">
        <f>P73</f>
        <v/>
      </c>
      <c r="S73" s="14">
        <f>M73*GiaDinh!$C$7</f>
        <v/>
      </c>
    </row>
    <row r="74">
      <c r="A74" s="8" t="inlineStr">
        <is>
          <t>BÈ 2</t>
        </is>
      </c>
      <c r="B74" s="8" t="inlineStr">
        <is>
          <t>B2-18</t>
        </is>
      </c>
      <c r="C74" s="8" t="inlineStr">
        <is>
          <t>Dọc cạnh (hộp song song mép bè, cách mép 1 hàng phao)</t>
        </is>
      </c>
      <c r="D74" s="8" t="inlineStr">
        <is>
          <t>B2-D20a, B2-D20b</t>
        </is>
      </c>
      <c r="E74" s="8" t="n">
        <v>2</v>
      </c>
      <c r="F74" s="8" t="n">
        <v>146.8</v>
      </c>
      <c r="G74" s="13">
        <f>E74*F74*GiaDinh!$C$18*GiaDinh!$C$17</f>
        <v/>
      </c>
      <c r="H74" s="8">
        <f>GiaDinh!$C$21</f>
        <v/>
      </c>
      <c r="I74" s="8">
        <f>GiaDinh!$C$15</f>
        <v/>
      </c>
      <c r="J74" s="8">
        <f>ROUNDDOWN(I74/H74,0)+1</f>
        <v/>
      </c>
      <c r="K74" s="13">
        <f>J74*GiaDinh!$C$16</f>
        <v/>
      </c>
      <c r="L74" s="8">
        <f>MAX(1,ROUNDUP(G74/K74-0.0005,0))</f>
        <v/>
      </c>
      <c r="M74" s="13">
        <f>L74*I74</f>
        <v/>
      </c>
      <c r="N74" s="8">
        <f>L74*ROUNDUP(I74/GiaDinh!$C$5-0.0005,0)</f>
        <v/>
      </c>
      <c r="O74" s="8">
        <f>L74*(ROUNDUP(I74/GiaDinh!$C$5-0.0005,0)-1)</f>
        <v/>
      </c>
      <c r="P74" s="8">
        <f>L74*J74</f>
        <v/>
      </c>
      <c r="Q74" s="8">
        <f>2*P74</f>
        <v/>
      </c>
      <c r="R74" s="8">
        <f>P74</f>
        <v/>
      </c>
      <c r="S74" s="14">
        <f>M74*GiaDinh!$C$7</f>
        <v/>
      </c>
    </row>
    <row r="75">
      <c r="A75" s="8" t="inlineStr">
        <is>
          <t>BÈ 2</t>
        </is>
      </c>
      <c r="B75" s="8" t="inlineStr">
        <is>
          <t>B2-19</t>
        </is>
      </c>
      <c r="C75" s="8" t="inlineStr">
        <is>
          <t>Dọc cạnh (hộp song song mép bè, cách mép 1 hàng phao)</t>
        </is>
      </c>
      <c r="D75" s="8" t="inlineStr">
        <is>
          <t>B2-D21a, B2-D21b</t>
        </is>
      </c>
      <c r="E75" s="8" t="n">
        <v>2</v>
      </c>
      <c r="F75" s="8" t="n">
        <v>146.8</v>
      </c>
      <c r="G75" s="13">
        <f>E75*F75*GiaDinh!$C$18*GiaDinh!$C$17</f>
        <v/>
      </c>
      <c r="H75" s="8">
        <f>GiaDinh!$C$21</f>
        <v/>
      </c>
      <c r="I75" s="8">
        <f>GiaDinh!$C$15</f>
        <v/>
      </c>
      <c r="J75" s="8">
        <f>ROUNDDOWN(I75/H75,0)+1</f>
        <v/>
      </c>
      <c r="K75" s="13">
        <f>J75*GiaDinh!$C$16</f>
        <v/>
      </c>
      <c r="L75" s="8">
        <f>MAX(1,ROUNDUP(G75/K75-0.0005,0))</f>
        <v/>
      </c>
      <c r="M75" s="13">
        <f>L75*I75</f>
        <v/>
      </c>
      <c r="N75" s="8">
        <f>L75*ROUNDUP(I75/GiaDinh!$C$5-0.0005,0)</f>
        <v/>
      </c>
      <c r="O75" s="8">
        <f>L75*(ROUNDUP(I75/GiaDinh!$C$5-0.0005,0)-1)</f>
        <v/>
      </c>
      <c r="P75" s="8">
        <f>L75*J75</f>
        <v/>
      </c>
      <c r="Q75" s="8">
        <f>2*P75</f>
        <v/>
      </c>
      <c r="R75" s="8">
        <f>P75</f>
        <v/>
      </c>
      <c r="S75" s="14">
        <f>M75*GiaDinh!$C$7</f>
        <v/>
      </c>
    </row>
    <row r="76">
      <c r="A76" s="8" t="inlineStr">
        <is>
          <t>BÈ 2</t>
        </is>
      </c>
      <c r="B76" s="8" t="inlineStr">
        <is>
          <t>B2-20</t>
        </is>
      </c>
      <c r="C76" s="8" t="inlineStr">
        <is>
          <t>Dọc cạnh (hộp song song mép bè, cách mép 1 hàng phao)</t>
        </is>
      </c>
      <c r="D76" s="8" t="inlineStr">
        <is>
          <t>B2-D22a, B2-D22b</t>
        </is>
      </c>
      <c r="E76" s="8" t="n">
        <v>2</v>
      </c>
      <c r="F76" s="8" t="n">
        <v>146.8</v>
      </c>
      <c r="G76" s="13">
        <f>E76*F76*GiaDinh!$C$18*GiaDinh!$C$17</f>
        <v/>
      </c>
      <c r="H76" s="8">
        <f>GiaDinh!$C$21</f>
        <v/>
      </c>
      <c r="I76" s="8">
        <f>GiaDinh!$C$15</f>
        <v/>
      </c>
      <c r="J76" s="8">
        <f>ROUNDDOWN(I76/H76,0)+1</f>
        <v/>
      </c>
      <c r="K76" s="13">
        <f>J76*GiaDinh!$C$16</f>
        <v/>
      </c>
      <c r="L76" s="8">
        <f>MAX(1,ROUNDUP(G76/K76-0.0005,0))</f>
        <v/>
      </c>
      <c r="M76" s="13">
        <f>L76*I76</f>
        <v/>
      </c>
      <c r="N76" s="8">
        <f>L76*ROUNDUP(I76/GiaDinh!$C$5-0.0005,0)</f>
        <v/>
      </c>
      <c r="O76" s="8">
        <f>L76*(ROUNDUP(I76/GiaDinh!$C$5-0.0005,0)-1)</f>
        <v/>
      </c>
      <c r="P76" s="8">
        <f>L76*J76</f>
        <v/>
      </c>
      <c r="Q76" s="8">
        <f>2*P76</f>
        <v/>
      </c>
      <c r="R76" s="8">
        <f>P76</f>
        <v/>
      </c>
      <c r="S76" s="14">
        <f>M76*GiaDinh!$C$7</f>
        <v/>
      </c>
    </row>
    <row r="77">
      <c r="A77" s="8" t="inlineStr">
        <is>
          <t>BÈ 2</t>
        </is>
      </c>
      <c r="B77" s="8" t="inlineStr">
        <is>
          <t>B2-21</t>
        </is>
      </c>
      <c r="C77" s="8" t="inlineStr">
        <is>
          <t>Dọc cạnh (hộp song song mép bè, cách mép 1 hàng phao)</t>
        </is>
      </c>
      <c r="D77" s="8" t="inlineStr">
        <is>
          <t>B2-D23a, B2-D23b</t>
        </is>
      </c>
      <c r="E77" s="8" t="n">
        <v>2</v>
      </c>
      <c r="F77" s="8" t="n">
        <v>146.8</v>
      </c>
      <c r="G77" s="13">
        <f>E77*F77*GiaDinh!$C$18*GiaDinh!$C$17</f>
        <v/>
      </c>
      <c r="H77" s="8">
        <f>GiaDinh!$C$21</f>
        <v/>
      </c>
      <c r="I77" s="8">
        <f>GiaDinh!$C$15</f>
        <v/>
      </c>
      <c r="J77" s="8">
        <f>ROUNDDOWN(I77/H77,0)+1</f>
        <v/>
      </c>
      <c r="K77" s="13">
        <f>J77*GiaDinh!$C$16</f>
        <v/>
      </c>
      <c r="L77" s="8">
        <f>MAX(1,ROUNDUP(G77/K77-0.0005,0))</f>
        <v/>
      </c>
      <c r="M77" s="13">
        <f>L77*I77</f>
        <v/>
      </c>
      <c r="N77" s="8">
        <f>L77*ROUNDUP(I77/GiaDinh!$C$5-0.0005,0)</f>
        <v/>
      </c>
      <c r="O77" s="8">
        <f>L77*(ROUNDUP(I77/GiaDinh!$C$5-0.0005,0)-1)</f>
        <v/>
      </c>
      <c r="P77" s="8">
        <f>L77*J77</f>
        <v/>
      </c>
      <c r="Q77" s="8">
        <f>2*P77</f>
        <v/>
      </c>
      <c r="R77" s="8">
        <f>P77</f>
        <v/>
      </c>
      <c r="S77" s="14">
        <f>M77*GiaDinh!$C$7</f>
        <v/>
      </c>
    </row>
    <row r="78">
      <c r="A78" s="8" t="inlineStr">
        <is>
          <t>BÈ 2</t>
        </is>
      </c>
      <c r="B78" s="8" t="inlineStr">
        <is>
          <t>B2-22</t>
        </is>
      </c>
      <c r="C78" s="8" t="inlineStr">
        <is>
          <t>Dọc cạnh (hộp song song mép bè, cách mép 1 hàng phao)</t>
        </is>
      </c>
      <c r="D78" s="8" t="inlineStr">
        <is>
          <t>B2-D24a, B2-D24b</t>
        </is>
      </c>
      <c r="E78" s="8" t="n">
        <v>2</v>
      </c>
      <c r="F78" s="8" t="n">
        <v>146.8</v>
      </c>
      <c r="G78" s="13">
        <f>E78*F78*GiaDinh!$C$18*GiaDinh!$C$17</f>
        <v/>
      </c>
      <c r="H78" s="8">
        <f>GiaDinh!$C$21</f>
        <v/>
      </c>
      <c r="I78" s="8">
        <f>GiaDinh!$C$15</f>
        <v/>
      </c>
      <c r="J78" s="8">
        <f>ROUNDDOWN(I78/H78,0)+1</f>
        <v/>
      </c>
      <c r="K78" s="13">
        <f>J78*GiaDinh!$C$16</f>
        <v/>
      </c>
      <c r="L78" s="8">
        <f>MAX(1,ROUNDUP(G78/K78-0.0005,0))</f>
        <v/>
      </c>
      <c r="M78" s="13">
        <f>L78*I78</f>
        <v/>
      </c>
      <c r="N78" s="8">
        <f>L78*ROUNDUP(I78/GiaDinh!$C$5-0.0005,0)</f>
        <v/>
      </c>
      <c r="O78" s="8">
        <f>L78*(ROUNDUP(I78/GiaDinh!$C$5-0.0005,0)-1)</f>
        <v/>
      </c>
      <c r="P78" s="8">
        <f>L78*J78</f>
        <v/>
      </c>
      <c r="Q78" s="8">
        <f>2*P78</f>
        <v/>
      </c>
      <c r="R78" s="8">
        <f>P78</f>
        <v/>
      </c>
      <c r="S78" s="14">
        <f>M78*GiaDinh!$C$7</f>
        <v/>
      </c>
    </row>
    <row r="79">
      <c r="A79" s="8" t="inlineStr">
        <is>
          <t>BÈ 2</t>
        </is>
      </c>
      <c r="B79" s="8" t="inlineStr">
        <is>
          <t>B2-23</t>
        </is>
      </c>
      <c r="C79" s="8" t="inlineStr">
        <is>
          <t>Dọc cạnh (hộp song song mép bè, cách mép 1 hàng phao)</t>
        </is>
      </c>
      <c r="D79" s="8" t="inlineStr">
        <is>
          <t>B2-D25a, B2-D25b</t>
        </is>
      </c>
      <c r="E79" s="8" t="n">
        <v>2</v>
      </c>
      <c r="F79" s="8" t="n">
        <v>146.8</v>
      </c>
      <c r="G79" s="13">
        <f>E79*F79*GiaDinh!$C$18*GiaDinh!$C$17</f>
        <v/>
      </c>
      <c r="H79" s="8">
        <f>GiaDinh!$C$21</f>
        <v/>
      </c>
      <c r="I79" s="8">
        <f>GiaDinh!$C$15</f>
        <v/>
      </c>
      <c r="J79" s="8">
        <f>ROUNDDOWN(I79/H79,0)+1</f>
        <v/>
      </c>
      <c r="K79" s="13">
        <f>J79*GiaDinh!$C$16</f>
        <v/>
      </c>
      <c r="L79" s="8">
        <f>MAX(1,ROUNDUP(G79/K79-0.0005,0))</f>
        <v/>
      </c>
      <c r="M79" s="13">
        <f>L79*I79</f>
        <v/>
      </c>
      <c r="N79" s="8">
        <f>L79*ROUNDUP(I79/GiaDinh!$C$5-0.0005,0)</f>
        <v/>
      </c>
      <c r="O79" s="8">
        <f>L79*(ROUNDUP(I79/GiaDinh!$C$5-0.0005,0)-1)</f>
        <v/>
      </c>
      <c r="P79" s="8">
        <f>L79*J79</f>
        <v/>
      </c>
      <c r="Q79" s="8">
        <f>2*P79</f>
        <v/>
      </c>
      <c r="R79" s="8">
        <f>P79</f>
        <v/>
      </c>
      <c r="S79" s="14">
        <f>M79*GiaDinh!$C$7</f>
        <v/>
      </c>
    </row>
    <row r="80">
      <c r="A80" s="8" t="inlineStr">
        <is>
          <t>BÈ 2</t>
        </is>
      </c>
      <c r="B80" s="8" t="inlineStr">
        <is>
          <t>B2-24</t>
        </is>
      </c>
      <c r="C80" s="8" t="inlineStr">
        <is>
          <t>Dọc cạnh (hộp song song mép bè, cách mép 1 hàng phao)</t>
        </is>
      </c>
      <c r="D80" s="8" t="inlineStr">
        <is>
          <t>B2-D34a, B2-D34b</t>
        </is>
      </c>
      <c r="E80" s="8" t="n">
        <v>2</v>
      </c>
      <c r="F80" s="8" t="n">
        <v>146.8</v>
      </c>
      <c r="G80" s="13">
        <f>E80*F80*GiaDinh!$C$18*GiaDinh!$C$17</f>
        <v/>
      </c>
      <c r="H80" s="8">
        <f>GiaDinh!$C$21</f>
        <v/>
      </c>
      <c r="I80" s="8">
        <f>GiaDinh!$C$15</f>
        <v/>
      </c>
      <c r="J80" s="8">
        <f>ROUNDDOWN(I80/H80,0)+1</f>
        <v/>
      </c>
      <c r="K80" s="13">
        <f>J80*GiaDinh!$C$16</f>
        <v/>
      </c>
      <c r="L80" s="8">
        <f>MAX(1,ROUNDUP(G80/K80-0.0005,0))</f>
        <v/>
      </c>
      <c r="M80" s="13">
        <f>L80*I80</f>
        <v/>
      </c>
      <c r="N80" s="8">
        <f>L80*ROUNDUP(I80/GiaDinh!$C$5-0.0005,0)</f>
        <v/>
      </c>
      <c r="O80" s="8">
        <f>L80*(ROUNDUP(I80/GiaDinh!$C$5-0.0005,0)-1)</f>
        <v/>
      </c>
      <c r="P80" s="8">
        <f>L80*J80</f>
        <v/>
      </c>
      <c r="Q80" s="8">
        <f>2*P80</f>
        <v/>
      </c>
      <c r="R80" s="8">
        <f>P80</f>
        <v/>
      </c>
      <c r="S80" s="14">
        <f>M80*GiaDinh!$C$7</f>
        <v/>
      </c>
    </row>
    <row r="81">
      <c r="A81" s="8" t="inlineStr">
        <is>
          <t>BÈ 2</t>
        </is>
      </c>
      <c r="B81" s="8" t="inlineStr">
        <is>
          <t>B2-25</t>
        </is>
      </c>
      <c r="C81" s="8" t="inlineStr">
        <is>
          <t>Dọc cạnh (hộp song song mép bè, cách mép 1 hàng phao)</t>
        </is>
      </c>
      <c r="D81" s="8" t="inlineStr">
        <is>
          <t>B2-D35a, B2-D35b</t>
        </is>
      </c>
      <c r="E81" s="8" t="n">
        <v>2</v>
      </c>
      <c r="F81" s="8" t="n">
        <v>146.8</v>
      </c>
      <c r="G81" s="13">
        <f>E81*F81*GiaDinh!$C$18*GiaDinh!$C$17</f>
        <v/>
      </c>
      <c r="H81" s="8">
        <f>GiaDinh!$C$21</f>
        <v/>
      </c>
      <c r="I81" s="8">
        <f>GiaDinh!$C$15</f>
        <v/>
      </c>
      <c r="J81" s="8">
        <f>ROUNDDOWN(I81/H81,0)+1</f>
        <v/>
      </c>
      <c r="K81" s="13">
        <f>J81*GiaDinh!$C$16</f>
        <v/>
      </c>
      <c r="L81" s="8">
        <f>MAX(1,ROUNDUP(G81/K81-0.0005,0))</f>
        <v/>
      </c>
      <c r="M81" s="13">
        <f>L81*I81</f>
        <v/>
      </c>
      <c r="N81" s="8">
        <f>L81*ROUNDUP(I81/GiaDinh!$C$5-0.0005,0)</f>
        <v/>
      </c>
      <c r="O81" s="8">
        <f>L81*(ROUNDUP(I81/GiaDinh!$C$5-0.0005,0)-1)</f>
        <v/>
      </c>
      <c r="P81" s="8">
        <f>L81*J81</f>
        <v/>
      </c>
      <c r="Q81" s="8">
        <f>2*P81</f>
        <v/>
      </c>
      <c r="R81" s="8">
        <f>P81</f>
        <v/>
      </c>
      <c r="S81" s="14">
        <f>M81*GiaDinh!$C$7</f>
        <v/>
      </c>
    </row>
    <row r="82">
      <c r="A82" s="8" t="inlineStr">
        <is>
          <t>BÈ 2</t>
        </is>
      </c>
      <c r="B82" s="8" t="inlineStr">
        <is>
          <t>B2-26</t>
        </is>
      </c>
      <c r="C82" s="8" t="inlineStr">
        <is>
          <t>Dọc cạnh (hộp song song mép bè, cách mép 1 hàng phao)</t>
        </is>
      </c>
      <c r="D82" s="8" t="inlineStr">
        <is>
          <t>B2-D36a, B2-D36b</t>
        </is>
      </c>
      <c r="E82" s="8" t="n">
        <v>2</v>
      </c>
      <c r="F82" s="8" t="n">
        <v>146.8</v>
      </c>
      <c r="G82" s="13">
        <f>E82*F82*GiaDinh!$C$18*GiaDinh!$C$17</f>
        <v/>
      </c>
      <c r="H82" s="8">
        <f>GiaDinh!$C$21</f>
        <v/>
      </c>
      <c r="I82" s="8">
        <f>GiaDinh!$C$15</f>
        <v/>
      </c>
      <c r="J82" s="8">
        <f>ROUNDDOWN(I82/H82,0)+1</f>
        <v/>
      </c>
      <c r="K82" s="13">
        <f>J82*GiaDinh!$C$16</f>
        <v/>
      </c>
      <c r="L82" s="8">
        <f>MAX(1,ROUNDUP(G82/K82-0.0005,0))</f>
        <v/>
      </c>
      <c r="M82" s="13">
        <f>L82*I82</f>
        <v/>
      </c>
      <c r="N82" s="8">
        <f>L82*ROUNDUP(I82/GiaDinh!$C$5-0.0005,0)</f>
        <v/>
      </c>
      <c r="O82" s="8">
        <f>L82*(ROUNDUP(I82/GiaDinh!$C$5-0.0005,0)-1)</f>
        <v/>
      </c>
      <c r="P82" s="8">
        <f>L82*J82</f>
        <v/>
      </c>
      <c r="Q82" s="8">
        <f>2*P82</f>
        <v/>
      </c>
      <c r="R82" s="8">
        <f>P82</f>
        <v/>
      </c>
      <c r="S82" s="14">
        <f>M82*GiaDinh!$C$7</f>
        <v/>
      </c>
    </row>
    <row r="83">
      <c r="A83" s="8" t="inlineStr">
        <is>
          <t>BÈ 2</t>
        </is>
      </c>
      <c r="B83" s="8" t="inlineStr">
        <is>
          <t>B2-27</t>
        </is>
      </c>
      <c r="C83" s="8" t="inlineStr">
        <is>
          <t>Dọc cạnh (hộp song song mép bè, cách mép 1 hàng phao)</t>
        </is>
      </c>
      <c r="D83" s="8" t="inlineStr">
        <is>
          <t>B2-D42a, B2-D42b</t>
        </is>
      </c>
      <c r="E83" s="8" t="n">
        <v>2</v>
      </c>
      <c r="F83" s="8" t="n">
        <v>146.8</v>
      </c>
      <c r="G83" s="13">
        <f>E83*F83*GiaDinh!$C$18*GiaDinh!$C$17</f>
        <v/>
      </c>
      <c r="H83" s="8">
        <f>GiaDinh!$C$21</f>
        <v/>
      </c>
      <c r="I83" s="8">
        <f>GiaDinh!$C$15</f>
        <v/>
      </c>
      <c r="J83" s="8">
        <f>ROUNDDOWN(I83/H83,0)+1</f>
        <v/>
      </c>
      <c r="K83" s="13">
        <f>J83*GiaDinh!$C$16</f>
        <v/>
      </c>
      <c r="L83" s="8">
        <f>MAX(1,ROUNDUP(G83/K83-0.0005,0))</f>
        <v/>
      </c>
      <c r="M83" s="13">
        <f>L83*I83</f>
        <v/>
      </c>
      <c r="N83" s="8">
        <f>L83*ROUNDUP(I83/GiaDinh!$C$5-0.0005,0)</f>
        <v/>
      </c>
      <c r="O83" s="8">
        <f>L83*(ROUNDUP(I83/GiaDinh!$C$5-0.0005,0)-1)</f>
        <v/>
      </c>
      <c r="P83" s="8">
        <f>L83*J83</f>
        <v/>
      </c>
      <c r="Q83" s="8">
        <f>2*P83</f>
        <v/>
      </c>
      <c r="R83" s="8">
        <f>P83</f>
        <v/>
      </c>
      <c r="S83" s="14">
        <f>M83*GiaDinh!$C$7</f>
        <v/>
      </c>
    </row>
    <row r="84">
      <c r="A84" s="8" t="inlineStr">
        <is>
          <t>BÈ 2</t>
        </is>
      </c>
      <c r="B84" s="8" t="inlineStr">
        <is>
          <t>B2-28</t>
        </is>
      </c>
      <c r="C84" s="8" t="inlineStr">
        <is>
          <t>Dọc cạnh (hộp song song mép bè, cách mép 1 hàng phao)</t>
        </is>
      </c>
      <c r="D84" s="8" t="inlineStr">
        <is>
          <t>B2-D43a, B2-D43b</t>
        </is>
      </c>
      <c r="E84" s="8" t="n">
        <v>2</v>
      </c>
      <c r="F84" s="8" t="n">
        <v>146.8</v>
      </c>
      <c r="G84" s="13">
        <f>E84*F84*GiaDinh!$C$18*GiaDinh!$C$17</f>
        <v/>
      </c>
      <c r="H84" s="8">
        <f>GiaDinh!$C$21</f>
        <v/>
      </c>
      <c r="I84" s="8">
        <f>GiaDinh!$C$15</f>
        <v/>
      </c>
      <c r="J84" s="8">
        <f>ROUNDDOWN(I84/H84,0)+1</f>
        <v/>
      </c>
      <c r="K84" s="13">
        <f>J84*GiaDinh!$C$16</f>
        <v/>
      </c>
      <c r="L84" s="8">
        <f>MAX(1,ROUNDUP(G84/K84-0.0005,0))</f>
        <v/>
      </c>
      <c r="M84" s="13">
        <f>L84*I84</f>
        <v/>
      </c>
      <c r="N84" s="8">
        <f>L84*ROUNDUP(I84/GiaDinh!$C$5-0.0005,0)</f>
        <v/>
      </c>
      <c r="O84" s="8">
        <f>L84*(ROUNDUP(I84/GiaDinh!$C$5-0.0005,0)-1)</f>
        <v/>
      </c>
      <c r="P84" s="8">
        <f>L84*J84</f>
        <v/>
      </c>
      <c r="Q84" s="8">
        <f>2*P84</f>
        <v/>
      </c>
      <c r="R84" s="8">
        <f>P84</f>
        <v/>
      </c>
      <c r="S84" s="14">
        <f>M84*GiaDinh!$C$7</f>
        <v/>
      </c>
    </row>
    <row r="85">
      <c r="A85" s="8" t="inlineStr">
        <is>
          <t>BÈ 2</t>
        </is>
      </c>
      <c r="B85" s="8" t="inlineStr">
        <is>
          <t>B2-29</t>
        </is>
      </c>
      <c r="C85" s="8" t="inlineStr">
        <is>
          <t>Dọc cạnh (hộp song song mép bè, cách mép 1 hàng phao)</t>
        </is>
      </c>
      <c r="D85" s="8" t="inlineStr">
        <is>
          <t>B2-D44a, B2-D44b</t>
        </is>
      </c>
      <c r="E85" s="8" t="n">
        <v>2</v>
      </c>
      <c r="F85" s="8" t="n">
        <v>146.8</v>
      </c>
      <c r="G85" s="13">
        <f>E85*F85*GiaDinh!$C$18*GiaDinh!$C$17</f>
        <v/>
      </c>
      <c r="H85" s="8">
        <f>GiaDinh!$C$21</f>
        <v/>
      </c>
      <c r="I85" s="8">
        <f>GiaDinh!$C$15</f>
        <v/>
      </c>
      <c r="J85" s="8">
        <f>ROUNDDOWN(I85/H85,0)+1</f>
        <v/>
      </c>
      <c r="K85" s="13">
        <f>J85*GiaDinh!$C$16</f>
        <v/>
      </c>
      <c r="L85" s="8">
        <f>MAX(1,ROUNDUP(G85/K85-0.0005,0))</f>
        <v/>
      </c>
      <c r="M85" s="13">
        <f>L85*I85</f>
        <v/>
      </c>
      <c r="N85" s="8">
        <f>L85*ROUNDUP(I85/GiaDinh!$C$5-0.0005,0)</f>
        <v/>
      </c>
      <c r="O85" s="8">
        <f>L85*(ROUNDUP(I85/GiaDinh!$C$5-0.0005,0)-1)</f>
        <v/>
      </c>
      <c r="P85" s="8">
        <f>L85*J85</f>
        <v/>
      </c>
      <c r="Q85" s="8">
        <f>2*P85</f>
        <v/>
      </c>
      <c r="R85" s="8">
        <f>P85</f>
        <v/>
      </c>
      <c r="S85" s="14">
        <f>M85*GiaDinh!$C$7</f>
        <v/>
      </c>
    </row>
    <row r="86">
      <c r="A86" s="8" t="inlineStr">
        <is>
          <t>BÈ 2</t>
        </is>
      </c>
      <c r="B86" s="8" t="inlineStr">
        <is>
          <t>B2-30</t>
        </is>
      </c>
      <c r="C86" s="8" t="inlineStr">
        <is>
          <t>Dọc cạnh (hộp song song mép bè, cách mép 1 hàng phao)</t>
        </is>
      </c>
      <c r="D86" s="8" t="inlineStr">
        <is>
          <t>B2-D45a, B2-D45b</t>
        </is>
      </c>
      <c r="E86" s="8" t="n">
        <v>2</v>
      </c>
      <c r="F86" s="8" t="n">
        <v>146.8</v>
      </c>
      <c r="G86" s="13">
        <f>E86*F86*GiaDinh!$C$18*GiaDinh!$C$17</f>
        <v/>
      </c>
      <c r="H86" s="8">
        <f>GiaDinh!$C$21</f>
        <v/>
      </c>
      <c r="I86" s="8">
        <f>GiaDinh!$C$15</f>
        <v/>
      </c>
      <c r="J86" s="8">
        <f>ROUNDDOWN(I86/H86,0)+1</f>
        <v/>
      </c>
      <c r="K86" s="13">
        <f>J86*GiaDinh!$C$16</f>
        <v/>
      </c>
      <c r="L86" s="8">
        <f>MAX(1,ROUNDUP(G86/K86-0.0005,0))</f>
        <v/>
      </c>
      <c r="M86" s="13">
        <f>L86*I86</f>
        <v/>
      </c>
      <c r="N86" s="8">
        <f>L86*ROUNDUP(I86/GiaDinh!$C$5-0.0005,0)</f>
        <v/>
      </c>
      <c r="O86" s="8">
        <f>L86*(ROUNDUP(I86/GiaDinh!$C$5-0.0005,0)-1)</f>
        <v/>
      </c>
      <c r="P86" s="8">
        <f>L86*J86</f>
        <v/>
      </c>
      <c r="Q86" s="8">
        <f>2*P86</f>
        <v/>
      </c>
      <c r="R86" s="8">
        <f>P86</f>
        <v/>
      </c>
      <c r="S86" s="14">
        <f>M86*GiaDinh!$C$7</f>
        <v/>
      </c>
    </row>
    <row r="87">
      <c r="A87" s="8" t="inlineStr">
        <is>
          <t>BÈ 2</t>
        </is>
      </c>
      <c r="B87" s="8" t="inlineStr">
        <is>
          <t>B2-31</t>
        </is>
      </c>
      <c r="C87" s="8" t="inlineStr">
        <is>
          <t>Dọc cạnh (hộp song song mép bè, cách mép 1 hàng phao)</t>
        </is>
      </c>
      <c r="D87" s="8" t="inlineStr">
        <is>
          <t>B2-D46a, B2-D46b</t>
        </is>
      </c>
      <c r="E87" s="8" t="n">
        <v>2</v>
      </c>
      <c r="F87" s="8" t="n">
        <v>146.8</v>
      </c>
      <c r="G87" s="13">
        <f>E87*F87*GiaDinh!$C$18*GiaDinh!$C$17</f>
        <v/>
      </c>
      <c r="H87" s="8">
        <f>GiaDinh!$C$21</f>
        <v/>
      </c>
      <c r="I87" s="8">
        <f>GiaDinh!$C$15</f>
        <v/>
      </c>
      <c r="J87" s="8">
        <f>ROUNDDOWN(I87/H87,0)+1</f>
        <v/>
      </c>
      <c r="K87" s="13">
        <f>J87*GiaDinh!$C$16</f>
        <v/>
      </c>
      <c r="L87" s="8">
        <f>MAX(1,ROUNDUP(G87/K87-0.0005,0))</f>
        <v/>
      </c>
      <c r="M87" s="13">
        <f>L87*I87</f>
        <v/>
      </c>
      <c r="N87" s="8">
        <f>L87*ROUNDUP(I87/GiaDinh!$C$5-0.0005,0)</f>
        <v/>
      </c>
      <c r="O87" s="8">
        <f>L87*(ROUNDUP(I87/GiaDinh!$C$5-0.0005,0)-1)</f>
        <v/>
      </c>
      <c r="P87" s="8">
        <f>L87*J87</f>
        <v/>
      </c>
      <c r="Q87" s="8">
        <f>2*P87</f>
        <v/>
      </c>
      <c r="R87" s="8">
        <f>P87</f>
        <v/>
      </c>
      <c r="S87" s="14">
        <f>M87*GiaDinh!$C$7</f>
        <v/>
      </c>
    </row>
    <row r="88">
      <c r="A88" s="8" t="inlineStr">
        <is>
          <t>BÈ 2</t>
        </is>
      </c>
      <c r="B88" s="8" t="inlineStr">
        <is>
          <t>B2-32</t>
        </is>
      </c>
      <c r="C88" s="8" t="inlineStr">
        <is>
          <t>Dọc cạnh (hộp song song mép bè, cách mép 1 hàng phao)</t>
        </is>
      </c>
      <c r="D88" s="8" t="inlineStr">
        <is>
          <t>B2-D47a, B2-D47b</t>
        </is>
      </c>
      <c r="E88" s="8" t="n">
        <v>2</v>
      </c>
      <c r="F88" s="8" t="n">
        <v>146.8</v>
      </c>
      <c r="G88" s="13">
        <f>E88*F88*GiaDinh!$C$18*GiaDinh!$C$17</f>
        <v/>
      </c>
      <c r="H88" s="8">
        <f>GiaDinh!$C$21</f>
        <v/>
      </c>
      <c r="I88" s="8">
        <f>GiaDinh!$C$15</f>
        <v/>
      </c>
      <c r="J88" s="8">
        <f>ROUNDDOWN(I88/H88,0)+1</f>
        <v/>
      </c>
      <c r="K88" s="13">
        <f>J88*GiaDinh!$C$16</f>
        <v/>
      </c>
      <c r="L88" s="8">
        <f>MAX(1,ROUNDUP(G88/K88-0.0005,0))</f>
        <v/>
      </c>
      <c r="M88" s="13">
        <f>L88*I88</f>
        <v/>
      </c>
      <c r="N88" s="8">
        <f>L88*ROUNDUP(I88/GiaDinh!$C$5-0.0005,0)</f>
        <v/>
      </c>
      <c r="O88" s="8">
        <f>L88*(ROUNDUP(I88/GiaDinh!$C$5-0.0005,0)-1)</f>
        <v/>
      </c>
      <c r="P88" s="8">
        <f>L88*J88</f>
        <v/>
      </c>
      <c r="Q88" s="8">
        <f>2*P88</f>
        <v/>
      </c>
      <c r="R88" s="8">
        <f>P88</f>
        <v/>
      </c>
      <c r="S88" s="14">
        <f>M88*GiaDinh!$C$7</f>
        <v/>
      </c>
    </row>
    <row r="89">
      <c r="A89" s="8" t="inlineStr">
        <is>
          <t>BÈ 2</t>
        </is>
      </c>
      <c r="B89" s="8" t="inlineStr">
        <is>
          <t>B2-33</t>
        </is>
      </c>
      <c r="C89" s="8" t="inlineStr">
        <is>
          <t>Dọc cạnh (hộp song song mép bè, cách mép 1 hàng phao)</t>
        </is>
      </c>
      <c r="D89" s="8" t="inlineStr">
        <is>
          <t>B2-D48a, B2-D48b</t>
        </is>
      </c>
      <c r="E89" s="8" t="n">
        <v>2</v>
      </c>
      <c r="F89" s="8" t="n">
        <v>146.8</v>
      </c>
      <c r="G89" s="13">
        <f>E89*F89*GiaDinh!$C$18*GiaDinh!$C$17</f>
        <v/>
      </c>
      <c r="H89" s="8">
        <f>GiaDinh!$C$21</f>
        <v/>
      </c>
      <c r="I89" s="8">
        <f>GiaDinh!$C$15</f>
        <v/>
      </c>
      <c r="J89" s="8">
        <f>ROUNDDOWN(I89/H89,0)+1</f>
        <v/>
      </c>
      <c r="K89" s="13">
        <f>J89*GiaDinh!$C$16</f>
        <v/>
      </c>
      <c r="L89" s="8">
        <f>MAX(1,ROUNDUP(G89/K89-0.0005,0))</f>
        <v/>
      </c>
      <c r="M89" s="13">
        <f>L89*I89</f>
        <v/>
      </c>
      <c r="N89" s="8">
        <f>L89*ROUNDUP(I89/GiaDinh!$C$5-0.0005,0)</f>
        <v/>
      </c>
      <c r="O89" s="8">
        <f>L89*(ROUNDUP(I89/GiaDinh!$C$5-0.0005,0)-1)</f>
        <v/>
      </c>
      <c r="P89" s="8">
        <f>L89*J89</f>
        <v/>
      </c>
      <c r="Q89" s="8">
        <f>2*P89</f>
        <v/>
      </c>
      <c r="R89" s="8">
        <f>P89</f>
        <v/>
      </c>
      <c r="S89" s="14">
        <f>M89*GiaDinh!$C$7</f>
        <v/>
      </c>
    </row>
    <row r="90">
      <c r="A90" s="8" t="inlineStr">
        <is>
          <t>BÈ 2</t>
        </is>
      </c>
      <c r="B90" s="8" t="inlineStr">
        <is>
          <t>B2-34</t>
        </is>
      </c>
      <c r="C90" s="8" t="inlineStr">
        <is>
          <t>Dọc cạnh (hộp song song mép bè, cách mép 1 hàng phao)</t>
        </is>
      </c>
      <c r="D90" s="8" t="inlineStr">
        <is>
          <t>B2-D49a, B2-D49b</t>
        </is>
      </c>
      <c r="E90" s="8" t="n">
        <v>2</v>
      </c>
      <c r="F90" s="8" t="n">
        <v>146.8</v>
      </c>
      <c r="G90" s="13">
        <f>E90*F90*GiaDinh!$C$18*GiaDinh!$C$17</f>
        <v/>
      </c>
      <c r="H90" s="8">
        <f>GiaDinh!$C$21</f>
        <v/>
      </c>
      <c r="I90" s="8">
        <f>GiaDinh!$C$15</f>
        <v/>
      </c>
      <c r="J90" s="8">
        <f>ROUNDDOWN(I90/H90,0)+1</f>
        <v/>
      </c>
      <c r="K90" s="13">
        <f>J90*GiaDinh!$C$16</f>
        <v/>
      </c>
      <c r="L90" s="8">
        <f>MAX(1,ROUNDUP(G90/K90-0.0005,0))</f>
        <v/>
      </c>
      <c r="M90" s="13">
        <f>L90*I90</f>
        <v/>
      </c>
      <c r="N90" s="8">
        <f>L90*ROUNDUP(I90/GiaDinh!$C$5-0.0005,0)</f>
        <v/>
      </c>
      <c r="O90" s="8">
        <f>L90*(ROUNDUP(I90/GiaDinh!$C$5-0.0005,0)-1)</f>
        <v/>
      </c>
      <c r="P90" s="8">
        <f>L90*J90</f>
        <v/>
      </c>
      <c r="Q90" s="8">
        <f>2*P90</f>
        <v/>
      </c>
      <c r="R90" s="8">
        <f>P90</f>
        <v/>
      </c>
      <c r="S90" s="14">
        <f>M90*GiaDinh!$C$7</f>
        <v/>
      </c>
    </row>
    <row r="91">
      <c r="A91" s="8" t="inlineStr">
        <is>
          <t>BÈ 2</t>
        </is>
      </c>
      <c r="B91" s="8" t="inlineStr">
        <is>
          <t>B2-35</t>
        </is>
      </c>
      <c r="C91" s="8" t="inlineStr">
        <is>
          <t>Dọc cạnh (hộp song song mép bè, cách mép 1 hàng phao)</t>
        </is>
      </c>
      <c r="D91" s="8" t="inlineStr">
        <is>
          <t>B2-D50a, B2-D50b</t>
        </is>
      </c>
      <c r="E91" s="8" t="n">
        <v>2</v>
      </c>
      <c r="F91" s="8" t="n">
        <v>146.8</v>
      </c>
      <c r="G91" s="13">
        <f>E91*F91*GiaDinh!$C$18*GiaDinh!$C$17</f>
        <v/>
      </c>
      <c r="H91" s="8">
        <f>GiaDinh!$C$21</f>
        <v/>
      </c>
      <c r="I91" s="8">
        <f>GiaDinh!$C$15</f>
        <v/>
      </c>
      <c r="J91" s="8">
        <f>ROUNDDOWN(I91/H91,0)+1</f>
        <v/>
      </c>
      <c r="K91" s="13">
        <f>J91*GiaDinh!$C$16</f>
        <v/>
      </c>
      <c r="L91" s="8">
        <f>MAX(1,ROUNDUP(G91/K91-0.0005,0))</f>
        <v/>
      </c>
      <c r="M91" s="13">
        <f>L91*I91</f>
        <v/>
      </c>
      <c r="N91" s="8">
        <f>L91*ROUNDUP(I91/GiaDinh!$C$5-0.0005,0)</f>
        <v/>
      </c>
      <c r="O91" s="8">
        <f>L91*(ROUNDUP(I91/GiaDinh!$C$5-0.0005,0)-1)</f>
        <v/>
      </c>
      <c r="P91" s="8">
        <f>L91*J91</f>
        <v/>
      </c>
      <c r="Q91" s="8">
        <f>2*P91</f>
        <v/>
      </c>
      <c r="R91" s="8">
        <f>P91</f>
        <v/>
      </c>
      <c r="S91" s="14">
        <f>M91*GiaDinh!$C$7</f>
        <v/>
      </c>
    </row>
    <row r="92">
      <c r="A92" s="8" t="inlineStr">
        <is>
          <t>BÈ 2</t>
        </is>
      </c>
      <c r="B92" s="8" t="inlineStr">
        <is>
          <t>B2-36</t>
        </is>
      </c>
      <c r="C92" s="8" t="inlineStr">
        <is>
          <t>Dọc cạnh (hộp song song mép bè, cách mép 1 hàng phao)</t>
        </is>
      </c>
      <c r="D92" s="8" t="inlineStr">
        <is>
          <t>B2-D51a, B2-D51b</t>
        </is>
      </c>
      <c r="E92" s="8" t="n">
        <v>2</v>
      </c>
      <c r="F92" s="8" t="n">
        <v>146.8</v>
      </c>
      <c r="G92" s="13">
        <f>E92*F92*GiaDinh!$C$18*GiaDinh!$C$17</f>
        <v/>
      </c>
      <c r="H92" s="8">
        <f>GiaDinh!$C$21</f>
        <v/>
      </c>
      <c r="I92" s="8">
        <f>GiaDinh!$C$15</f>
        <v/>
      </c>
      <c r="J92" s="8">
        <f>ROUNDDOWN(I92/H92,0)+1</f>
        <v/>
      </c>
      <c r="K92" s="13">
        <f>J92*GiaDinh!$C$16</f>
        <v/>
      </c>
      <c r="L92" s="8">
        <f>MAX(1,ROUNDUP(G92/K92-0.0005,0))</f>
        <v/>
      </c>
      <c r="M92" s="13">
        <f>L92*I92</f>
        <v/>
      </c>
      <c r="N92" s="8">
        <f>L92*ROUNDUP(I92/GiaDinh!$C$5-0.0005,0)</f>
        <v/>
      </c>
      <c r="O92" s="8">
        <f>L92*(ROUNDUP(I92/GiaDinh!$C$5-0.0005,0)-1)</f>
        <v/>
      </c>
      <c r="P92" s="8">
        <f>L92*J92</f>
        <v/>
      </c>
      <c r="Q92" s="8">
        <f>2*P92</f>
        <v/>
      </c>
      <c r="R92" s="8">
        <f>P92</f>
        <v/>
      </c>
      <c r="S92" s="14">
        <f>M92*GiaDinh!$C$7</f>
        <v/>
      </c>
    </row>
    <row r="93">
      <c r="A93" s="8" t="inlineStr">
        <is>
          <t>BÈ 2</t>
        </is>
      </c>
      <c r="B93" s="8" t="inlineStr">
        <is>
          <t>B2-37</t>
        </is>
      </c>
      <c r="C93" s="8" t="inlineStr">
        <is>
          <t>Dọc cạnh (hộp song song mép bè, cách mép 1 hàng phao)</t>
        </is>
      </c>
      <c r="D93" s="8" t="inlineStr">
        <is>
          <t>B2-D52a, B2-D52b</t>
        </is>
      </c>
      <c r="E93" s="8" t="n">
        <v>2</v>
      </c>
      <c r="F93" s="8" t="n">
        <v>146.8</v>
      </c>
      <c r="G93" s="13">
        <f>E93*F93*GiaDinh!$C$18*GiaDinh!$C$17</f>
        <v/>
      </c>
      <c r="H93" s="8">
        <f>GiaDinh!$C$21</f>
        <v/>
      </c>
      <c r="I93" s="8">
        <f>GiaDinh!$C$15</f>
        <v/>
      </c>
      <c r="J93" s="8">
        <f>ROUNDDOWN(I93/H93,0)+1</f>
        <v/>
      </c>
      <c r="K93" s="13">
        <f>J93*GiaDinh!$C$16</f>
        <v/>
      </c>
      <c r="L93" s="8">
        <f>MAX(1,ROUNDUP(G93/K93-0.0005,0))</f>
        <v/>
      </c>
      <c r="M93" s="13">
        <f>L93*I93</f>
        <v/>
      </c>
      <c r="N93" s="8">
        <f>L93*ROUNDUP(I93/GiaDinh!$C$5-0.0005,0)</f>
        <v/>
      </c>
      <c r="O93" s="8">
        <f>L93*(ROUNDUP(I93/GiaDinh!$C$5-0.0005,0)-1)</f>
        <v/>
      </c>
      <c r="P93" s="8">
        <f>L93*J93</f>
        <v/>
      </c>
      <c r="Q93" s="8">
        <f>2*P93</f>
        <v/>
      </c>
      <c r="R93" s="8">
        <f>P93</f>
        <v/>
      </c>
      <c r="S93" s="14">
        <f>M93*GiaDinh!$C$7</f>
        <v/>
      </c>
    </row>
    <row r="94">
      <c r="A94" s="8" t="inlineStr">
        <is>
          <t>BÈ 2</t>
        </is>
      </c>
      <c r="B94" s="8" t="inlineStr">
        <is>
          <t>B2-38</t>
        </is>
      </c>
      <c r="C94" s="8" t="inlineStr">
        <is>
          <t>Dọc cạnh (hộp song song mép bè, cách mép 1 hàng phao)</t>
        </is>
      </c>
      <c r="D94" s="8" t="inlineStr">
        <is>
          <t>B2-D53a, B2-D53b</t>
        </is>
      </c>
      <c r="E94" s="8" t="n">
        <v>2</v>
      </c>
      <c r="F94" s="8" t="n">
        <v>146.8</v>
      </c>
      <c r="G94" s="13">
        <f>E94*F94*GiaDinh!$C$18*GiaDinh!$C$17</f>
        <v/>
      </c>
      <c r="H94" s="8">
        <f>GiaDinh!$C$21</f>
        <v/>
      </c>
      <c r="I94" s="8">
        <f>GiaDinh!$C$15</f>
        <v/>
      </c>
      <c r="J94" s="8">
        <f>ROUNDDOWN(I94/H94,0)+1</f>
        <v/>
      </c>
      <c r="K94" s="13">
        <f>J94*GiaDinh!$C$16</f>
        <v/>
      </c>
      <c r="L94" s="8">
        <f>MAX(1,ROUNDUP(G94/K94-0.0005,0))</f>
        <v/>
      </c>
      <c r="M94" s="13">
        <f>L94*I94</f>
        <v/>
      </c>
      <c r="N94" s="8">
        <f>L94*ROUNDUP(I94/GiaDinh!$C$5-0.0005,0)</f>
        <v/>
      </c>
      <c r="O94" s="8">
        <f>L94*(ROUNDUP(I94/GiaDinh!$C$5-0.0005,0)-1)</f>
        <v/>
      </c>
      <c r="P94" s="8">
        <f>L94*J94</f>
        <v/>
      </c>
      <c r="Q94" s="8">
        <f>2*P94</f>
        <v/>
      </c>
      <c r="R94" s="8">
        <f>P94</f>
        <v/>
      </c>
      <c r="S94" s="14">
        <f>M94*GiaDinh!$C$7</f>
        <v/>
      </c>
    </row>
    <row r="95">
      <c r="A95" s="8" t="inlineStr">
        <is>
          <t>BÈ 2</t>
        </is>
      </c>
      <c r="B95" s="8" t="inlineStr">
        <is>
          <t>B2-39</t>
        </is>
      </c>
      <c r="C95" s="8" t="inlineStr">
        <is>
          <t>Dọc cạnh (hộp song song mép bè, cách mép 1 hàng phao)</t>
        </is>
      </c>
      <c r="D95" s="8" t="inlineStr">
        <is>
          <t>B2-D54a, B2-D54b</t>
        </is>
      </c>
      <c r="E95" s="8" t="n">
        <v>2</v>
      </c>
      <c r="F95" s="8" t="n">
        <v>146.8</v>
      </c>
      <c r="G95" s="13">
        <f>E95*F95*GiaDinh!$C$18*GiaDinh!$C$17</f>
        <v/>
      </c>
      <c r="H95" s="8">
        <f>GiaDinh!$C$21</f>
        <v/>
      </c>
      <c r="I95" s="8">
        <f>GiaDinh!$C$15</f>
        <v/>
      </c>
      <c r="J95" s="8">
        <f>ROUNDDOWN(I95/H95,0)+1</f>
        <v/>
      </c>
      <c r="K95" s="13">
        <f>J95*GiaDinh!$C$16</f>
        <v/>
      </c>
      <c r="L95" s="8">
        <f>MAX(1,ROUNDUP(G95/K95-0.0005,0))</f>
        <v/>
      </c>
      <c r="M95" s="13">
        <f>L95*I95</f>
        <v/>
      </c>
      <c r="N95" s="8">
        <f>L95*ROUNDUP(I95/GiaDinh!$C$5-0.0005,0)</f>
        <v/>
      </c>
      <c r="O95" s="8">
        <f>L95*(ROUNDUP(I95/GiaDinh!$C$5-0.0005,0)-1)</f>
        <v/>
      </c>
      <c r="P95" s="8">
        <f>L95*J95</f>
        <v/>
      </c>
      <c r="Q95" s="8">
        <f>2*P95</f>
        <v/>
      </c>
      <c r="R95" s="8">
        <f>P95</f>
        <v/>
      </c>
      <c r="S95" s="14">
        <f>M95*GiaDinh!$C$7</f>
        <v/>
      </c>
    </row>
    <row r="96">
      <c r="A96" s="8" t="inlineStr">
        <is>
          <t>BÈ 2</t>
        </is>
      </c>
      <c r="B96" s="8" t="inlineStr">
        <is>
          <t>B2-40</t>
        </is>
      </c>
      <c r="C96" s="8" t="inlineStr">
        <is>
          <t>Dọc cạnh (hộp song song mép bè, cách mép 1 hàng phao)</t>
        </is>
      </c>
      <c r="D96" s="8" t="inlineStr">
        <is>
          <t>B2-D55a, B2-D55b</t>
        </is>
      </c>
      <c r="E96" s="8" t="n">
        <v>2</v>
      </c>
      <c r="F96" s="8" t="n">
        <v>146.8</v>
      </c>
      <c r="G96" s="13">
        <f>E96*F96*GiaDinh!$C$18*GiaDinh!$C$17</f>
        <v/>
      </c>
      <c r="H96" s="8">
        <f>GiaDinh!$C$21</f>
        <v/>
      </c>
      <c r="I96" s="8">
        <f>GiaDinh!$C$15</f>
        <v/>
      </c>
      <c r="J96" s="8">
        <f>ROUNDDOWN(I96/H96,0)+1</f>
        <v/>
      </c>
      <c r="K96" s="13">
        <f>J96*GiaDinh!$C$16</f>
        <v/>
      </c>
      <c r="L96" s="8">
        <f>MAX(1,ROUNDUP(G96/K96-0.0005,0))</f>
        <v/>
      </c>
      <c r="M96" s="13">
        <f>L96*I96</f>
        <v/>
      </c>
      <c r="N96" s="8">
        <f>L96*ROUNDUP(I96/GiaDinh!$C$5-0.0005,0)</f>
        <v/>
      </c>
      <c r="O96" s="8">
        <f>L96*(ROUNDUP(I96/GiaDinh!$C$5-0.0005,0)-1)</f>
        <v/>
      </c>
      <c r="P96" s="8">
        <f>L96*J96</f>
        <v/>
      </c>
      <c r="Q96" s="8">
        <f>2*P96</f>
        <v/>
      </c>
      <c r="R96" s="8">
        <f>P96</f>
        <v/>
      </c>
      <c r="S96" s="14">
        <f>M96*GiaDinh!$C$7</f>
        <v/>
      </c>
    </row>
    <row r="97">
      <c r="A97" s="8" t="inlineStr">
        <is>
          <t>BÈ 2</t>
        </is>
      </c>
      <c r="B97" s="8" t="inlineStr">
        <is>
          <t>B2-41</t>
        </is>
      </c>
      <c r="C97" s="8" t="inlineStr">
        <is>
          <t>Dọc cạnh (hộp song song mép bè, cách mép 1 hàng phao)</t>
        </is>
      </c>
      <c r="D97" s="8" t="inlineStr">
        <is>
          <t>B2-D56a, B2-D56b</t>
        </is>
      </c>
      <c r="E97" s="8" t="n">
        <v>2</v>
      </c>
      <c r="F97" s="8" t="n">
        <v>146.8</v>
      </c>
      <c r="G97" s="13">
        <f>E97*F97*GiaDinh!$C$18*GiaDinh!$C$17</f>
        <v/>
      </c>
      <c r="H97" s="8">
        <f>GiaDinh!$C$21</f>
        <v/>
      </c>
      <c r="I97" s="8">
        <f>GiaDinh!$C$15</f>
        <v/>
      </c>
      <c r="J97" s="8">
        <f>ROUNDDOWN(I97/H97,0)+1</f>
        <v/>
      </c>
      <c r="K97" s="13">
        <f>J97*GiaDinh!$C$16</f>
        <v/>
      </c>
      <c r="L97" s="8">
        <f>MAX(1,ROUNDUP(G97/K97-0.0005,0))</f>
        <v/>
      </c>
      <c r="M97" s="13">
        <f>L97*I97</f>
        <v/>
      </c>
      <c r="N97" s="8">
        <f>L97*ROUNDUP(I97/GiaDinh!$C$5-0.0005,0)</f>
        <v/>
      </c>
      <c r="O97" s="8">
        <f>L97*(ROUNDUP(I97/GiaDinh!$C$5-0.0005,0)-1)</f>
        <v/>
      </c>
      <c r="P97" s="8">
        <f>L97*J97</f>
        <v/>
      </c>
      <c r="Q97" s="8">
        <f>2*P97</f>
        <v/>
      </c>
      <c r="R97" s="8">
        <f>P97</f>
        <v/>
      </c>
      <c r="S97" s="14">
        <f>M97*GiaDinh!$C$7</f>
        <v/>
      </c>
    </row>
    <row r="98">
      <c r="A98" s="8" t="inlineStr">
        <is>
          <t>BÈ 2</t>
        </is>
      </c>
      <c r="B98" s="8" t="inlineStr">
        <is>
          <t>B2-42</t>
        </is>
      </c>
      <c r="C98" s="8" t="inlineStr">
        <is>
          <t>Dọc cạnh (hộp song song mép bè, cách mép 1 hàng phao)</t>
        </is>
      </c>
      <c r="D98" s="8" t="inlineStr">
        <is>
          <t>B2-D57a, B2-D57b</t>
        </is>
      </c>
      <c r="E98" s="8" t="n">
        <v>2</v>
      </c>
      <c r="F98" s="8" t="n">
        <v>146.8</v>
      </c>
      <c r="G98" s="13">
        <f>E98*F98*GiaDinh!$C$18*GiaDinh!$C$17</f>
        <v/>
      </c>
      <c r="H98" s="8">
        <f>GiaDinh!$C$21</f>
        <v/>
      </c>
      <c r="I98" s="8">
        <f>GiaDinh!$C$15</f>
        <v/>
      </c>
      <c r="J98" s="8">
        <f>ROUNDDOWN(I98/H98,0)+1</f>
        <v/>
      </c>
      <c r="K98" s="13">
        <f>J98*GiaDinh!$C$16</f>
        <v/>
      </c>
      <c r="L98" s="8">
        <f>MAX(1,ROUNDUP(G98/K98-0.0005,0))</f>
        <v/>
      </c>
      <c r="M98" s="13">
        <f>L98*I98</f>
        <v/>
      </c>
      <c r="N98" s="8">
        <f>L98*ROUNDUP(I98/GiaDinh!$C$5-0.0005,0)</f>
        <v/>
      </c>
      <c r="O98" s="8">
        <f>L98*(ROUNDUP(I98/GiaDinh!$C$5-0.0005,0)-1)</f>
        <v/>
      </c>
      <c r="P98" s="8">
        <f>L98*J98</f>
        <v/>
      </c>
      <c r="Q98" s="8">
        <f>2*P98</f>
        <v/>
      </c>
      <c r="R98" s="8">
        <f>P98</f>
        <v/>
      </c>
      <c r="S98" s="14">
        <f>M98*GiaDinh!$C$7</f>
        <v/>
      </c>
    </row>
    <row r="99">
      <c r="A99" s="8" t="inlineStr">
        <is>
          <t>BÈ 2</t>
        </is>
      </c>
      <c r="B99" s="8" t="inlineStr">
        <is>
          <t>B2-43</t>
        </is>
      </c>
      <c r="C99" s="8" t="inlineStr">
        <is>
          <t>Dọc cạnh (hộp song song mép bè, cách mép 1 hàng phao)</t>
        </is>
      </c>
      <c r="D99" s="8" t="inlineStr">
        <is>
          <t>B2-D58a, B2-D58b</t>
        </is>
      </c>
      <c r="E99" s="8" t="n">
        <v>2</v>
      </c>
      <c r="F99" s="8" t="n">
        <v>146.8</v>
      </c>
      <c r="G99" s="13">
        <f>E99*F99*GiaDinh!$C$18*GiaDinh!$C$17</f>
        <v/>
      </c>
      <c r="H99" s="8">
        <f>GiaDinh!$C$21</f>
        <v/>
      </c>
      <c r="I99" s="8">
        <f>GiaDinh!$C$15</f>
        <v/>
      </c>
      <c r="J99" s="8">
        <f>ROUNDDOWN(I99/H99,0)+1</f>
        <v/>
      </c>
      <c r="K99" s="13">
        <f>J99*GiaDinh!$C$16</f>
        <v/>
      </c>
      <c r="L99" s="8">
        <f>MAX(1,ROUNDUP(G99/K99-0.0005,0))</f>
        <v/>
      </c>
      <c r="M99" s="13">
        <f>L99*I99</f>
        <v/>
      </c>
      <c r="N99" s="8">
        <f>L99*ROUNDUP(I99/GiaDinh!$C$5-0.0005,0)</f>
        <v/>
      </c>
      <c r="O99" s="8">
        <f>L99*(ROUNDUP(I99/GiaDinh!$C$5-0.0005,0)-1)</f>
        <v/>
      </c>
      <c r="P99" s="8">
        <f>L99*J99</f>
        <v/>
      </c>
      <c r="Q99" s="8">
        <f>2*P99</f>
        <v/>
      </c>
      <c r="R99" s="8">
        <f>P99</f>
        <v/>
      </c>
      <c r="S99" s="14">
        <f>M99*GiaDinh!$C$7</f>
        <v/>
      </c>
    </row>
    <row r="100">
      <c r="A100" s="8" t="inlineStr">
        <is>
          <t>BÈ 2</t>
        </is>
      </c>
      <c r="B100" s="8" t="inlineStr">
        <is>
          <t>B2-44</t>
        </is>
      </c>
      <c r="C100" s="8" t="inlineStr">
        <is>
          <t>Dọc cạnh (hộp song song mép bè, cách mép 1 hàng phao)</t>
        </is>
      </c>
      <c r="D100" s="8" t="inlineStr">
        <is>
          <t>B2-D59a, B2-D59b</t>
        </is>
      </c>
      <c r="E100" s="8" t="n">
        <v>2</v>
      </c>
      <c r="F100" s="8" t="n">
        <v>146.8</v>
      </c>
      <c r="G100" s="13">
        <f>E100*F100*GiaDinh!$C$18*GiaDinh!$C$17</f>
        <v/>
      </c>
      <c r="H100" s="8">
        <f>GiaDinh!$C$21</f>
        <v/>
      </c>
      <c r="I100" s="8">
        <f>GiaDinh!$C$15</f>
        <v/>
      </c>
      <c r="J100" s="8">
        <f>ROUNDDOWN(I100/H100,0)+1</f>
        <v/>
      </c>
      <c r="K100" s="13">
        <f>J100*GiaDinh!$C$16</f>
        <v/>
      </c>
      <c r="L100" s="8">
        <f>MAX(1,ROUNDUP(G100/K100-0.0005,0))</f>
        <v/>
      </c>
      <c r="M100" s="13">
        <f>L100*I100</f>
        <v/>
      </c>
      <c r="N100" s="8">
        <f>L100*ROUNDUP(I100/GiaDinh!$C$5-0.0005,0)</f>
        <v/>
      </c>
      <c r="O100" s="8">
        <f>L100*(ROUNDUP(I100/GiaDinh!$C$5-0.0005,0)-1)</f>
        <v/>
      </c>
      <c r="P100" s="8">
        <f>L100*J100</f>
        <v/>
      </c>
      <c r="Q100" s="8">
        <f>2*P100</f>
        <v/>
      </c>
      <c r="R100" s="8">
        <f>P100</f>
        <v/>
      </c>
      <c r="S100" s="14">
        <f>M100*GiaDinh!$C$7</f>
        <v/>
      </c>
    </row>
    <row r="101">
      <c r="A101" s="8" t="inlineStr">
        <is>
          <t>BÈ 2</t>
        </is>
      </c>
      <c r="B101" s="8" t="inlineStr">
        <is>
          <t>B2-45</t>
        </is>
      </c>
      <c r="C101" s="8" t="inlineStr">
        <is>
          <t>Dọc cạnh (hộp song song mép bè, cách mép 1 hàng phao)</t>
        </is>
      </c>
      <c r="D101" s="8" t="inlineStr">
        <is>
          <t>B2-D60a, B2-D60b</t>
        </is>
      </c>
      <c r="E101" s="8" t="n">
        <v>2</v>
      </c>
      <c r="F101" s="8" t="n">
        <v>146.8</v>
      </c>
      <c r="G101" s="13">
        <f>E101*F101*GiaDinh!$C$18*GiaDinh!$C$17</f>
        <v/>
      </c>
      <c r="H101" s="8">
        <f>GiaDinh!$C$21</f>
        <v/>
      </c>
      <c r="I101" s="8">
        <f>GiaDinh!$C$15</f>
        <v/>
      </c>
      <c r="J101" s="8">
        <f>ROUNDDOWN(I101/H101,0)+1</f>
        <v/>
      </c>
      <c r="K101" s="13">
        <f>J101*GiaDinh!$C$16</f>
        <v/>
      </c>
      <c r="L101" s="8">
        <f>MAX(1,ROUNDUP(G101/K101-0.0005,0))</f>
        <v/>
      </c>
      <c r="M101" s="13">
        <f>L101*I101</f>
        <v/>
      </c>
      <c r="N101" s="8">
        <f>L101*ROUNDUP(I101/GiaDinh!$C$5-0.0005,0)</f>
        <v/>
      </c>
      <c r="O101" s="8">
        <f>L101*(ROUNDUP(I101/GiaDinh!$C$5-0.0005,0)-1)</f>
        <v/>
      </c>
      <c r="P101" s="8">
        <f>L101*J101</f>
        <v/>
      </c>
      <c r="Q101" s="8">
        <f>2*P101</f>
        <v/>
      </c>
      <c r="R101" s="8">
        <f>P101</f>
        <v/>
      </c>
      <c r="S101" s="14">
        <f>M101*GiaDinh!$C$7</f>
        <v/>
      </c>
    </row>
    <row r="102">
      <c r="A102" s="8" t="inlineStr">
        <is>
          <t>BÈ 2</t>
        </is>
      </c>
      <c r="B102" s="8" t="inlineStr">
        <is>
          <t>B2-46</t>
        </is>
      </c>
      <c r="C102" s="8" t="inlineStr">
        <is>
          <t>Dọc cạnh (hộp song song mép bè, cách mép 1 hàng phao)</t>
        </is>
      </c>
      <c r="D102" s="8" t="inlineStr">
        <is>
          <t>B2-D61a, B2-D61b, B2-D78a, B2-D78b</t>
        </is>
      </c>
      <c r="E102" s="8" t="n">
        <v>4</v>
      </c>
      <c r="F102" s="8" t="n">
        <v>146.8</v>
      </c>
      <c r="G102" s="13">
        <f>E102*F102*GiaDinh!$C$18*GiaDinh!$C$17</f>
        <v/>
      </c>
      <c r="H102" s="8">
        <f>GiaDinh!$C$21</f>
        <v/>
      </c>
      <c r="I102" s="8">
        <f>GiaDinh!$C$15</f>
        <v/>
      </c>
      <c r="J102" s="8">
        <f>ROUNDDOWN(I102/H102,0)+1</f>
        <v/>
      </c>
      <c r="K102" s="13">
        <f>J102*GiaDinh!$C$16</f>
        <v/>
      </c>
      <c r="L102" s="8">
        <f>MAX(1,ROUNDUP(G102/K102-0.0005,0))</f>
        <v/>
      </c>
      <c r="M102" s="13">
        <f>L102*I102</f>
        <v/>
      </c>
      <c r="N102" s="8">
        <f>L102*ROUNDUP(I102/GiaDinh!$C$5-0.0005,0)</f>
        <v/>
      </c>
      <c r="O102" s="8">
        <f>L102*(ROUNDUP(I102/GiaDinh!$C$5-0.0005,0)-1)</f>
        <v/>
      </c>
      <c r="P102" s="8">
        <f>L102*J102</f>
        <v/>
      </c>
      <c r="Q102" s="8">
        <f>2*P102</f>
        <v/>
      </c>
      <c r="R102" s="8">
        <f>P102</f>
        <v/>
      </c>
      <c r="S102" s="14">
        <f>M102*GiaDinh!$C$7</f>
        <v/>
      </c>
    </row>
    <row r="103">
      <c r="A103" s="8" t="inlineStr">
        <is>
          <t>BÈ 2</t>
        </is>
      </c>
      <c r="B103" s="8" t="inlineStr">
        <is>
          <t>B2-47</t>
        </is>
      </c>
      <c r="C103" s="8" t="inlineStr">
        <is>
          <t>Dọc cạnh (hộp song song mép bè, cách mép 1 hàng phao)</t>
        </is>
      </c>
      <c r="D103" s="8" t="inlineStr">
        <is>
          <t>B2-D63a, B2-D63b, B2-D28a</t>
        </is>
      </c>
      <c r="E103" s="8" t="n">
        <v>3</v>
      </c>
      <c r="F103" s="8" t="n">
        <v>146.8</v>
      </c>
      <c r="G103" s="13">
        <f>E103*F103*GiaDinh!$C$18*GiaDinh!$C$17</f>
        <v/>
      </c>
      <c r="H103" s="8">
        <f>GiaDinh!$C$21</f>
        <v/>
      </c>
      <c r="I103" s="8">
        <f>GiaDinh!$C$15</f>
        <v/>
      </c>
      <c r="J103" s="8">
        <f>ROUNDDOWN(I103/H103,0)+1</f>
        <v/>
      </c>
      <c r="K103" s="13">
        <f>J103*GiaDinh!$C$16</f>
        <v/>
      </c>
      <c r="L103" s="8">
        <f>MAX(1,ROUNDUP(G103/K103-0.0005,0))</f>
        <v/>
      </c>
      <c r="M103" s="13">
        <f>L103*I103</f>
        <v/>
      </c>
      <c r="N103" s="8">
        <f>L103*ROUNDUP(I103/GiaDinh!$C$5-0.0005,0)</f>
        <v/>
      </c>
      <c r="O103" s="8">
        <f>L103*(ROUNDUP(I103/GiaDinh!$C$5-0.0005,0)-1)</f>
        <v/>
      </c>
      <c r="P103" s="8">
        <f>L103*J103</f>
        <v/>
      </c>
      <c r="Q103" s="8">
        <f>2*P103</f>
        <v/>
      </c>
      <c r="R103" s="8">
        <f>P103</f>
        <v/>
      </c>
      <c r="S103" s="14">
        <f>M103*GiaDinh!$C$7</f>
        <v/>
      </c>
    </row>
    <row r="104">
      <c r="A104" s="8" t="inlineStr">
        <is>
          <t>BÈ 2</t>
        </is>
      </c>
      <c r="B104" s="8" t="inlineStr">
        <is>
          <t>B2-48</t>
        </is>
      </c>
      <c r="C104" s="8" t="inlineStr">
        <is>
          <t>Dọc cạnh (hộp song song mép bè, cách mép 1 hàng phao)</t>
        </is>
      </c>
      <c r="D104" s="8" t="inlineStr">
        <is>
          <t>B2-D28b, B2-D29a, B2-D29b</t>
        </is>
      </c>
      <c r="E104" s="8" t="n">
        <v>3</v>
      </c>
      <c r="F104" s="8" t="n">
        <v>146.8</v>
      </c>
      <c r="G104" s="13">
        <f>E104*F104*GiaDinh!$C$18*GiaDinh!$C$17</f>
        <v/>
      </c>
      <c r="H104" s="8">
        <f>GiaDinh!$C$21</f>
        <v/>
      </c>
      <c r="I104" s="8">
        <f>GiaDinh!$C$15</f>
        <v/>
      </c>
      <c r="J104" s="8">
        <f>ROUNDDOWN(I104/H104,0)+1</f>
        <v/>
      </c>
      <c r="K104" s="13">
        <f>J104*GiaDinh!$C$16</f>
        <v/>
      </c>
      <c r="L104" s="8">
        <f>MAX(1,ROUNDUP(G104/K104-0.0005,0))</f>
        <v/>
      </c>
      <c r="M104" s="13">
        <f>L104*I104</f>
        <v/>
      </c>
      <c r="N104" s="8">
        <f>L104*ROUNDUP(I104/GiaDinh!$C$5-0.0005,0)</f>
        <v/>
      </c>
      <c r="O104" s="8">
        <f>L104*(ROUNDUP(I104/GiaDinh!$C$5-0.0005,0)-1)</f>
        <v/>
      </c>
      <c r="P104" s="8">
        <f>L104*J104</f>
        <v/>
      </c>
      <c r="Q104" s="8">
        <f>2*P104</f>
        <v/>
      </c>
      <c r="R104" s="8">
        <f>P104</f>
        <v/>
      </c>
      <c r="S104" s="14">
        <f>M104*GiaDinh!$C$7</f>
        <v/>
      </c>
    </row>
    <row r="105">
      <c r="A105" s="8" t="inlineStr">
        <is>
          <t>BÈ 2</t>
        </is>
      </c>
      <c r="B105" s="8" t="inlineStr">
        <is>
          <t>B2-49</t>
        </is>
      </c>
      <c r="C105" s="8" t="inlineStr">
        <is>
          <t>Dọc cạnh (hộp song song mép bè, cách mép 1 hàng phao)</t>
        </is>
      </c>
      <c r="D105" s="8" t="inlineStr">
        <is>
          <t>B2-D30a, B2-D30b, B2-D31a</t>
        </is>
      </c>
      <c r="E105" s="8" t="n">
        <v>3</v>
      </c>
      <c r="F105" s="8" t="n">
        <v>146.8</v>
      </c>
      <c r="G105" s="13">
        <f>E105*F105*GiaDinh!$C$18*GiaDinh!$C$17</f>
        <v/>
      </c>
      <c r="H105" s="8">
        <f>GiaDinh!$C$21</f>
        <v/>
      </c>
      <c r="I105" s="8">
        <f>GiaDinh!$C$15</f>
        <v/>
      </c>
      <c r="J105" s="8">
        <f>ROUNDDOWN(I105/H105,0)+1</f>
        <v/>
      </c>
      <c r="K105" s="13">
        <f>J105*GiaDinh!$C$16</f>
        <v/>
      </c>
      <c r="L105" s="8">
        <f>MAX(1,ROUNDUP(G105/K105-0.0005,0))</f>
        <v/>
      </c>
      <c r="M105" s="13">
        <f>L105*I105</f>
        <v/>
      </c>
      <c r="N105" s="8">
        <f>L105*ROUNDUP(I105/GiaDinh!$C$5-0.0005,0)</f>
        <v/>
      </c>
      <c r="O105" s="8">
        <f>L105*(ROUNDUP(I105/GiaDinh!$C$5-0.0005,0)-1)</f>
        <v/>
      </c>
      <c r="P105" s="8">
        <f>L105*J105</f>
        <v/>
      </c>
      <c r="Q105" s="8">
        <f>2*P105</f>
        <v/>
      </c>
      <c r="R105" s="8">
        <f>P105</f>
        <v/>
      </c>
      <c r="S105" s="14">
        <f>M105*GiaDinh!$C$7</f>
        <v/>
      </c>
    </row>
    <row r="106">
      <c r="A106" s="8" t="inlineStr">
        <is>
          <t>BÈ 2</t>
        </is>
      </c>
      <c r="B106" s="8" t="inlineStr">
        <is>
          <t>B2-50</t>
        </is>
      </c>
      <c r="C106" s="8" t="inlineStr">
        <is>
          <t>Dọc cạnh (hộp song song mép bè, cách mép 1 hàng phao)</t>
        </is>
      </c>
      <c r="D106" s="8" t="inlineStr">
        <is>
          <t>B2-D31b, B2-D66a, B2-D66b</t>
        </is>
      </c>
      <c r="E106" s="8" t="n">
        <v>3</v>
      </c>
      <c r="F106" s="8" t="n">
        <v>146.8</v>
      </c>
      <c r="G106" s="13">
        <f>E106*F106*GiaDinh!$C$18*GiaDinh!$C$17</f>
        <v/>
      </c>
      <c r="H106" s="8">
        <f>GiaDinh!$C$21</f>
        <v/>
      </c>
      <c r="I106" s="8">
        <f>GiaDinh!$C$15</f>
        <v/>
      </c>
      <c r="J106" s="8">
        <f>ROUNDDOWN(I106/H106,0)+1</f>
        <v/>
      </c>
      <c r="K106" s="13">
        <f>J106*GiaDinh!$C$16</f>
        <v/>
      </c>
      <c r="L106" s="8">
        <f>MAX(1,ROUNDUP(G106/K106-0.0005,0))</f>
        <v/>
      </c>
      <c r="M106" s="13">
        <f>L106*I106</f>
        <v/>
      </c>
      <c r="N106" s="8">
        <f>L106*ROUNDUP(I106/GiaDinh!$C$5-0.0005,0)</f>
        <v/>
      </c>
      <c r="O106" s="8">
        <f>L106*(ROUNDUP(I106/GiaDinh!$C$5-0.0005,0)-1)</f>
        <v/>
      </c>
      <c r="P106" s="8">
        <f>L106*J106</f>
        <v/>
      </c>
      <c r="Q106" s="8">
        <f>2*P106</f>
        <v/>
      </c>
      <c r="R106" s="8">
        <f>P106</f>
        <v/>
      </c>
      <c r="S106" s="14">
        <f>M106*GiaDinh!$C$7</f>
        <v/>
      </c>
    </row>
    <row r="107">
      <c r="A107" s="8" t="inlineStr">
        <is>
          <t>BÈ 2</t>
        </is>
      </c>
      <c r="B107" s="8" t="inlineStr">
        <is>
          <t>B2-51</t>
        </is>
      </c>
      <c r="C107" s="8" t="inlineStr">
        <is>
          <t>Dọc cạnh (hộp song song mép bè, cách mép 1 hàng phao)</t>
        </is>
      </c>
      <c r="D107" s="8" t="inlineStr">
        <is>
          <t>B2-D67a, B2-D67b</t>
        </is>
      </c>
      <c r="E107" s="8" t="n">
        <v>2</v>
      </c>
      <c r="F107" s="8" t="n">
        <v>146.8</v>
      </c>
      <c r="G107" s="13">
        <f>E107*F107*GiaDinh!$C$18*GiaDinh!$C$17</f>
        <v/>
      </c>
      <c r="H107" s="8">
        <f>GiaDinh!$C$21</f>
        <v/>
      </c>
      <c r="I107" s="8">
        <f>GiaDinh!$C$15</f>
        <v/>
      </c>
      <c r="J107" s="8">
        <f>ROUNDDOWN(I107/H107,0)+1</f>
        <v/>
      </c>
      <c r="K107" s="13">
        <f>J107*GiaDinh!$C$16</f>
        <v/>
      </c>
      <c r="L107" s="8">
        <f>MAX(1,ROUNDUP(G107/K107-0.0005,0))</f>
        <v/>
      </c>
      <c r="M107" s="13">
        <f>L107*I107</f>
        <v/>
      </c>
      <c r="N107" s="8">
        <f>L107*ROUNDUP(I107/GiaDinh!$C$5-0.0005,0)</f>
        <v/>
      </c>
      <c r="O107" s="8">
        <f>L107*(ROUNDUP(I107/GiaDinh!$C$5-0.0005,0)-1)</f>
        <v/>
      </c>
      <c r="P107" s="8">
        <f>L107*J107</f>
        <v/>
      </c>
      <c r="Q107" s="8">
        <f>2*P107</f>
        <v/>
      </c>
      <c r="R107" s="8">
        <f>P107</f>
        <v/>
      </c>
      <c r="S107" s="14">
        <f>M107*GiaDinh!$C$7</f>
        <v/>
      </c>
    </row>
    <row r="108">
      <c r="A108" s="8" t="inlineStr">
        <is>
          <t>BÈ 2</t>
        </is>
      </c>
      <c r="B108" s="8" t="inlineStr">
        <is>
          <t>B2-52</t>
        </is>
      </c>
      <c r="C108" s="8" t="inlineStr">
        <is>
          <t>Vuông góc cạnh (hộp chạy từ mép vào trong, cùng phương lực dây)</t>
        </is>
      </c>
      <c r="D108" s="8" t="inlineStr">
        <is>
          <t>B2-D12a</t>
        </is>
      </c>
      <c r="E108" s="8" t="n">
        <v>1</v>
      </c>
      <c r="F108" s="8" t="n">
        <v>146.8</v>
      </c>
      <c r="G108" s="13">
        <f>E108*F108*GiaDinh!$C$18*GiaDinh!$C$17</f>
        <v/>
      </c>
      <c r="H108" s="8">
        <f>GiaDinh!$C$21</f>
        <v/>
      </c>
      <c r="I108" s="8">
        <f>GiaDinh!$C$15</f>
        <v/>
      </c>
      <c r="J108" s="8">
        <f>ROUNDDOWN(I108/H108,0)+1</f>
        <v/>
      </c>
      <c r="K108" s="13">
        <f>J108*GiaDinh!$C$16</f>
        <v/>
      </c>
      <c r="L108" s="8">
        <f>MAX(1,ROUNDUP(G108/K108-0.0005,0))</f>
        <v/>
      </c>
      <c r="M108" s="13">
        <f>L108*I108</f>
        <v/>
      </c>
      <c r="N108" s="8">
        <f>L108*ROUNDUP(I108/GiaDinh!$C$5-0.0005,0)</f>
        <v/>
      </c>
      <c r="O108" s="8">
        <f>L108*(ROUNDUP(I108/GiaDinh!$C$5-0.0005,0)-1)</f>
        <v/>
      </c>
      <c r="P108" s="8">
        <f>L108*J108</f>
        <v/>
      </c>
      <c r="Q108" s="8">
        <f>2*P108</f>
        <v/>
      </c>
      <c r="R108" s="8">
        <f>P108</f>
        <v/>
      </c>
      <c r="S108" s="14">
        <f>M108*GiaDinh!$C$7</f>
        <v/>
      </c>
    </row>
    <row r="109">
      <c r="A109" s="8" t="inlineStr">
        <is>
          <t>BÈ 2</t>
        </is>
      </c>
      <c r="B109" s="8" t="inlineStr">
        <is>
          <t>B2-53</t>
        </is>
      </c>
      <c r="C109" s="8" t="inlineStr">
        <is>
          <t>Vuông góc cạnh (hộp chạy từ mép vào trong, cùng phương lực dây)</t>
        </is>
      </c>
      <c r="D109" s="8" t="inlineStr">
        <is>
          <t>B2-D12b</t>
        </is>
      </c>
      <c r="E109" s="8" t="n">
        <v>1</v>
      </c>
      <c r="F109" s="8" t="n">
        <v>146.8</v>
      </c>
      <c r="G109" s="13">
        <f>E109*F109*GiaDinh!$C$18*GiaDinh!$C$17</f>
        <v/>
      </c>
      <c r="H109" s="8">
        <f>GiaDinh!$C$21</f>
        <v/>
      </c>
      <c r="I109" s="8">
        <f>GiaDinh!$C$15</f>
        <v/>
      </c>
      <c r="J109" s="8">
        <f>ROUNDDOWN(I109/H109,0)+1</f>
        <v/>
      </c>
      <c r="K109" s="13">
        <f>J109*GiaDinh!$C$16</f>
        <v/>
      </c>
      <c r="L109" s="8">
        <f>MAX(1,ROUNDUP(G109/K109-0.0005,0))</f>
        <v/>
      </c>
      <c r="M109" s="13">
        <f>L109*I109</f>
        <v/>
      </c>
      <c r="N109" s="8">
        <f>L109*ROUNDUP(I109/GiaDinh!$C$5-0.0005,0)</f>
        <v/>
      </c>
      <c r="O109" s="8">
        <f>L109*(ROUNDUP(I109/GiaDinh!$C$5-0.0005,0)-1)</f>
        <v/>
      </c>
      <c r="P109" s="8">
        <f>L109*J109</f>
        <v/>
      </c>
      <c r="Q109" s="8">
        <f>2*P109</f>
        <v/>
      </c>
      <c r="R109" s="8">
        <f>P109</f>
        <v/>
      </c>
      <c r="S109" s="14">
        <f>M109*GiaDinh!$C$7</f>
        <v/>
      </c>
    </row>
    <row r="110">
      <c r="A110" s="8" t="inlineStr">
        <is>
          <t>BÈ 2</t>
        </is>
      </c>
      <c r="B110" s="8" t="inlineStr">
        <is>
          <t>B2-54</t>
        </is>
      </c>
      <c r="C110" s="8" t="inlineStr">
        <is>
          <t>Vuông góc cạnh (hộp chạy từ mép vào trong, cùng phương lực dây)</t>
        </is>
      </c>
      <c r="D110" s="8" t="inlineStr">
        <is>
          <t>B2-D13a</t>
        </is>
      </c>
      <c r="E110" s="8" t="n">
        <v>1</v>
      </c>
      <c r="F110" s="8" t="n">
        <v>146.8</v>
      </c>
      <c r="G110" s="13">
        <f>E110*F110*GiaDinh!$C$18*GiaDinh!$C$17</f>
        <v/>
      </c>
      <c r="H110" s="8">
        <f>GiaDinh!$C$21</f>
        <v/>
      </c>
      <c r="I110" s="8">
        <f>GiaDinh!$C$15</f>
        <v/>
      </c>
      <c r="J110" s="8">
        <f>ROUNDDOWN(I110/H110,0)+1</f>
        <v/>
      </c>
      <c r="K110" s="13">
        <f>J110*GiaDinh!$C$16</f>
        <v/>
      </c>
      <c r="L110" s="8">
        <f>MAX(1,ROUNDUP(G110/K110-0.0005,0))</f>
        <v/>
      </c>
      <c r="M110" s="13">
        <f>L110*I110</f>
        <v/>
      </c>
      <c r="N110" s="8">
        <f>L110*ROUNDUP(I110/GiaDinh!$C$5-0.0005,0)</f>
        <v/>
      </c>
      <c r="O110" s="8">
        <f>L110*(ROUNDUP(I110/GiaDinh!$C$5-0.0005,0)-1)</f>
        <v/>
      </c>
      <c r="P110" s="8">
        <f>L110*J110</f>
        <v/>
      </c>
      <c r="Q110" s="8">
        <f>2*P110</f>
        <v/>
      </c>
      <c r="R110" s="8">
        <f>P110</f>
        <v/>
      </c>
      <c r="S110" s="14">
        <f>M110*GiaDinh!$C$7</f>
        <v/>
      </c>
    </row>
    <row r="111">
      <c r="A111" s="8" t="inlineStr">
        <is>
          <t>BÈ 2</t>
        </is>
      </c>
      <c r="B111" s="8" t="inlineStr">
        <is>
          <t>B2-55</t>
        </is>
      </c>
      <c r="C111" s="8" t="inlineStr">
        <is>
          <t>Vuông góc cạnh (hộp chạy từ mép vào trong, cùng phương lực dây)</t>
        </is>
      </c>
      <c r="D111" s="8" t="inlineStr">
        <is>
          <t>B2-D13b</t>
        </is>
      </c>
      <c r="E111" s="8" t="n">
        <v>1</v>
      </c>
      <c r="F111" s="8" t="n">
        <v>146.8</v>
      </c>
      <c r="G111" s="13">
        <f>E111*F111*GiaDinh!$C$18*GiaDinh!$C$17</f>
        <v/>
      </c>
      <c r="H111" s="8">
        <f>GiaDinh!$C$21</f>
        <v/>
      </c>
      <c r="I111" s="8">
        <f>GiaDinh!$C$15</f>
        <v/>
      </c>
      <c r="J111" s="8">
        <f>ROUNDDOWN(I111/H111,0)+1</f>
        <v/>
      </c>
      <c r="K111" s="13">
        <f>J111*GiaDinh!$C$16</f>
        <v/>
      </c>
      <c r="L111" s="8">
        <f>MAX(1,ROUNDUP(G111/K111-0.0005,0))</f>
        <v/>
      </c>
      <c r="M111" s="13">
        <f>L111*I111</f>
        <v/>
      </c>
      <c r="N111" s="8">
        <f>L111*ROUNDUP(I111/GiaDinh!$C$5-0.0005,0)</f>
        <v/>
      </c>
      <c r="O111" s="8">
        <f>L111*(ROUNDUP(I111/GiaDinh!$C$5-0.0005,0)-1)</f>
        <v/>
      </c>
      <c r="P111" s="8">
        <f>L111*J111</f>
        <v/>
      </c>
      <c r="Q111" s="8">
        <f>2*P111</f>
        <v/>
      </c>
      <c r="R111" s="8">
        <f>P111</f>
        <v/>
      </c>
      <c r="S111" s="14">
        <f>M111*GiaDinh!$C$7</f>
        <v/>
      </c>
    </row>
    <row r="112">
      <c r="A112" s="8" t="inlineStr">
        <is>
          <t>BÈ 2</t>
        </is>
      </c>
      <c r="B112" s="8" t="inlineStr">
        <is>
          <t>B2-56</t>
        </is>
      </c>
      <c r="C112" s="8" t="inlineStr">
        <is>
          <t>Vuông góc cạnh (hộp chạy từ mép vào trong, cùng phương lực dây)</t>
        </is>
      </c>
      <c r="D112" s="8" t="inlineStr">
        <is>
          <t>B2-D32a</t>
        </is>
      </c>
      <c r="E112" s="8" t="n">
        <v>1</v>
      </c>
      <c r="F112" s="8" t="n">
        <v>146.8</v>
      </c>
      <c r="G112" s="13">
        <f>E112*F112*GiaDinh!$C$18*GiaDinh!$C$17</f>
        <v/>
      </c>
      <c r="H112" s="8">
        <f>GiaDinh!$C$21</f>
        <v/>
      </c>
      <c r="I112" s="8">
        <f>GiaDinh!$C$15</f>
        <v/>
      </c>
      <c r="J112" s="8">
        <f>ROUNDDOWN(I112/H112,0)+1</f>
        <v/>
      </c>
      <c r="K112" s="13">
        <f>J112*GiaDinh!$C$16</f>
        <v/>
      </c>
      <c r="L112" s="8">
        <f>MAX(1,ROUNDUP(G112/K112-0.0005,0))</f>
        <v/>
      </c>
      <c r="M112" s="13">
        <f>L112*I112</f>
        <v/>
      </c>
      <c r="N112" s="8">
        <f>L112*ROUNDUP(I112/GiaDinh!$C$5-0.0005,0)</f>
        <v/>
      </c>
      <c r="O112" s="8">
        <f>L112*(ROUNDUP(I112/GiaDinh!$C$5-0.0005,0)-1)</f>
        <v/>
      </c>
      <c r="P112" s="8">
        <f>L112*J112</f>
        <v/>
      </c>
      <c r="Q112" s="8">
        <f>2*P112</f>
        <v/>
      </c>
      <c r="R112" s="8">
        <f>P112</f>
        <v/>
      </c>
      <c r="S112" s="14">
        <f>M112*GiaDinh!$C$7</f>
        <v/>
      </c>
    </row>
    <row r="113">
      <c r="A113" s="8" t="inlineStr">
        <is>
          <t>BÈ 2</t>
        </is>
      </c>
      <c r="B113" s="8" t="inlineStr">
        <is>
          <t>B2-57</t>
        </is>
      </c>
      <c r="C113" s="8" t="inlineStr">
        <is>
          <t>Vuông góc cạnh (hộp chạy từ mép vào trong, cùng phương lực dây)</t>
        </is>
      </c>
      <c r="D113" s="8" t="inlineStr">
        <is>
          <t>B2-D32b</t>
        </is>
      </c>
      <c r="E113" s="8" t="n">
        <v>1</v>
      </c>
      <c r="F113" s="8" t="n">
        <v>146.8</v>
      </c>
      <c r="G113" s="13">
        <f>E113*F113*GiaDinh!$C$18*GiaDinh!$C$17</f>
        <v/>
      </c>
      <c r="H113" s="8">
        <f>GiaDinh!$C$21</f>
        <v/>
      </c>
      <c r="I113" s="8">
        <f>GiaDinh!$C$15</f>
        <v/>
      </c>
      <c r="J113" s="8">
        <f>ROUNDDOWN(I113/H113,0)+1</f>
        <v/>
      </c>
      <c r="K113" s="13">
        <f>J113*GiaDinh!$C$16</f>
        <v/>
      </c>
      <c r="L113" s="8">
        <f>MAX(1,ROUNDUP(G113/K113-0.0005,0))</f>
        <v/>
      </c>
      <c r="M113" s="13">
        <f>L113*I113</f>
        <v/>
      </c>
      <c r="N113" s="8">
        <f>L113*ROUNDUP(I113/GiaDinh!$C$5-0.0005,0)</f>
        <v/>
      </c>
      <c r="O113" s="8">
        <f>L113*(ROUNDUP(I113/GiaDinh!$C$5-0.0005,0)-1)</f>
        <v/>
      </c>
      <c r="P113" s="8">
        <f>L113*J113</f>
        <v/>
      </c>
      <c r="Q113" s="8">
        <f>2*P113</f>
        <v/>
      </c>
      <c r="R113" s="8">
        <f>P113</f>
        <v/>
      </c>
      <c r="S113" s="14">
        <f>M113*GiaDinh!$C$7</f>
        <v/>
      </c>
    </row>
    <row r="114">
      <c r="A114" s="8" t="inlineStr">
        <is>
          <t>BÈ 2</t>
        </is>
      </c>
      <c r="B114" s="8" t="inlineStr">
        <is>
          <t>B2-58</t>
        </is>
      </c>
      <c r="C114" s="8" t="inlineStr">
        <is>
          <t>Vuông góc cạnh (hộp chạy từ mép vào trong, cùng phương lực dây)</t>
        </is>
      </c>
      <c r="D114" s="8" t="inlineStr">
        <is>
          <t>B2-D33a</t>
        </is>
      </c>
      <c r="E114" s="8" t="n">
        <v>1</v>
      </c>
      <c r="F114" s="8" t="n">
        <v>146.8</v>
      </c>
      <c r="G114" s="13">
        <f>E114*F114*GiaDinh!$C$18*GiaDinh!$C$17</f>
        <v/>
      </c>
      <c r="H114" s="8">
        <f>GiaDinh!$C$21</f>
        <v/>
      </c>
      <c r="I114" s="8">
        <f>GiaDinh!$C$15</f>
        <v/>
      </c>
      <c r="J114" s="8">
        <f>ROUNDDOWN(I114/H114,0)+1</f>
        <v/>
      </c>
      <c r="K114" s="13">
        <f>J114*GiaDinh!$C$16</f>
        <v/>
      </c>
      <c r="L114" s="8">
        <f>MAX(1,ROUNDUP(G114/K114-0.0005,0))</f>
        <v/>
      </c>
      <c r="M114" s="13">
        <f>L114*I114</f>
        <v/>
      </c>
      <c r="N114" s="8">
        <f>L114*ROUNDUP(I114/GiaDinh!$C$5-0.0005,0)</f>
        <v/>
      </c>
      <c r="O114" s="8">
        <f>L114*(ROUNDUP(I114/GiaDinh!$C$5-0.0005,0)-1)</f>
        <v/>
      </c>
      <c r="P114" s="8">
        <f>L114*J114</f>
        <v/>
      </c>
      <c r="Q114" s="8">
        <f>2*P114</f>
        <v/>
      </c>
      <c r="R114" s="8">
        <f>P114</f>
        <v/>
      </c>
      <c r="S114" s="14">
        <f>M114*GiaDinh!$C$7</f>
        <v/>
      </c>
    </row>
    <row r="115">
      <c r="A115" s="8" t="inlineStr">
        <is>
          <t>BÈ 2</t>
        </is>
      </c>
      <c r="B115" s="8" t="inlineStr">
        <is>
          <t>B2-59</t>
        </is>
      </c>
      <c r="C115" s="8" t="inlineStr">
        <is>
          <t>Vuông góc cạnh (hộp chạy từ mép vào trong, cùng phương lực dây)</t>
        </is>
      </c>
      <c r="D115" s="8" t="inlineStr">
        <is>
          <t>B2-D33b</t>
        </is>
      </c>
      <c r="E115" s="8" t="n">
        <v>1</v>
      </c>
      <c r="F115" s="8" t="n">
        <v>146.8</v>
      </c>
      <c r="G115" s="13">
        <f>E115*F115*GiaDinh!$C$18*GiaDinh!$C$17</f>
        <v/>
      </c>
      <c r="H115" s="8">
        <f>GiaDinh!$C$21</f>
        <v/>
      </c>
      <c r="I115" s="8">
        <f>GiaDinh!$C$15</f>
        <v/>
      </c>
      <c r="J115" s="8">
        <f>ROUNDDOWN(I115/H115,0)+1</f>
        <v/>
      </c>
      <c r="K115" s="13">
        <f>J115*GiaDinh!$C$16</f>
        <v/>
      </c>
      <c r="L115" s="8">
        <f>MAX(1,ROUNDUP(G115/K115-0.0005,0))</f>
        <v/>
      </c>
      <c r="M115" s="13">
        <f>L115*I115</f>
        <v/>
      </c>
      <c r="N115" s="8">
        <f>L115*ROUNDUP(I115/GiaDinh!$C$5-0.0005,0)</f>
        <v/>
      </c>
      <c r="O115" s="8">
        <f>L115*(ROUNDUP(I115/GiaDinh!$C$5-0.0005,0)-1)</f>
        <v/>
      </c>
      <c r="P115" s="8">
        <f>L115*J115</f>
        <v/>
      </c>
      <c r="Q115" s="8">
        <f>2*P115</f>
        <v/>
      </c>
      <c r="R115" s="8">
        <f>P115</f>
        <v/>
      </c>
      <c r="S115" s="14">
        <f>M115*GiaDinh!$C$7</f>
        <v/>
      </c>
    </row>
    <row r="116">
      <c r="A116" s="8" t="inlineStr">
        <is>
          <t>BÈ 2</t>
        </is>
      </c>
      <c r="B116" s="8" t="inlineStr">
        <is>
          <t>B2-60</t>
        </is>
      </c>
      <c r="C116" s="8" t="inlineStr">
        <is>
          <t>Vuông góc cạnh (hộp chạy từ mép vào trong, cùng phương lực dây)</t>
        </is>
      </c>
      <c r="D116" s="8" t="inlineStr">
        <is>
          <t>B2-D37a</t>
        </is>
      </c>
      <c r="E116" s="8" t="n">
        <v>1</v>
      </c>
      <c r="F116" s="8" t="n">
        <v>146.8</v>
      </c>
      <c r="G116" s="13">
        <f>E116*F116*GiaDinh!$C$18*GiaDinh!$C$17</f>
        <v/>
      </c>
      <c r="H116" s="8">
        <f>GiaDinh!$C$21</f>
        <v/>
      </c>
      <c r="I116" s="8">
        <f>GiaDinh!$C$15</f>
        <v/>
      </c>
      <c r="J116" s="8">
        <f>ROUNDDOWN(I116/H116,0)+1</f>
        <v/>
      </c>
      <c r="K116" s="13">
        <f>J116*GiaDinh!$C$16</f>
        <v/>
      </c>
      <c r="L116" s="8">
        <f>MAX(1,ROUNDUP(G116/K116-0.0005,0))</f>
        <v/>
      </c>
      <c r="M116" s="13">
        <f>L116*I116</f>
        <v/>
      </c>
      <c r="N116" s="8">
        <f>L116*ROUNDUP(I116/GiaDinh!$C$5-0.0005,0)</f>
        <v/>
      </c>
      <c r="O116" s="8">
        <f>L116*(ROUNDUP(I116/GiaDinh!$C$5-0.0005,0)-1)</f>
        <v/>
      </c>
      <c r="P116" s="8">
        <f>L116*J116</f>
        <v/>
      </c>
      <c r="Q116" s="8">
        <f>2*P116</f>
        <v/>
      </c>
      <c r="R116" s="8">
        <f>P116</f>
        <v/>
      </c>
      <c r="S116" s="14">
        <f>M116*GiaDinh!$C$7</f>
        <v/>
      </c>
    </row>
    <row r="117">
      <c r="A117" s="8" t="inlineStr">
        <is>
          <t>BÈ 2</t>
        </is>
      </c>
      <c r="B117" s="8" t="inlineStr">
        <is>
          <t>B2-61</t>
        </is>
      </c>
      <c r="C117" s="8" t="inlineStr">
        <is>
          <t>Vuông góc cạnh (hộp chạy từ mép vào trong, cùng phương lực dây)</t>
        </is>
      </c>
      <c r="D117" s="8" t="inlineStr">
        <is>
          <t>B2-D37b</t>
        </is>
      </c>
      <c r="E117" s="8" t="n">
        <v>1</v>
      </c>
      <c r="F117" s="8" t="n">
        <v>146.8</v>
      </c>
      <c r="G117" s="13">
        <f>E117*F117*GiaDinh!$C$18*GiaDinh!$C$17</f>
        <v/>
      </c>
      <c r="H117" s="8">
        <f>GiaDinh!$C$21</f>
        <v/>
      </c>
      <c r="I117" s="8">
        <f>GiaDinh!$C$15</f>
        <v/>
      </c>
      <c r="J117" s="8">
        <f>ROUNDDOWN(I117/H117,0)+1</f>
        <v/>
      </c>
      <c r="K117" s="13">
        <f>J117*GiaDinh!$C$16</f>
        <v/>
      </c>
      <c r="L117" s="8">
        <f>MAX(1,ROUNDUP(G117/K117-0.0005,0))</f>
        <v/>
      </c>
      <c r="M117" s="13">
        <f>L117*I117</f>
        <v/>
      </c>
      <c r="N117" s="8">
        <f>L117*ROUNDUP(I117/GiaDinh!$C$5-0.0005,0)</f>
        <v/>
      </c>
      <c r="O117" s="8">
        <f>L117*(ROUNDUP(I117/GiaDinh!$C$5-0.0005,0)-1)</f>
        <v/>
      </c>
      <c r="P117" s="8">
        <f>L117*J117</f>
        <v/>
      </c>
      <c r="Q117" s="8">
        <f>2*P117</f>
        <v/>
      </c>
      <c r="R117" s="8">
        <f>P117</f>
        <v/>
      </c>
      <c r="S117" s="14">
        <f>M117*GiaDinh!$C$7</f>
        <v/>
      </c>
    </row>
    <row r="118">
      <c r="A118" s="8" t="inlineStr">
        <is>
          <t>BÈ 2</t>
        </is>
      </c>
      <c r="B118" s="8" t="inlineStr">
        <is>
          <t>B2-62</t>
        </is>
      </c>
      <c r="C118" s="8" t="inlineStr">
        <is>
          <t>Vuông góc cạnh (hộp chạy từ mép vào trong, cùng phương lực dây)</t>
        </is>
      </c>
      <c r="D118" s="8" t="inlineStr">
        <is>
          <t>B2-D38a</t>
        </is>
      </c>
      <c r="E118" s="8" t="n">
        <v>1</v>
      </c>
      <c r="F118" s="8" t="n">
        <v>146.8</v>
      </c>
      <c r="G118" s="13">
        <f>E118*F118*GiaDinh!$C$18*GiaDinh!$C$17</f>
        <v/>
      </c>
      <c r="H118" s="8">
        <f>GiaDinh!$C$21</f>
        <v/>
      </c>
      <c r="I118" s="8">
        <f>GiaDinh!$C$15</f>
        <v/>
      </c>
      <c r="J118" s="8">
        <f>ROUNDDOWN(I118/H118,0)+1</f>
        <v/>
      </c>
      <c r="K118" s="13">
        <f>J118*GiaDinh!$C$16</f>
        <v/>
      </c>
      <c r="L118" s="8">
        <f>MAX(1,ROUNDUP(G118/K118-0.0005,0))</f>
        <v/>
      </c>
      <c r="M118" s="13">
        <f>L118*I118</f>
        <v/>
      </c>
      <c r="N118" s="8">
        <f>L118*ROUNDUP(I118/GiaDinh!$C$5-0.0005,0)</f>
        <v/>
      </c>
      <c r="O118" s="8">
        <f>L118*(ROUNDUP(I118/GiaDinh!$C$5-0.0005,0)-1)</f>
        <v/>
      </c>
      <c r="P118" s="8">
        <f>L118*J118</f>
        <v/>
      </c>
      <c r="Q118" s="8">
        <f>2*P118</f>
        <v/>
      </c>
      <c r="R118" s="8">
        <f>P118</f>
        <v/>
      </c>
      <c r="S118" s="14">
        <f>M118*GiaDinh!$C$7</f>
        <v/>
      </c>
    </row>
    <row r="119">
      <c r="A119" s="8" t="inlineStr">
        <is>
          <t>BÈ 2</t>
        </is>
      </c>
      <c r="B119" s="8" t="inlineStr">
        <is>
          <t>B2-63</t>
        </is>
      </c>
      <c r="C119" s="8" t="inlineStr">
        <is>
          <t>Vuông góc cạnh (hộp chạy từ mép vào trong, cùng phương lực dây)</t>
        </is>
      </c>
      <c r="D119" s="8" t="inlineStr">
        <is>
          <t>B2-D38b</t>
        </is>
      </c>
      <c r="E119" s="8" t="n">
        <v>1</v>
      </c>
      <c r="F119" s="8" t="n">
        <v>146.8</v>
      </c>
      <c r="G119" s="13">
        <f>E119*F119*GiaDinh!$C$18*GiaDinh!$C$17</f>
        <v/>
      </c>
      <c r="H119" s="8">
        <f>GiaDinh!$C$21</f>
        <v/>
      </c>
      <c r="I119" s="8">
        <f>GiaDinh!$C$15</f>
        <v/>
      </c>
      <c r="J119" s="8">
        <f>ROUNDDOWN(I119/H119,0)+1</f>
        <v/>
      </c>
      <c r="K119" s="13">
        <f>J119*GiaDinh!$C$16</f>
        <v/>
      </c>
      <c r="L119" s="8">
        <f>MAX(1,ROUNDUP(G119/K119-0.0005,0))</f>
        <v/>
      </c>
      <c r="M119" s="13">
        <f>L119*I119</f>
        <v/>
      </c>
      <c r="N119" s="8">
        <f>L119*ROUNDUP(I119/GiaDinh!$C$5-0.0005,0)</f>
        <v/>
      </c>
      <c r="O119" s="8">
        <f>L119*(ROUNDUP(I119/GiaDinh!$C$5-0.0005,0)-1)</f>
        <v/>
      </c>
      <c r="P119" s="8">
        <f>L119*J119</f>
        <v/>
      </c>
      <c r="Q119" s="8">
        <f>2*P119</f>
        <v/>
      </c>
      <c r="R119" s="8">
        <f>P119</f>
        <v/>
      </c>
      <c r="S119" s="14">
        <f>M119*GiaDinh!$C$7</f>
        <v/>
      </c>
    </row>
    <row r="120">
      <c r="A120" s="8" t="inlineStr">
        <is>
          <t>BÈ 2</t>
        </is>
      </c>
      <c r="B120" s="8" t="inlineStr">
        <is>
          <t>B2-64</t>
        </is>
      </c>
      <c r="C120" s="8" t="inlineStr">
        <is>
          <t>Vuông góc cạnh (hộp chạy từ mép vào trong, cùng phương lực dây)</t>
        </is>
      </c>
      <c r="D120" s="8" t="inlineStr">
        <is>
          <t>B2-D39a</t>
        </is>
      </c>
      <c r="E120" s="8" t="n">
        <v>1</v>
      </c>
      <c r="F120" s="8" t="n">
        <v>146.8</v>
      </c>
      <c r="G120" s="13">
        <f>E120*F120*GiaDinh!$C$18*GiaDinh!$C$17</f>
        <v/>
      </c>
      <c r="H120" s="8">
        <f>GiaDinh!$C$21</f>
        <v/>
      </c>
      <c r="I120" s="8">
        <f>GiaDinh!$C$15</f>
        <v/>
      </c>
      <c r="J120" s="8">
        <f>ROUNDDOWN(I120/H120,0)+1</f>
        <v/>
      </c>
      <c r="K120" s="13">
        <f>J120*GiaDinh!$C$16</f>
        <v/>
      </c>
      <c r="L120" s="8">
        <f>MAX(1,ROUNDUP(G120/K120-0.0005,0))</f>
        <v/>
      </c>
      <c r="M120" s="13">
        <f>L120*I120</f>
        <v/>
      </c>
      <c r="N120" s="8">
        <f>L120*ROUNDUP(I120/GiaDinh!$C$5-0.0005,0)</f>
        <v/>
      </c>
      <c r="O120" s="8">
        <f>L120*(ROUNDUP(I120/GiaDinh!$C$5-0.0005,0)-1)</f>
        <v/>
      </c>
      <c r="P120" s="8">
        <f>L120*J120</f>
        <v/>
      </c>
      <c r="Q120" s="8">
        <f>2*P120</f>
        <v/>
      </c>
      <c r="R120" s="8">
        <f>P120</f>
        <v/>
      </c>
      <c r="S120" s="14">
        <f>M120*GiaDinh!$C$7</f>
        <v/>
      </c>
    </row>
    <row r="121">
      <c r="A121" s="8" t="inlineStr">
        <is>
          <t>BÈ 2</t>
        </is>
      </c>
      <c r="B121" s="8" t="inlineStr">
        <is>
          <t>B2-65</t>
        </is>
      </c>
      <c r="C121" s="8" t="inlineStr">
        <is>
          <t>Vuông góc cạnh (hộp chạy từ mép vào trong, cùng phương lực dây)</t>
        </is>
      </c>
      <c r="D121" s="8" t="inlineStr">
        <is>
          <t>B2-D39b</t>
        </is>
      </c>
      <c r="E121" s="8" t="n">
        <v>1</v>
      </c>
      <c r="F121" s="8" t="n">
        <v>146.8</v>
      </c>
      <c r="G121" s="13">
        <f>E121*F121*GiaDinh!$C$18*GiaDinh!$C$17</f>
        <v/>
      </c>
      <c r="H121" s="8">
        <f>GiaDinh!$C$21</f>
        <v/>
      </c>
      <c r="I121" s="8">
        <f>GiaDinh!$C$15</f>
        <v/>
      </c>
      <c r="J121" s="8">
        <f>ROUNDDOWN(I121/H121,0)+1</f>
        <v/>
      </c>
      <c r="K121" s="13">
        <f>J121*GiaDinh!$C$16</f>
        <v/>
      </c>
      <c r="L121" s="8">
        <f>MAX(1,ROUNDUP(G121/K121-0.0005,0))</f>
        <v/>
      </c>
      <c r="M121" s="13">
        <f>L121*I121</f>
        <v/>
      </c>
      <c r="N121" s="8">
        <f>L121*ROUNDUP(I121/GiaDinh!$C$5-0.0005,0)</f>
        <v/>
      </c>
      <c r="O121" s="8">
        <f>L121*(ROUNDUP(I121/GiaDinh!$C$5-0.0005,0)-1)</f>
        <v/>
      </c>
      <c r="P121" s="8">
        <f>L121*J121</f>
        <v/>
      </c>
      <c r="Q121" s="8">
        <f>2*P121</f>
        <v/>
      </c>
      <c r="R121" s="8">
        <f>P121</f>
        <v/>
      </c>
      <c r="S121" s="14">
        <f>M121*GiaDinh!$C$7</f>
        <v/>
      </c>
    </row>
    <row r="122">
      <c r="A122" s="8" t="inlineStr">
        <is>
          <t>BÈ 2</t>
        </is>
      </c>
      <c r="B122" s="8" t="inlineStr">
        <is>
          <t>B2-66</t>
        </is>
      </c>
      <c r="C122" s="8" t="inlineStr">
        <is>
          <t>Vuông góc cạnh (hộp chạy từ mép vào trong, cùng phương lực dây)</t>
        </is>
      </c>
      <c r="D122" s="8" t="inlineStr">
        <is>
          <t>B2-D40a</t>
        </is>
      </c>
      <c r="E122" s="8" t="n">
        <v>1</v>
      </c>
      <c r="F122" s="8" t="n">
        <v>146.8</v>
      </c>
      <c r="G122" s="13">
        <f>E122*F122*GiaDinh!$C$18*GiaDinh!$C$17</f>
        <v/>
      </c>
      <c r="H122" s="8">
        <f>GiaDinh!$C$21</f>
        <v/>
      </c>
      <c r="I122" s="8">
        <f>GiaDinh!$C$15</f>
        <v/>
      </c>
      <c r="J122" s="8">
        <f>ROUNDDOWN(I122/H122,0)+1</f>
        <v/>
      </c>
      <c r="K122" s="13">
        <f>J122*GiaDinh!$C$16</f>
        <v/>
      </c>
      <c r="L122" s="8">
        <f>MAX(1,ROUNDUP(G122/K122-0.0005,0))</f>
        <v/>
      </c>
      <c r="M122" s="13">
        <f>L122*I122</f>
        <v/>
      </c>
      <c r="N122" s="8">
        <f>L122*ROUNDUP(I122/GiaDinh!$C$5-0.0005,0)</f>
        <v/>
      </c>
      <c r="O122" s="8">
        <f>L122*(ROUNDUP(I122/GiaDinh!$C$5-0.0005,0)-1)</f>
        <v/>
      </c>
      <c r="P122" s="8">
        <f>L122*J122</f>
        <v/>
      </c>
      <c r="Q122" s="8">
        <f>2*P122</f>
        <v/>
      </c>
      <c r="R122" s="8">
        <f>P122</f>
        <v/>
      </c>
      <c r="S122" s="14">
        <f>M122*GiaDinh!$C$7</f>
        <v/>
      </c>
    </row>
    <row r="123">
      <c r="A123" s="8" t="inlineStr">
        <is>
          <t>BÈ 2</t>
        </is>
      </c>
      <c r="B123" s="8" t="inlineStr">
        <is>
          <t>B2-67</t>
        </is>
      </c>
      <c r="C123" s="8" t="inlineStr">
        <is>
          <t>Vuông góc cạnh (hộp chạy từ mép vào trong, cùng phương lực dây)</t>
        </is>
      </c>
      <c r="D123" s="8" t="inlineStr">
        <is>
          <t>B2-D40b</t>
        </is>
      </c>
      <c r="E123" s="8" t="n">
        <v>1</v>
      </c>
      <c r="F123" s="8" t="n">
        <v>146.8</v>
      </c>
      <c r="G123" s="13">
        <f>E123*F123*GiaDinh!$C$18*GiaDinh!$C$17</f>
        <v/>
      </c>
      <c r="H123" s="8">
        <f>GiaDinh!$C$21</f>
        <v/>
      </c>
      <c r="I123" s="8">
        <f>GiaDinh!$C$15</f>
        <v/>
      </c>
      <c r="J123" s="8">
        <f>ROUNDDOWN(I123/H123,0)+1</f>
        <v/>
      </c>
      <c r="K123" s="13">
        <f>J123*GiaDinh!$C$16</f>
        <v/>
      </c>
      <c r="L123" s="8">
        <f>MAX(1,ROUNDUP(G123/K123-0.0005,0))</f>
        <v/>
      </c>
      <c r="M123" s="13">
        <f>L123*I123</f>
        <v/>
      </c>
      <c r="N123" s="8">
        <f>L123*ROUNDUP(I123/GiaDinh!$C$5-0.0005,0)</f>
        <v/>
      </c>
      <c r="O123" s="8">
        <f>L123*(ROUNDUP(I123/GiaDinh!$C$5-0.0005,0)-1)</f>
        <v/>
      </c>
      <c r="P123" s="8">
        <f>L123*J123</f>
        <v/>
      </c>
      <c r="Q123" s="8">
        <f>2*P123</f>
        <v/>
      </c>
      <c r="R123" s="8">
        <f>P123</f>
        <v/>
      </c>
      <c r="S123" s="14">
        <f>M123*GiaDinh!$C$7</f>
        <v/>
      </c>
    </row>
    <row r="124">
      <c r="A124" s="8" t="inlineStr">
        <is>
          <t>BÈ 2</t>
        </is>
      </c>
      <c r="B124" s="8" t="inlineStr">
        <is>
          <t>B2-68</t>
        </is>
      </c>
      <c r="C124" s="8" t="inlineStr">
        <is>
          <t>Vuông góc cạnh (hộp chạy từ mép vào trong, cùng phương lực dây)</t>
        </is>
      </c>
      <c r="D124" s="8" t="inlineStr">
        <is>
          <t>B2-D41a</t>
        </is>
      </c>
      <c r="E124" s="8" t="n">
        <v>1</v>
      </c>
      <c r="F124" s="8" t="n">
        <v>146.8</v>
      </c>
      <c r="G124" s="13">
        <f>E124*F124*GiaDinh!$C$18*GiaDinh!$C$17</f>
        <v/>
      </c>
      <c r="H124" s="8">
        <f>GiaDinh!$C$21</f>
        <v/>
      </c>
      <c r="I124" s="8">
        <f>GiaDinh!$C$15</f>
        <v/>
      </c>
      <c r="J124" s="8">
        <f>ROUNDDOWN(I124/H124,0)+1</f>
        <v/>
      </c>
      <c r="K124" s="13">
        <f>J124*GiaDinh!$C$16</f>
        <v/>
      </c>
      <c r="L124" s="8">
        <f>MAX(1,ROUNDUP(G124/K124-0.0005,0))</f>
        <v/>
      </c>
      <c r="M124" s="13">
        <f>L124*I124</f>
        <v/>
      </c>
      <c r="N124" s="8">
        <f>L124*ROUNDUP(I124/GiaDinh!$C$5-0.0005,0)</f>
        <v/>
      </c>
      <c r="O124" s="8">
        <f>L124*(ROUNDUP(I124/GiaDinh!$C$5-0.0005,0)-1)</f>
        <v/>
      </c>
      <c r="P124" s="8">
        <f>L124*J124</f>
        <v/>
      </c>
      <c r="Q124" s="8">
        <f>2*P124</f>
        <v/>
      </c>
      <c r="R124" s="8">
        <f>P124</f>
        <v/>
      </c>
      <c r="S124" s="14">
        <f>M124*GiaDinh!$C$7</f>
        <v/>
      </c>
    </row>
    <row r="125">
      <c r="A125" s="8" t="inlineStr">
        <is>
          <t>BÈ 2</t>
        </is>
      </c>
      <c r="B125" s="8" t="inlineStr">
        <is>
          <t>B2-69</t>
        </is>
      </c>
      <c r="C125" s="8" t="inlineStr">
        <is>
          <t>Vuông góc cạnh (hộp chạy từ mép vào trong, cùng phương lực dây)</t>
        </is>
      </c>
      <c r="D125" s="8" t="inlineStr">
        <is>
          <t>B2-D41b</t>
        </is>
      </c>
      <c r="E125" s="8" t="n">
        <v>1</v>
      </c>
      <c r="F125" s="8" t="n">
        <v>146.8</v>
      </c>
      <c r="G125" s="13">
        <f>E125*F125*GiaDinh!$C$18*GiaDinh!$C$17</f>
        <v/>
      </c>
      <c r="H125" s="8">
        <f>GiaDinh!$C$21</f>
        <v/>
      </c>
      <c r="I125" s="8">
        <f>GiaDinh!$C$15</f>
        <v/>
      </c>
      <c r="J125" s="8">
        <f>ROUNDDOWN(I125/H125,0)+1</f>
        <v/>
      </c>
      <c r="K125" s="13">
        <f>J125*GiaDinh!$C$16</f>
        <v/>
      </c>
      <c r="L125" s="8">
        <f>MAX(1,ROUNDUP(G125/K125-0.0005,0))</f>
        <v/>
      </c>
      <c r="M125" s="13">
        <f>L125*I125</f>
        <v/>
      </c>
      <c r="N125" s="8">
        <f>L125*ROUNDUP(I125/GiaDinh!$C$5-0.0005,0)</f>
        <v/>
      </c>
      <c r="O125" s="8">
        <f>L125*(ROUNDUP(I125/GiaDinh!$C$5-0.0005,0)-1)</f>
        <v/>
      </c>
      <c r="P125" s="8">
        <f>L125*J125</f>
        <v/>
      </c>
      <c r="Q125" s="8">
        <f>2*P125</f>
        <v/>
      </c>
      <c r="R125" s="8">
        <f>P125</f>
        <v/>
      </c>
      <c r="S125" s="14">
        <f>M125*GiaDinh!$C$7</f>
        <v/>
      </c>
    </row>
    <row r="126">
      <c r="A126" s="8" t="inlineStr">
        <is>
          <t>BÈ 2</t>
        </is>
      </c>
      <c r="B126" s="8" t="inlineStr">
        <is>
          <t>B2-70</t>
        </is>
      </c>
      <c r="C126" s="8" t="inlineStr">
        <is>
          <t>Vuông góc cạnh (hộp chạy từ mép vào trong, cùng phương lực dây)</t>
        </is>
      </c>
      <c r="D126" s="8" t="inlineStr">
        <is>
          <t>B2-D62a</t>
        </is>
      </c>
      <c r="E126" s="8" t="n">
        <v>1</v>
      </c>
      <c r="F126" s="8" t="n">
        <v>146.8</v>
      </c>
      <c r="G126" s="13">
        <f>E126*F126*GiaDinh!$C$18*GiaDinh!$C$17</f>
        <v/>
      </c>
      <c r="H126" s="8">
        <f>GiaDinh!$C$21</f>
        <v/>
      </c>
      <c r="I126" s="8">
        <f>GiaDinh!$C$15</f>
        <v/>
      </c>
      <c r="J126" s="8">
        <f>ROUNDDOWN(I126/H126,0)+1</f>
        <v/>
      </c>
      <c r="K126" s="13">
        <f>J126*GiaDinh!$C$16</f>
        <v/>
      </c>
      <c r="L126" s="8">
        <f>MAX(1,ROUNDUP(G126/K126-0.0005,0))</f>
        <v/>
      </c>
      <c r="M126" s="13">
        <f>L126*I126</f>
        <v/>
      </c>
      <c r="N126" s="8">
        <f>L126*ROUNDUP(I126/GiaDinh!$C$5-0.0005,0)</f>
        <v/>
      </c>
      <c r="O126" s="8">
        <f>L126*(ROUNDUP(I126/GiaDinh!$C$5-0.0005,0)-1)</f>
        <v/>
      </c>
      <c r="P126" s="8">
        <f>L126*J126</f>
        <v/>
      </c>
      <c r="Q126" s="8">
        <f>2*P126</f>
        <v/>
      </c>
      <c r="R126" s="8">
        <f>P126</f>
        <v/>
      </c>
      <c r="S126" s="14">
        <f>M126*GiaDinh!$C$7</f>
        <v/>
      </c>
    </row>
    <row r="127">
      <c r="A127" s="8" t="inlineStr">
        <is>
          <t>BÈ 2</t>
        </is>
      </c>
      <c r="B127" s="8" t="inlineStr">
        <is>
          <t>B2-71</t>
        </is>
      </c>
      <c r="C127" s="8" t="inlineStr">
        <is>
          <t>Vuông góc cạnh (hộp chạy từ mép vào trong, cùng phương lực dây)</t>
        </is>
      </c>
      <c r="D127" s="8" t="inlineStr">
        <is>
          <t>B2-D62b</t>
        </is>
      </c>
      <c r="E127" s="8" t="n">
        <v>1</v>
      </c>
      <c r="F127" s="8" t="n">
        <v>146.8</v>
      </c>
      <c r="G127" s="13">
        <f>E127*F127*GiaDinh!$C$18*GiaDinh!$C$17</f>
        <v/>
      </c>
      <c r="H127" s="8">
        <f>GiaDinh!$C$21</f>
        <v/>
      </c>
      <c r="I127" s="8">
        <f>GiaDinh!$C$15</f>
        <v/>
      </c>
      <c r="J127" s="8">
        <f>ROUNDDOWN(I127/H127,0)+1</f>
        <v/>
      </c>
      <c r="K127" s="13">
        <f>J127*GiaDinh!$C$16</f>
        <v/>
      </c>
      <c r="L127" s="8">
        <f>MAX(1,ROUNDUP(G127/K127-0.0005,0))</f>
        <v/>
      </c>
      <c r="M127" s="13">
        <f>L127*I127</f>
        <v/>
      </c>
      <c r="N127" s="8">
        <f>L127*ROUNDUP(I127/GiaDinh!$C$5-0.0005,0)</f>
        <v/>
      </c>
      <c r="O127" s="8">
        <f>L127*(ROUNDUP(I127/GiaDinh!$C$5-0.0005,0)-1)</f>
        <v/>
      </c>
      <c r="P127" s="8">
        <f>L127*J127</f>
        <v/>
      </c>
      <c r="Q127" s="8">
        <f>2*P127</f>
        <v/>
      </c>
      <c r="R127" s="8">
        <f>P127</f>
        <v/>
      </c>
      <c r="S127" s="14">
        <f>M127*GiaDinh!$C$7</f>
        <v/>
      </c>
    </row>
    <row r="128">
      <c r="A128" s="8" t="inlineStr">
        <is>
          <t>BÈ 2</t>
        </is>
      </c>
      <c r="B128" s="8" t="inlineStr">
        <is>
          <t>B2-72</t>
        </is>
      </c>
      <c r="C128" s="8" t="inlineStr">
        <is>
          <t>Vuông góc cạnh (hộp chạy từ mép vào trong, cùng phương lực dây)</t>
        </is>
      </c>
      <c r="D128" s="8" t="inlineStr">
        <is>
          <t>B2-D68a</t>
        </is>
      </c>
      <c r="E128" s="8" t="n">
        <v>1</v>
      </c>
      <c r="F128" s="8" t="n">
        <v>146.8</v>
      </c>
      <c r="G128" s="13">
        <f>E128*F128*GiaDinh!$C$18*GiaDinh!$C$17</f>
        <v/>
      </c>
      <c r="H128" s="8">
        <f>GiaDinh!$C$21</f>
        <v/>
      </c>
      <c r="I128" s="8">
        <f>GiaDinh!$C$15</f>
        <v/>
      </c>
      <c r="J128" s="8">
        <f>ROUNDDOWN(I128/H128,0)+1</f>
        <v/>
      </c>
      <c r="K128" s="13">
        <f>J128*GiaDinh!$C$16</f>
        <v/>
      </c>
      <c r="L128" s="8">
        <f>MAX(1,ROUNDUP(G128/K128-0.0005,0))</f>
        <v/>
      </c>
      <c r="M128" s="13">
        <f>L128*I128</f>
        <v/>
      </c>
      <c r="N128" s="8">
        <f>L128*ROUNDUP(I128/GiaDinh!$C$5-0.0005,0)</f>
        <v/>
      </c>
      <c r="O128" s="8">
        <f>L128*(ROUNDUP(I128/GiaDinh!$C$5-0.0005,0)-1)</f>
        <v/>
      </c>
      <c r="P128" s="8">
        <f>L128*J128</f>
        <v/>
      </c>
      <c r="Q128" s="8">
        <f>2*P128</f>
        <v/>
      </c>
      <c r="R128" s="8">
        <f>P128</f>
        <v/>
      </c>
      <c r="S128" s="14">
        <f>M128*GiaDinh!$C$7</f>
        <v/>
      </c>
    </row>
    <row r="129">
      <c r="A129" s="8" t="inlineStr">
        <is>
          <t>BÈ 2</t>
        </is>
      </c>
      <c r="B129" s="8" t="inlineStr">
        <is>
          <t>B2-73</t>
        </is>
      </c>
      <c r="C129" s="8" t="inlineStr">
        <is>
          <t>Vuông góc cạnh (hộp chạy từ mép vào trong, cùng phương lực dây)</t>
        </is>
      </c>
      <c r="D129" s="8" t="inlineStr">
        <is>
          <t>B2-D68b</t>
        </is>
      </c>
      <c r="E129" s="8" t="n">
        <v>1</v>
      </c>
      <c r="F129" s="8" t="n">
        <v>146.8</v>
      </c>
      <c r="G129" s="13">
        <f>E129*F129*GiaDinh!$C$18*GiaDinh!$C$17</f>
        <v/>
      </c>
      <c r="H129" s="8">
        <f>GiaDinh!$C$21</f>
        <v/>
      </c>
      <c r="I129" s="8">
        <f>GiaDinh!$C$15</f>
        <v/>
      </c>
      <c r="J129" s="8">
        <f>ROUNDDOWN(I129/H129,0)+1</f>
        <v/>
      </c>
      <c r="K129" s="13">
        <f>J129*GiaDinh!$C$16</f>
        <v/>
      </c>
      <c r="L129" s="8">
        <f>MAX(1,ROUNDUP(G129/K129-0.0005,0))</f>
        <v/>
      </c>
      <c r="M129" s="13">
        <f>L129*I129</f>
        <v/>
      </c>
      <c r="N129" s="8">
        <f>L129*ROUNDUP(I129/GiaDinh!$C$5-0.0005,0)</f>
        <v/>
      </c>
      <c r="O129" s="8">
        <f>L129*(ROUNDUP(I129/GiaDinh!$C$5-0.0005,0)-1)</f>
        <v/>
      </c>
      <c r="P129" s="8">
        <f>L129*J129</f>
        <v/>
      </c>
      <c r="Q129" s="8">
        <f>2*P129</f>
        <v/>
      </c>
      <c r="R129" s="8">
        <f>P129</f>
        <v/>
      </c>
      <c r="S129" s="14">
        <f>M129*GiaDinh!$C$7</f>
        <v/>
      </c>
    </row>
    <row r="130">
      <c r="A130" s="8" t="inlineStr">
        <is>
          <t>BÈ 2</t>
        </is>
      </c>
      <c r="B130" s="8" t="inlineStr">
        <is>
          <t>B2-74</t>
        </is>
      </c>
      <c r="C130" s="8" t="inlineStr">
        <is>
          <t>Vuông góc cạnh (hộp chạy từ mép vào trong, cùng phương lực dây)</t>
        </is>
      </c>
      <c r="D130" s="8" t="inlineStr">
        <is>
          <t>B2-D69a</t>
        </is>
      </c>
      <c r="E130" s="8" t="n">
        <v>1</v>
      </c>
      <c r="F130" s="8" t="n">
        <v>146.8</v>
      </c>
      <c r="G130" s="13">
        <f>E130*F130*GiaDinh!$C$18*GiaDinh!$C$17</f>
        <v/>
      </c>
      <c r="H130" s="8">
        <f>GiaDinh!$C$21</f>
        <v/>
      </c>
      <c r="I130" s="8">
        <f>GiaDinh!$C$15</f>
        <v/>
      </c>
      <c r="J130" s="8">
        <f>ROUNDDOWN(I130/H130,0)+1</f>
        <v/>
      </c>
      <c r="K130" s="13">
        <f>J130*GiaDinh!$C$16</f>
        <v/>
      </c>
      <c r="L130" s="8">
        <f>MAX(1,ROUNDUP(G130/K130-0.0005,0))</f>
        <v/>
      </c>
      <c r="M130" s="13">
        <f>L130*I130</f>
        <v/>
      </c>
      <c r="N130" s="8">
        <f>L130*ROUNDUP(I130/GiaDinh!$C$5-0.0005,0)</f>
        <v/>
      </c>
      <c r="O130" s="8">
        <f>L130*(ROUNDUP(I130/GiaDinh!$C$5-0.0005,0)-1)</f>
        <v/>
      </c>
      <c r="P130" s="8">
        <f>L130*J130</f>
        <v/>
      </c>
      <c r="Q130" s="8">
        <f>2*P130</f>
        <v/>
      </c>
      <c r="R130" s="8">
        <f>P130</f>
        <v/>
      </c>
      <c r="S130" s="14">
        <f>M130*GiaDinh!$C$7</f>
        <v/>
      </c>
    </row>
    <row r="131">
      <c r="A131" s="8" t="inlineStr">
        <is>
          <t>BÈ 2</t>
        </is>
      </c>
      <c r="B131" s="8" t="inlineStr">
        <is>
          <t>B2-75</t>
        </is>
      </c>
      <c r="C131" s="8" t="inlineStr">
        <is>
          <t>Vuông góc cạnh (hộp chạy từ mép vào trong, cùng phương lực dây)</t>
        </is>
      </c>
      <c r="D131" s="8" t="inlineStr">
        <is>
          <t>B2-D69b</t>
        </is>
      </c>
      <c r="E131" s="8" t="n">
        <v>1</v>
      </c>
      <c r="F131" s="8" t="n">
        <v>146.8</v>
      </c>
      <c r="G131" s="13">
        <f>E131*F131*GiaDinh!$C$18*GiaDinh!$C$17</f>
        <v/>
      </c>
      <c r="H131" s="8">
        <f>GiaDinh!$C$21</f>
        <v/>
      </c>
      <c r="I131" s="8">
        <f>GiaDinh!$C$15</f>
        <v/>
      </c>
      <c r="J131" s="8">
        <f>ROUNDDOWN(I131/H131,0)+1</f>
        <v/>
      </c>
      <c r="K131" s="13">
        <f>J131*GiaDinh!$C$16</f>
        <v/>
      </c>
      <c r="L131" s="8">
        <f>MAX(1,ROUNDUP(G131/K131-0.0005,0))</f>
        <v/>
      </c>
      <c r="M131" s="13">
        <f>L131*I131</f>
        <v/>
      </c>
      <c r="N131" s="8">
        <f>L131*ROUNDUP(I131/GiaDinh!$C$5-0.0005,0)</f>
        <v/>
      </c>
      <c r="O131" s="8">
        <f>L131*(ROUNDUP(I131/GiaDinh!$C$5-0.0005,0)-1)</f>
        <v/>
      </c>
      <c r="P131" s="8">
        <f>L131*J131</f>
        <v/>
      </c>
      <c r="Q131" s="8">
        <f>2*P131</f>
        <v/>
      </c>
      <c r="R131" s="8">
        <f>P131</f>
        <v/>
      </c>
      <c r="S131" s="14">
        <f>M131*GiaDinh!$C$7</f>
        <v/>
      </c>
    </row>
    <row r="132">
      <c r="A132" s="8" t="inlineStr">
        <is>
          <t>BÈ 2</t>
        </is>
      </c>
      <c r="B132" s="8" t="inlineStr">
        <is>
          <t>B2-76</t>
        </is>
      </c>
      <c r="C132" s="8" t="inlineStr">
        <is>
          <t>Vuông góc cạnh (hộp chạy từ mép vào trong, cùng phương lực dây)</t>
        </is>
      </c>
      <c r="D132" s="8" t="inlineStr">
        <is>
          <t>B2-D70a</t>
        </is>
      </c>
      <c r="E132" s="8" t="n">
        <v>1</v>
      </c>
      <c r="F132" s="8" t="n">
        <v>146.8</v>
      </c>
      <c r="G132" s="13">
        <f>E132*F132*GiaDinh!$C$18*GiaDinh!$C$17</f>
        <v/>
      </c>
      <c r="H132" s="8">
        <f>GiaDinh!$C$21</f>
        <v/>
      </c>
      <c r="I132" s="8">
        <f>GiaDinh!$C$15</f>
        <v/>
      </c>
      <c r="J132" s="8">
        <f>ROUNDDOWN(I132/H132,0)+1</f>
        <v/>
      </c>
      <c r="K132" s="13">
        <f>J132*GiaDinh!$C$16</f>
        <v/>
      </c>
      <c r="L132" s="8">
        <f>MAX(1,ROUNDUP(G132/K132-0.0005,0))</f>
        <v/>
      </c>
      <c r="M132" s="13">
        <f>L132*I132</f>
        <v/>
      </c>
      <c r="N132" s="8">
        <f>L132*ROUNDUP(I132/GiaDinh!$C$5-0.0005,0)</f>
        <v/>
      </c>
      <c r="O132" s="8">
        <f>L132*(ROUNDUP(I132/GiaDinh!$C$5-0.0005,0)-1)</f>
        <v/>
      </c>
      <c r="P132" s="8">
        <f>L132*J132</f>
        <v/>
      </c>
      <c r="Q132" s="8">
        <f>2*P132</f>
        <v/>
      </c>
      <c r="R132" s="8">
        <f>P132</f>
        <v/>
      </c>
      <c r="S132" s="14">
        <f>M132*GiaDinh!$C$7</f>
        <v/>
      </c>
    </row>
    <row r="133">
      <c r="A133" s="8" t="inlineStr">
        <is>
          <t>BÈ 2</t>
        </is>
      </c>
      <c r="B133" s="8" t="inlineStr">
        <is>
          <t>B2-77</t>
        </is>
      </c>
      <c r="C133" s="8" t="inlineStr">
        <is>
          <t>Vuông góc cạnh (hộp chạy từ mép vào trong, cùng phương lực dây)</t>
        </is>
      </c>
      <c r="D133" s="8" t="inlineStr">
        <is>
          <t>B2-D70b</t>
        </is>
      </c>
      <c r="E133" s="8" t="n">
        <v>1</v>
      </c>
      <c r="F133" s="8" t="n">
        <v>146.8</v>
      </c>
      <c r="G133" s="13">
        <f>E133*F133*GiaDinh!$C$18*GiaDinh!$C$17</f>
        <v/>
      </c>
      <c r="H133" s="8">
        <f>GiaDinh!$C$21</f>
        <v/>
      </c>
      <c r="I133" s="8">
        <f>GiaDinh!$C$15</f>
        <v/>
      </c>
      <c r="J133" s="8">
        <f>ROUNDDOWN(I133/H133,0)+1</f>
        <v/>
      </c>
      <c r="K133" s="13">
        <f>J133*GiaDinh!$C$16</f>
        <v/>
      </c>
      <c r="L133" s="8">
        <f>MAX(1,ROUNDUP(G133/K133-0.0005,0))</f>
        <v/>
      </c>
      <c r="M133" s="13">
        <f>L133*I133</f>
        <v/>
      </c>
      <c r="N133" s="8">
        <f>L133*ROUNDUP(I133/GiaDinh!$C$5-0.0005,0)</f>
        <v/>
      </c>
      <c r="O133" s="8">
        <f>L133*(ROUNDUP(I133/GiaDinh!$C$5-0.0005,0)-1)</f>
        <v/>
      </c>
      <c r="P133" s="8">
        <f>L133*J133</f>
        <v/>
      </c>
      <c r="Q133" s="8">
        <f>2*P133</f>
        <v/>
      </c>
      <c r="R133" s="8">
        <f>P133</f>
        <v/>
      </c>
      <c r="S133" s="14">
        <f>M133*GiaDinh!$C$7</f>
        <v/>
      </c>
    </row>
    <row r="134">
      <c r="A134" s="8" t="inlineStr">
        <is>
          <t>BÈ 2</t>
        </is>
      </c>
      <c r="B134" s="8" t="inlineStr">
        <is>
          <t>B2-78</t>
        </is>
      </c>
      <c r="C134" s="8" t="inlineStr">
        <is>
          <t>Vuông góc cạnh (hộp chạy từ mép vào trong, cùng phương lực dây)</t>
        </is>
      </c>
      <c r="D134" s="8" t="inlineStr">
        <is>
          <t>B2-D71a</t>
        </is>
      </c>
      <c r="E134" s="8" t="n">
        <v>1</v>
      </c>
      <c r="F134" s="8" t="n">
        <v>146.8</v>
      </c>
      <c r="G134" s="13">
        <f>E134*F134*GiaDinh!$C$18*GiaDinh!$C$17</f>
        <v/>
      </c>
      <c r="H134" s="8">
        <f>GiaDinh!$C$21</f>
        <v/>
      </c>
      <c r="I134" s="8">
        <f>GiaDinh!$C$15</f>
        <v/>
      </c>
      <c r="J134" s="8">
        <f>ROUNDDOWN(I134/H134,0)+1</f>
        <v/>
      </c>
      <c r="K134" s="13">
        <f>J134*GiaDinh!$C$16</f>
        <v/>
      </c>
      <c r="L134" s="8">
        <f>MAX(1,ROUNDUP(G134/K134-0.0005,0))</f>
        <v/>
      </c>
      <c r="M134" s="13">
        <f>L134*I134</f>
        <v/>
      </c>
      <c r="N134" s="8">
        <f>L134*ROUNDUP(I134/GiaDinh!$C$5-0.0005,0)</f>
        <v/>
      </c>
      <c r="O134" s="8">
        <f>L134*(ROUNDUP(I134/GiaDinh!$C$5-0.0005,0)-1)</f>
        <v/>
      </c>
      <c r="P134" s="8">
        <f>L134*J134</f>
        <v/>
      </c>
      <c r="Q134" s="8">
        <f>2*P134</f>
        <v/>
      </c>
      <c r="R134" s="8">
        <f>P134</f>
        <v/>
      </c>
      <c r="S134" s="14">
        <f>M134*GiaDinh!$C$7</f>
        <v/>
      </c>
    </row>
    <row r="135">
      <c r="A135" s="8" t="inlineStr">
        <is>
          <t>BÈ 2</t>
        </is>
      </c>
      <c r="B135" s="8" t="inlineStr">
        <is>
          <t>B2-79</t>
        </is>
      </c>
      <c r="C135" s="8" t="inlineStr">
        <is>
          <t>Vuông góc cạnh (hộp chạy từ mép vào trong, cùng phương lực dây)</t>
        </is>
      </c>
      <c r="D135" s="8" t="inlineStr">
        <is>
          <t>B2-D71b</t>
        </is>
      </c>
      <c r="E135" s="8" t="n">
        <v>1</v>
      </c>
      <c r="F135" s="8" t="n">
        <v>146.8</v>
      </c>
      <c r="G135" s="13">
        <f>E135*F135*GiaDinh!$C$18*GiaDinh!$C$17</f>
        <v/>
      </c>
      <c r="H135" s="8">
        <f>GiaDinh!$C$21</f>
        <v/>
      </c>
      <c r="I135" s="8">
        <f>GiaDinh!$C$15</f>
        <v/>
      </c>
      <c r="J135" s="8">
        <f>ROUNDDOWN(I135/H135,0)+1</f>
        <v/>
      </c>
      <c r="K135" s="13">
        <f>J135*GiaDinh!$C$16</f>
        <v/>
      </c>
      <c r="L135" s="8">
        <f>MAX(1,ROUNDUP(G135/K135-0.0005,0))</f>
        <v/>
      </c>
      <c r="M135" s="13">
        <f>L135*I135</f>
        <v/>
      </c>
      <c r="N135" s="8">
        <f>L135*ROUNDUP(I135/GiaDinh!$C$5-0.0005,0)</f>
        <v/>
      </c>
      <c r="O135" s="8">
        <f>L135*(ROUNDUP(I135/GiaDinh!$C$5-0.0005,0)-1)</f>
        <v/>
      </c>
      <c r="P135" s="8">
        <f>L135*J135</f>
        <v/>
      </c>
      <c r="Q135" s="8">
        <f>2*P135</f>
        <v/>
      </c>
      <c r="R135" s="8">
        <f>P135</f>
        <v/>
      </c>
      <c r="S135" s="14">
        <f>M135*GiaDinh!$C$7</f>
        <v/>
      </c>
    </row>
    <row r="136">
      <c r="A136" s="8" t="inlineStr">
        <is>
          <t>BÈ 2</t>
        </is>
      </c>
      <c r="B136" s="8" t="inlineStr">
        <is>
          <t>B2-80</t>
        </is>
      </c>
      <c r="C136" s="8" t="inlineStr">
        <is>
          <t>Vuông góc cạnh (hộp chạy từ mép vào trong, cùng phương lực dây)</t>
        </is>
      </c>
      <c r="D136" s="8" t="inlineStr">
        <is>
          <t>B2-D75a</t>
        </is>
      </c>
      <c r="E136" s="8" t="n">
        <v>1</v>
      </c>
      <c r="F136" s="8" t="n">
        <v>146.8</v>
      </c>
      <c r="G136" s="13">
        <f>E136*F136*GiaDinh!$C$18*GiaDinh!$C$17</f>
        <v/>
      </c>
      <c r="H136" s="8">
        <f>GiaDinh!$C$21</f>
        <v/>
      </c>
      <c r="I136" s="8">
        <f>GiaDinh!$C$15</f>
        <v/>
      </c>
      <c r="J136" s="8">
        <f>ROUNDDOWN(I136/H136,0)+1</f>
        <v/>
      </c>
      <c r="K136" s="13">
        <f>J136*GiaDinh!$C$16</f>
        <v/>
      </c>
      <c r="L136" s="8">
        <f>MAX(1,ROUNDUP(G136/K136-0.0005,0))</f>
        <v/>
      </c>
      <c r="M136" s="13">
        <f>L136*I136</f>
        <v/>
      </c>
      <c r="N136" s="8">
        <f>L136*ROUNDUP(I136/GiaDinh!$C$5-0.0005,0)</f>
        <v/>
      </c>
      <c r="O136" s="8">
        <f>L136*(ROUNDUP(I136/GiaDinh!$C$5-0.0005,0)-1)</f>
        <v/>
      </c>
      <c r="P136" s="8">
        <f>L136*J136</f>
        <v/>
      </c>
      <c r="Q136" s="8">
        <f>2*P136</f>
        <v/>
      </c>
      <c r="R136" s="8">
        <f>P136</f>
        <v/>
      </c>
      <c r="S136" s="14">
        <f>M136*GiaDinh!$C$7</f>
        <v/>
      </c>
    </row>
    <row r="137">
      <c r="A137" s="8" t="inlineStr">
        <is>
          <t>BÈ 2</t>
        </is>
      </c>
      <c r="B137" s="8" t="inlineStr">
        <is>
          <t>B2-81</t>
        </is>
      </c>
      <c r="C137" s="8" t="inlineStr">
        <is>
          <t>Vuông góc cạnh (hộp chạy từ mép vào trong, cùng phương lực dây)</t>
        </is>
      </c>
      <c r="D137" s="8" t="inlineStr">
        <is>
          <t>B2-D75b</t>
        </is>
      </c>
      <c r="E137" s="8" t="n">
        <v>1</v>
      </c>
      <c r="F137" s="8" t="n">
        <v>146.8</v>
      </c>
      <c r="G137" s="13">
        <f>E137*F137*GiaDinh!$C$18*GiaDinh!$C$17</f>
        <v/>
      </c>
      <c r="H137" s="8">
        <f>GiaDinh!$C$21</f>
        <v/>
      </c>
      <c r="I137" s="8">
        <f>GiaDinh!$C$15</f>
        <v/>
      </c>
      <c r="J137" s="8">
        <f>ROUNDDOWN(I137/H137,0)+1</f>
        <v/>
      </c>
      <c r="K137" s="13">
        <f>J137*GiaDinh!$C$16</f>
        <v/>
      </c>
      <c r="L137" s="8">
        <f>MAX(1,ROUNDUP(G137/K137-0.0005,0))</f>
        <v/>
      </c>
      <c r="M137" s="13">
        <f>L137*I137</f>
        <v/>
      </c>
      <c r="N137" s="8">
        <f>L137*ROUNDUP(I137/GiaDinh!$C$5-0.0005,0)</f>
        <v/>
      </c>
      <c r="O137" s="8">
        <f>L137*(ROUNDUP(I137/GiaDinh!$C$5-0.0005,0)-1)</f>
        <v/>
      </c>
      <c r="P137" s="8">
        <f>L137*J137</f>
        <v/>
      </c>
      <c r="Q137" s="8">
        <f>2*P137</f>
        <v/>
      </c>
      <c r="R137" s="8">
        <f>P137</f>
        <v/>
      </c>
      <c r="S137" s="14">
        <f>M137*GiaDinh!$C$7</f>
        <v/>
      </c>
    </row>
    <row r="138">
      <c r="A138" s="8" t="inlineStr">
        <is>
          <t>BÈ 2</t>
        </is>
      </c>
      <c r="B138" s="8" t="inlineStr">
        <is>
          <t>B2-82</t>
        </is>
      </c>
      <c r="C138" s="8" t="inlineStr">
        <is>
          <t>Vuông góc cạnh (hộp chạy từ mép vào trong, cùng phương lực dây)</t>
        </is>
      </c>
      <c r="D138" s="8" t="inlineStr">
        <is>
          <t>B2-D76a</t>
        </is>
      </c>
      <c r="E138" s="8" t="n">
        <v>1</v>
      </c>
      <c r="F138" s="8" t="n">
        <v>146.8</v>
      </c>
      <c r="G138" s="13">
        <f>E138*F138*GiaDinh!$C$18*GiaDinh!$C$17</f>
        <v/>
      </c>
      <c r="H138" s="8">
        <f>GiaDinh!$C$21</f>
        <v/>
      </c>
      <c r="I138" s="8">
        <f>GiaDinh!$C$15</f>
        <v/>
      </c>
      <c r="J138" s="8">
        <f>ROUNDDOWN(I138/H138,0)+1</f>
        <v/>
      </c>
      <c r="K138" s="13">
        <f>J138*GiaDinh!$C$16</f>
        <v/>
      </c>
      <c r="L138" s="8">
        <f>MAX(1,ROUNDUP(G138/K138-0.0005,0))</f>
        <v/>
      </c>
      <c r="M138" s="13">
        <f>L138*I138</f>
        <v/>
      </c>
      <c r="N138" s="8">
        <f>L138*ROUNDUP(I138/GiaDinh!$C$5-0.0005,0)</f>
        <v/>
      </c>
      <c r="O138" s="8">
        <f>L138*(ROUNDUP(I138/GiaDinh!$C$5-0.0005,0)-1)</f>
        <v/>
      </c>
      <c r="P138" s="8">
        <f>L138*J138</f>
        <v/>
      </c>
      <c r="Q138" s="8">
        <f>2*P138</f>
        <v/>
      </c>
      <c r="R138" s="8">
        <f>P138</f>
        <v/>
      </c>
      <c r="S138" s="14">
        <f>M138*GiaDinh!$C$7</f>
        <v/>
      </c>
    </row>
    <row r="139">
      <c r="A139" s="8" t="inlineStr">
        <is>
          <t>BÈ 2</t>
        </is>
      </c>
      <c r="B139" s="8" t="inlineStr">
        <is>
          <t>B2-83</t>
        </is>
      </c>
      <c r="C139" s="8" t="inlineStr">
        <is>
          <t>Vuông góc cạnh (hộp chạy từ mép vào trong, cùng phương lực dây)</t>
        </is>
      </c>
      <c r="D139" s="8" t="inlineStr">
        <is>
          <t>B2-D76b</t>
        </is>
      </c>
      <c r="E139" s="8" t="n">
        <v>1</v>
      </c>
      <c r="F139" s="8" t="n">
        <v>146.8</v>
      </c>
      <c r="G139" s="13">
        <f>E139*F139*GiaDinh!$C$18*GiaDinh!$C$17</f>
        <v/>
      </c>
      <c r="H139" s="8">
        <f>GiaDinh!$C$21</f>
        <v/>
      </c>
      <c r="I139" s="8">
        <f>GiaDinh!$C$15</f>
        <v/>
      </c>
      <c r="J139" s="8">
        <f>ROUNDDOWN(I139/H139,0)+1</f>
        <v/>
      </c>
      <c r="K139" s="13">
        <f>J139*GiaDinh!$C$16</f>
        <v/>
      </c>
      <c r="L139" s="8">
        <f>MAX(1,ROUNDUP(G139/K139-0.0005,0))</f>
        <v/>
      </c>
      <c r="M139" s="13">
        <f>L139*I139</f>
        <v/>
      </c>
      <c r="N139" s="8">
        <f>L139*ROUNDUP(I139/GiaDinh!$C$5-0.0005,0)</f>
        <v/>
      </c>
      <c r="O139" s="8">
        <f>L139*(ROUNDUP(I139/GiaDinh!$C$5-0.0005,0)-1)</f>
        <v/>
      </c>
      <c r="P139" s="8">
        <f>L139*J139</f>
        <v/>
      </c>
      <c r="Q139" s="8">
        <f>2*P139</f>
        <v/>
      </c>
      <c r="R139" s="8">
        <f>P139</f>
        <v/>
      </c>
      <c r="S139" s="14">
        <f>M139*GiaDinh!$C$7</f>
        <v/>
      </c>
    </row>
    <row r="140">
      <c r="A140" s="8" t="inlineStr">
        <is>
          <t>BÈ 2</t>
        </is>
      </c>
      <c r="B140" s="8" t="inlineStr">
        <is>
          <t>B2-84</t>
        </is>
      </c>
      <c r="C140" s="8" t="inlineStr">
        <is>
          <t>Vuông góc cạnh (hộp chạy từ mép vào trong, cùng phương lực dây)</t>
        </is>
      </c>
      <c r="D140" s="8" t="inlineStr">
        <is>
          <t>B2-D01a</t>
        </is>
      </c>
      <c r="E140" s="8" t="n">
        <v>1</v>
      </c>
      <c r="F140" s="8" t="n">
        <v>146.8</v>
      </c>
      <c r="G140" s="13">
        <f>E140*F140*GiaDinh!$C$18*GiaDinh!$C$17</f>
        <v/>
      </c>
      <c r="H140" s="8">
        <f>GiaDinh!$C$21</f>
        <v/>
      </c>
      <c r="I140" s="8">
        <f>GiaDinh!$C$15</f>
        <v/>
      </c>
      <c r="J140" s="8">
        <f>ROUNDDOWN(I140/H140,0)+1</f>
        <v/>
      </c>
      <c r="K140" s="13">
        <f>J140*GiaDinh!$C$16</f>
        <v/>
      </c>
      <c r="L140" s="8">
        <f>MAX(1,ROUNDUP(G140/K140-0.0005,0))</f>
        <v/>
      </c>
      <c r="M140" s="13">
        <f>L140*I140</f>
        <v/>
      </c>
      <c r="N140" s="8">
        <f>L140*ROUNDUP(I140/GiaDinh!$C$5-0.0005,0)</f>
        <v/>
      </c>
      <c r="O140" s="8">
        <f>L140*(ROUNDUP(I140/GiaDinh!$C$5-0.0005,0)-1)</f>
        <v/>
      </c>
      <c r="P140" s="8">
        <f>L140*J140</f>
        <v/>
      </c>
      <c r="Q140" s="8">
        <f>2*P140</f>
        <v/>
      </c>
      <c r="R140" s="8">
        <f>P140</f>
        <v/>
      </c>
      <c r="S140" s="14">
        <f>M140*GiaDinh!$C$7</f>
        <v/>
      </c>
    </row>
    <row r="141">
      <c r="A141" s="8" t="inlineStr">
        <is>
          <t>BÈ 2</t>
        </is>
      </c>
      <c r="B141" s="8" t="inlineStr">
        <is>
          <t>B2-85</t>
        </is>
      </c>
      <c r="C141" s="8" t="inlineStr">
        <is>
          <t>Vuông góc cạnh (hộp chạy từ mép vào trong, cùng phương lực dây)</t>
        </is>
      </c>
      <c r="D141" s="8" t="inlineStr">
        <is>
          <t>B2-D01b</t>
        </is>
      </c>
      <c r="E141" s="8" t="n">
        <v>1</v>
      </c>
      <c r="F141" s="8" t="n">
        <v>146.8</v>
      </c>
      <c r="G141" s="13">
        <f>E141*F141*GiaDinh!$C$18*GiaDinh!$C$17</f>
        <v/>
      </c>
      <c r="H141" s="8">
        <f>GiaDinh!$C$21</f>
        <v/>
      </c>
      <c r="I141" s="8">
        <f>GiaDinh!$C$15</f>
        <v/>
      </c>
      <c r="J141" s="8">
        <f>ROUNDDOWN(I141/H141,0)+1</f>
        <v/>
      </c>
      <c r="K141" s="13">
        <f>J141*GiaDinh!$C$16</f>
        <v/>
      </c>
      <c r="L141" s="8">
        <f>MAX(1,ROUNDUP(G141/K141-0.0005,0))</f>
        <v/>
      </c>
      <c r="M141" s="13">
        <f>L141*I141</f>
        <v/>
      </c>
      <c r="N141" s="8">
        <f>L141*ROUNDUP(I141/GiaDinh!$C$5-0.0005,0)</f>
        <v/>
      </c>
      <c r="O141" s="8">
        <f>L141*(ROUNDUP(I141/GiaDinh!$C$5-0.0005,0)-1)</f>
        <v/>
      </c>
      <c r="P141" s="8">
        <f>L141*J141</f>
        <v/>
      </c>
      <c r="Q141" s="8">
        <f>2*P141</f>
        <v/>
      </c>
      <c r="R141" s="8">
        <f>P141</f>
        <v/>
      </c>
      <c r="S141" s="14">
        <f>M141*GiaDinh!$C$7</f>
        <v/>
      </c>
    </row>
    <row r="142">
      <c r="A142" s="8" t="inlineStr">
        <is>
          <t>BÈ 2</t>
        </is>
      </c>
      <c r="B142" s="8" t="inlineStr">
        <is>
          <t>B2-86</t>
        </is>
      </c>
      <c r="C142" s="8" t="inlineStr">
        <is>
          <t>Vuông góc cạnh (hộp chạy từ mép vào trong, cùng phương lực dây)</t>
        </is>
      </c>
      <c r="D142" s="8" t="inlineStr">
        <is>
          <t>B2-D02a</t>
        </is>
      </c>
      <c r="E142" s="8" t="n">
        <v>1</v>
      </c>
      <c r="F142" s="8" t="n">
        <v>146.8</v>
      </c>
      <c r="G142" s="13">
        <f>E142*F142*GiaDinh!$C$18*GiaDinh!$C$17</f>
        <v/>
      </c>
      <c r="H142" s="8">
        <f>GiaDinh!$C$21</f>
        <v/>
      </c>
      <c r="I142" s="8">
        <f>GiaDinh!$C$15</f>
        <v/>
      </c>
      <c r="J142" s="8">
        <f>ROUNDDOWN(I142/H142,0)+1</f>
        <v/>
      </c>
      <c r="K142" s="13">
        <f>J142*GiaDinh!$C$16</f>
        <v/>
      </c>
      <c r="L142" s="8">
        <f>MAX(1,ROUNDUP(G142/K142-0.0005,0))</f>
        <v/>
      </c>
      <c r="M142" s="13">
        <f>L142*I142</f>
        <v/>
      </c>
      <c r="N142" s="8">
        <f>L142*ROUNDUP(I142/GiaDinh!$C$5-0.0005,0)</f>
        <v/>
      </c>
      <c r="O142" s="8">
        <f>L142*(ROUNDUP(I142/GiaDinh!$C$5-0.0005,0)-1)</f>
        <v/>
      </c>
      <c r="P142" s="8">
        <f>L142*J142</f>
        <v/>
      </c>
      <c r="Q142" s="8">
        <f>2*P142</f>
        <v/>
      </c>
      <c r="R142" s="8">
        <f>P142</f>
        <v/>
      </c>
      <c r="S142" s="14">
        <f>M142*GiaDinh!$C$7</f>
        <v/>
      </c>
    </row>
    <row r="143">
      <c r="A143" s="8" t="inlineStr">
        <is>
          <t>BÈ 2</t>
        </is>
      </c>
      <c r="B143" s="8" t="inlineStr">
        <is>
          <t>B2-87</t>
        </is>
      </c>
      <c r="C143" s="8" t="inlineStr">
        <is>
          <t>Vuông góc cạnh (hộp chạy từ mép vào trong, cùng phương lực dây)</t>
        </is>
      </c>
      <c r="D143" s="8" t="inlineStr">
        <is>
          <t>B2-D02b</t>
        </is>
      </c>
      <c r="E143" s="8" t="n">
        <v>1</v>
      </c>
      <c r="F143" s="8" t="n">
        <v>146.8</v>
      </c>
      <c r="G143" s="13">
        <f>E143*F143*GiaDinh!$C$18*GiaDinh!$C$17</f>
        <v/>
      </c>
      <c r="H143" s="8">
        <f>GiaDinh!$C$21</f>
        <v/>
      </c>
      <c r="I143" s="8">
        <f>GiaDinh!$C$15</f>
        <v/>
      </c>
      <c r="J143" s="8">
        <f>ROUNDDOWN(I143/H143,0)+1</f>
        <v/>
      </c>
      <c r="K143" s="13">
        <f>J143*GiaDinh!$C$16</f>
        <v/>
      </c>
      <c r="L143" s="8">
        <f>MAX(1,ROUNDUP(G143/K143-0.0005,0))</f>
        <v/>
      </c>
      <c r="M143" s="13">
        <f>L143*I143</f>
        <v/>
      </c>
      <c r="N143" s="8">
        <f>L143*ROUNDUP(I143/GiaDinh!$C$5-0.0005,0)</f>
        <v/>
      </c>
      <c r="O143" s="8">
        <f>L143*(ROUNDUP(I143/GiaDinh!$C$5-0.0005,0)-1)</f>
        <v/>
      </c>
      <c r="P143" s="8">
        <f>L143*J143</f>
        <v/>
      </c>
      <c r="Q143" s="8">
        <f>2*P143</f>
        <v/>
      </c>
      <c r="R143" s="8">
        <f>P143</f>
        <v/>
      </c>
      <c r="S143" s="14">
        <f>M143*GiaDinh!$C$7</f>
        <v/>
      </c>
    </row>
    <row r="144">
      <c r="A144" s="8" t="inlineStr">
        <is>
          <t>BÈ 2</t>
        </is>
      </c>
      <c r="B144" s="8" t="inlineStr">
        <is>
          <t>B2-88</t>
        </is>
      </c>
      <c r="C144" s="8" t="inlineStr">
        <is>
          <t>Vuông góc cạnh (hộp chạy từ mép vào trong, cùng phương lực dây)</t>
        </is>
      </c>
      <c r="D144" s="8" t="inlineStr">
        <is>
          <t>B2-D03a</t>
        </is>
      </c>
      <c r="E144" s="8" t="n">
        <v>1</v>
      </c>
      <c r="F144" s="8" t="n">
        <v>146.8</v>
      </c>
      <c r="G144" s="13">
        <f>E144*F144*GiaDinh!$C$18*GiaDinh!$C$17</f>
        <v/>
      </c>
      <c r="H144" s="8">
        <f>GiaDinh!$C$21</f>
        <v/>
      </c>
      <c r="I144" s="8">
        <f>GiaDinh!$C$15</f>
        <v/>
      </c>
      <c r="J144" s="8">
        <f>ROUNDDOWN(I144/H144,0)+1</f>
        <v/>
      </c>
      <c r="K144" s="13">
        <f>J144*GiaDinh!$C$16</f>
        <v/>
      </c>
      <c r="L144" s="8">
        <f>MAX(1,ROUNDUP(G144/K144-0.0005,0))</f>
        <v/>
      </c>
      <c r="M144" s="13">
        <f>L144*I144</f>
        <v/>
      </c>
      <c r="N144" s="8">
        <f>L144*ROUNDUP(I144/GiaDinh!$C$5-0.0005,0)</f>
        <v/>
      </c>
      <c r="O144" s="8">
        <f>L144*(ROUNDUP(I144/GiaDinh!$C$5-0.0005,0)-1)</f>
        <v/>
      </c>
      <c r="P144" s="8">
        <f>L144*J144</f>
        <v/>
      </c>
      <c r="Q144" s="8">
        <f>2*P144</f>
        <v/>
      </c>
      <c r="R144" s="8">
        <f>P144</f>
        <v/>
      </c>
      <c r="S144" s="14">
        <f>M144*GiaDinh!$C$7</f>
        <v/>
      </c>
    </row>
    <row r="145">
      <c r="A145" s="8" t="inlineStr">
        <is>
          <t>BÈ 2</t>
        </is>
      </c>
      <c r="B145" s="8" t="inlineStr">
        <is>
          <t>B2-89</t>
        </is>
      </c>
      <c r="C145" s="8" t="inlineStr">
        <is>
          <t>Vuông góc cạnh (hộp chạy từ mép vào trong, cùng phương lực dây)</t>
        </is>
      </c>
      <c r="D145" s="8" t="inlineStr">
        <is>
          <t>B2-D03b</t>
        </is>
      </c>
      <c r="E145" s="8" t="n">
        <v>1</v>
      </c>
      <c r="F145" s="8" t="n">
        <v>146.8</v>
      </c>
      <c r="G145" s="13">
        <f>E145*F145*GiaDinh!$C$18*GiaDinh!$C$17</f>
        <v/>
      </c>
      <c r="H145" s="8">
        <f>GiaDinh!$C$21</f>
        <v/>
      </c>
      <c r="I145" s="8">
        <f>GiaDinh!$C$15</f>
        <v/>
      </c>
      <c r="J145" s="8">
        <f>ROUNDDOWN(I145/H145,0)+1</f>
        <v/>
      </c>
      <c r="K145" s="13">
        <f>J145*GiaDinh!$C$16</f>
        <v/>
      </c>
      <c r="L145" s="8">
        <f>MAX(1,ROUNDUP(G145/K145-0.0005,0))</f>
        <v/>
      </c>
      <c r="M145" s="13">
        <f>L145*I145</f>
        <v/>
      </c>
      <c r="N145" s="8">
        <f>L145*ROUNDUP(I145/GiaDinh!$C$5-0.0005,0)</f>
        <v/>
      </c>
      <c r="O145" s="8">
        <f>L145*(ROUNDUP(I145/GiaDinh!$C$5-0.0005,0)-1)</f>
        <v/>
      </c>
      <c r="P145" s="8">
        <f>L145*J145</f>
        <v/>
      </c>
      <c r="Q145" s="8">
        <f>2*P145</f>
        <v/>
      </c>
      <c r="R145" s="8">
        <f>P145</f>
        <v/>
      </c>
      <c r="S145" s="14">
        <f>M145*GiaDinh!$C$7</f>
        <v/>
      </c>
    </row>
    <row r="146">
      <c r="A146" s="8" t="inlineStr">
        <is>
          <t>BÈ 2</t>
        </is>
      </c>
      <c r="B146" s="8" t="inlineStr">
        <is>
          <t>B2-90</t>
        </is>
      </c>
      <c r="C146" s="8" t="inlineStr">
        <is>
          <t>Vuông góc cạnh (hộp chạy từ mép vào trong, cùng phương lực dây)</t>
        </is>
      </c>
      <c r="D146" s="8" t="inlineStr">
        <is>
          <t>B2-D26a</t>
        </is>
      </c>
      <c r="E146" s="8" t="n">
        <v>1</v>
      </c>
      <c r="F146" s="8" t="n">
        <v>146.8</v>
      </c>
      <c r="G146" s="13">
        <f>E146*F146*GiaDinh!$C$18*GiaDinh!$C$17</f>
        <v/>
      </c>
      <c r="H146" s="8">
        <f>GiaDinh!$C$21</f>
        <v/>
      </c>
      <c r="I146" s="8">
        <f>GiaDinh!$C$15</f>
        <v/>
      </c>
      <c r="J146" s="8">
        <f>ROUNDDOWN(I146/H146,0)+1</f>
        <v/>
      </c>
      <c r="K146" s="13">
        <f>J146*GiaDinh!$C$16</f>
        <v/>
      </c>
      <c r="L146" s="8">
        <f>MAX(1,ROUNDUP(G146/K146-0.0005,0))</f>
        <v/>
      </c>
      <c r="M146" s="13">
        <f>L146*I146</f>
        <v/>
      </c>
      <c r="N146" s="8">
        <f>L146*ROUNDUP(I146/GiaDinh!$C$5-0.0005,0)</f>
        <v/>
      </c>
      <c r="O146" s="8">
        <f>L146*(ROUNDUP(I146/GiaDinh!$C$5-0.0005,0)-1)</f>
        <v/>
      </c>
      <c r="P146" s="8">
        <f>L146*J146</f>
        <v/>
      </c>
      <c r="Q146" s="8">
        <f>2*P146</f>
        <v/>
      </c>
      <c r="R146" s="8">
        <f>P146</f>
        <v/>
      </c>
      <c r="S146" s="14">
        <f>M146*GiaDinh!$C$7</f>
        <v/>
      </c>
    </row>
    <row r="147">
      <c r="A147" s="8" t="inlineStr">
        <is>
          <t>BÈ 2</t>
        </is>
      </c>
      <c r="B147" s="8" t="inlineStr">
        <is>
          <t>B2-91</t>
        </is>
      </c>
      <c r="C147" s="8" t="inlineStr">
        <is>
          <t>Vuông góc cạnh (hộp chạy từ mép vào trong, cùng phương lực dây)</t>
        </is>
      </c>
      <c r="D147" s="8" t="inlineStr">
        <is>
          <t>B2-D26b</t>
        </is>
      </c>
      <c r="E147" s="8" t="n">
        <v>1</v>
      </c>
      <c r="F147" s="8" t="n">
        <v>146.8</v>
      </c>
      <c r="G147" s="13">
        <f>E147*F147*GiaDinh!$C$18*GiaDinh!$C$17</f>
        <v/>
      </c>
      <c r="H147" s="8">
        <f>GiaDinh!$C$21</f>
        <v/>
      </c>
      <c r="I147" s="8">
        <f>GiaDinh!$C$15</f>
        <v/>
      </c>
      <c r="J147" s="8">
        <f>ROUNDDOWN(I147/H147,0)+1</f>
        <v/>
      </c>
      <c r="K147" s="13">
        <f>J147*GiaDinh!$C$16</f>
        <v/>
      </c>
      <c r="L147" s="8">
        <f>MAX(1,ROUNDUP(G147/K147-0.0005,0))</f>
        <v/>
      </c>
      <c r="M147" s="13">
        <f>L147*I147</f>
        <v/>
      </c>
      <c r="N147" s="8">
        <f>L147*ROUNDUP(I147/GiaDinh!$C$5-0.0005,0)</f>
        <v/>
      </c>
      <c r="O147" s="8">
        <f>L147*(ROUNDUP(I147/GiaDinh!$C$5-0.0005,0)-1)</f>
        <v/>
      </c>
      <c r="P147" s="8">
        <f>L147*J147</f>
        <v/>
      </c>
      <c r="Q147" s="8">
        <f>2*P147</f>
        <v/>
      </c>
      <c r="R147" s="8">
        <f>P147</f>
        <v/>
      </c>
      <c r="S147" s="14">
        <f>M147*GiaDinh!$C$7</f>
        <v/>
      </c>
    </row>
    <row r="148">
      <c r="A148" s="8" t="inlineStr">
        <is>
          <t>BÈ 2</t>
        </is>
      </c>
      <c r="B148" s="8" t="inlineStr">
        <is>
          <t>B2-92</t>
        </is>
      </c>
      <c r="C148" s="8" t="inlineStr">
        <is>
          <t>Vuông góc cạnh (hộp chạy từ mép vào trong, cùng phương lực dây)</t>
        </is>
      </c>
      <c r="D148" s="8" t="inlineStr">
        <is>
          <t>B2-D27a</t>
        </is>
      </c>
      <c r="E148" s="8" t="n">
        <v>1</v>
      </c>
      <c r="F148" s="8" t="n">
        <v>146.8</v>
      </c>
      <c r="G148" s="13">
        <f>E148*F148*GiaDinh!$C$18*GiaDinh!$C$17</f>
        <v/>
      </c>
      <c r="H148" s="8">
        <f>GiaDinh!$C$21</f>
        <v/>
      </c>
      <c r="I148" s="8">
        <f>GiaDinh!$C$15</f>
        <v/>
      </c>
      <c r="J148" s="8">
        <f>ROUNDDOWN(I148/H148,0)+1</f>
        <v/>
      </c>
      <c r="K148" s="13">
        <f>J148*GiaDinh!$C$16</f>
        <v/>
      </c>
      <c r="L148" s="8">
        <f>MAX(1,ROUNDUP(G148/K148-0.0005,0))</f>
        <v/>
      </c>
      <c r="M148" s="13">
        <f>L148*I148</f>
        <v/>
      </c>
      <c r="N148" s="8">
        <f>L148*ROUNDUP(I148/GiaDinh!$C$5-0.0005,0)</f>
        <v/>
      </c>
      <c r="O148" s="8">
        <f>L148*(ROUNDUP(I148/GiaDinh!$C$5-0.0005,0)-1)</f>
        <v/>
      </c>
      <c r="P148" s="8">
        <f>L148*J148</f>
        <v/>
      </c>
      <c r="Q148" s="8">
        <f>2*P148</f>
        <v/>
      </c>
      <c r="R148" s="8">
        <f>P148</f>
        <v/>
      </c>
      <c r="S148" s="14">
        <f>M148*GiaDinh!$C$7</f>
        <v/>
      </c>
    </row>
    <row r="149">
      <c r="A149" s="8" t="inlineStr">
        <is>
          <t>BÈ 2</t>
        </is>
      </c>
      <c r="B149" s="8" t="inlineStr">
        <is>
          <t>B2-93</t>
        </is>
      </c>
      <c r="C149" s="8" t="inlineStr">
        <is>
          <t>Vuông góc cạnh (hộp chạy từ mép vào trong, cùng phương lực dây)</t>
        </is>
      </c>
      <c r="D149" s="8" t="inlineStr">
        <is>
          <t>B2-D27b</t>
        </is>
      </c>
      <c r="E149" s="8" t="n">
        <v>1</v>
      </c>
      <c r="F149" s="8" t="n">
        <v>146.8</v>
      </c>
      <c r="G149" s="13">
        <f>E149*F149*GiaDinh!$C$18*GiaDinh!$C$17</f>
        <v/>
      </c>
      <c r="H149" s="8">
        <f>GiaDinh!$C$21</f>
        <v/>
      </c>
      <c r="I149" s="8">
        <f>GiaDinh!$C$15</f>
        <v/>
      </c>
      <c r="J149" s="8">
        <f>ROUNDDOWN(I149/H149,0)+1</f>
        <v/>
      </c>
      <c r="K149" s="13">
        <f>J149*GiaDinh!$C$16</f>
        <v/>
      </c>
      <c r="L149" s="8">
        <f>MAX(1,ROUNDUP(G149/K149-0.0005,0))</f>
        <v/>
      </c>
      <c r="M149" s="13">
        <f>L149*I149</f>
        <v/>
      </c>
      <c r="N149" s="8">
        <f>L149*ROUNDUP(I149/GiaDinh!$C$5-0.0005,0)</f>
        <v/>
      </c>
      <c r="O149" s="8">
        <f>L149*(ROUNDUP(I149/GiaDinh!$C$5-0.0005,0)-1)</f>
        <v/>
      </c>
      <c r="P149" s="8">
        <f>L149*J149</f>
        <v/>
      </c>
      <c r="Q149" s="8">
        <f>2*P149</f>
        <v/>
      </c>
      <c r="R149" s="8">
        <f>P149</f>
        <v/>
      </c>
      <c r="S149" s="14">
        <f>M149*GiaDinh!$C$7</f>
        <v/>
      </c>
    </row>
    <row r="150">
      <c r="A150" s="8" t="inlineStr">
        <is>
          <t>BÈ 2</t>
        </is>
      </c>
      <c r="B150" s="8" t="inlineStr">
        <is>
          <t>B2-94</t>
        </is>
      </c>
      <c r="C150" s="8" t="inlineStr">
        <is>
          <t>Vuông góc cạnh (hộp chạy từ mép vào trong, cùng phương lực dây)</t>
        </is>
      </c>
      <c r="D150" s="8" t="inlineStr">
        <is>
          <t>B2-D65a</t>
        </is>
      </c>
      <c r="E150" s="8" t="n">
        <v>1</v>
      </c>
      <c r="F150" s="8" t="n">
        <v>146.8</v>
      </c>
      <c r="G150" s="13">
        <f>E150*F150*GiaDinh!$C$18*GiaDinh!$C$17</f>
        <v/>
      </c>
      <c r="H150" s="8">
        <f>GiaDinh!$C$21</f>
        <v/>
      </c>
      <c r="I150" s="8">
        <f>GiaDinh!$C$15</f>
        <v/>
      </c>
      <c r="J150" s="8">
        <f>ROUNDDOWN(I150/H150,0)+1</f>
        <v/>
      </c>
      <c r="K150" s="13">
        <f>J150*GiaDinh!$C$16</f>
        <v/>
      </c>
      <c r="L150" s="8">
        <f>MAX(1,ROUNDUP(G150/K150-0.0005,0))</f>
        <v/>
      </c>
      <c r="M150" s="13">
        <f>L150*I150</f>
        <v/>
      </c>
      <c r="N150" s="8">
        <f>L150*ROUNDUP(I150/GiaDinh!$C$5-0.0005,0)</f>
        <v/>
      </c>
      <c r="O150" s="8">
        <f>L150*(ROUNDUP(I150/GiaDinh!$C$5-0.0005,0)-1)</f>
        <v/>
      </c>
      <c r="P150" s="8">
        <f>L150*J150</f>
        <v/>
      </c>
      <c r="Q150" s="8">
        <f>2*P150</f>
        <v/>
      </c>
      <c r="R150" s="8">
        <f>P150</f>
        <v/>
      </c>
      <c r="S150" s="14">
        <f>M150*GiaDinh!$C$7</f>
        <v/>
      </c>
    </row>
    <row r="151">
      <c r="A151" s="8" t="inlineStr">
        <is>
          <t>BÈ 2</t>
        </is>
      </c>
      <c r="B151" s="8" t="inlineStr">
        <is>
          <t>B2-95</t>
        </is>
      </c>
      <c r="C151" s="8" t="inlineStr">
        <is>
          <t>Vuông góc cạnh (hộp chạy từ mép vào trong, cùng phương lực dây)</t>
        </is>
      </c>
      <c r="D151" s="8" t="inlineStr">
        <is>
          <t>B2-D65b</t>
        </is>
      </c>
      <c r="E151" s="8" t="n">
        <v>1</v>
      </c>
      <c r="F151" s="8" t="n">
        <v>146.8</v>
      </c>
      <c r="G151" s="13">
        <f>E151*F151*GiaDinh!$C$18*GiaDinh!$C$17</f>
        <v/>
      </c>
      <c r="H151" s="8">
        <f>GiaDinh!$C$21</f>
        <v/>
      </c>
      <c r="I151" s="8">
        <f>GiaDinh!$C$15</f>
        <v/>
      </c>
      <c r="J151" s="8">
        <f>ROUNDDOWN(I151/H151,0)+1</f>
        <v/>
      </c>
      <c r="K151" s="13">
        <f>J151*GiaDinh!$C$16</f>
        <v/>
      </c>
      <c r="L151" s="8">
        <f>MAX(1,ROUNDUP(G151/K151-0.0005,0))</f>
        <v/>
      </c>
      <c r="M151" s="13">
        <f>L151*I151</f>
        <v/>
      </c>
      <c r="N151" s="8">
        <f>L151*ROUNDUP(I151/GiaDinh!$C$5-0.0005,0)</f>
        <v/>
      </c>
      <c r="O151" s="8">
        <f>L151*(ROUNDUP(I151/GiaDinh!$C$5-0.0005,0)-1)</f>
        <v/>
      </c>
      <c r="P151" s="8">
        <f>L151*J151</f>
        <v/>
      </c>
      <c r="Q151" s="8">
        <f>2*P151</f>
        <v/>
      </c>
      <c r="R151" s="8">
        <f>P151</f>
        <v/>
      </c>
      <c r="S151" s="14">
        <f>M151*GiaDinh!$C$7</f>
        <v/>
      </c>
    </row>
    <row r="152">
      <c r="A152" s="8" t="inlineStr">
        <is>
          <t>BÈ 2</t>
        </is>
      </c>
      <c r="B152" s="8" t="inlineStr">
        <is>
          <t>B2-96</t>
        </is>
      </c>
      <c r="C152" s="8" t="inlineStr">
        <is>
          <t>Vuông góc cạnh (hộp chạy từ mép vào trong, cùng phương lực dây)</t>
        </is>
      </c>
      <c r="D152" s="8" t="inlineStr">
        <is>
          <t>B2-D77a</t>
        </is>
      </c>
      <c r="E152" s="8" t="n">
        <v>1</v>
      </c>
      <c r="F152" s="8" t="n">
        <v>146.8</v>
      </c>
      <c r="G152" s="13">
        <f>E152*F152*GiaDinh!$C$18*GiaDinh!$C$17</f>
        <v/>
      </c>
      <c r="H152" s="8">
        <f>GiaDinh!$C$21</f>
        <v/>
      </c>
      <c r="I152" s="8">
        <f>GiaDinh!$C$15</f>
        <v/>
      </c>
      <c r="J152" s="8">
        <f>ROUNDDOWN(I152/H152,0)+1</f>
        <v/>
      </c>
      <c r="K152" s="13">
        <f>J152*GiaDinh!$C$16</f>
        <v/>
      </c>
      <c r="L152" s="8">
        <f>MAX(1,ROUNDUP(G152/K152-0.0005,0))</f>
        <v/>
      </c>
      <c r="M152" s="13">
        <f>L152*I152</f>
        <v/>
      </c>
      <c r="N152" s="8">
        <f>L152*ROUNDUP(I152/GiaDinh!$C$5-0.0005,0)</f>
        <v/>
      </c>
      <c r="O152" s="8">
        <f>L152*(ROUNDUP(I152/GiaDinh!$C$5-0.0005,0)-1)</f>
        <v/>
      </c>
      <c r="P152" s="8">
        <f>L152*J152</f>
        <v/>
      </c>
      <c r="Q152" s="8">
        <f>2*P152</f>
        <v/>
      </c>
      <c r="R152" s="8">
        <f>P152</f>
        <v/>
      </c>
      <c r="S152" s="14">
        <f>M152*GiaDinh!$C$7</f>
        <v/>
      </c>
    </row>
    <row r="153">
      <c r="A153" s="8" t="inlineStr">
        <is>
          <t>BÈ 2</t>
        </is>
      </c>
      <c r="B153" s="8" t="inlineStr">
        <is>
          <t>B2-97</t>
        </is>
      </c>
      <c r="C153" s="8" t="inlineStr">
        <is>
          <t>Vuông góc cạnh (hộp chạy từ mép vào trong, cùng phương lực dây)</t>
        </is>
      </c>
      <c r="D153" s="8" t="inlineStr">
        <is>
          <t>B2-D77b</t>
        </is>
      </c>
      <c r="E153" s="8" t="n">
        <v>1</v>
      </c>
      <c r="F153" s="8" t="n">
        <v>146.8</v>
      </c>
      <c r="G153" s="13">
        <f>E153*F153*GiaDinh!$C$18*GiaDinh!$C$17</f>
        <v/>
      </c>
      <c r="H153" s="8">
        <f>GiaDinh!$C$21</f>
        <v/>
      </c>
      <c r="I153" s="8">
        <f>GiaDinh!$C$15</f>
        <v/>
      </c>
      <c r="J153" s="8">
        <f>ROUNDDOWN(I153/H153,0)+1</f>
        <v/>
      </c>
      <c r="K153" s="13">
        <f>J153*GiaDinh!$C$16</f>
        <v/>
      </c>
      <c r="L153" s="8">
        <f>MAX(1,ROUNDUP(G153/K153-0.0005,0))</f>
        <v/>
      </c>
      <c r="M153" s="13">
        <f>L153*I153</f>
        <v/>
      </c>
      <c r="N153" s="8">
        <f>L153*ROUNDUP(I153/GiaDinh!$C$5-0.0005,0)</f>
        <v/>
      </c>
      <c r="O153" s="8">
        <f>L153*(ROUNDUP(I153/GiaDinh!$C$5-0.0005,0)-1)</f>
        <v/>
      </c>
      <c r="P153" s="8">
        <f>L153*J153</f>
        <v/>
      </c>
      <c r="Q153" s="8">
        <f>2*P153</f>
        <v/>
      </c>
      <c r="R153" s="8">
        <f>P153</f>
        <v/>
      </c>
      <c r="S153" s="14">
        <f>M153*GiaDinh!$C$7</f>
        <v/>
      </c>
    </row>
    <row r="154">
      <c r="A154" s="8" t="inlineStr">
        <is>
          <t>BÈ 2</t>
        </is>
      </c>
      <c r="B154" s="8" t="inlineStr">
        <is>
          <t>B2-98</t>
        </is>
      </c>
      <c r="C154" s="8" t="inlineStr">
        <is>
          <t>Vuông góc cạnh (hộp chạy từ mép vào trong, cùng phương lực dây)</t>
        </is>
      </c>
      <c r="D154" s="8" t="inlineStr">
        <is>
          <t>B2-D79a</t>
        </is>
      </c>
      <c r="E154" s="8" t="n">
        <v>1</v>
      </c>
      <c r="F154" s="8" t="n">
        <v>146.8</v>
      </c>
      <c r="G154" s="13">
        <f>E154*F154*GiaDinh!$C$18*GiaDinh!$C$17</f>
        <v/>
      </c>
      <c r="H154" s="8">
        <f>GiaDinh!$C$21</f>
        <v/>
      </c>
      <c r="I154" s="8">
        <f>GiaDinh!$C$15</f>
        <v/>
      </c>
      <c r="J154" s="8">
        <f>ROUNDDOWN(I154/H154,0)+1</f>
        <v/>
      </c>
      <c r="K154" s="13">
        <f>J154*GiaDinh!$C$16</f>
        <v/>
      </c>
      <c r="L154" s="8">
        <f>MAX(1,ROUNDUP(G154/K154-0.0005,0))</f>
        <v/>
      </c>
      <c r="M154" s="13">
        <f>L154*I154</f>
        <v/>
      </c>
      <c r="N154" s="8">
        <f>L154*ROUNDUP(I154/GiaDinh!$C$5-0.0005,0)</f>
        <v/>
      </c>
      <c r="O154" s="8">
        <f>L154*(ROUNDUP(I154/GiaDinh!$C$5-0.0005,0)-1)</f>
        <v/>
      </c>
      <c r="P154" s="8">
        <f>L154*J154</f>
        <v/>
      </c>
      <c r="Q154" s="8">
        <f>2*P154</f>
        <v/>
      </c>
      <c r="R154" s="8">
        <f>P154</f>
        <v/>
      </c>
      <c r="S154" s="14">
        <f>M154*GiaDinh!$C$7</f>
        <v/>
      </c>
    </row>
    <row r="155">
      <c r="A155" s="8" t="inlineStr">
        <is>
          <t>BÈ 2</t>
        </is>
      </c>
      <c r="B155" s="8" t="inlineStr">
        <is>
          <t>B2-99</t>
        </is>
      </c>
      <c r="C155" s="8" t="inlineStr">
        <is>
          <t>Vuông góc cạnh (hộp chạy từ mép vào trong, cùng phương lực dây)</t>
        </is>
      </c>
      <c r="D155" s="8" t="inlineStr">
        <is>
          <t>B2-D79b</t>
        </is>
      </c>
      <c r="E155" s="8" t="n">
        <v>1</v>
      </c>
      <c r="F155" s="8" t="n">
        <v>146.8</v>
      </c>
      <c r="G155" s="13">
        <f>E155*F155*GiaDinh!$C$18*GiaDinh!$C$17</f>
        <v/>
      </c>
      <c r="H155" s="8">
        <f>GiaDinh!$C$21</f>
        <v/>
      </c>
      <c r="I155" s="8">
        <f>GiaDinh!$C$15</f>
        <v/>
      </c>
      <c r="J155" s="8">
        <f>ROUNDDOWN(I155/H155,0)+1</f>
        <v/>
      </c>
      <c r="K155" s="13">
        <f>J155*GiaDinh!$C$16</f>
        <v/>
      </c>
      <c r="L155" s="8">
        <f>MAX(1,ROUNDUP(G155/K155-0.0005,0))</f>
        <v/>
      </c>
      <c r="M155" s="13">
        <f>L155*I155</f>
        <v/>
      </c>
      <c r="N155" s="8">
        <f>L155*ROUNDUP(I155/GiaDinh!$C$5-0.0005,0)</f>
        <v/>
      </c>
      <c r="O155" s="8">
        <f>L155*(ROUNDUP(I155/GiaDinh!$C$5-0.0005,0)-1)</f>
        <v/>
      </c>
      <c r="P155" s="8">
        <f>L155*J155</f>
        <v/>
      </c>
      <c r="Q155" s="8">
        <f>2*P155</f>
        <v/>
      </c>
      <c r="R155" s="8">
        <f>P155</f>
        <v/>
      </c>
      <c r="S155" s="14">
        <f>M155*GiaDinh!$C$7</f>
        <v/>
      </c>
    </row>
    <row r="156">
      <c r="A156" s="8" t="inlineStr">
        <is>
          <t>BÈ 3</t>
        </is>
      </c>
      <c r="B156" s="8" t="inlineStr">
        <is>
          <t>B3-01</t>
        </is>
      </c>
      <c r="C156" s="8" t="inlineStr">
        <is>
          <t>Dọc cạnh (hộp song song mép bè, cách mép 1 hàng phao)</t>
        </is>
      </c>
      <c r="D156" s="8" t="inlineStr">
        <is>
          <t>B3-D09a, B3-D09b, B3-D30a, B3-D30b, B3-D10a</t>
        </is>
      </c>
      <c r="E156" s="8" t="n">
        <v>5</v>
      </c>
      <c r="F156" s="8" t="n">
        <v>51.5</v>
      </c>
      <c r="G156" s="13">
        <f>E156*F156*GiaDinh!$C$18*GiaDinh!$C$17</f>
        <v/>
      </c>
      <c r="H156" s="8">
        <f>GiaDinh!$C$21</f>
        <v/>
      </c>
      <c r="I156" s="8">
        <f>GiaDinh!$C$15</f>
        <v/>
      </c>
      <c r="J156" s="8">
        <f>ROUNDDOWN(I156/H156,0)+1</f>
        <v/>
      </c>
      <c r="K156" s="13">
        <f>J156*GiaDinh!$C$16</f>
        <v/>
      </c>
      <c r="L156" s="8">
        <f>MAX(1,ROUNDUP(G156/K156-0.0005,0))</f>
        <v/>
      </c>
      <c r="M156" s="13">
        <f>L156*I156</f>
        <v/>
      </c>
      <c r="N156" s="8">
        <f>L156*ROUNDUP(I156/GiaDinh!$C$5-0.0005,0)</f>
        <v/>
      </c>
      <c r="O156" s="8">
        <f>L156*(ROUNDUP(I156/GiaDinh!$C$5-0.0005,0)-1)</f>
        <v/>
      </c>
      <c r="P156" s="8">
        <f>L156*J156</f>
        <v/>
      </c>
      <c r="Q156" s="8">
        <f>2*P156</f>
        <v/>
      </c>
      <c r="R156" s="8">
        <f>P156</f>
        <v/>
      </c>
      <c r="S156" s="14">
        <f>M156*GiaDinh!$C$7</f>
        <v/>
      </c>
    </row>
    <row r="157">
      <c r="A157" s="8" t="inlineStr">
        <is>
          <t>BÈ 3</t>
        </is>
      </c>
      <c r="B157" s="8" t="inlineStr">
        <is>
          <t>B3-02</t>
        </is>
      </c>
      <c r="C157" s="8" t="inlineStr">
        <is>
          <t>Dọc cạnh (hộp song song mép bè, cách mép 1 hàng phao)</t>
        </is>
      </c>
      <c r="D157" s="8" t="inlineStr">
        <is>
          <t>B3-D10b, B3-D11a</t>
        </is>
      </c>
      <c r="E157" s="8" t="n">
        <v>2</v>
      </c>
      <c r="F157" s="8" t="n">
        <v>51.5</v>
      </c>
      <c r="G157" s="13">
        <f>E157*F157*GiaDinh!$C$18*GiaDinh!$C$17</f>
        <v/>
      </c>
      <c r="H157" s="8">
        <f>GiaDinh!$C$21</f>
        <v/>
      </c>
      <c r="I157" s="8">
        <f>GiaDinh!$C$15</f>
        <v/>
      </c>
      <c r="J157" s="8">
        <f>ROUNDDOWN(I157/H157,0)+1</f>
        <v/>
      </c>
      <c r="K157" s="13">
        <f>J157*GiaDinh!$C$16</f>
        <v/>
      </c>
      <c r="L157" s="8">
        <f>MAX(1,ROUNDUP(G157/K157-0.0005,0))</f>
        <v/>
      </c>
      <c r="M157" s="13">
        <f>L157*I157</f>
        <v/>
      </c>
      <c r="N157" s="8">
        <f>L157*ROUNDUP(I157/GiaDinh!$C$5-0.0005,0)</f>
        <v/>
      </c>
      <c r="O157" s="8">
        <f>L157*(ROUNDUP(I157/GiaDinh!$C$5-0.0005,0)-1)</f>
        <v/>
      </c>
      <c r="P157" s="8">
        <f>L157*J157</f>
        <v/>
      </c>
      <c r="Q157" s="8">
        <f>2*P157</f>
        <v/>
      </c>
      <c r="R157" s="8">
        <f>P157</f>
        <v/>
      </c>
      <c r="S157" s="14">
        <f>M157*GiaDinh!$C$7</f>
        <v/>
      </c>
    </row>
    <row r="158">
      <c r="A158" s="8" t="inlineStr">
        <is>
          <t>BÈ 3</t>
        </is>
      </c>
      <c r="B158" s="8" t="inlineStr">
        <is>
          <t>B3-03</t>
        </is>
      </c>
      <c r="C158" s="8" t="inlineStr">
        <is>
          <t>Dọc cạnh (hộp song song mép bè, cách mép 1 hàng phao)</t>
        </is>
      </c>
      <c r="D158" s="8" t="inlineStr">
        <is>
          <t>B3-D11b, B3-D12a</t>
        </is>
      </c>
      <c r="E158" s="8" t="n">
        <v>2</v>
      </c>
      <c r="F158" s="8" t="n">
        <v>51.5</v>
      </c>
      <c r="G158" s="13">
        <f>E158*F158*GiaDinh!$C$18*GiaDinh!$C$17</f>
        <v/>
      </c>
      <c r="H158" s="8">
        <f>GiaDinh!$C$21</f>
        <v/>
      </c>
      <c r="I158" s="8">
        <f>GiaDinh!$C$15</f>
        <v/>
      </c>
      <c r="J158" s="8">
        <f>ROUNDDOWN(I158/H158,0)+1</f>
        <v/>
      </c>
      <c r="K158" s="13">
        <f>J158*GiaDinh!$C$16</f>
        <v/>
      </c>
      <c r="L158" s="8">
        <f>MAX(1,ROUNDUP(G158/K158-0.0005,0))</f>
        <v/>
      </c>
      <c r="M158" s="13">
        <f>L158*I158</f>
        <v/>
      </c>
      <c r="N158" s="8">
        <f>L158*ROUNDUP(I158/GiaDinh!$C$5-0.0005,0)</f>
        <v/>
      </c>
      <c r="O158" s="8">
        <f>L158*(ROUNDUP(I158/GiaDinh!$C$5-0.0005,0)-1)</f>
        <v/>
      </c>
      <c r="P158" s="8">
        <f>L158*J158</f>
        <v/>
      </c>
      <c r="Q158" s="8">
        <f>2*P158</f>
        <v/>
      </c>
      <c r="R158" s="8">
        <f>P158</f>
        <v/>
      </c>
      <c r="S158" s="14">
        <f>M158*GiaDinh!$C$7</f>
        <v/>
      </c>
    </row>
    <row r="159">
      <c r="A159" s="8" t="inlineStr">
        <is>
          <t>BÈ 3</t>
        </is>
      </c>
      <c r="B159" s="8" t="inlineStr">
        <is>
          <t>B3-04</t>
        </is>
      </c>
      <c r="C159" s="8" t="inlineStr">
        <is>
          <t>Dọc cạnh (hộp song song mép bè, cách mép 1 hàng phao)</t>
        </is>
      </c>
      <c r="D159" s="8" t="inlineStr">
        <is>
          <t>B3-D12b, B3-D13a, B3-D13b</t>
        </is>
      </c>
      <c r="E159" s="8" t="n">
        <v>3</v>
      </c>
      <c r="F159" s="8" t="n">
        <v>51.5</v>
      </c>
      <c r="G159" s="13">
        <f>E159*F159*GiaDinh!$C$18*GiaDinh!$C$17</f>
        <v/>
      </c>
      <c r="H159" s="8">
        <f>GiaDinh!$C$21</f>
        <v/>
      </c>
      <c r="I159" s="8">
        <f>GiaDinh!$C$15</f>
        <v/>
      </c>
      <c r="J159" s="8">
        <f>ROUNDDOWN(I159/H159,0)+1</f>
        <v/>
      </c>
      <c r="K159" s="13">
        <f>J159*GiaDinh!$C$16</f>
        <v/>
      </c>
      <c r="L159" s="8">
        <f>MAX(1,ROUNDUP(G159/K159-0.0005,0))</f>
        <v/>
      </c>
      <c r="M159" s="13">
        <f>L159*I159</f>
        <v/>
      </c>
      <c r="N159" s="8">
        <f>L159*ROUNDUP(I159/GiaDinh!$C$5-0.0005,0)</f>
        <v/>
      </c>
      <c r="O159" s="8">
        <f>L159*(ROUNDUP(I159/GiaDinh!$C$5-0.0005,0)-1)</f>
        <v/>
      </c>
      <c r="P159" s="8">
        <f>L159*J159</f>
        <v/>
      </c>
      <c r="Q159" s="8">
        <f>2*P159</f>
        <v/>
      </c>
      <c r="R159" s="8">
        <f>P159</f>
        <v/>
      </c>
      <c r="S159" s="14">
        <f>M159*GiaDinh!$C$7</f>
        <v/>
      </c>
    </row>
    <row r="160">
      <c r="A160" s="8" t="inlineStr">
        <is>
          <t>BÈ 3</t>
        </is>
      </c>
      <c r="B160" s="8" t="inlineStr">
        <is>
          <t>B3-05</t>
        </is>
      </c>
      <c r="C160" s="8" t="inlineStr">
        <is>
          <t>Dọc cạnh (hộp song song mép bè, cách mép 1 hàng phao)</t>
        </is>
      </c>
      <c r="D160" s="8" t="inlineStr">
        <is>
          <t>B3-D14a, B3-D14b</t>
        </is>
      </c>
      <c r="E160" s="8" t="n">
        <v>2</v>
      </c>
      <c r="F160" s="8" t="n">
        <v>51.5</v>
      </c>
      <c r="G160" s="13">
        <f>E160*F160*GiaDinh!$C$18*GiaDinh!$C$17</f>
        <v/>
      </c>
      <c r="H160" s="8">
        <f>GiaDinh!$C$21</f>
        <v/>
      </c>
      <c r="I160" s="8">
        <f>GiaDinh!$C$15</f>
        <v/>
      </c>
      <c r="J160" s="8">
        <f>ROUNDDOWN(I160/H160,0)+1</f>
        <v/>
      </c>
      <c r="K160" s="13">
        <f>J160*GiaDinh!$C$16</f>
        <v/>
      </c>
      <c r="L160" s="8">
        <f>MAX(1,ROUNDUP(G160/K160-0.0005,0))</f>
        <v/>
      </c>
      <c r="M160" s="13">
        <f>L160*I160</f>
        <v/>
      </c>
      <c r="N160" s="8">
        <f>L160*ROUNDUP(I160/GiaDinh!$C$5-0.0005,0)</f>
        <v/>
      </c>
      <c r="O160" s="8">
        <f>L160*(ROUNDUP(I160/GiaDinh!$C$5-0.0005,0)-1)</f>
        <v/>
      </c>
      <c r="P160" s="8">
        <f>L160*J160</f>
        <v/>
      </c>
      <c r="Q160" s="8">
        <f>2*P160</f>
        <v/>
      </c>
      <c r="R160" s="8">
        <f>P160</f>
        <v/>
      </c>
      <c r="S160" s="14">
        <f>M160*GiaDinh!$C$7</f>
        <v/>
      </c>
    </row>
    <row r="161">
      <c r="A161" s="8" t="inlineStr">
        <is>
          <t>BÈ 3</t>
        </is>
      </c>
      <c r="B161" s="8" t="inlineStr">
        <is>
          <t>B3-06</t>
        </is>
      </c>
      <c r="C161" s="8" t="inlineStr">
        <is>
          <t>Dọc cạnh (hộp song song mép bè, cách mép 1 hàng phao)</t>
        </is>
      </c>
      <c r="D161" s="8" t="inlineStr">
        <is>
          <t>B3-D15a, B3-D15b, B3-D16a</t>
        </is>
      </c>
      <c r="E161" s="8" t="n">
        <v>3</v>
      </c>
      <c r="F161" s="8" t="n">
        <v>51.5</v>
      </c>
      <c r="G161" s="13">
        <f>E161*F161*GiaDinh!$C$18*GiaDinh!$C$17</f>
        <v/>
      </c>
      <c r="H161" s="8">
        <f>GiaDinh!$C$21</f>
        <v/>
      </c>
      <c r="I161" s="8">
        <f>GiaDinh!$C$15</f>
        <v/>
      </c>
      <c r="J161" s="8">
        <f>ROUNDDOWN(I161/H161,0)+1</f>
        <v/>
      </c>
      <c r="K161" s="13">
        <f>J161*GiaDinh!$C$16</f>
        <v/>
      </c>
      <c r="L161" s="8">
        <f>MAX(1,ROUNDUP(G161/K161-0.0005,0))</f>
        <v/>
      </c>
      <c r="M161" s="13">
        <f>L161*I161</f>
        <v/>
      </c>
      <c r="N161" s="8">
        <f>L161*ROUNDUP(I161/GiaDinh!$C$5-0.0005,0)</f>
        <v/>
      </c>
      <c r="O161" s="8">
        <f>L161*(ROUNDUP(I161/GiaDinh!$C$5-0.0005,0)-1)</f>
        <v/>
      </c>
      <c r="P161" s="8">
        <f>L161*J161</f>
        <v/>
      </c>
      <c r="Q161" s="8">
        <f>2*P161</f>
        <v/>
      </c>
      <c r="R161" s="8">
        <f>P161</f>
        <v/>
      </c>
      <c r="S161" s="14">
        <f>M161*GiaDinh!$C$7</f>
        <v/>
      </c>
    </row>
    <row r="162">
      <c r="A162" s="8" t="inlineStr">
        <is>
          <t>BÈ 3</t>
        </is>
      </c>
      <c r="B162" s="8" t="inlineStr">
        <is>
          <t>B3-07</t>
        </is>
      </c>
      <c r="C162" s="8" t="inlineStr">
        <is>
          <t>Dọc cạnh (hộp song song mép bè, cách mép 1 hàng phao)</t>
        </is>
      </c>
      <c r="D162" s="8" t="inlineStr">
        <is>
          <t>B3-D16b</t>
        </is>
      </c>
      <c r="E162" s="8" t="n">
        <v>1</v>
      </c>
      <c r="F162" s="8" t="n">
        <v>51.5</v>
      </c>
      <c r="G162" s="13">
        <f>E162*F162*GiaDinh!$C$18*GiaDinh!$C$17</f>
        <v/>
      </c>
      <c r="H162" s="8">
        <f>GiaDinh!$C$21</f>
        <v/>
      </c>
      <c r="I162" s="8">
        <f>GiaDinh!$C$15</f>
        <v/>
      </c>
      <c r="J162" s="8">
        <f>ROUNDDOWN(I162/H162,0)+1</f>
        <v/>
      </c>
      <c r="K162" s="13">
        <f>J162*GiaDinh!$C$16</f>
        <v/>
      </c>
      <c r="L162" s="8">
        <f>MAX(1,ROUNDUP(G162/K162-0.0005,0))</f>
        <v/>
      </c>
      <c r="M162" s="13">
        <f>L162*I162</f>
        <v/>
      </c>
      <c r="N162" s="8">
        <f>L162*ROUNDUP(I162/GiaDinh!$C$5-0.0005,0)</f>
        <v/>
      </c>
      <c r="O162" s="8">
        <f>L162*(ROUNDUP(I162/GiaDinh!$C$5-0.0005,0)-1)</f>
        <v/>
      </c>
      <c r="P162" s="8">
        <f>L162*J162</f>
        <v/>
      </c>
      <c r="Q162" s="8">
        <f>2*P162</f>
        <v/>
      </c>
      <c r="R162" s="8">
        <f>P162</f>
        <v/>
      </c>
      <c r="S162" s="14">
        <f>M162*GiaDinh!$C$7</f>
        <v/>
      </c>
    </row>
    <row r="163">
      <c r="A163" s="8" t="inlineStr">
        <is>
          <t>BÈ 3</t>
        </is>
      </c>
      <c r="B163" s="8" t="inlineStr">
        <is>
          <t>B3-08</t>
        </is>
      </c>
      <c r="C163" s="8" t="inlineStr">
        <is>
          <t>Dọc cạnh (hộp song song mép bè, cách mép 1 hàng phao)</t>
        </is>
      </c>
      <c r="D163" s="8" t="inlineStr">
        <is>
          <t>B3-D01a, B3-D05a, B3-D01b, B3-D05b</t>
        </is>
      </c>
      <c r="E163" s="8" t="n">
        <v>4</v>
      </c>
      <c r="F163" s="8" t="n">
        <v>51.5</v>
      </c>
      <c r="G163" s="13">
        <f>E163*F163*GiaDinh!$C$18*GiaDinh!$C$17</f>
        <v/>
      </c>
      <c r="H163" s="8">
        <f>GiaDinh!$C$21</f>
        <v/>
      </c>
      <c r="I163" s="8">
        <f>GiaDinh!$C$15</f>
        <v/>
      </c>
      <c r="J163" s="8">
        <f>ROUNDDOWN(I163/H163,0)+1</f>
        <v/>
      </c>
      <c r="K163" s="13">
        <f>J163*GiaDinh!$C$16</f>
        <v/>
      </c>
      <c r="L163" s="8">
        <f>MAX(1,ROUNDUP(G163/K163-0.0005,0))</f>
        <v/>
      </c>
      <c r="M163" s="13">
        <f>L163*I163</f>
        <v/>
      </c>
      <c r="N163" s="8">
        <f>L163*ROUNDUP(I163/GiaDinh!$C$5-0.0005,0)</f>
        <v/>
      </c>
      <c r="O163" s="8">
        <f>L163*(ROUNDUP(I163/GiaDinh!$C$5-0.0005,0)-1)</f>
        <v/>
      </c>
      <c r="P163" s="8">
        <f>L163*J163</f>
        <v/>
      </c>
      <c r="Q163" s="8">
        <f>2*P163</f>
        <v/>
      </c>
      <c r="R163" s="8">
        <f>P163</f>
        <v/>
      </c>
      <c r="S163" s="14">
        <f>M163*GiaDinh!$C$7</f>
        <v/>
      </c>
    </row>
    <row r="164">
      <c r="A164" s="8" t="inlineStr">
        <is>
          <t>BÈ 3</t>
        </is>
      </c>
      <c r="B164" s="8" t="inlineStr">
        <is>
          <t>B3-09</t>
        </is>
      </c>
      <c r="C164" s="8" t="inlineStr">
        <is>
          <t>Dọc cạnh (hộp song song mép bè, cách mép 1 hàng phao)</t>
        </is>
      </c>
      <c r="D164" s="8" t="inlineStr">
        <is>
          <t>B3-D18a, B3-D18b</t>
        </is>
      </c>
      <c r="E164" s="8" t="n">
        <v>2</v>
      </c>
      <c r="F164" s="8" t="n">
        <v>51.5</v>
      </c>
      <c r="G164" s="13">
        <f>E164*F164*GiaDinh!$C$18*GiaDinh!$C$17</f>
        <v/>
      </c>
      <c r="H164" s="8">
        <f>GiaDinh!$C$21</f>
        <v/>
      </c>
      <c r="I164" s="8">
        <f>GiaDinh!$C$15</f>
        <v/>
      </c>
      <c r="J164" s="8">
        <f>ROUNDDOWN(I164/H164,0)+1</f>
        <v/>
      </c>
      <c r="K164" s="13">
        <f>J164*GiaDinh!$C$16</f>
        <v/>
      </c>
      <c r="L164" s="8">
        <f>MAX(1,ROUNDUP(G164/K164-0.0005,0))</f>
        <v/>
      </c>
      <c r="M164" s="13">
        <f>L164*I164</f>
        <v/>
      </c>
      <c r="N164" s="8">
        <f>L164*ROUNDUP(I164/GiaDinh!$C$5-0.0005,0)</f>
        <v/>
      </c>
      <c r="O164" s="8">
        <f>L164*(ROUNDUP(I164/GiaDinh!$C$5-0.0005,0)-1)</f>
        <v/>
      </c>
      <c r="P164" s="8">
        <f>L164*J164</f>
        <v/>
      </c>
      <c r="Q164" s="8">
        <f>2*P164</f>
        <v/>
      </c>
      <c r="R164" s="8">
        <f>P164</f>
        <v/>
      </c>
      <c r="S164" s="14">
        <f>M164*GiaDinh!$C$7</f>
        <v/>
      </c>
    </row>
    <row r="165">
      <c r="A165" s="8" t="inlineStr">
        <is>
          <t>BÈ 3</t>
        </is>
      </c>
      <c r="B165" s="8" t="inlineStr">
        <is>
          <t>B3-10</t>
        </is>
      </c>
      <c r="C165" s="8" t="inlineStr">
        <is>
          <t>Dọc cạnh (hộp song song mép bè, cách mép 1 hàng phao)</t>
        </is>
      </c>
      <c r="D165" s="8" t="inlineStr">
        <is>
          <t>B3-D19a, B3-D19b</t>
        </is>
      </c>
      <c r="E165" s="8" t="n">
        <v>2</v>
      </c>
      <c r="F165" s="8" t="n">
        <v>51.5</v>
      </c>
      <c r="G165" s="13">
        <f>E165*F165*GiaDinh!$C$18*GiaDinh!$C$17</f>
        <v/>
      </c>
      <c r="H165" s="8">
        <f>GiaDinh!$C$21</f>
        <v/>
      </c>
      <c r="I165" s="8">
        <f>GiaDinh!$C$15</f>
        <v/>
      </c>
      <c r="J165" s="8">
        <f>ROUNDDOWN(I165/H165,0)+1</f>
        <v/>
      </c>
      <c r="K165" s="13">
        <f>J165*GiaDinh!$C$16</f>
        <v/>
      </c>
      <c r="L165" s="8">
        <f>MAX(1,ROUNDUP(G165/K165-0.0005,0))</f>
        <v/>
      </c>
      <c r="M165" s="13">
        <f>L165*I165</f>
        <v/>
      </c>
      <c r="N165" s="8">
        <f>L165*ROUNDUP(I165/GiaDinh!$C$5-0.0005,0)</f>
        <v/>
      </c>
      <c r="O165" s="8">
        <f>L165*(ROUNDUP(I165/GiaDinh!$C$5-0.0005,0)-1)</f>
        <v/>
      </c>
      <c r="P165" s="8">
        <f>L165*J165</f>
        <v/>
      </c>
      <c r="Q165" s="8">
        <f>2*P165</f>
        <v/>
      </c>
      <c r="R165" s="8">
        <f>P165</f>
        <v/>
      </c>
      <c r="S165" s="14">
        <f>M165*GiaDinh!$C$7</f>
        <v/>
      </c>
    </row>
    <row r="166">
      <c r="A166" s="8" t="inlineStr">
        <is>
          <t>BÈ 3</t>
        </is>
      </c>
      <c r="B166" s="8" t="inlineStr">
        <is>
          <t>B3-11</t>
        </is>
      </c>
      <c r="C166" s="8" t="inlineStr">
        <is>
          <t>Dọc cạnh (hộp song song mép bè, cách mép 1 hàng phao)</t>
        </is>
      </c>
      <c r="D166" s="8" t="inlineStr">
        <is>
          <t>B3-D25a, B3-D25b</t>
        </is>
      </c>
      <c r="E166" s="8" t="n">
        <v>2</v>
      </c>
      <c r="F166" s="8" t="n">
        <v>51.5</v>
      </c>
      <c r="G166" s="13">
        <f>E166*F166*GiaDinh!$C$18*GiaDinh!$C$17</f>
        <v/>
      </c>
      <c r="H166" s="8">
        <f>GiaDinh!$C$21</f>
        <v/>
      </c>
      <c r="I166" s="8">
        <f>GiaDinh!$C$15</f>
        <v/>
      </c>
      <c r="J166" s="8">
        <f>ROUNDDOWN(I166/H166,0)+1</f>
        <v/>
      </c>
      <c r="K166" s="13">
        <f>J166*GiaDinh!$C$16</f>
        <v/>
      </c>
      <c r="L166" s="8">
        <f>MAX(1,ROUNDUP(G166/K166-0.0005,0))</f>
        <v/>
      </c>
      <c r="M166" s="13">
        <f>L166*I166</f>
        <v/>
      </c>
      <c r="N166" s="8">
        <f>L166*ROUNDUP(I166/GiaDinh!$C$5-0.0005,0)</f>
        <v/>
      </c>
      <c r="O166" s="8">
        <f>L166*(ROUNDUP(I166/GiaDinh!$C$5-0.0005,0)-1)</f>
        <v/>
      </c>
      <c r="P166" s="8">
        <f>L166*J166</f>
        <v/>
      </c>
      <c r="Q166" s="8">
        <f>2*P166</f>
        <v/>
      </c>
      <c r="R166" s="8">
        <f>P166</f>
        <v/>
      </c>
      <c r="S166" s="14">
        <f>M166*GiaDinh!$C$7</f>
        <v/>
      </c>
    </row>
    <row r="167">
      <c r="A167" s="8" t="inlineStr">
        <is>
          <t>BÈ 3</t>
        </is>
      </c>
      <c r="B167" s="8" t="inlineStr">
        <is>
          <t>B3-12</t>
        </is>
      </c>
      <c r="C167" s="8" t="inlineStr">
        <is>
          <t>Dọc cạnh (hộp song song mép bè, cách mép 1 hàng phao)</t>
        </is>
      </c>
      <c r="D167" s="8" t="inlineStr">
        <is>
          <t>B3-D26a, B3-D26b</t>
        </is>
      </c>
      <c r="E167" s="8" t="n">
        <v>2</v>
      </c>
      <c r="F167" s="8" t="n">
        <v>51.5</v>
      </c>
      <c r="G167" s="13">
        <f>E167*F167*GiaDinh!$C$18*GiaDinh!$C$17</f>
        <v/>
      </c>
      <c r="H167" s="8">
        <f>GiaDinh!$C$21</f>
        <v/>
      </c>
      <c r="I167" s="8">
        <f>GiaDinh!$C$15</f>
        <v/>
      </c>
      <c r="J167" s="8">
        <f>ROUNDDOWN(I167/H167,0)+1</f>
        <v/>
      </c>
      <c r="K167" s="13">
        <f>J167*GiaDinh!$C$16</f>
        <v/>
      </c>
      <c r="L167" s="8">
        <f>MAX(1,ROUNDUP(G167/K167-0.0005,0))</f>
        <v/>
      </c>
      <c r="M167" s="13">
        <f>L167*I167</f>
        <v/>
      </c>
      <c r="N167" s="8">
        <f>L167*ROUNDUP(I167/GiaDinh!$C$5-0.0005,0)</f>
        <v/>
      </c>
      <c r="O167" s="8">
        <f>L167*(ROUNDUP(I167/GiaDinh!$C$5-0.0005,0)-1)</f>
        <v/>
      </c>
      <c r="P167" s="8">
        <f>L167*J167</f>
        <v/>
      </c>
      <c r="Q167" s="8">
        <f>2*P167</f>
        <v/>
      </c>
      <c r="R167" s="8">
        <f>P167</f>
        <v/>
      </c>
      <c r="S167" s="14">
        <f>M167*GiaDinh!$C$7</f>
        <v/>
      </c>
    </row>
    <row r="168">
      <c r="A168" s="8" t="inlineStr">
        <is>
          <t>BÈ 3</t>
        </is>
      </c>
      <c r="B168" s="8" t="inlineStr">
        <is>
          <t>B3-13</t>
        </is>
      </c>
      <c r="C168" s="8" t="inlineStr">
        <is>
          <t>Dọc cạnh (hộp song song mép bè, cách mép 1 hàng phao)</t>
        </is>
      </c>
      <c r="D168" s="8" t="inlineStr">
        <is>
          <t>B3-D27a, B3-D27b</t>
        </is>
      </c>
      <c r="E168" s="8" t="n">
        <v>2</v>
      </c>
      <c r="F168" s="8" t="n">
        <v>51.5</v>
      </c>
      <c r="G168" s="13">
        <f>E168*F168*GiaDinh!$C$18*GiaDinh!$C$17</f>
        <v/>
      </c>
      <c r="H168" s="8">
        <f>GiaDinh!$C$21</f>
        <v/>
      </c>
      <c r="I168" s="8">
        <f>GiaDinh!$C$15</f>
        <v/>
      </c>
      <c r="J168" s="8">
        <f>ROUNDDOWN(I168/H168,0)+1</f>
        <v/>
      </c>
      <c r="K168" s="13">
        <f>J168*GiaDinh!$C$16</f>
        <v/>
      </c>
      <c r="L168" s="8">
        <f>MAX(1,ROUNDUP(G168/K168-0.0005,0))</f>
        <v/>
      </c>
      <c r="M168" s="13">
        <f>L168*I168</f>
        <v/>
      </c>
      <c r="N168" s="8">
        <f>L168*ROUNDUP(I168/GiaDinh!$C$5-0.0005,0)</f>
        <v/>
      </c>
      <c r="O168" s="8">
        <f>L168*(ROUNDUP(I168/GiaDinh!$C$5-0.0005,0)-1)</f>
        <v/>
      </c>
      <c r="P168" s="8">
        <f>L168*J168</f>
        <v/>
      </c>
      <c r="Q168" s="8">
        <f>2*P168</f>
        <v/>
      </c>
      <c r="R168" s="8">
        <f>P168</f>
        <v/>
      </c>
      <c r="S168" s="14">
        <f>M168*GiaDinh!$C$7</f>
        <v/>
      </c>
    </row>
    <row r="169">
      <c r="A169" s="8" t="inlineStr">
        <is>
          <t>BÈ 3</t>
        </is>
      </c>
      <c r="B169" s="8" t="inlineStr">
        <is>
          <t>B3-14</t>
        </is>
      </c>
      <c r="C169" s="8" t="inlineStr">
        <is>
          <t>Dọc cạnh (hộp song song mép bè, cách mép 1 hàng phao)</t>
        </is>
      </c>
      <c r="D169" s="8" t="inlineStr">
        <is>
          <t>B3-D28a, B3-D28b</t>
        </is>
      </c>
      <c r="E169" s="8" t="n">
        <v>2</v>
      </c>
      <c r="F169" s="8" t="n">
        <v>51.5</v>
      </c>
      <c r="G169" s="13">
        <f>E169*F169*GiaDinh!$C$18*GiaDinh!$C$17</f>
        <v/>
      </c>
      <c r="H169" s="8">
        <f>GiaDinh!$C$21</f>
        <v/>
      </c>
      <c r="I169" s="8">
        <f>GiaDinh!$C$15</f>
        <v/>
      </c>
      <c r="J169" s="8">
        <f>ROUNDDOWN(I169/H169,0)+1</f>
        <v/>
      </c>
      <c r="K169" s="13">
        <f>J169*GiaDinh!$C$16</f>
        <v/>
      </c>
      <c r="L169" s="8">
        <f>MAX(1,ROUNDUP(G169/K169-0.0005,0))</f>
        <v/>
      </c>
      <c r="M169" s="13">
        <f>L169*I169</f>
        <v/>
      </c>
      <c r="N169" s="8">
        <f>L169*ROUNDUP(I169/GiaDinh!$C$5-0.0005,0)</f>
        <v/>
      </c>
      <c r="O169" s="8">
        <f>L169*(ROUNDUP(I169/GiaDinh!$C$5-0.0005,0)-1)</f>
        <v/>
      </c>
      <c r="P169" s="8">
        <f>L169*J169</f>
        <v/>
      </c>
      <c r="Q169" s="8">
        <f>2*P169</f>
        <v/>
      </c>
      <c r="R169" s="8">
        <f>P169</f>
        <v/>
      </c>
      <c r="S169" s="14">
        <f>M169*GiaDinh!$C$7</f>
        <v/>
      </c>
    </row>
    <row r="170">
      <c r="A170" s="8" t="inlineStr">
        <is>
          <t>BÈ 3</t>
        </is>
      </c>
      <c r="B170" s="8" t="inlineStr">
        <is>
          <t>B3-15</t>
        </is>
      </c>
      <c r="C170" s="8" t="inlineStr">
        <is>
          <t>Dọc cạnh (hộp song song mép bè, cách mép 1 hàng phao)</t>
        </is>
      </c>
      <c r="D170" s="8" t="inlineStr">
        <is>
          <t>B3-D29a, B3-D29b</t>
        </is>
      </c>
      <c r="E170" s="8" t="n">
        <v>2</v>
      </c>
      <c r="F170" s="8" t="n">
        <v>51.5</v>
      </c>
      <c r="G170" s="13">
        <f>E170*F170*GiaDinh!$C$18*GiaDinh!$C$17</f>
        <v/>
      </c>
      <c r="H170" s="8">
        <f>GiaDinh!$C$21</f>
        <v/>
      </c>
      <c r="I170" s="8">
        <f>GiaDinh!$C$15</f>
        <v/>
      </c>
      <c r="J170" s="8">
        <f>ROUNDDOWN(I170/H170,0)+1</f>
        <v/>
      </c>
      <c r="K170" s="13">
        <f>J170*GiaDinh!$C$16</f>
        <v/>
      </c>
      <c r="L170" s="8">
        <f>MAX(1,ROUNDUP(G170/K170-0.0005,0))</f>
        <v/>
      </c>
      <c r="M170" s="13">
        <f>L170*I170</f>
        <v/>
      </c>
      <c r="N170" s="8">
        <f>L170*ROUNDUP(I170/GiaDinh!$C$5-0.0005,0)</f>
        <v/>
      </c>
      <c r="O170" s="8">
        <f>L170*(ROUNDUP(I170/GiaDinh!$C$5-0.0005,0)-1)</f>
        <v/>
      </c>
      <c r="P170" s="8">
        <f>L170*J170</f>
        <v/>
      </c>
      <c r="Q170" s="8">
        <f>2*P170</f>
        <v/>
      </c>
      <c r="R170" s="8">
        <f>P170</f>
        <v/>
      </c>
      <c r="S170" s="14">
        <f>M170*GiaDinh!$C$7</f>
        <v/>
      </c>
    </row>
    <row r="171">
      <c r="A171" s="8" t="inlineStr">
        <is>
          <t>BÈ 3</t>
        </is>
      </c>
      <c r="B171" s="8" t="inlineStr">
        <is>
          <t>B3-16</t>
        </is>
      </c>
      <c r="C171" s="8" t="inlineStr">
        <is>
          <t>Vuông góc cạnh (hộp chạy từ mép vào trong, cùng phương lực dây)</t>
        </is>
      </c>
      <c r="D171" s="8" t="inlineStr">
        <is>
          <t>B3-D02a</t>
        </is>
      </c>
      <c r="E171" s="8" t="n">
        <v>1</v>
      </c>
      <c r="F171" s="8" t="n">
        <v>51.5</v>
      </c>
      <c r="G171" s="13">
        <f>E171*F171*GiaDinh!$C$18*GiaDinh!$C$17</f>
        <v/>
      </c>
      <c r="H171" s="8">
        <f>GiaDinh!$C$21</f>
        <v/>
      </c>
      <c r="I171" s="8">
        <f>GiaDinh!$C$15</f>
        <v/>
      </c>
      <c r="J171" s="8">
        <f>ROUNDDOWN(I171/H171,0)+1</f>
        <v/>
      </c>
      <c r="K171" s="13">
        <f>J171*GiaDinh!$C$16</f>
        <v/>
      </c>
      <c r="L171" s="8">
        <f>MAX(1,ROUNDUP(G171/K171-0.0005,0))</f>
        <v/>
      </c>
      <c r="M171" s="13">
        <f>L171*I171</f>
        <v/>
      </c>
      <c r="N171" s="8">
        <f>L171*ROUNDUP(I171/GiaDinh!$C$5-0.0005,0)</f>
        <v/>
      </c>
      <c r="O171" s="8">
        <f>L171*(ROUNDUP(I171/GiaDinh!$C$5-0.0005,0)-1)</f>
        <v/>
      </c>
      <c r="P171" s="8">
        <f>L171*J171</f>
        <v/>
      </c>
      <c r="Q171" s="8">
        <f>2*P171</f>
        <v/>
      </c>
      <c r="R171" s="8">
        <f>P171</f>
        <v/>
      </c>
      <c r="S171" s="14">
        <f>M171*GiaDinh!$C$7</f>
        <v/>
      </c>
    </row>
    <row r="172">
      <c r="A172" s="8" t="inlineStr">
        <is>
          <t>BÈ 3</t>
        </is>
      </c>
      <c r="B172" s="8" t="inlineStr">
        <is>
          <t>B3-17</t>
        </is>
      </c>
      <c r="C172" s="8" t="inlineStr">
        <is>
          <t>Vuông góc cạnh (hộp chạy từ mép vào trong, cùng phương lực dây)</t>
        </is>
      </c>
      <c r="D172" s="8" t="inlineStr">
        <is>
          <t>B3-D02b</t>
        </is>
      </c>
      <c r="E172" s="8" t="n">
        <v>1</v>
      </c>
      <c r="F172" s="8" t="n">
        <v>51.5</v>
      </c>
      <c r="G172" s="13">
        <f>E172*F172*GiaDinh!$C$18*GiaDinh!$C$17</f>
        <v/>
      </c>
      <c r="H172" s="8">
        <f>GiaDinh!$C$21</f>
        <v/>
      </c>
      <c r="I172" s="8">
        <f>GiaDinh!$C$15</f>
        <v/>
      </c>
      <c r="J172" s="8">
        <f>ROUNDDOWN(I172/H172,0)+1</f>
        <v/>
      </c>
      <c r="K172" s="13">
        <f>J172*GiaDinh!$C$16</f>
        <v/>
      </c>
      <c r="L172" s="8">
        <f>MAX(1,ROUNDUP(G172/K172-0.0005,0))</f>
        <v/>
      </c>
      <c r="M172" s="13">
        <f>L172*I172</f>
        <v/>
      </c>
      <c r="N172" s="8">
        <f>L172*ROUNDUP(I172/GiaDinh!$C$5-0.0005,0)</f>
        <v/>
      </c>
      <c r="O172" s="8">
        <f>L172*(ROUNDUP(I172/GiaDinh!$C$5-0.0005,0)-1)</f>
        <v/>
      </c>
      <c r="P172" s="8">
        <f>L172*J172</f>
        <v/>
      </c>
      <c r="Q172" s="8">
        <f>2*P172</f>
        <v/>
      </c>
      <c r="R172" s="8">
        <f>P172</f>
        <v/>
      </c>
      <c r="S172" s="14">
        <f>M172*GiaDinh!$C$7</f>
        <v/>
      </c>
    </row>
    <row r="173">
      <c r="A173" s="8" t="inlineStr">
        <is>
          <t>BÈ 3</t>
        </is>
      </c>
      <c r="B173" s="8" t="inlineStr">
        <is>
          <t>B3-18</t>
        </is>
      </c>
      <c r="C173" s="8" t="inlineStr">
        <is>
          <t>Vuông góc cạnh (hộp chạy từ mép vào trong, cùng phương lực dây)</t>
        </is>
      </c>
      <c r="D173" s="8" t="inlineStr">
        <is>
          <t>B3-D03a</t>
        </is>
      </c>
      <c r="E173" s="8" t="n">
        <v>1</v>
      </c>
      <c r="F173" s="8" t="n">
        <v>51.5</v>
      </c>
      <c r="G173" s="13">
        <f>E173*F173*GiaDinh!$C$18*GiaDinh!$C$17</f>
        <v/>
      </c>
      <c r="H173" s="8">
        <f>GiaDinh!$C$21</f>
        <v/>
      </c>
      <c r="I173" s="8">
        <f>GiaDinh!$C$15</f>
        <v/>
      </c>
      <c r="J173" s="8">
        <f>ROUNDDOWN(I173/H173,0)+1</f>
        <v/>
      </c>
      <c r="K173" s="13">
        <f>J173*GiaDinh!$C$16</f>
        <v/>
      </c>
      <c r="L173" s="8">
        <f>MAX(1,ROUNDUP(G173/K173-0.0005,0))</f>
        <v/>
      </c>
      <c r="M173" s="13">
        <f>L173*I173</f>
        <v/>
      </c>
      <c r="N173" s="8">
        <f>L173*ROUNDUP(I173/GiaDinh!$C$5-0.0005,0)</f>
        <v/>
      </c>
      <c r="O173" s="8">
        <f>L173*(ROUNDUP(I173/GiaDinh!$C$5-0.0005,0)-1)</f>
        <v/>
      </c>
      <c r="P173" s="8">
        <f>L173*J173</f>
        <v/>
      </c>
      <c r="Q173" s="8">
        <f>2*P173</f>
        <v/>
      </c>
      <c r="R173" s="8">
        <f>P173</f>
        <v/>
      </c>
      <c r="S173" s="14">
        <f>M173*GiaDinh!$C$7</f>
        <v/>
      </c>
    </row>
    <row r="174">
      <c r="A174" s="8" t="inlineStr">
        <is>
          <t>BÈ 3</t>
        </is>
      </c>
      <c r="B174" s="8" t="inlineStr">
        <is>
          <t>B3-19</t>
        </is>
      </c>
      <c r="C174" s="8" t="inlineStr">
        <is>
          <t>Vuông góc cạnh (hộp chạy từ mép vào trong, cùng phương lực dây)</t>
        </is>
      </c>
      <c r="D174" s="8" t="inlineStr">
        <is>
          <t>B3-D03b</t>
        </is>
      </c>
      <c r="E174" s="8" t="n">
        <v>1</v>
      </c>
      <c r="F174" s="8" t="n">
        <v>51.5</v>
      </c>
      <c r="G174" s="13">
        <f>E174*F174*GiaDinh!$C$18*GiaDinh!$C$17</f>
        <v/>
      </c>
      <c r="H174" s="8">
        <f>GiaDinh!$C$21</f>
        <v/>
      </c>
      <c r="I174" s="8">
        <f>GiaDinh!$C$15</f>
        <v/>
      </c>
      <c r="J174" s="8">
        <f>ROUNDDOWN(I174/H174,0)+1</f>
        <v/>
      </c>
      <c r="K174" s="13">
        <f>J174*GiaDinh!$C$16</f>
        <v/>
      </c>
      <c r="L174" s="8">
        <f>MAX(1,ROUNDUP(G174/K174-0.0005,0))</f>
        <v/>
      </c>
      <c r="M174" s="13">
        <f>L174*I174</f>
        <v/>
      </c>
      <c r="N174" s="8">
        <f>L174*ROUNDUP(I174/GiaDinh!$C$5-0.0005,0)</f>
        <v/>
      </c>
      <c r="O174" s="8">
        <f>L174*(ROUNDUP(I174/GiaDinh!$C$5-0.0005,0)-1)</f>
        <v/>
      </c>
      <c r="P174" s="8">
        <f>L174*J174</f>
        <v/>
      </c>
      <c r="Q174" s="8">
        <f>2*P174</f>
        <v/>
      </c>
      <c r="R174" s="8">
        <f>P174</f>
        <v/>
      </c>
      <c r="S174" s="14">
        <f>M174*GiaDinh!$C$7</f>
        <v/>
      </c>
    </row>
    <row r="175">
      <c r="A175" s="8" t="inlineStr">
        <is>
          <t>BÈ 3</t>
        </is>
      </c>
      <c r="B175" s="8" t="inlineStr">
        <is>
          <t>B3-20</t>
        </is>
      </c>
      <c r="C175" s="8" t="inlineStr">
        <is>
          <t>Vuông góc cạnh (hộp chạy từ mép vào trong, cùng phương lực dây)</t>
        </is>
      </c>
      <c r="D175" s="8" t="inlineStr">
        <is>
          <t>B3-D04a</t>
        </is>
      </c>
      <c r="E175" s="8" t="n">
        <v>1</v>
      </c>
      <c r="F175" s="8" t="n">
        <v>51.5</v>
      </c>
      <c r="G175" s="13">
        <f>E175*F175*GiaDinh!$C$18*GiaDinh!$C$17</f>
        <v/>
      </c>
      <c r="H175" s="8">
        <f>GiaDinh!$C$21</f>
        <v/>
      </c>
      <c r="I175" s="8">
        <f>GiaDinh!$C$15</f>
        <v/>
      </c>
      <c r="J175" s="8">
        <f>ROUNDDOWN(I175/H175,0)+1</f>
        <v/>
      </c>
      <c r="K175" s="13">
        <f>J175*GiaDinh!$C$16</f>
        <v/>
      </c>
      <c r="L175" s="8">
        <f>MAX(1,ROUNDUP(G175/K175-0.0005,0))</f>
        <v/>
      </c>
      <c r="M175" s="13">
        <f>L175*I175</f>
        <v/>
      </c>
      <c r="N175" s="8">
        <f>L175*ROUNDUP(I175/GiaDinh!$C$5-0.0005,0)</f>
        <v/>
      </c>
      <c r="O175" s="8">
        <f>L175*(ROUNDUP(I175/GiaDinh!$C$5-0.0005,0)-1)</f>
        <v/>
      </c>
      <c r="P175" s="8">
        <f>L175*J175</f>
        <v/>
      </c>
      <c r="Q175" s="8">
        <f>2*P175</f>
        <v/>
      </c>
      <c r="R175" s="8">
        <f>P175</f>
        <v/>
      </c>
      <c r="S175" s="14">
        <f>M175*GiaDinh!$C$7</f>
        <v/>
      </c>
    </row>
    <row r="176">
      <c r="A176" s="8" t="inlineStr">
        <is>
          <t>BÈ 3</t>
        </is>
      </c>
      <c r="B176" s="8" t="inlineStr">
        <is>
          <t>B3-21</t>
        </is>
      </c>
      <c r="C176" s="8" t="inlineStr">
        <is>
          <t>Vuông góc cạnh (hộp chạy từ mép vào trong, cùng phương lực dây)</t>
        </is>
      </c>
      <c r="D176" s="8" t="inlineStr">
        <is>
          <t>B3-D04b</t>
        </is>
      </c>
      <c r="E176" s="8" t="n">
        <v>1</v>
      </c>
      <c r="F176" s="8" t="n">
        <v>51.5</v>
      </c>
      <c r="G176" s="13">
        <f>E176*F176*GiaDinh!$C$18*GiaDinh!$C$17</f>
        <v/>
      </c>
      <c r="H176" s="8">
        <f>GiaDinh!$C$21</f>
        <v/>
      </c>
      <c r="I176" s="8">
        <f>GiaDinh!$C$15</f>
        <v/>
      </c>
      <c r="J176" s="8">
        <f>ROUNDDOWN(I176/H176,0)+1</f>
        <v/>
      </c>
      <c r="K176" s="13">
        <f>J176*GiaDinh!$C$16</f>
        <v/>
      </c>
      <c r="L176" s="8">
        <f>MAX(1,ROUNDUP(G176/K176-0.0005,0))</f>
        <v/>
      </c>
      <c r="M176" s="13">
        <f>L176*I176</f>
        <v/>
      </c>
      <c r="N176" s="8">
        <f>L176*ROUNDUP(I176/GiaDinh!$C$5-0.0005,0)</f>
        <v/>
      </c>
      <c r="O176" s="8">
        <f>L176*(ROUNDUP(I176/GiaDinh!$C$5-0.0005,0)-1)</f>
        <v/>
      </c>
      <c r="P176" s="8">
        <f>L176*J176</f>
        <v/>
      </c>
      <c r="Q176" s="8">
        <f>2*P176</f>
        <v/>
      </c>
      <c r="R176" s="8">
        <f>P176</f>
        <v/>
      </c>
      <c r="S176" s="14">
        <f>M176*GiaDinh!$C$7</f>
        <v/>
      </c>
    </row>
    <row r="177">
      <c r="A177" s="8" t="inlineStr">
        <is>
          <t>BÈ 3</t>
        </is>
      </c>
      <c r="B177" s="8" t="inlineStr">
        <is>
          <t>B3-22</t>
        </is>
      </c>
      <c r="C177" s="8" t="inlineStr">
        <is>
          <t>Vuông góc cạnh (hộp chạy từ mép vào trong, cùng phương lực dây)</t>
        </is>
      </c>
      <c r="D177" s="8" t="inlineStr">
        <is>
          <t>B3-D06a</t>
        </is>
      </c>
      <c r="E177" s="8" t="n">
        <v>1</v>
      </c>
      <c r="F177" s="8" t="n">
        <v>51.5</v>
      </c>
      <c r="G177" s="13">
        <f>E177*F177*GiaDinh!$C$18*GiaDinh!$C$17</f>
        <v/>
      </c>
      <c r="H177" s="8">
        <f>GiaDinh!$C$21</f>
        <v/>
      </c>
      <c r="I177" s="8">
        <f>GiaDinh!$C$15</f>
        <v/>
      </c>
      <c r="J177" s="8">
        <f>ROUNDDOWN(I177/H177,0)+1</f>
        <v/>
      </c>
      <c r="K177" s="13">
        <f>J177*GiaDinh!$C$16</f>
        <v/>
      </c>
      <c r="L177" s="8">
        <f>MAX(1,ROUNDUP(G177/K177-0.0005,0))</f>
        <v/>
      </c>
      <c r="M177" s="13">
        <f>L177*I177</f>
        <v/>
      </c>
      <c r="N177" s="8">
        <f>L177*ROUNDUP(I177/GiaDinh!$C$5-0.0005,0)</f>
        <v/>
      </c>
      <c r="O177" s="8">
        <f>L177*(ROUNDUP(I177/GiaDinh!$C$5-0.0005,0)-1)</f>
        <v/>
      </c>
      <c r="P177" s="8">
        <f>L177*J177</f>
        <v/>
      </c>
      <c r="Q177" s="8">
        <f>2*P177</f>
        <v/>
      </c>
      <c r="R177" s="8">
        <f>P177</f>
        <v/>
      </c>
      <c r="S177" s="14">
        <f>M177*GiaDinh!$C$7</f>
        <v/>
      </c>
    </row>
    <row r="178">
      <c r="A178" s="8" t="inlineStr">
        <is>
          <t>BÈ 3</t>
        </is>
      </c>
      <c r="B178" s="8" t="inlineStr">
        <is>
          <t>B3-23</t>
        </is>
      </c>
      <c r="C178" s="8" t="inlineStr">
        <is>
          <t>Vuông góc cạnh (hộp chạy từ mép vào trong, cùng phương lực dây)</t>
        </is>
      </c>
      <c r="D178" s="8" t="inlineStr">
        <is>
          <t>B3-D06b</t>
        </is>
      </c>
      <c r="E178" s="8" t="n">
        <v>1</v>
      </c>
      <c r="F178" s="8" t="n">
        <v>51.5</v>
      </c>
      <c r="G178" s="13">
        <f>E178*F178*GiaDinh!$C$18*GiaDinh!$C$17</f>
        <v/>
      </c>
      <c r="H178" s="8">
        <f>GiaDinh!$C$21</f>
        <v/>
      </c>
      <c r="I178" s="8">
        <f>GiaDinh!$C$15</f>
        <v/>
      </c>
      <c r="J178" s="8">
        <f>ROUNDDOWN(I178/H178,0)+1</f>
        <v/>
      </c>
      <c r="K178" s="13">
        <f>J178*GiaDinh!$C$16</f>
        <v/>
      </c>
      <c r="L178" s="8">
        <f>MAX(1,ROUNDUP(G178/K178-0.0005,0))</f>
        <v/>
      </c>
      <c r="M178" s="13">
        <f>L178*I178</f>
        <v/>
      </c>
      <c r="N178" s="8">
        <f>L178*ROUNDUP(I178/GiaDinh!$C$5-0.0005,0)</f>
        <v/>
      </c>
      <c r="O178" s="8">
        <f>L178*(ROUNDUP(I178/GiaDinh!$C$5-0.0005,0)-1)</f>
        <v/>
      </c>
      <c r="P178" s="8">
        <f>L178*J178</f>
        <v/>
      </c>
      <c r="Q178" s="8">
        <f>2*P178</f>
        <v/>
      </c>
      <c r="R178" s="8">
        <f>P178</f>
        <v/>
      </c>
      <c r="S178" s="14">
        <f>M178*GiaDinh!$C$7</f>
        <v/>
      </c>
    </row>
    <row r="179">
      <c r="A179" s="8" t="inlineStr">
        <is>
          <t>BÈ 3</t>
        </is>
      </c>
      <c r="B179" s="8" t="inlineStr">
        <is>
          <t>B3-24</t>
        </is>
      </c>
      <c r="C179" s="8" t="inlineStr">
        <is>
          <t>Vuông góc cạnh (hộp chạy từ mép vào trong, cùng phương lực dây)</t>
        </is>
      </c>
      <c r="D179" s="8" t="inlineStr">
        <is>
          <t>B3-D07a</t>
        </is>
      </c>
      <c r="E179" s="8" t="n">
        <v>1</v>
      </c>
      <c r="F179" s="8" t="n">
        <v>51.5</v>
      </c>
      <c r="G179" s="13">
        <f>E179*F179*GiaDinh!$C$18*GiaDinh!$C$17</f>
        <v/>
      </c>
      <c r="H179" s="8">
        <f>GiaDinh!$C$21</f>
        <v/>
      </c>
      <c r="I179" s="8">
        <f>GiaDinh!$C$15</f>
        <v/>
      </c>
      <c r="J179" s="8">
        <f>ROUNDDOWN(I179/H179,0)+1</f>
        <v/>
      </c>
      <c r="K179" s="13">
        <f>J179*GiaDinh!$C$16</f>
        <v/>
      </c>
      <c r="L179" s="8">
        <f>MAX(1,ROUNDUP(G179/K179-0.0005,0))</f>
        <v/>
      </c>
      <c r="M179" s="13">
        <f>L179*I179</f>
        <v/>
      </c>
      <c r="N179" s="8">
        <f>L179*ROUNDUP(I179/GiaDinh!$C$5-0.0005,0)</f>
        <v/>
      </c>
      <c r="O179" s="8">
        <f>L179*(ROUNDUP(I179/GiaDinh!$C$5-0.0005,0)-1)</f>
        <v/>
      </c>
      <c r="P179" s="8">
        <f>L179*J179</f>
        <v/>
      </c>
      <c r="Q179" s="8">
        <f>2*P179</f>
        <v/>
      </c>
      <c r="R179" s="8">
        <f>P179</f>
        <v/>
      </c>
      <c r="S179" s="14">
        <f>M179*GiaDinh!$C$7</f>
        <v/>
      </c>
    </row>
    <row r="180">
      <c r="A180" s="8" t="inlineStr">
        <is>
          <t>BÈ 3</t>
        </is>
      </c>
      <c r="B180" s="8" t="inlineStr">
        <is>
          <t>B3-25</t>
        </is>
      </c>
      <c r="C180" s="8" t="inlineStr">
        <is>
          <t>Vuông góc cạnh (hộp chạy từ mép vào trong, cùng phương lực dây)</t>
        </is>
      </c>
      <c r="D180" s="8" t="inlineStr">
        <is>
          <t>B3-D07b</t>
        </is>
      </c>
      <c r="E180" s="8" t="n">
        <v>1</v>
      </c>
      <c r="F180" s="8" t="n">
        <v>51.5</v>
      </c>
      <c r="G180" s="13">
        <f>E180*F180*GiaDinh!$C$18*GiaDinh!$C$17</f>
        <v/>
      </c>
      <c r="H180" s="8">
        <f>GiaDinh!$C$21</f>
        <v/>
      </c>
      <c r="I180" s="8">
        <f>GiaDinh!$C$15</f>
        <v/>
      </c>
      <c r="J180" s="8">
        <f>ROUNDDOWN(I180/H180,0)+1</f>
        <v/>
      </c>
      <c r="K180" s="13">
        <f>J180*GiaDinh!$C$16</f>
        <v/>
      </c>
      <c r="L180" s="8">
        <f>MAX(1,ROUNDUP(G180/K180-0.0005,0))</f>
        <v/>
      </c>
      <c r="M180" s="13">
        <f>L180*I180</f>
        <v/>
      </c>
      <c r="N180" s="8">
        <f>L180*ROUNDUP(I180/GiaDinh!$C$5-0.0005,0)</f>
        <v/>
      </c>
      <c r="O180" s="8">
        <f>L180*(ROUNDUP(I180/GiaDinh!$C$5-0.0005,0)-1)</f>
        <v/>
      </c>
      <c r="P180" s="8">
        <f>L180*J180</f>
        <v/>
      </c>
      <c r="Q180" s="8">
        <f>2*P180</f>
        <v/>
      </c>
      <c r="R180" s="8">
        <f>P180</f>
        <v/>
      </c>
      <c r="S180" s="14">
        <f>M180*GiaDinh!$C$7</f>
        <v/>
      </c>
    </row>
    <row r="181">
      <c r="A181" s="8" t="inlineStr">
        <is>
          <t>BÈ 3</t>
        </is>
      </c>
      <c r="B181" s="8" t="inlineStr">
        <is>
          <t>B3-26</t>
        </is>
      </c>
      <c r="C181" s="8" t="inlineStr">
        <is>
          <t>Vuông góc cạnh (hộp chạy từ mép vào trong, cùng phương lực dây)</t>
        </is>
      </c>
      <c r="D181" s="8" t="inlineStr">
        <is>
          <t>B3-D08a</t>
        </is>
      </c>
      <c r="E181" s="8" t="n">
        <v>1</v>
      </c>
      <c r="F181" s="8" t="n">
        <v>51.5</v>
      </c>
      <c r="G181" s="13">
        <f>E181*F181*GiaDinh!$C$18*GiaDinh!$C$17</f>
        <v/>
      </c>
      <c r="H181" s="8">
        <f>GiaDinh!$C$21</f>
        <v/>
      </c>
      <c r="I181" s="8">
        <f>GiaDinh!$C$15</f>
        <v/>
      </c>
      <c r="J181" s="8">
        <f>ROUNDDOWN(I181/H181,0)+1</f>
        <v/>
      </c>
      <c r="K181" s="13">
        <f>J181*GiaDinh!$C$16</f>
        <v/>
      </c>
      <c r="L181" s="8">
        <f>MAX(1,ROUNDUP(G181/K181-0.0005,0))</f>
        <v/>
      </c>
      <c r="M181" s="13">
        <f>L181*I181</f>
        <v/>
      </c>
      <c r="N181" s="8">
        <f>L181*ROUNDUP(I181/GiaDinh!$C$5-0.0005,0)</f>
        <v/>
      </c>
      <c r="O181" s="8">
        <f>L181*(ROUNDUP(I181/GiaDinh!$C$5-0.0005,0)-1)</f>
        <v/>
      </c>
      <c r="P181" s="8">
        <f>L181*J181</f>
        <v/>
      </c>
      <c r="Q181" s="8">
        <f>2*P181</f>
        <v/>
      </c>
      <c r="R181" s="8">
        <f>P181</f>
        <v/>
      </c>
      <c r="S181" s="14">
        <f>M181*GiaDinh!$C$7</f>
        <v/>
      </c>
    </row>
    <row r="182">
      <c r="A182" s="8" t="inlineStr">
        <is>
          <t>BÈ 3</t>
        </is>
      </c>
      <c r="B182" s="8" t="inlineStr">
        <is>
          <t>B3-27</t>
        </is>
      </c>
      <c r="C182" s="8" t="inlineStr">
        <is>
          <t>Vuông góc cạnh (hộp chạy từ mép vào trong, cùng phương lực dây)</t>
        </is>
      </c>
      <c r="D182" s="8" t="inlineStr">
        <is>
          <t>B3-D08b</t>
        </is>
      </c>
      <c r="E182" s="8" t="n">
        <v>1</v>
      </c>
      <c r="F182" s="8" t="n">
        <v>51.5</v>
      </c>
      <c r="G182" s="13">
        <f>E182*F182*GiaDinh!$C$18*GiaDinh!$C$17</f>
        <v/>
      </c>
      <c r="H182" s="8">
        <f>GiaDinh!$C$21</f>
        <v/>
      </c>
      <c r="I182" s="8">
        <f>GiaDinh!$C$15</f>
        <v/>
      </c>
      <c r="J182" s="8">
        <f>ROUNDDOWN(I182/H182,0)+1</f>
        <v/>
      </c>
      <c r="K182" s="13">
        <f>J182*GiaDinh!$C$16</f>
        <v/>
      </c>
      <c r="L182" s="8">
        <f>MAX(1,ROUNDUP(G182/K182-0.0005,0))</f>
        <v/>
      </c>
      <c r="M182" s="13">
        <f>L182*I182</f>
        <v/>
      </c>
      <c r="N182" s="8">
        <f>L182*ROUNDUP(I182/GiaDinh!$C$5-0.0005,0)</f>
        <v/>
      </c>
      <c r="O182" s="8">
        <f>L182*(ROUNDUP(I182/GiaDinh!$C$5-0.0005,0)-1)</f>
        <v/>
      </c>
      <c r="P182" s="8">
        <f>L182*J182</f>
        <v/>
      </c>
      <c r="Q182" s="8">
        <f>2*P182</f>
        <v/>
      </c>
      <c r="R182" s="8">
        <f>P182</f>
        <v/>
      </c>
      <c r="S182" s="14">
        <f>M182*GiaDinh!$C$7</f>
        <v/>
      </c>
    </row>
    <row r="183">
      <c r="A183" s="8" t="inlineStr">
        <is>
          <t>BÈ 3</t>
        </is>
      </c>
      <c r="B183" s="8" t="inlineStr">
        <is>
          <t>B3-28</t>
        </is>
      </c>
      <c r="C183" s="8" t="inlineStr">
        <is>
          <t>Vuông góc cạnh (hộp chạy từ mép vào trong, cùng phương lực dây)</t>
        </is>
      </c>
      <c r="D183" s="8" t="inlineStr">
        <is>
          <t>B3-D17a</t>
        </is>
      </c>
      <c r="E183" s="8" t="n">
        <v>1</v>
      </c>
      <c r="F183" s="8" t="n">
        <v>51.5</v>
      </c>
      <c r="G183" s="13">
        <f>E183*F183*GiaDinh!$C$18*GiaDinh!$C$17</f>
        <v/>
      </c>
      <c r="H183" s="8">
        <f>GiaDinh!$C$21</f>
        <v/>
      </c>
      <c r="I183" s="8">
        <f>GiaDinh!$C$15</f>
        <v/>
      </c>
      <c r="J183" s="8">
        <f>ROUNDDOWN(I183/H183,0)+1</f>
        <v/>
      </c>
      <c r="K183" s="13">
        <f>J183*GiaDinh!$C$16</f>
        <v/>
      </c>
      <c r="L183" s="8">
        <f>MAX(1,ROUNDUP(G183/K183-0.0005,0))</f>
        <v/>
      </c>
      <c r="M183" s="13">
        <f>L183*I183</f>
        <v/>
      </c>
      <c r="N183" s="8">
        <f>L183*ROUNDUP(I183/GiaDinh!$C$5-0.0005,0)</f>
        <v/>
      </c>
      <c r="O183" s="8">
        <f>L183*(ROUNDUP(I183/GiaDinh!$C$5-0.0005,0)-1)</f>
        <v/>
      </c>
      <c r="P183" s="8">
        <f>L183*J183</f>
        <v/>
      </c>
      <c r="Q183" s="8">
        <f>2*P183</f>
        <v/>
      </c>
      <c r="R183" s="8">
        <f>P183</f>
        <v/>
      </c>
      <c r="S183" s="14">
        <f>M183*GiaDinh!$C$7</f>
        <v/>
      </c>
    </row>
    <row r="184">
      <c r="A184" s="8" t="inlineStr">
        <is>
          <t>BÈ 3</t>
        </is>
      </c>
      <c r="B184" s="8" t="inlineStr">
        <is>
          <t>B3-29</t>
        </is>
      </c>
      <c r="C184" s="8" t="inlineStr">
        <is>
          <t>Vuông góc cạnh (hộp chạy từ mép vào trong, cùng phương lực dây)</t>
        </is>
      </c>
      <c r="D184" s="8" t="inlineStr">
        <is>
          <t>B3-D17b</t>
        </is>
      </c>
      <c r="E184" s="8" t="n">
        <v>1</v>
      </c>
      <c r="F184" s="8" t="n">
        <v>51.5</v>
      </c>
      <c r="G184" s="13">
        <f>E184*F184*GiaDinh!$C$18*GiaDinh!$C$17</f>
        <v/>
      </c>
      <c r="H184" s="8">
        <f>GiaDinh!$C$21</f>
        <v/>
      </c>
      <c r="I184" s="8">
        <f>GiaDinh!$C$15</f>
        <v/>
      </c>
      <c r="J184" s="8">
        <f>ROUNDDOWN(I184/H184,0)+1</f>
        <v/>
      </c>
      <c r="K184" s="13">
        <f>J184*GiaDinh!$C$16</f>
        <v/>
      </c>
      <c r="L184" s="8">
        <f>MAX(1,ROUNDUP(G184/K184-0.0005,0))</f>
        <v/>
      </c>
      <c r="M184" s="13">
        <f>L184*I184</f>
        <v/>
      </c>
      <c r="N184" s="8">
        <f>L184*ROUNDUP(I184/GiaDinh!$C$5-0.0005,0)</f>
        <v/>
      </c>
      <c r="O184" s="8">
        <f>L184*(ROUNDUP(I184/GiaDinh!$C$5-0.0005,0)-1)</f>
        <v/>
      </c>
      <c r="P184" s="8">
        <f>L184*J184</f>
        <v/>
      </c>
      <c r="Q184" s="8">
        <f>2*P184</f>
        <v/>
      </c>
      <c r="R184" s="8">
        <f>P184</f>
        <v/>
      </c>
      <c r="S184" s="14">
        <f>M184*GiaDinh!$C$7</f>
        <v/>
      </c>
    </row>
    <row r="185">
      <c r="A185" s="8" t="inlineStr">
        <is>
          <t>BÈ 3</t>
        </is>
      </c>
      <c r="B185" s="8" t="inlineStr">
        <is>
          <t>B3-30</t>
        </is>
      </c>
      <c r="C185" s="8" t="inlineStr">
        <is>
          <t>Vuông góc cạnh (hộp chạy từ mép vào trong, cùng phương lực dây)</t>
        </is>
      </c>
      <c r="D185" s="8" t="inlineStr">
        <is>
          <t>B3-D20a</t>
        </is>
      </c>
      <c r="E185" s="8" t="n">
        <v>1</v>
      </c>
      <c r="F185" s="8" t="n">
        <v>51.5</v>
      </c>
      <c r="G185" s="13">
        <f>E185*F185*GiaDinh!$C$18*GiaDinh!$C$17</f>
        <v/>
      </c>
      <c r="H185" s="8">
        <f>GiaDinh!$C$21</f>
        <v/>
      </c>
      <c r="I185" s="8">
        <f>GiaDinh!$C$15</f>
        <v/>
      </c>
      <c r="J185" s="8">
        <f>ROUNDDOWN(I185/H185,0)+1</f>
        <v/>
      </c>
      <c r="K185" s="13">
        <f>J185*GiaDinh!$C$16</f>
        <v/>
      </c>
      <c r="L185" s="8">
        <f>MAX(1,ROUNDUP(G185/K185-0.0005,0))</f>
        <v/>
      </c>
      <c r="M185" s="13">
        <f>L185*I185</f>
        <v/>
      </c>
      <c r="N185" s="8">
        <f>L185*ROUNDUP(I185/GiaDinh!$C$5-0.0005,0)</f>
        <v/>
      </c>
      <c r="O185" s="8">
        <f>L185*(ROUNDUP(I185/GiaDinh!$C$5-0.0005,0)-1)</f>
        <v/>
      </c>
      <c r="P185" s="8">
        <f>L185*J185</f>
        <v/>
      </c>
      <c r="Q185" s="8">
        <f>2*P185</f>
        <v/>
      </c>
      <c r="R185" s="8">
        <f>P185</f>
        <v/>
      </c>
      <c r="S185" s="14">
        <f>M185*GiaDinh!$C$7</f>
        <v/>
      </c>
    </row>
    <row r="186">
      <c r="A186" s="8" t="inlineStr">
        <is>
          <t>BÈ 3</t>
        </is>
      </c>
      <c r="B186" s="8" t="inlineStr">
        <is>
          <t>B3-31</t>
        </is>
      </c>
      <c r="C186" s="8" t="inlineStr">
        <is>
          <t>Vuông góc cạnh (hộp chạy từ mép vào trong, cùng phương lực dây)</t>
        </is>
      </c>
      <c r="D186" s="8" t="inlineStr">
        <is>
          <t>B3-D20b</t>
        </is>
      </c>
      <c r="E186" s="8" t="n">
        <v>1</v>
      </c>
      <c r="F186" s="8" t="n">
        <v>51.5</v>
      </c>
      <c r="G186" s="13">
        <f>E186*F186*GiaDinh!$C$18*GiaDinh!$C$17</f>
        <v/>
      </c>
      <c r="H186" s="8">
        <f>GiaDinh!$C$21</f>
        <v/>
      </c>
      <c r="I186" s="8">
        <f>GiaDinh!$C$15</f>
        <v/>
      </c>
      <c r="J186" s="8">
        <f>ROUNDDOWN(I186/H186,0)+1</f>
        <v/>
      </c>
      <c r="K186" s="13">
        <f>J186*GiaDinh!$C$16</f>
        <v/>
      </c>
      <c r="L186" s="8">
        <f>MAX(1,ROUNDUP(G186/K186-0.0005,0))</f>
        <v/>
      </c>
      <c r="M186" s="13">
        <f>L186*I186</f>
        <v/>
      </c>
      <c r="N186" s="8">
        <f>L186*ROUNDUP(I186/GiaDinh!$C$5-0.0005,0)</f>
        <v/>
      </c>
      <c r="O186" s="8">
        <f>L186*(ROUNDUP(I186/GiaDinh!$C$5-0.0005,0)-1)</f>
        <v/>
      </c>
      <c r="P186" s="8">
        <f>L186*J186</f>
        <v/>
      </c>
      <c r="Q186" s="8">
        <f>2*P186</f>
        <v/>
      </c>
      <c r="R186" s="8">
        <f>P186</f>
        <v/>
      </c>
      <c r="S186" s="14">
        <f>M186*GiaDinh!$C$7</f>
        <v/>
      </c>
    </row>
    <row r="187">
      <c r="A187" s="8" t="inlineStr">
        <is>
          <t>BÈ 3</t>
        </is>
      </c>
      <c r="B187" s="8" t="inlineStr">
        <is>
          <t>B3-32</t>
        </is>
      </c>
      <c r="C187" s="8" t="inlineStr">
        <is>
          <t>Vuông góc cạnh (hộp chạy từ mép vào trong, cùng phương lực dây)</t>
        </is>
      </c>
      <c r="D187" s="8" t="inlineStr">
        <is>
          <t>B3-D21a</t>
        </is>
      </c>
      <c r="E187" s="8" t="n">
        <v>1</v>
      </c>
      <c r="F187" s="8" t="n">
        <v>51.5</v>
      </c>
      <c r="G187" s="13">
        <f>E187*F187*GiaDinh!$C$18*GiaDinh!$C$17</f>
        <v/>
      </c>
      <c r="H187" s="8">
        <f>GiaDinh!$C$21</f>
        <v/>
      </c>
      <c r="I187" s="8">
        <f>GiaDinh!$C$15</f>
        <v/>
      </c>
      <c r="J187" s="8">
        <f>ROUNDDOWN(I187/H187,0)+1</f>
        <v/>
      </c>
      <c r="K187" s="13">
        <f>J187*GiaDinh!$C$16</f>
        <v/>
      </c>
      <c r="L187" s="8">
        <f>MAX(1,ROUNDUP(G187/K187-0.0005,0))</f>
        <v/>
      </c>
      <c r="M187" s="13">
        <f>L187*I187</f>
        <v/>
      </c>
      <c r="N187" s="8">
        <f>L187*ROUNDUP(I187/GiaDinh!$C$5-0.0005,0)</f>
        <v/>
      </c>
      <c r="O187" s="8">
        <f>L187*(ROUNDUP(I187/GiaDinh!$C$5-0.0005,0)-1)</f>
        <v/>
      </c>
      <c r="P187" s="8">
        <f>L187*J187</f>
        <v/>
      </c>
      <c r="Q187" s="8">
        <f>2*P187</f>
        <v/>
      </c>
      <c r="R187" s="8">
        <f>P187</f>
        <v/>
      </c>
      <c r="S187" s="14">
        <f>M187*GiaDinh!$C$7</f>
        <v/>
      </c>
    </row>
    <row r="188">
      <c r="A188" s="8" t="inlineStr">
        <is>
          <t>BÈ 3</t>
        </is>
      </c>
      <c r="B188" s="8" t="inlineStr">
        <is>
          <t>B3-33</t>
        </is>
      </c>
      <c r="C188" s="8" t="inlineStr">
        <is>
          <t>Vuông góc cạnh (hộp chạy từ mép vào trong, cùng phương lực dây)</t>
        </is>
      </c>
      <c r="D188" s="8" t="inlineStr">
        <is>
          <t>B3-D21b</t>
        </is>
      </c>
      <c r="E188" s="8" t="n">
        <v>1</v>
      </c>
      <c r="F188" s="8" t="n">
        <v>51.5</v>
      </c>
      <c r="G188" s="13">
        <f>E188*F188*GiaDinh!$C$18*GiaDinh!$C$17</f>
        <v/>
      </c>
      <c r="H188" s="8">
        <f>GiaDinh!$C$21</f>
        <v/>
      </c>
      <c r="I188" s="8">
        <f>GiaDinh!$C$15</f>
        <v/>
      </c>
      <c r="J188" s="8">
        <f>ROUNDDOWN(I188/H188,0)+1</f>
        <v/>
      </c>
      <c r="K188" s="13">
        <f>J188*GiaDinh!$C$16</f>
        <v/>
      </c>
      <c r="L188" s="8">
        <f>MAX(1,ROUNDUP(G188/K188-0.0005,0))</f>
        <v/>
      </c>
      <c r="M188" s="13">
        <f>L188*I188</f>
        <v/>
      </c>
      <c r="N188" s="8">
        <f>L188*ROUNDUP(I188/GiaDinh!$C$5-0.0005,0)</f>
        <v/>
      </c>
      <c r="O188" s="8">
        <f>L188*(ROUNDUP(I188/GiaDinh!$C$5-0.0005,0)-1)</f>
        <v/>
      </c>
      <c r="P188" s="8">
        <f>L188*J188</f>
        <v/>
      </c>
      <c r="Q188" s="8">
        <f>2*P188</f>
        <v/>
      </c>
      <c r="R188" s="8">
        <f>P188</f>
        <v/>
      </c>
      <c r="S188" s="14">
        <f>M188*GiaDinh!$C$7</f>
        <v/>
      </c>
    </row>
    <row r="189">
      <c r="A189" s="8" t="inlineStr">
        <is>
          <t>BÈ 3</t>
        </is>
      </c>
      <c r="B189" s="8" t="inlineStr">
        <is>
          <t>B3-34</t>
        </is>
      </c>
      <c r="C189" s="8" t="inlineStr">
        <is>
          <t>Vuông góc cạnh (hộp chạy từ mép vào trong, cùng phương lực dây)</t>
        </is>
      </c>
      <c r="D189" s="8" t="inlineStr">
        <is>
          <t>B3-D22a</t>
        </is>
      </c>
      <c r="E189" s="8" t="n">
        <v>1</v>
      </c>
      <c r="F189" s="8" t="n">
        <v>51.5</v>
      </c>
      <c r="G189" s="13">
        <f>E189*F189*GiaDinh!$C$18*GiaDinh!$C$17</f>
        <v/>
      </c>
      <c r="H189" s="8">
        <f>GiaDinh!$C$21</f>
        <v/>
      </c>
      <c r="I189" s="8">
        <f>GiaDinh!$C$15</f>
        <v/>
      </c>
      <c r="J189" s="8">
        <f>ROUNDDOWN(I189/H189,0)+1</f>
        <v/>
      </c>
      <c r="K189" s="13">
        <f>J189*GiaDinh!$C$16</f>
        <v/>
      </c>
      <c r="L189" s="8">
        <f>MAX(1,ROUNDUP(G189/K189-0.0005,0))</f>
        <v/>
      </c>
      <c r="M189" s="13">
        <f>L189*I189</f>
        <v/>
      </c>
      <c r="N189" s="8">
        <f>L189*ROUNDUP(I189/GiaDinh!$C$5-0.0005,0)</f>
        <v/>
      </c>
      <c r="O189" s="8">
        <f>L189*(ROUNDUP(I189/GiaDinh!$C$5-0.0005,0)-1)</f>
        <v/>
      </c>
      <c r="P189" s="8">
        <f>L189*J189</f>
        <v/>
      </c>
      <c r="Q189" s="8">
        <f>2*P189</f>
        <v/>
      </c>
      <c r="R189" s="8">
        <f>P189</f>
        <v/>
      </c>
      <c r="S189" s="14">
        <f>M189*GiaDinh!$C$7</f>
        <v/>
      </c>
    </row>
    <row r="190">
      <c r="A190" s="8" t="inlineStr">
        <is>
          <t>BÈ 3</t>
        </is>
      </c>
      <c r="B190" s="8" t="inlineStr">
        <is>
          <t>B3-35</t>
        </is>
      </c>
      <c r="C190" s="8" t="inlineStr">
        <is>
          <t>Vuông góc cạnh (hộp chạy từ mép vào trong, cùng phương lực dây)</t>
        </is>
      </c>
      <c r="D190" s="8" t="inlineStr">
        <is>
          <t>B3-D22b</t>
        </is>
      </c>
      <c r="E190" s="8" t="n">
        <v>1</v>
      </c>
      <c r="F190" s="8" t="n">
        <v>51.5</v>
      </c>
      <c r="G190" s="13">
        <f>E190*F190*GiaDinh!$C$18*GiaDinh!$C$17</f>
        <v/>
      </c>
      <c r="H190" s="8">
        <f>GiaDinh!$C$21</f>
        <v/>
      </c>
      <c r="I190" s="8">
        <f>GiaDinh!$C$15</f>
        <v/>
      </c>
      <c r="J190" s="8">
        <f>ROUNDDOWN(I190/H190,0)+1</f>
        <v/>
      </c>
      <c r="K190" s="13">
        <f>J190*GiaDinh!$C$16</f>
        <v/>
      </c>
      <c r="L190" s="8">
        <f>MAX(1,ROUNDUP(G190/K190-0.0005,0))</f>
        <v/>
      </c>
      <c r="M190" s="13">
        <f>L190*I190</f>
        <v/>
      </c>
      <c r="N190" s="8">
        <f>L190*ROUNDUP(I190/GiaDinh!$C$5-0.0005,0)</f>
        <v/>
      </c>
      <c r="O190" s="8">
        <f>L190*(ROUNDUP(I190/GiaDinh!$C$5-0.0005,0)-1)</f>
        <v/>
      </c>
      <c r="P190" s="8">
        <f>L190*J190</f>
        <v/>
      </c>
      <c r="Q190" s="8">
        <f>2*P190</f>
        <v/>
      </c>
      <c r="R190" s="8">
        <f>P190</f>
        <v/>
      </c>
      <c r="S190" s="14">
        <f>M190*GiaDinh!$C$7</f>
        <v/>
      </c>
    </row>
    <row r="191">
      <c r="A191" s="8" t="inlineStr">
        <is>
          <t>BÈ 3</t>
        </is>
      </c>
      <c r="B191" s="8" t="inlineStr">
        <is>
          <t>B3-36</t>
        </is>
      </c>
      <c r="C191" s="8" t="inlineStr">
        <is>
          <t>Vuông góc cạnh (hộp chạy từ mép vào trong, cùng phương lực dây)</t>
        </is>
      </c>
      <c r="D191" s="8" t="inlineStr">
        <is>
          <t>B3-D23a</t>
        </is>
      </c>
      <c r="E191" s="8" t="n">
        <v>1</v>
      </c>
      <c r="F191" s="8" t="n">
        <v>51.5</v>
      </c>
      <c r="G191" s="13">
        <f>E191*F191*GiaDinh!$C$18*GiaDinh!$C$17</f>
        <v/>
      </c>
      <c r="H191" s="8">
        <f>GiaDinh!$C$21</f>
        <v/>
      </c>
      <c r="I191" s="8">
        <f>GiaDinh!$C$15</f>
        <v/>
      </c>
      <c r="J191" s="8">
        <f>ROUNDDOWN(I191/H191,0)+1</f>
        <v/>
      </c>
      <c r="K191" s="13">
        <f>J191*GiaDinh!$C$16</f>
        <v/>
      </c>
      <c r="L191" s="8">
        <f>MAX(1,ROUNDUP(G191/K191-0.0005,0))</f>
        <v/>
      </c>
      <c r="M191" s="13">
        <f>L191*I191</f>
        <v/>
      </c>
      <c r="N191" s="8">
        <f>L191*ROUNDUP(I191/GiaDinh!$C$5-0.0005,0)</f>
        <v/>
      </c>
      <c r="O191" s="8">
        <f>L191*(ROUNDUP(I191/GiaDinh!$C$5-0.0005,0)-1)</f>
        <v/>
      </c>
      <c r="P191" s="8">
        <f>L191*J191</f>
        <v/>
      </c>
      <c r="Q191" s="8">
        <f>2*P191</f>
        <v/>
      </c>
      <c r="R191" s="8">
        <f>P191</f>
        <v/>
      </c>
      <c r="S191" s="14">
        <f>M191*GiaDinh!$C$7</f>
        <v/>
      </c>
    </row>
    <row r="192">
      <c r="A192" s="8" t="inlineStr">
        <is>
          <t>BÈ 3</t>
        </is>
      </c>
      <c r="B192" s="8" t="inlineStr">
        <is>
          <t>B3-37</t>
        </is>
      </c>
      <c r="C192" s="8" t="inlineStr">
        <is>
          <t>Vuông góc cạnh (hộp chạy từ mép vào trong, cùng phương lực dây)</t>
        </is>
      </c>
      <c r="D192" s="8" t="inlineStr">
        <is>
          <t>B3-D23b</t>
        </is>
      </c>
      <c r="E192" s="8" t="n">
        <v>1</v>
      </c>
      <c r="F192" s="8" t="n">
        <v>51.5</v>
      </c>
      <c r="G192" s="13">
        <f>E192*F192*GiaDinh!$C$18*GiaDinh!$C$17</f>
        <v/>
      </c>
      <c r="H192" s="8">
        <f>GiaDinh!$C$21</f>
        <v/>
      </c>
      <c r="I192" s="8">
        <f>GiaDinh!$C$15</f>
        <v/>
      </c>
      <c r="J192" s="8">
        <f>ROUNDDOWN(I192/H192,0)+1</f>
        <v/>
      </c>
      <c r="K192" s="13">
        <f>J192*GiaDinh!$C$16</f>
        <v/>
      </c>
      <c r="L192" s="8">
        <f>MAX(1,ROUNDUP(G192/K192-0.0005,0))</f>
        <v/>
      </c>
      <c r="M192" s="13">
        <f>L192*I192</f>
        <v/>
      </c>
      <c r="N192" s="8">
        <f>L192*ROUNDUP(I192/GiaDinh!$C$5-0.0005,0)</f>
        <v/>
      </c>
      <c r="O192" s="8">
        <f>L192*(ROUNDUP(I192/GiaDinh!$C$5-0.0005,0)-1)</f>
        <v/>
      </c>
      <c r="P192" s="8">
        <f>L192*J192</f>
        <v/>
      </c>
      <c r="Q192" s="8">
        <f>2*P192</f>
        <v/>
      </c>
      <c r="R192" s="8">
        <f>P192</f>
        <v/>
      </c>
      <c r="S192" s="14">
        <f>M192*GiaDinh!$C$7</f>
        <v/>
      </c>
    </row>
    <row r="193">
      <c r="A193" s="8" t="inlineStr">
        <is>
          <t>BÈ 3</t>
        </is>
      </c>
      <c r="B193" s="8" t="inlineStr">
        <is>
          <t>B3-38</t>
        </is>
      </c>
      <c r="C193" s="8" t="inlineStr">
        <is>
          <t>Vuông góc cạnh (hộp chạy từ mép vào trong, cùng phương lực dây)</t>
        </is>
      </c>
      <c r="D193" s="8" t="inlineStr">
        <is>
          <t>B3-D24a</t>
        </is>
      </c>
      <c r="E193" s="8" t="n">
        <v>1</v>
      </c>
      <c r="F193" s="8" t="n">
        <v>51.5</v>
      </c>
      <c r="G193" s="13">
        <f>E193*F193*GiaDinh!$C$18*GiaDinh!$C$17</f>
        <v/>
      </c>
      <c r="H193" s="8">
        <f>GiaDinh!$C$21</f>
        <v/>
      </c>
      <c r="I193" s="8">
        <f>GiaDinh!$C$15</f>
        <v/>
      </c>
      <c r="J193" s="8">
        <f>ROUNDDOWN(I193/H193,0)+1</f>
        <v/>
      </c>
      <c r="K193" s="13">
        <f>J193*GiaDinh!$C$16</f>
        <v/>
      </c>
      <c r="L193" s="8">
        <f>MAX(1,ROUNDUP(G193/K193-0.0005,0))</f>
        <v/>
      </c>
      <c r="M193" s="13">
        <f>L193*I193</f>
        <v/>
      </c>
      <c r="N193" s="8">
        <f>L193*ROUNDUP(I193/GiaDinh!$C$5-0.0005,0)</f>
        <v/>
      </c>
      <c r="O193" s="8">
        <f>L193*(ROUNDUP(I193/GiaDinh!$C$5-0.0005,0)-1)</f>
        <v/>
      </c>
      <c r="P193" s="8">
        <f>L193*J193</f>
        <v/>
      </c>
      <c r="Q193" s="8">
        <f>2*P193</f>
        <v/>
      </c>
      <c r="R193" s="8">
        <f>P193</f>
        <v/>
      </c>
      <c r="S193" s="14">
        <f>M193*GiaDinh!$C$7</f>
        <v/>
      </c>
    </row>
    <row r="194">
      <c r="A194" s="8" t="inlineStr">
        <is>
          <t>BÈ 3</t>
        </is>
      </c>
      <c r="B194" s="8" t="inlineStr">
        <is>
          <t>B3-39</t>
        </is>
      </c>
      <c r="C194" s="8" t="inlineStr">
        <is>
          <t>Vuông góc cạnh (hộp chạy từ mép vào trong, cùng phương lực dây)</t>
        </is>
      </c>
      <c r="D194" s="8" t="inlineStr">
        <is>
          <t>B3-D24b</t>
        </is>
      </c>
      <c r="E194" s="8" t="n">
        <v>1</v>
      </c>
      <c r="F194" s="8" t="n">
        <v>51.5</v>
      </c>
      <c r="G194" s="13">
        <f>E194*F194*GiaDinh!$C$18*GiaDinh!$C$17</f>
        <v/>
      </c>
      <c r="H194" s="8">
        <f>GiaDinh!$C$21</f>
        <v/>
      </c>
      <c r="I194" s="8">
        <f>GiaDinh!$C$15</f>
        <v/>
      </c>
      <c r="J194" s="8">
        <f>ROUNDDOWN(I194/H194,0)+1</f>
        <v/>
      </c>
      <c r="K194" s="13">
        <f>J194*GiaDinh!$C$16</f>
        <v/>
      </c>
      <c r="L194" s="8">
        <f>MAX(1,ROUNDUP(G194/K194-0.0005,0))</f>
        <v/>
      </c>
      <c r="M194" s="13">
        <f>L194*I194</f>
        <v/>
      </c>
      <c r="N194" s="8">
        <f>L194*ROUNDUP(I194/GiaDinh!$C$5-0.0005,0)</f>
        <v/>
      </c>
      <c r="O194" s="8">
        <f>L194*(ROUNDUP(I194/GiaDinh!$C$5-0.0005,0)-1)</f>
        <v/>
      </c>
      <c r="P194" s="8">
        <f>L194*J194</f>
        <v/>
      </c>
      <c r="Q194" s="8">
        <f>2*P194</f>
        <v/>
      </c>
      <c r="R194" s="8">
        <f>P194</f>
        <v/>
      </c>
      <c r="S194" s="14">
        <f>M194*GiaDinh!$C$7</f>
        <v/>
      </c>
    </row>
    <row r="195">
      <c r="A195" s="8" t="inlineStr">
        <is>
          <t>BÈ 4</t>
        </is>
      </c>
      <c r="B195" s="8" t="inlineStr">
        <is>
          <t>B4-01</t>
        </is>
      </c>
      <c r="C195" s="8" t="inlineStr">
        <is>
          <t>Dọc cạnh (hộp song song mép bè, cách mép 1 hàng phao)</t>
        </is>
      </c>
      <c r="D195" s="8" t="inlineStr">
        <is>
          <t>B4-D23a, B4-D23b</t>
        </is>
      </c>
      <c r="E195" s="8" t="n">
        <v>2</v>
      </c>
      <c r="F195" s="8" t="n">
        <v>93.40000000000001</v>
      </c>
      <c r="G195" s="13">
        <f>E195*F195*GiaDinh!$C$18*GiaDinh!$C$17</f>
        <v/>
      </c>
      <c r="H195" s="8">
        <f>GiaDinh!$C$21</f>
        <v/>
      </c>
      <c r="I195" s="8">
        <f>GiaDinh!$C$15</f>
        <v/>
      </c>
      <c r="J195" s="8">
        <f>ROUNDDOWN(I195/H195,0)+1</f>
        <v/>
      </c>
      <c r="K195" s="13">
        <f>J195*GiaDinh!$C$16</f>
        <v/>
      </c>
      <c r="L195" s="8">
        <f>MAX(1,ROUNDUP(G195/K195-0.0005,0))</f>
        <v/>
      </c>
      <c r="M195" s="13">
        <f>L195*I195</f>
        <v/>
      </c>
      <c r="N195" s="8">
        <f>L195*ROUNDUP(I195/GiaDinh!$C$5-0.0005,0)</f>
        <v/>
      </c>
      <c r="O195" s="8">
        <f>L195*(ROUNDUP(I195/GiaDinh!$C$5-0.0005,0)-1)</f>
        <v/>
      </c>
      <c r="P195" s="8">
        <f>L195*J195</f>
        <v/>
      </c>
      <c r="Q195" s="8">
        <f>2*P195</f>
        <v/>
      </c>
      <c r="R195" s="8">
        <f>P195</f>
        <v/>
      </c>
      <c r="S195" s="14">
        <f>M195*GiaDinh!$C$7</f>
        <v/>
      </c>
    </row>
    <row r="196">
      <c r="A196" s="8" t="inlineStr">
        <is>
          <t>BÈ 4</t>
        </is>
      </c>
      <c r="B196" s="8" t="inlineStr">
        <is>
          <t>B4-02</t>
        </is>
      </c>
      <c r="C196" s="8" t="inlineStr">
        <is>
          <t>Dọc cạnh (hộp song song mép bè, cách mép 1 hàng phao)</t>
        </is>
      </c>
      <c r="D196" s="8" t="inlineStr">
        <is>
          <t>B4-D42a, B4-D42b</t>
        </is>
      </c>
      <c r="E196" s="8" t="n">
        <v>2</v>
      </c>
      <c r="F196" s="8" t="n">
        <v>93.40000000000001</v>
      </c>
      <c r="G196" s="13">
        <f>E196*F196*GiaDinh!$C$18*GiaDinh!$C$17</f>
        <v/>
      </c>
      <c r="H196" s="8">
        <f>GiaDinh!$C$21</f>
        <v/>
      </c>
      <c r="I196" s="8">
        <f>GiaDinh!$C$15</f>
        <v/>
      </c>
      <c r="J196" s="8">
        <f>ROUNDDOWN(I196/H196,0)+1</f>
        <v/>
      </c>
      <c r="K196" s="13">
        <f>J196*GiaDinh!$C$16</f>
        <v/>
      </c>
      <c r="L196" s="8">
        <f>MAX(1,ROUNDUP(G196/K196-0.0005,0))</f>
        <v/>
      </c>
      <c r="M196" s="13">
        <f>L196*I196</f>
        <v/>
      </c>
      <c r="N196" s="8">
        <f>L196*ROUNDUP(I196/GiaDinh!$C$5-0.0005,0)</f>
        <v/>
      </c>
      <c r="O196" s="8">
        <f>L196*(ROUNDUP(I196/GiaDinh!$C$5-0.0005,0)-1)</f>
        <v/>
      </c>
      <c r="P196" s="8">
        <f>L196*J196</f>
        <v/>
      </c>
      <c r="Q196" s="8">
        <f>2*P196</f>
        <v/>
      </c>
      <c r="R196" s="8">
        <f>P196</f>
        <v/>
      </c>
      <c r="S196" s="14">
        <f>M196*GiaDinh!$C$7</f>
        <v/>
      </c>
    </row>
    <row r="197">
      <c r="A197" s="8" t="inlineStr">
        <is>
          <t>BÈ 4</t>
        </is>
      </c>
      <c r="B197" s="8" t="inlineStr">
        <is>
          <t>B4-03</t>
        </is>
      </c>
      <c r="C197" s="8" t="inlineStr">
        <is>
          <t>Dọc cạnh (hộp song song mép bè, cách mép 1 hàng phao)</t>
        </is>
      </c>
      <c r="D197" s="8" t="inlineStr">
        <is>
          <t>B4-D46a, B4-D46b</t>
        </is>
      </c>
      <c r="E197" s="8" t="n">
        <v>2</v>
      </c>
      <c r="F197" s="8" t="n">
        <v>93.40000000000001</v>
      </c>
      <c r="G197" s="13">
        <f>E197*F197*GiaDinh!$C$18*GiaDinh!$C$17</f>
        <v/>
      </c>
      <c r="H197" s="8">
        <f>GiaDinh!$C$21</f>
        <v/>
      </c>
      <c r="I197" s="8">
        <f>GiaDinh!$C$15</f>
        <v/>
      </c>
      <c r="J197" s="8">
        <f>ROUNDDOWN(I197/H197,0)+1</f>
        <v/>
      </c>
      <c r="K197" s="13">
        <f>J197*GiaDinh!$C$16</f>
        <v/>
      </c>
      <c r="L197" s="8">
        <f>MAX(1,ROUNDUP(G197/K197-0.0005,0))</f>
        <v/>
      </c>
      <c r="M197" s="13">
        <f>L197*I197</f>
        <v/>
      </c>
      <c r="N197" s="8">
        <f>L197*ROUNDUP(I197/GiaDinh!$C$5-0.0005,0)</f>
        <v/>
      </c>
      <c r="O197" s="8">
        <f>L197*(ROUNDUP(I197/GiaDinh!$C$5-0.0005,0)-1)</f>
        <v/>
      </c>
      <c r="P197" s="8">
        <f>L197*J197</f>
        <v/>
      </c>
      <c r="Q197" s="8">
        <f>2*P197</f>
        <v/>
      </c>
      <c r="R197" s="8">
        <f>P197</f>
        <v/>
      </c>
      <c r="S197" s="14">
        <f>M197*GiaDinh!$C$7</f>
        <v/>
      </c>
    </row>
    <row r="198">
      <c r="A198" s="8" t="inlineStr">
        <is>
          <t>BÈ 4</t>
        </is>
      </c>
      <c r="B198" s="8" t="inlineStr">
        <is>
          <t>B4-04</t>
        </is>
      </c>
      <c r="C198" s="8" t="inlineStr">
        <is>
          <t>Dọc cạnh (hộp song song mép bè, cách mép 1 hàng phao)</t>
        </is>
      </c>
      <c r="D198" s="8" t="inlineStr">
        <is>
          <t>B4-D47a, B4-D47b</t>
        </is>
      </c>
      <c r="E198" s="8" t="n">
        <v>2</v>
      </c>
      <c r="F198" s="8" t="n">
        <v>93.40000000000001</v>
      </c>
      <c r="G198" s="13">
        <f>E198*F198*GiaDinh!$C$18*GiaDinh!$C$17</f>
        <v/>
      </c>
      <c r="H198" s="8">
        <f>GiaDinh!$C$21</f>
        <v/>
      </c>
      <c r="I198" s="8">
        <f>GiaDinh!$C$15</f>
        <v/>
      </c>
      <c r="J198" s="8">
        <f>ROUNDDOWN(I198/H198,0)+1</f>
        <v/>
      </c>
      <c r="K198" s="13">
        <f>J198*GiaDinh!$C$16</f>
        <v/>
      </c>
      <c r="L198" s="8">
        <f>MAX(1,ROUNDUP(G198/K198-0.0005,0))</f>
        <v/>
      </c>
      <c r="M198" s="13">
        <f>L198*I198</f>
        <v/>
      </c>
      <c r="N198" s="8">
        <f>L198*ROUNDUP(I198/GiaDinh!$C$5-0.0005,0)</f>
        <v/>
      </c>
      <c r="O198" s="8">
        <f>L198*(ROUNDUP(I198/GiaDinh!$C$5-0.0005,0)-1)</f>
        <v/>
      </c>
      <c r="P198" s="8">
        <f>L198*J198</f>
        <v/>
      </c>
      <c r="Q198" s="8">
        <f>2*P198</f>
        <v/>
      </c>
      <c r="R198" s="8">
        <f>P198</f>
        <v/>
      </c>
      <c r="S198" s="14">
        <f>M198*GiaDinh!$C$7</f>
        <v/>
      </c>
    </row>
    <row r="199">
      <c r="A199" s="8" t="inlineStr">
        <is>
          <t>BÈ 4</t>
        </is>
      </c>
      <c r="B199" s="8" t="inlineStr">
        <is>
          <t>B4-05</t>
        </is>
      </c>
      <c r="C199" s="8" t="inlineStr">
        <is>
          <t>Dọc cạnh (hộp song song mép bè, cách mép 1 hàng phao)</t>
        </is>
      </c>
      <c r="D199" s="8" t="inlineStr">
        <is>
          <t>B4-D48a, B4-D48b</t>
        </is>
      </c>
      <c r="E199" s="8" t="n">
        <v>2</v>
      </c>
      <c r="F199" s="8" t="n">
        <v>93.40000000000001</v>
      </c>
      <c r="G199" s="13">
        <f>E199*F199*GiaDinh!$C$18*GiaDinh!$C$17</f>
        <v/>
      </c>
      <c r="H199" s="8">
        <f>GiaDinh!$C$21</f>
        <v/>
      </c>
      <c r="I199" s="8">
        <f>GiaDinh!$C$15</f>
        <v/>
      </c>
      <c r="J199" s="8">
        <f>ROUNDDOWN(I199/H199,0)+1</f>
        <v/>
      </c>
      <c r="K199" s="13">
        <f>J199*GiaDinh!$C$16</f>
        <v/>
      </c>
      <c r="L199" s="8">
        <f>MAX(1,ROUNDUP(G199/K199-0.0005,0))</f>
        <v/>
      </c>
      <c r="M199" s="13">
        <f>L199*I199</f>
        <v/>
      </c>
      <c r="N199" s="8">
        <f>L199*ROUNDUP(I199/GiaDinh!$C$5-0.0005,0)</f>
        <v/>
      </c>
      <c r="O199" s="8">
        <f>L199*(ROUNDUP(I199/GiaDinh!$C$5-0.0005,0)-1)</f>
        <v/>
      </c>
      <c r="P199" s="8">
        <f>L199*J199</f>
        <v/>
      </c>
      <c r="Q199" s="8">
        <f>2*P199</f>
        <v/>
      </c>
      <c r="R199" s="8">
        <f>P199</f>
        <v/>
      </c>
      <c r="S199" s="14">
        <f>M199*GiaDinh!$C$7</f>
        <v/>
      </c>
    </row>
    <row r="200">
      <c r="A200" s="8" t="inlineStr">
        <is>
          <t>BÈ 4</t>
        </is>
      </c>
      <c r="B200" s="8" t="inlineStr">
        <is>
          <t>B4-06</t>
        </is>
      </c>
      <c r="C200" s="8" t="inlineStr">
        <is>
          <t>Dọc cạnh (hộp song song mép bè, cách mép 1 hàng phao)</t>
        </is>
      </c>
      <c r="D200" s="8" t="inlineStr">
        <is>
          <t>B4-D49a, B4-D49b</t>
        </is>
      </c>
      <c r="E200" s="8" t="n">
        <v>2</v>
      </c>
      <c r="F200" s="8" t="n">
        <v>93.40000000000001</v>
      </c>
      <c r="G200" s="13">
        <f>E200*F200*GiaDinh!$C$18*GiaDinh!$C$17</f>
        <v/>
      </c>
      <c r="H200" s="8">
        <f>GiaDinh!$C$21</f>
        <v/>
      </c>
      <c r="I200" s="8">
        <f>GiaDinh!$C$15</f>
        <v/>
      </c>
      <c r="J200" s="8">
        <f>ROUNDDOWN(I200/H200,0)+1</f>
        <v/>
      </c>
      <c r="K200" s="13">
        <f>J200*GiaDinh!$C$16</f>
        <v/>
      </c>
      <c r="L200" s="8">
        <f>MAX(1,ROUNDUP(G200/K200-0.0005,0))</f>
        <v/>
      </c>
      <c r="M200" s="13">
        <f>L200*I200</f>
        <v/>
      </c>
      <c r="N200" s="8">
        <f>L200*ROUNDUP(I200/GiaDinh!$C$5-0.0005,0)</f>
        <v/>
      </c>
      <c r="O200" s="8">
        <f>L200*(ROUNDUP(I200/GiaDinh!$C$5-0.0005,0)-1)</f>
        <v/>
      </c>
      <c r="P200" s="8">
        <f>L200*J200</f>
        <v/>
      </c>
      <c r="Q200" s="8">
        <f>2*P200</f>
        <v/>
      </c>
      <c r="R200" s="8">
        <f>P200</f>
        <v/>
      </c>
      <c r="S200" s="14">
        <f>M200*GiaDinh!$C$7</f>
        <v/>
      </c>
    </row>
    <row r="201">
      <c r="A201" s="8" t="inlineStr">
        <is>
          <t>BÈ 4</t>
        </is>
      </c>
      <c r="B201" s="8" t="inlineStr">
        <is>
          <t>B4-07</t>
        </is>
      </c>
      <c r="C201" s="8" t="inlineStr">
        <is>
          <t>Dọc cạnh (hộp song song mép bè, cách mép 1 hàng phao)</t>
        </is>
      </c>
      <c r="D201" s="8" t="inlineStr">
        <is>
          <t>B4-D50a, B4-D50b</t>
        </is>
      </c>
      <c r="E201" s="8" t="n">
        <v>2</v>
      </c>
      <c r="F201" s="8" t="n">
        <v>93.40000000000001</v>
      </c>
      <c r="G201" s="13">
        <f>E201*F201*GiaDinh!$C$18*GiaDinh!$C$17</f>
        <v/>
      </c>
      <c r="H201" s="8">
        <f>GiaDinh!$C$21</f>
        <v/>
      </c>
      <c r="I201" s="8">
        <f>GiaDinh!$C$15</f>
        <v/>
      </c>
      <c r="J201" s="8">
        <f>ROUNDDOWN(I201/H201,0)+1</f>
        <v/>
      </c>
      <c r="K201" s="13">
        <f>J201*GiaDinh!$C$16</f>
        <v/>
      </c>
      <c r="L201" s="8">
        <f>MAX(1,ROUNDUP(G201/K201-0.0005,0))</f>
        <v/>
      </c>
      <c r="M201" s="13">
        <f>L201*I201</f>
        <v/>
      </c>
      <c r="N201" s="8">
        <f>L201*ROUNDUP(I201/GiaDinh!$C$5-0.0005,0)</f>
        <v/>
      </c>
      <c r="O201" s="8">
        <f>L201*(ROUNDUP(I201/GiaDinh!$C$5-0.0005,0)-1)</f>
        <v/>
      </c>
      <c r="P201" s="8">
        <f>L201*J201</f>
        <v/>
      </c>
      <c r="Q201" s="8">
        <f>2*P201</f>
        <v/>
      </c>
      <c r="R201" s="8">
        <f>P201</f>
        <v/>
      </c>
      <c r="S201" s="14">
        <f>M201*GiaDinh!$C$7</f>
        <v/>
      </c>
    </row>
    <row r="202">
      <c r="A202" s="8" t="inlineStr">
        <is>
          <t>BÈ 4</t>
        </is>
      </c>
      <c r="B202" s="8" t="inlineStr">
        <is>
          <t>B4-08</t>
        </is>
      </c>
      <c r="C202" s="8" t="inlineStr">
        <is>
          <t>Dọc cạnh (hộp song song mép bè, cách mép 1 hàng phao)</t>
        </is>
      </c>
      <c r="D202" s="8" t="inlineStr">
        <is>
          <t>B4-D64a, B4-D64b</t>
        </is>
      </c>
      <c r="E202" s="8" t="n">
        <v>2</v>
      </c>
      <c r="F202" s="8" t="n">
        <v>93.40000000000001</v>
      </c>
      <c r="G202" s="13">
        <f>E202*F202*GiaDinh!$C$18*GiaDinh!$C$17</f>
        <v/>
      </c>
      <c r="H202" s="8">
        <f>GiaDinh!$C$21</f>
        <v/>
      </c>
      <c r="I202" s="8">
        <f>GiaDinh!$C$15</f>
        <v/>
      </c>
      <c r="J202" s="8">
        <f>ROUNDDOWN(I202/H202,0)+1</f>
        <v/>
      </c>
      <c r="K202" s="13">
        <f>J202*GiaDinh!$C$16</f>
        <v/>
      </c>
      <c r="L202" s="8">
        <f>MAX(1,ROUNDUP(G202/K202-0.0005,0))</f>
        <v/>
      </c>
      <c r="M202" s="13">
        <f>L202*I202</f>
        <v/>
      </c>
      <c r="N202" s="8">
        <f>L202*ROUNDUP(I202/GiaDinh!$C$5-0.0005,0)</f>
        <v/>
      </c>
      <c r="O202" s="8">
        <f>L202*(ROUNDUP(I202/GiaDinh!$C$5-0.0005,0)-1)</f>
        <v/>
      </c>
      <c r="P202" s="8">
        <f>L202*J202</f>
        <v/>
      </c>
      <c r="Q202" s="8">
        <f>2*P202</f>
        <v/>
      </c>
      <c r="R202" s="8">
        <f>P202</f>
        <v/>
      </c>
      <c r="S202" s="14">
        <f>M202*GiaDinh!$C$7</f>
        <v/>
      </c>
    </row>
    <row r="203">
      <c r="A203" s="8" t="inlineStr">
        <is>
          <t>BÈ 4</t>
        </is>
      </c>
      <c r="B203" s="8" t="inlineStr">
        <is>
          <t>B4-09</t>
        </is>
      </c>
      <c r="C203" s="8" t="inlineStr">
        <is>
          <t>Dọc cạnh (hộp song song mép bè, cách mép 1 hàng phao)</t>
        </is>
      </c>
      <c r="D203" s="8" t="inlineStr">
        <is>
          <t>B4-D65a, B4-D65b</t>
        </is>
      </c>
      <c r="E203" s="8" t="n">
        <v>2</v>
      </c>
      <c r="F203" s="8" t="n">
        <v>93.40000000000001</v>
      </c>
      <c r="G203" s="13">
        <f>E203*F203*GiaDinh!$C$18*GiaDinh!$C$17</f>
        <v/>
      </c>
      <c r="H203" s="8">
        <f>GiaDinh!$C$21</f>
        <v/>
      </c>
      <c r="I203" s="8">
        <f>GiaDinh!$C$15</f>
        <v/>
      </c>
      <c r="J203" s="8">
        <f>ROUNDDOWN(I203/H203,0)+1</f>
        <v/>
      </c>
      <c r="K203" s="13">
        <f>J203*GiaDinh!$C$16</f>
        <v/>
      </c>
      <c r="L203" s="8">
        <f>MAX(1,ROUNDUP(G203/K203-0.0005,0))</f>
        <v/>
      </c>
      <c r="M203" s="13">
        <f>L203*I203</f>
        <v/>
      </c>
      <c r="N203" s="8">
        <f>L203*ROUNDUP(I203/GiaDinh!$C$5-0.0005,0)</f>
        <v/>
      </c>
      <c r="O203" s="8">
        <f>L203*(ROUNDUP(I203/GiaDinh!$C$5-0.0005,0)-1)</f>
        <v/>
      </c>
      <c r="P203" s="8">
        <f>L203*J203</f>
        <v/>
      </c>
      <c r="Q203" s="8">
        <f>2*P203</f>
        <v/>
      </c>
      <c r="R203" s="8">
        <f>P203</f>
        <v/>
      </c>
      <c r="S203" s="14">
        <f>M203*GiaDinh!$C$7</f>
        <v/>
      </c>
    </row>
    <row r="204">
      <c r="A204" s="8" t="inlineStr">
        <is>
          <t>BÈ 4</t>
        </is>
      </c>
      <c r="B204" s="8" t="inlineStr">
        <is>
          <t>B4-10</t>
        </is>
      </c>
      <c r="C204" s="8" t="inlineStr">
        <is>
          <t>Dọc cạnh (hộp song song mép bè, cách mép 1 hàng phao)</t>
        </is>
      </c>
      <c r="D204" s="8" t="inlineStr">
        <is>
          <t>B4-D02a, B4-D02b, B4-D15a</t>
        </is>
      </c>
      <c r="E204" s="8" t="n">
        <v>3</v>
      </c>
      <c r="F204" s="8" t="n">
        <v>93.40000000000001</v>
      </c>
      <c r="G204" s="13">
        <f>E204*F204*GiaDinh!$C$18*GiaDinh!$C$17</f>
        <v/>
      </c>
      <c r="H204" s="8">
        <f>GiaDinh!$C$21</f>
        <v/>
      </c>
      <c r="I204" s="8">
        <f>GiaDinh!$C$15</f>
        <v/>
      </c>
      <c r="J204" s="8">
        <f>ROUNDDOWN(I204/H204,0)+1</f>
        <v/>
      </c>
      <c r="K204" s="13">
        <f>J204*GiaDinh!$C$16</f>
        <v/>
      </c>
      <c r="L204" s="8">
        <f>MAX(1,ROUNDUP(G204/K204-0.0005,0))</f>
        <v/>
      </c>
      <c r="M204" s="13">
        <f>L204*I204</f>
        <v/>
      </c>
      <c r="N204" s="8">
        <f>L204*ROUNDUP(I204/GiaDinh!$C$5-0.0005,0)</f>
        <v/>
      </c>
      <c r="O204" s="8">
        <f>L204*(ROUNDUP(I204/GiaDinh!$C$5-0.0005,0)-1)</f>
        <v/>
      </c>
      <c r="P204" s="8">
        <f>L204*J204</f>
        <v/>
      </c>
      <c r="Q204" s="8">
        <f>2*P204</f>
        <v/>
      </c>
      <c r="R204" s="8">
        <f>P204</f>
        <v/>
      </c>
      <c r="S204" s="14">
        <f>M204*GiaDinh!$C$7</f>
        <v/>
      </c>
    </row>
    <row r="205">
      <c r="A205" s="8" t="inlineStr">
        <is>
          <t>BÈ 4</t>
        </is>
      </c>
      <c r="B205" s="8" t="inlineStr">
        <is>
          <t>B4-11</t>
        </is>
      </c>
      <c r="C205" s="8" t="inlineStr">
        <is>
          <t>Dọc cạnh (hộp song song mép bè, cách mép 1 hàng phao)</t>
        </is>
      </c>
      <c r="D205" s="8" t="inlineStr">
        <is>
          <t>B4-D15b, B4-D16a</t>
        </is>
      </c>
      <c r="E205" s="8" t="n">
        <v>2</v>
      </c>
      <c r="F205" s="8" t="n">
        <v>93.40000000000001</v>
      </c>
      <c r="G205" s="13">
        <f>E205*F205*GiaDinh!$C$18*GiaDinh!$C$17</f>
        <v/>
      </c>
      <c r="H205" s="8">
        <f>GiaDinh!$C$21</f>
        <v/>
      </c>
      <c r="I205" s="8">
        <f>GiaDinh!$C$15</f>
        <v/>
      </c>
      <c r="J205" s="8">
        <f>ROUNDDOWN(I205/H205,0)+1</f>
        <v/>
      </c>
      <c r="K205" s="13">
        <f>J205*GiaDinh!$C$16</f>
        <v/>
      </c>
      <c r="L205" s="8">
        <f>MAX(1,ROUNDUP(G205/K205-0.0005,0))</f>
        <v/>
      </c>
      <c r="M205" s="13">
        <f>L205*I205</f>
        <v/>
      </c>
      <c r="N205" s="8">
        <f>L205*ROUNDUP(I205/GiaDinh!$C$5-0.0005,0)</f>
        <v/>
      </c>
      <c r="O205" s="8">
        <f>L205*(ROUNDUP(I205/GiaDinh!$C$5-0.0005,0)-1)</f>
        <v/>
      </c>
      <c r="P205" s="8">
        <f>L205*J205</f>
        <v/>
      </c>
      <c r="Q205" s="8">
        <f>2*P205</f>
        <v/>
      </c>
      <c r="R205" s="8">
        <f>P205</f>
        <v/>
      </c>
      <c r="S205" s="14">
        <f>M205*GiaDinh!$C$7</f>
        <v/>
      </c>
    </row>
    <row r="206">
      <c r="A206" s="8" t="inlineStr">
        <is>
          <t>BÈ 4</t>
        </is>
      </c>
      <c r="B206" s="8" t="inlineStr">
        <is>
          <t>B4-12</t>
        </is>
      </c>
      <c r="C206" s="8" t="inlineStr">
        <is>
          <t>Dọc cạnh (hộp song song mép bè, cách mép 1 hàng phao)</t>
        </is>
      </c>
      <c r="D206" s="8" t="inlineStr">
        <is>
          <t>B4-D16b, B4-D17a</t>
        </is>
      </c>
      <c r="E206" s="8" t="n">
        <v>2</v>
      </c>
      <c r="F206" s="8" t="n">
        <v>93.40000000000001</v>
      </c>
      <c r="G206" s="13">
        <f>E206*F206*GiaDinh!$C$18*GiaDinh!$C$17</f>
        <v/>
      </c>
      <c r="H206" s="8">
        <f>GiaDinh!$C$21</f>
        <v/>
      </c>
      <c r="I206" s="8">
        <f>GiaDinh!$C$15</f>
        <v/>
      </c>
      <c r="J206" s="8">
        <f>ROUNDDOWN(I206/H206,0)+1</f>
        <v/>
      </c>
      <c r="K206" s="13">
        <f>J206*GiaDinh!$C$16</f>
        <v/>
      </c>
      <c r="L206" s="8">
        <f>MAX(1,ROUNDUP(G206/K206-0.0005,0))</f>
        <v/>
      </c>
      <c r="M206" s="13">
        <f>L206*I206</f>
        <v/>
      </c>
      <c r="N206" s="8">
        <f>L206*ROUNDUP(I206/GiaDinh!$C$5-0.0005,0)</f>
        <v/>
      </c>
      <c r="O206" s="8">
        <f>L206*(ROUNDUP(I206/GiaDinh!$C$5-0.0005,0)-1)</f>
        <v/>
      </c>
      <c r="P206" s="8">
        <f>L206*J206</f>
        <v/>
      </c>
      <c r="Q206" s="8">
        <f>2*P206</f>
        <v/>
      </c>
      <c r="R206" s="8">
        <f>P206</f>
        <v/>
      </c>
      <c r="S206" s="14">
        <f>M206*GiaDinh!$C$7</f>
        <v/>
      </c>
    </row>
    <row r="207">
      <c r="A207" s="8" t="inlineStr">
        <is>
          <t>BÈ 4</t>
        </is>
      </c>
      <c r="B207" s="8" t="inlineStr">
        <is>
          <t>B4-13</t>
        </is>
      </c>
      <c r="C207" s="8" t="inlineStr">
        <is>
          <t>Dọc cạnh (hộp song song mép bè, cách mép 1 hàng phao)</t>
        </is>
      </c>
      <c r="D207" s="8" t="inlineStr">
        <is>
          <t>B4-D17b, B4-D18a</t>
        </is>
      </c>
      <c r="E207" s="8" t="n">
        <v>2</v>
      </c>
      <c r="F207" s="8" t="n">
        <v>93.40000000000001</v>
      </c>
      <c r="G207" s="13">
        <f>E207*F207*GiaDinh!$C$18*GiaDinh!$C$17</f>
        <v/>
      </c>
      <c r="H207" s="8">
        <f>GiaDinh!$C$21</f>
        <v/>
      </c>
      <c r="I207" s="8">
        <f>GiaDinh!$C$15</f>
        <v/>
      </c>
      <c r="J207" s="8">
        <f>ROUNDDOWN(I207/H207,0)+1</f>
        <v/>
      </c>
      <c r="K207" s="13">
        <f>J207*GiaDinh!$C$16</f>
        <v/>
      </c>
      <c r="L207" s="8">
        <f>MAX(1,ROUNDUP(G207/K207-0.0005,0))</f>
        <v/>
      </c>
      <c r="M207" s="13">
        <f>L207*I207</f>
        <v/>
      </c>
      <c r="N207" s="8">
        <f>L207*ROUNDUP(I207/GiaDinh!$C$5-0.0005,0)</f>
        <v/>
      </c>
      <c r="O207" s="8">
        <f>L207*(ROUNDUP(I207/GiaDinh!$C$5-0.0005,0)-1)</f>
        <v/>
      </c>
      <c r="P207" s="8">
        <f>L207*J207</f>
        <v/>
      </c>
      <c r="Q207" s="8">
        <f>2*P207</f>
        <v/>
      </c>
      <c r="R207" s="8">
        <f>P207</f>
        <v/>
      </c>
      <c r="S207" s="14">
        <f>M207*GiaDinh!$C$7</f>
        <v/>
      </c>
    </row>
    <row r="208">
      <c r="A208" s="8" t="inlineStr">
        <is>
          <t>BÈ 4</t>
        </is>
      </c>
      <c r="B208" s="8" t="inlineStr">
        <is>
          <t>B4-14</t>
        </is>
      </c>
      <c r="C208" s="8" t="inlineStr">
        <is>
          <t>Dọc cạnh (hộp song song mép bè, cách mép 1 hàng phao)</t>
        </is>
      </c>
      <c r="D208" s="8" t="inlineStr">
        <is>
          <t>B4-D18b, B4-D19a</t>
        </is>
      </c>
      <c r="E208" s="8" t="n">
        <v>2</v>
      </c>
      <c r="F208" s="8" t="n">
        <v>93.40000000000001</v>
      </c>
      <c r="G208" s="13">
        <f>E208*F208*GiaDinh!$C$18*GiaDinh!$C$17</f>
        <v/>
      </c>
      <c r="H208" s="8">
        <f>GiaDinh!$C$21</f>
        <v/>
      </c>
      <c r="I208" s="8">
        <f>GiaDinh!$C$15</f>
        <v/>
      </c>
      <c r="J208" s="8">
        <f>ROUNDDOWN(I208/H208,0)+1</f>
        <v/>
      </c>
      <c r="K208" s="13">
        <f>J208*GiaDinh!$C$16</f>
        <v/>
      </c>
      <c r="L208" s="8">
        <f>MAX(1,ROUNDUP(G208/K208-0.0005,0))</f>
        <v/>
      </c>
      <c r="M208" s="13">
        <f>L208*I208</f>
        <v/>
      </c>
      <c r="N208" s="8">
        <f>L208*ROUNDUP(I208/GiaDinh!$C$5-0.0005,0)</f>
        <v/>
      </c>
      <c r="O208" s="8">
        <f>L208*(ROUNDUP(I208/GiaDinh!$C$5-0.0005,0)-1)</f>
        <v/>
      </c>
      <c r="P208" s="8">
        <f>L208*J208</f>
        <v/>
      </c>
      <c r="Q208" s="8">
        <f>2*P208</f>
        <v/>
      </c>
      <c r="R208" s="8">
        <f>P208</f>
        <v/>
      </c>
      <c r="S208" s="14">
        <f>M208*GiaDinh!$C$7</f>
        <v/>
      </c>
    </row>
    <row r="209">
      <c r="A209" s="8" t="inlineStr">
        <is>
          <t>BÈ 4</t>
        </is>
      </c>
      <c r="B209" s="8" t="inlineStr">
        <is>
          <t>B4-15</t>
        </is>
      </c>
      <c r="C209" s="8" t="inlineStr">
        <is>
          <t>Dọc cạnh (hộp song song mép bè, cách mép 1 hàng phao)</t>
        </is>
      </c>
      <c r="D209" s="8" t="inlineStr">
        <is>
          <t>B4-D19b, B4-D20a</t>
        </is>
      </c>
      <c r="E209" s="8" t="n">
        <v>2</v>
      </c>
      <c r="F209" s="8" t="n">
        <v>93.40000000000001</v>
      </c>
      <c r="G209" s="13">
        <f>E209*F209*GiaDinh!$C$18*GiaDinh!$C$17</f>
        <v/>
      </c>
      <c r="H209" s="8">
        <f>GiaDinh!$C$21</f>
        <v/>
      </c>
      <c r="I209" s="8">
        <f>GiaDinh!$C$15</f>
        <v/>
      </c>
      <c r="J209" s="8">
        <f>ROUNDDOWN(I209/H209,0)+1</f>
        <v/>
      </c>
      <c r="K209" s="13">
        <f>J209*GiaDinh!$C$16</f>
        <v/>
      </c>
      <c r="L209" s="8">
        <f>MAX(1,ROUNDUP(G209/K209-0.0005,0))</f>
        <v/>
      </c>
      <c r="M209" s="13">
        <f>L209*I209</f>
        <v/>
      </c>
      <c r="N209" s="8">
        <f>L209*ROUNDUP(I209/GiaDinh!$C$5-0.0005,0)</f>
        <v/>
      </c>
      <c r="O209" s="8">
        <f>L209*(ROUNDUP(I209/GiaDinh!$C$5-0.0005,0)-1)</f>
        <v/>
      </c>
      <c r="P209" s="8">
        <f>L209*J209</f>
        <v/>
      </c>
      <c r="Q209" s="8">
        <f>2*P209</f>
        <v/>
      </c>
      <c r="R209" s="8">
        <f>P209</f>
        <v/>
      </c>
      <c r="S209" s="14">
        <f>M209*GiaDinh!$C$7</f>
        <v/>
      </c>
    </row>
    <row r="210">
      <c r="A210" s="8" t="inlineStr">
        <is>
          <t>BÈ 4</t>
        </is>
      </c>
      <c r="B210" s="8" t="inlineStr">
        <is>
          <t>B4-16</t>
        </is>
      </c>
      <c r="C210" s="8" t="inlineStr">
        <is>
          <t>Dọc cạnh (hộp song song mép bè, cách mép 1 hàng phao)</t>
        </is>
      </c>
      <c r="D210" s="8" t="inlineStr">
        <is>
          <t>B4-D20b, B4-D67a, B4-D67b</t>
        </is>
      </c>
      <c r="E210" s="8" t="n">
        <v>3</v>
      </c>
      <c r="F210" s="8" t="n">
        <v>93.40000000000001</v>
      </c>
      <c r="G210" s="13">
        <f>E210*F210*GiaDinh!$C$18*GiaDinh!$C$17</f>
        <v/>
      </c>
      <c r="H210" s="8">
        <f>GiaDinh!$C$21</f>
        <v/>
      </c>
      <c r="I210" s="8">
        <f>GiaDinh!$C$15</f>
        <v/>
      </c>
      <c r="J210" s="8">
        <f>ROUNDDOWN(I210/H210,0)+1</f>
        <v/>
      </c>
      <c r="K210" s="13">
        <f>J210*GiaDinh!$C$16</f>
        <v/>
      </c>
      <c r="L210" s="8">
        <f>MAX(1,ROUNDUP(G210/K210-0.0005,0))</f>
        <v/>
      </c>
      <c r="M210" s="13">
        <f>L210*I210</f>
        <v/>
      </c>
      <c r="N210" s="8">
        <f>L210*ROUNDUP(I210/GiaDinh!$C$5-0.0005,0)</f>
        <v/>
      </c>
      <c r="O210" s="8">
        <f>L210*(ROUNDUP(I210/GiaDinh!$C$5-0.0005,0)-1)</f>
        <v/>
      </c>
      <c r="P210" s="8">
        <f>L210*J210</f>
        <v/>
      </c>
      <c r="Q210" s="8">
        <f>2*P210</f>
        <v/>
      </c>
      <c r="R210" s="8">
        <f>P210</f>
        <v/>
      </c>
      <c r="S210" s="14">
        <f>M210*GiaDinh!$C$7</f>
        <v/>
      </c>
    </row>
    <row r="211">
      <c r="A211" s="8" t="inlineStr">
        <is>
          <t>BÈ 4</t>
        </is>
      </c>
      <c r="B211" s="8" t="inlineStr">
        <is>
          <t>B4-17</t>
        </is>
      </c>
      <c r="C211" s="8" t="inlineStr">
        <is>
          <t>Vuông góc cạnh (hộp chạy từ mép vào trong, cùng phương lực dây)</t>
        </is>
      </c>
      <c r="D211" s="8" t="inlineStr">
        <is>
          <t>B4-D01a</t>
        </is>
      </c>
      <c r="E211" s="8" t="n">
        <v>1</v>
      </c>
      <c r="F211" s="8" t="n">
        <v>93.40000000000001</v>
      </c>
      <c r="G211" s="13">
        <f>E211*F211*GiaDinh!$C$18*GiaDinh!$C$17</f>
        <v/>
      </c>
      <c r="H211" s="8">
        <f>GiaDinh!$C$21</f>
        <v/>
      </c>
      <c r="I211" s="8">
        <f>GiaDinh!$C$15</f>
        <v/>
      </c>
      <c r="J211" s="8">
        <f>ROUNDDOWN(I211/H211,0)+1</f>
        <v/>
      </c>
      <c r="K211" s="13">
        <f>J211*GiaDinh!$C$16</f>
        <v/>
      </c>
      <c r="L211" s="8">
        <f>MAX(1,ROUNDUP(G211/K211-0.0005,0))</f>
        <v/>
      </c>
      <c r="M211" s="13">
        <f>L211*I211</f>
        <v/>
      </c>
      <c r="N211" s="8">
        <f>L211*ROUNDUP(I211/GiaDinh!$C$5-0.0005,0)</f>
        <v/>
      </c>
      <c r="O211" s="8">
        <f>L211*(ROUNDUP(I211/GiaDinh!$C$5-0.0005,0)-1)</f>
        <v/>
      </c>
      <c r="P211" s="8">
        <f>L211*J211</f>
        <v/>
      </c>
      <c r="Q211" s="8">
        <f>2*P211</f>
        <v/>
      </c>
      <c r="R211" s="8">
        <f>P211</f>
        <v/>
      </c>
      <c r="S211" s="14">
        <f>M211*GiaDinh!$C$7</f>
        <v/>
      </c>
    </row>
    <row r="212">
      <c r="A212" s="8" t="inlineStr">
        <is>
          <t>BÈ 4</t>
        </is>
      </c>
      <c r="B212" s="8" t="inlineStr">
        <is>
          <t>B4-18</t>
        </is>
      </c>
      <c r="C212" s="8" t="inlineStr">
        <is>
          <t>Vuông góc cạnh (hộp chạy từ mép vào trong, cùng phương lực dây)</t>
        </is>
      </c>
      <c r="D212" s="8" t="inlineStr">
        <is>
          <t>B4-D01b</t>
        </is>
      </c>
      <c r="E212" s="8" t="n">
        <v>1</v>
      </c>
      <c r="F212" s="8" t="n">
        <v>93.40000000000001</v>
      </c>
      <c r="G212" s="13">
        <f>E212*F212*GiaDinh!$C$18*GiaDinh!$C$17</f>
        <v/>
      </c>
      <c r="H212" s="8">
        <f>GiaDinh!$C$21</f>
        <v/>
      </c>
      <c r="I212" s="8">
        <f>GiaDinh!$C$15</f>
        <v/>
      </c>
      <c r="J212" s="8">
        <f>ROUNDDOWN(I212/H212,0)+1</f>
        <v/>
      </c>
      <c r="K212" s="13">
        <f>J212*GiaDinh!$C$16</f>
        <v/>
      </c>
      <c r="L212" s="8">
        <f>MAX(1,ROUNDUP(G212/K212-0.0005,0))</f>
        <v/>
      </c>
      <c r="M212" s="13">
        <f>L212*I212</f>
        <v/>
      </c>
      <c r="N212" s="8">
        <f>L212*ROUNDUP(I212/GiaDinh!$C$5-0.0005,0)</f>
        <v/>
      </c>
      <c r="O212" s="8">
        <f>L212*(ROUNDUP(I212/GiaDinh!$C$5-0.0005,0)-1)</f>
        <v/>
      </c>
      <c r="P212" s="8">
        <f>L212*J212</f>
        <v/>
      </c>
      <c r="Q212" s="8">
        <f>2*P212</f>
        <v/>
      </c>
      <c r="R212" s="8">
        <f>P212</f>
        <v/>
      </c>
      <c r="S212" s="14">
        <f>M212*GiaDinh!$C$7</f>
        <v/>
      </c>
    </row>
    <row r="213">
      <c r="A213" s="8" t="inlineStr">
        <is>
          <t>BÈ 4</t>
        </is>
      </c>
      <c r="B213" s="8" t="inlineStr">
        <is>
          <t>B4-19</t>
        </is>
      </c>
      <c r="C213" s="8" t="inlineStr">
        <is>
          <t>Vuông góc cạnh (hộp chạy từ mép vào trong, cùng phương lực dây)</t>
        </is>
      </c>
      <c r="D213" s="8" t="inlineStr">
        <is>
          <t>B4-D03a</t>
        </is>
      </c>
      <c r="E213" s="8" t="n">
        <v>1</v>
      </c>
      <c r="F213" s="8" t="n">
        <v>93.40000000000001</v>
      </c>
      <c r="G213" s="13">
        <f>E213*F213*GiaDinh!$C$18*GiaDinh!$C$17</f>
        <v/>
      </c>
      <c r="H213" s="8">
        <f>GiaDinh!$C$21</f>
        <v/>
      </c>
      <c r="I213" s="8">
        <f>GiaDinh!$C$15</f>
        <v/>
      </c>
      <c r="J213" s="8">
        <f>ROUNDDOWN(I213/H213,0)+1</f>
        <v/>
      </c>
      <c r="K213" s="13">
        <f>J213*GiaDinh!$C$16</f>
        <v/>
      </c>
      <c r="L213" s="8">
        <f>MAX(1,ROUNDUP(G213/K213-0.0005,0))</f>
        <v/>
      </c>
      <c r="M213" s="13">
        <f>L213*I213</f>
        <v/>
      </c>
      <c r="N213" s="8">
        <f>L213*ROUNDUP(I213/GiaDinh!$C$5-0.0005,0)</f>
        <v/>
      </c>
      <c r="O213" s="8">
        <f>L213*(ROUNDUP(I213/GiaDinh!$C$5-0.0005,0)-1)</f>
        <v/>
      </c>
      <c r="P213" s="8">
        <f>L213*J213</f>
        <v/>
      </c>
      <c r="Q213" s="8">
        <f>2*P213</f>
        <v/>
      </c>
      <c r="R213" s="8">
        <f>P213</f>
        <v/>
      </c>
      <c r="S213" s="14">
        <f>M213*GiaDinh!$C$7</f>
        <v/>
      </c>
    </row>
    <row r="214">
      <c r="A214" s="8" t="inlineStr">
        <is>
          <t>BÈ 4</t>
        </is>
      </c>
      <c r="B214" s="8" t="inlineStr">
        <is>
          <t>B4-20</t>
        </is>
      </c>
      <c r="C214" s="8" t="inlineStr">
        <is>
          <t>Vuông góc cạnh (hộp chạy từ mép vào trong, cùng phương lực dây)</t>
        </is>
      </c>
      <c r="D214" s="8" t="inlineStr">
        <is>
          <t>B4-D03b</t>
        </is>
      </c>
      <c r="E214" s="8" t="n">
        <v>1</v>
      </c>
      <c r="F214" s="8" t="n">
        <v>93.40000000000001</v>
      </c>
      <c r="G214" s="13">
        <f>E214*F214*GiaDinh!$C$18*GiaDinh!$C$17</f>
        <v/>
      </c>
      <c r="H214" s="8">
        <f>GiaDinh!$C$21</f>
        <v/>
      </c>
      <c r="I214" s="8">
        <f>GiaDinh!$C$15</f>
        <v/>
      </c>
      <c r="J214" s="8">
        <f>ROUNDDOWN(I214/H214,0)+1</f>
        <v/>
      </c>
      <c r="K214" s="13">
        <f>J214*GiaDinh!$C$16</f>
        <v/>
      </c>
      <c r="L214" s="8">
        <f>MAX(1,ROUNDUP(G214/K214-0.0005,0))</f>
        <v/>
      </c>
      <c r="M214" s="13">
        <f>L214*I214</f>
        <v/>
      </c>
      <c r="N214" s="8">
        <f>L214*ROUNDUP(I214/GiaDinh!$C$5-0.0005,0)</f>
        <v/>
      </c>
      <c r="O214" s="8">
        <f>L214*(ROUNDUP(I214/GiaDinh!$C$5-0.0005,0)-1)</f>
        <v/>
      </c>
      <c r="P214" s="8">
        <f>L214*J214</f>
        <v/>
      </c>
      <c r="Q214" s="8">
        <f>2*P214</f>
        <v/>
      </c>
      <c r="R214" s="8">
        <f>P214</f>
        <v/>
      </c>
      <c r="S214" s="14">
        <f>M214*GiaDinh!$C$7</f>
        <v/>
      </c>
    </row>
    <row r="215">
      <c r="A215" s="8" t="inlineStr">
        <is>
          <t>BÈ 4</t>
        </is>
      </c>
      <c r="B215" s="8" t="inlineStr">
        <is>
          <t>B4-21</t>
        </is>
      </c>
      <c r="C215" s="8" t="inlineStr">
        <is>
          <t>Vuông góc cạnh (hộp chạy từ mép vào trong, cùng phương lực dây)</t>
        </is>
      </c>
      <c r="D215" s="8" t="inlineStr">
        <is>
          <t>B4-D04a</t>
        </is>
      </c>
      <c r="E215" s="8" t="n">
        <v>1</v>
      </c>
      <c r="F215" s="8" t="n">
        <v>93.40000000000001</v>
      </c>
      <c r="G215" s="13">
        <f>E215*F215*GiaDinh!$C$18*GiaDinh!$C$17</f>
        <v/>
      </c>
      <c r="H215" s="8">
        <f>GiaDinh!$C$21</f>
        <v/>
      </c>
      <c r="I215" s="8">
        <f>GiaDinh!$C$15</f>
        <v/>
      </c>
      <c r="J215" s="8">
        <f>ROUNDDOWN(I215/H215,0)+1</f>
        <v/>
      </c>
      <c r="K215" s="13">
        <f>J215*GiaDinh!$C$16</f>
        <v/>
      </c>
      <c r="L215" s="8">
        <f>MAX(1,ROUNDUP(G215/K215-0.0005,0))</f>
        <v/>
      </c>
      <c r="M215" s="13">
        <f>L215*I215</f>
        <v/>
      </c>
      <c r="N215" s="8">
        <f>L215*ROUNDUP(I215/GiaDinh!$C$5-0.0005,0)</f>
        <v/>
      </c>
      <c r="O215" s="8">
        <f>L215*(ROUNDUP(I215/GiaDinh!$C$5-0.0005,0)-1)</f>
        <v/>
      </c>
      <c r="P215" s="8">
        <f>L215*J215</f>
        <v/>
      </c>
      <c r="Q215" s="8">
        <f>2*P215</f>
        <v/>
      </c>
      <c r="R215" s="8">
        <f>P215</f>
        <v/>
      </c>
      <c r="S215" s="14">
        <f>M215*GiaDinh!$C$7</f>
        <v/>
      </c>
    </row>
    <row r="216">
      <c r="A216" s="8" t="inlineStr">
        <is>
          <t>BÈ 4</t>
        </is>
      </c>
      <c r="B216" s="8" t="inlineStr">
        <is>
          <t>B4-22</t>
        </is>
      </c>
      <c r="C216" s="8" t="inlineStr">
        <is>
          <t>Vuông góc cạnh (hộp chạy từ mép vào trong, cùng phương lực dây)</t>
        </is>
      </c>
      <c r="D216" s="8" t="inlineStr">
        <is>
          <t>B4-D04b</t>
        </is>
      </c>
      <c r="E216" s="8" t="n">
        <v>1</v>
      </c>
      <c r="F216" s="8" t="n">
        <v>93.40000000000001</v>
      </c>
      <c r="G216" s="13">
        <f>E216*F216*GiaDinh!$C$18*GiaDinh!$C$17</f>
        <v/>
      </c>
      <c r="H216" s="8">
        <f>GiaDinh!$C$21</f>
        <v/>
      </c>
      <c r="I216" s="8">
        <f>GiaDinh!$C$15</f>
        <v/>
      </c>
      <c r="J216" s="8">
        <f>ROUNDDOWN(I216/H216,0)+1</f>
        <v/>
      </c>
      <c r="K216" s="13">
        <f>J216*GiaDinh!$C$16</f>
        <v/>
      </c>
      <c r="L216" s="8">
        <f>MAX(1,ROUNDUP(G216/K216-0.0005,0))</f>
        <v/>
      </c>
      <c r="M216" s="13">
        <f>L216*I216</f>
        <v/>
      </c>
      <c r="N216" s="8">
        <f>L216*ROUNDUP(I216/GiaDinh!$C$5-0.0005,0)</f>
        <v/>
      </c>
      <c r="O216" s="8">
        <f>L216*(ROUNDUP(I216/GiaDinh!$C$5-0.0005,0)-1)</f>
        <v/>
      </c>
      <c r="P216" s="8">
        <f>L216*J216</f>
        <v/>
      </c>
      <c r="Q216" s="8">
        <f>2*P216</f>
        <v/>
      </c>
      <c r="R216" s="8">
        <f>P216</f>
        <v/>
      </c>
      <c r="S216" s="14">
        <f>M216*GiaDinh!$C$7</f>
        <v/>
      </c>
    </row>
    <row r="217">
      <c r="A217" s="8" t="inlineStr">
        <is>
          <t>BÈ 4</t>
        </is>
      </c>
      <c r="B217" s="8" t="inlineStr">
        <is>
          <t>B4-23</t>
        </is>
      </c>
      <c r="C217" s="8" t="inlineStr">
        <is>
          <t>Vuông góc cạnh (hộp chạy từ mép vào trong, cùng phương lực dây)</t>
        </is>
      </c>
      <c r="D217" s="8" t="inlineStr">
        <is>
          <t>B4-D05a</t>
        </is>
      </c>
      <c r="E217" s="8" t="n">
        <v>1</v>
      </c>
      <c r="F217" s="8" t="n">
        <v>93.40000000000001</v>
      </c>
      <c r="G217" s="13">
        <f>E217*F217*GiaDinh!$C$18*GiaDinh!$C$17</f>
        <v/>
      </c>
      <c r="H217" s="8">
        <f>GiaDinh!$C$21</f>
        <v/>
      </c>
      <c r="I217" s="8">
        <f>GiaDinh!$C$15</f>
        <v/>
      </c>
      <c r="J217" s="8">
        <f>ROUNDDOWN(I217/H217,0)+1</f>
        <v/>
      </c>
      <c r="K217" s="13">
        <f>J217*GiaDinh!$C$16</f>
        <v/>
      </c>
      <c r="L217" s="8">
        <f>MAX(1,ROUNDUP(G217/K217-0.0005,0))</f>
        <v/>
      </c>
      <c r="M217" s="13">
        <f>L217*I217</f>
        <v/>
      </c>
      <c r="N217" s="8">
        <f>L217*ROUNDUP(I217/GiaDinh!$C$5-0.0005,0)</f>
        <v/>
      </c>
      <c r="O217" s="8">
        <f>L217*(ROUNDUP(I217/GiaDinh!$C$5-0.0005,0)-1)</f>
        <v/>
      </c>
      <c r="P217" s="8">
        <f>L217*J217</f>
        <v/>
      </c>
      <c r="Q217" s="8">
        <f>2*P217</f>
        <v/>
      </c>
      <c r="R217" s="8">
        <f>P217</f>
        <v/>
      </c>
      <c r="S217" s="14">
        <f>M217*GiaDinh!$C$7</f>
        <v/>
      </c>
    </row>
    <row r="218">
      <c r="A218" s="8" t="inlineStr">
        <is>
          <t>BÈ 4</t>
        </is>
      </c>
      <c r="B218" s="8" t="inlineStr">
        <is>
          <t>B4-24</t>
        </is>
      </c>
      <c r="C218" s="8" t="inlineStr">
        <is>
          <t>Vuông góc cạnh (hộp chạy từ mép vào trong, cùng phương lực dây)</t>
        </is>
      </c>
      <c r="D218" s="8" t="inlineStr">
        <is>
          <t>B4-D05b</t>
        </is>
      </c>
      <c r="E218" s="8" t="n">
        <v>1</v>
      </c>
      <c r="F218" s="8" t="n">
        <v>93.40000000000001</v>
      </c>
      <c r="G218" s="13">
        <f>E218*F218*GiaDinh!$C$18*GiaDinh!$C$17</f>
        <v/>
      </c>
      <c r="H218" s="8">
        <f>GiaDinh!$C$21</f>
        <v/>
      </c>
      <c r="I218" s="8">
        <f>GiaDinh!$C$15</f>
        <v/>
      </c>
      <c r="J218" s="8">
        <f>ROUNDDOWN(I218/H218,0)+1</f>
        <v/>
      </c>
      <c r="K218" s="13">
        <f>J218*GiaDinh!$C$16</f>
        <v/>
      </c>
      <c r="L218" s="8">
        <f>MAX(1,ROUNDUP(G218/K218-0.0005,0))</f>
        <v/>
      </c>
      <c r="M218" s="13">
        <f>L218*I218</f>
        <v/>
      </c>
      <c r="N218" s="8">
        <f>L218*ROUNDUP(I218/GiaDinh!$C$5-0.0005,0)</f>
        <v/>
      </c>
      <c r="O218" s="8">
        <f>L218*(ROUNDUP(I218/GiaDinh!$C$5-0.0005,0)-1)</f>
        <v/>
      </c>
      <c r="P218" s="8">
        <f>L218*J218</f>
        <v/>
      </c>
      <c r="Q218" s="8">
        <f>2*P218</f>
        <v/>
      </c>
      <c r="R218" s="8">
        <f>P218</f>
        <v/>
      </c>
      <c r="S218" s="14">
        <f>M218*GiaDinh!$C$7</f>
        <v/>
      </c>
    </row>
    <row r="219">
      <c r="A219" s="8" t="inlineStr">
        <is>
          <t>BÈ 4</t>
        </is>
      </c>
      <c r="B219" s="8" t="inlineStr">
        <is>
          <t>B4-25</t>
        </is>
      </c>
      <c r="C219" s="8" t="inlineStr">
        <is>
          <t>Vuông góc cạnh (hộp chạy từ mép vào trong, cùng phương lực dây)</t>
        </is>
      </c>
      <c r="D219" s="8" t="inlineStr">
        <is>
          <t>B4-D06a</t>
        </is>
      </c>
      <c r="E219" s="8" t="n">
        <v>1</v>
      </c>
      <c r="F219" s="8" t="n">
        <v>93.40000000000001</v>
      </c>
      <c r="G219" s="13">
        <f>E219*F219*GiaDinh!$C$18*GiaDinh!$C$17</f>
        <v/>
      </c>
      <c r="H219" s="8">
        <f>GiaDinh!$C$21</f>
        <v/>
      </c>
      <c r="I219" s="8">
        <f>GiaDinh!$C$15</f>
        <v/>
      </c>
      <c r="J219" s="8">
        <f>ROUNDDOWN(I219/H219,0)+1</f>
        <v/>
      </c>
      <c r="K219" s="13">
        <f>J219*GiaDinh!$C$16</f>
        <v/>
      </c>
      <c r="L219" s="8">
        <f>MAX(1,ROUNDUP(G219/K219-0.0005,0))</f>
        <v/>
      </c>
      <c r="M219" s="13">
        <f>L219*I219</f>
        <v/>
      </c>
      <c r="N219" s="8">
        <f>L219*ROUNDUP(I219/GiaDinh!$C$5-0.0005,0)</f>
        <v/>
      </c>
      <c r="O219" s="8">
        <f>L219*(ROUNDUP(I219/GiaDinh!$C$5-0.0005,0)-1)</f>
        <v/>
      </c>
      <c r="P219" s="8">
        <f>L219*J219</f>
        <v/>
      </c>
      <c r="Q219" s="8">
        <f>2*P219</f>
        <v/>
      </c>
      <c r="R219" s="8">
        <f>P219</f>
        <v/>
      </c>
      <c r="S219" s="14">
        <f>M219*GiaDinh!$C$7</f>
        <v/>
      </c>
    </row>
    <row r="220">
      <c r="A220" s="8" t="inlineStr">
        <is>
          <t>BÈ 4</t>
        </is>
      </c>
      <c r="B220" s="8" t="inlineStr">
        <is>
          <t>B4-26</t>
        </is>
      </c>
      <c r="C220" s="8" t="inlineStr">
        <is>
          <t>Vuông góc cạnh (hộp chạy từ mép vào trong, cùng phương lực dây)</t>
        </is>
      </c>
      <c r="D220" s="8" t="inlineStr">
        <is>
          <t>B4-D06b</t>
        </is>
      </c>
      <c r="E220" s="8" t="n">
        <v>1</v>
      </c>
      <c r="F220" s="8" t="n">
        <v>93.40000000000001</v>
      </c>
      <c r="G220" s="13">
        <f>E220*F220*GiaDinh!$C$18*GiaDinh!$C$17</f>
        <v/>
      </c>
      <c r="H220" s="8">
        <f>GiaDinh!$C$21</f>
        <v/>
      </c>
      <c r="I220" s="8">
        <f>GiaDinh!$C$15</f>
        <v/>
      </c>
      <c r="J220" s="8">
        <f>ROUNDDOWN(I220/H220,0)+1</f>
        <v/>
      </c>
      <c r="K220" s="13">
        <f>J220*GiaDinh!$C$16</f>
        <v/>
      </c>
      <c r="L220" s="8">
        <f>MAX(1,ROUNDUP(G220/K220-0.0005,0))</f>
        <v/>
      </c>
      <c r="M220" s="13">
        <f>L220*I220</f>
        <v/>
      </c>
      <c r="N220" s="8">
        <f>L220*ROUNDUP(I220/GiaDinh!$C$5-0.0005,0)</f>
        <v/>
      </c>
      <c r="O220" s="8">
        <f>L220*(ROUNDUP(I220/GiaDinh!$C$5-0.0005,0)-1)</f>
        <v/>
      </c>
      <c r="P220" s="8">
        <f>L220*J220</f>
        <v/>
      </c>
      <c r="Q220" s="8">
        <f>2*P220</f>
        <v/>
      </c>
      <c r="R220" s="8">
        <f>P220</f>
        <v/>
      </c>
      <c r="S220" s="14">
        <f>M220*GiaDinh!$C$7</f>
        <v/>
      </c>
    </row>
    <row r="221">
      <c r="A221" s="8" t="inlineStr">
        <is>
          <t>BÈ 4</t>
        </is>
      </c>
      <c r="B221" s="8" t="inlineStr">
        <is>
          <t>B4-27</t>
        </is>
      </c>
      <c r="C221" s="8" t="inlineStr">
        <is>
          <t>Vuông góc cạnh (hộp chạy từ mép vào trong, cùng phương lực dây)</t>
        </is>
      </c>
      <c r="D221" s="8" t="inlineStr">
        <is>
          <t>B4-D07a</t>
        </is>
      </c>
      <c r="E221" s="8" t="n">
        <v>1</v>
      </c>
      <c r="F221" s="8" t="n">
        <v>93.40000000000001</v>
      </c>
      <c r="G221" s="13">
        <f>E221*F221*GiaDinh!$C$18*GiaDinh!$C$17</f>
        <v/>
      </c>
      <c r="H221" s="8">
        <f>GiaDinh!$C$21</f>
        <v/>
      </c>
      <c r="I221" s="8">
        <f>GiaDinh!$C$15</f>
        <v/>
      </c>
      <c r="J221" s="8">
        <f>ROUNDDOWN(I221/H221,0)+1</f>
        <v/>
      </c>
      <c r="K221" s="13">
        <f>J221*GiaDinh!$C$16</f>
        <v/>
      </c>
      <c r="L221" s="8">
        <f>MAX(1,ROUNDUP(G221/K221-0.0005,0))</f>
        <v/>
      </c>
      <c r="M221" s="13">
        <f>L221*I221</f>
        <v/>
      </c>
      <c r="N221" s="8">
        <f>L221*ROUNDUP(I221/GiaDinh!$C$5-0.0005,0)</f>
        <v/>
      </c>
      <c r="O221" s="8">
        <f>L221*(ROUNDUP(I221/GiaDinh!$C$5-0.0005,0)-1)</f>
        <v/>
      </c>
      <c r="P221" s="8">
        <f>L221*J221</f>
        <v/>
      </c>
      <c r="Q221" s="8">
        <f>2*P221</f>
        <v/>
      </c>
      <c r="R221" s="8">
        <f>P221</f>
        <v/>
      </c>
      <c r="S221" s="14">
        <f>M221*GiaDinh!$C$7</f>
        <v/>
      </c>
    </row>
    <row r="222">
      <c r="A222" s="8" t="inlineStr">
        <is>
          <t>BÈ 4</t>
        </is>
      </c>
      <c r="B222" s="8" t="inlineStr">
        <is>
          <t>B4-28</t>
        </is>
      </c>
      <c r="C222" s="8" t="inlineStr">
        <is>
          <t>Vuông góc cạnh (hộp chạy từ mép vào trong, cùng phương lực dây)</t>
        </is>
      </c>
      <c r="D222" s="8" t="inlineStr">
        <is>
          <t>B4-D07b</t>
        </is>
      </c>
      <c r="E222" s="8" t="n">
        <v>1</v>
      </c>
      <c r="F222" s="8" t="n">
        <v>93.40000000000001</v>
      </c>
      <c r="G222" s="13">
        <f>E222*F222*GiaDinh!$C$18*GiaDinh!$C$17</f>
        <v/>
      </c>
      <c r="H222" s="8">
        <f>GiaDinh!$C$21</f>
        <v/>
      </c>
      <c r="I222" s="8">
        <f>GiaDinh!$C$15</f>
        <v/>
      </c>
      <c r="J222" s="8">
        <f>ROUNDDOWN(I222/H222,0)+1</f>
        <v/>
      </c>
      <c r="K222" s="13">
        <f>J222*GiaDinh!$C$16</f>
        <v/>
      </c>
      <c r="L222" s="8">
        <f>MAX(1,ROUNDUP(G222/K222-0.0005,0))</f>
        <v/>
      </c>
      <c r="M222" s="13">
        <f>L222*I222</f>
        <v/>
      </c>
      <c r="N222" s="8">
        <f>L222*ROUNDUP(I222/GiaDinh!$C$5-0.0005,0)</f>
        <v/>
      </c>
      <c r="O222" s="8">
        <f>L222*(ROUNDUP(I222/GiaDinh!$C$5-0.0005,0)-1)</f>
        <v/>
      </c>
      <c r="P222" s="8">
        <f>L222*J222</f>
        <v/>
      </c>
      <c r="Q222" s="8">
        <f>2*P222</f>
        <v/>
      </c>
      <c r="R222" s="8">
        <f>P222</f>
        <v/>
      </c>
      <c r="S222" s="14">
        <f>M222*GiaDinh!$C$7</f>
        <v/>
      </c>
    </row>
    <row r="223">
      <c r="A223" s="8" t="inlineStr">
        <is>
          <t>BÈ 4</t>
        </is>
      </c>
      <c r="B223" s="8" t="inlineStr">
        <is>
          <t>B4-29</t>
        </is>
      </c>
      <c r="C223" s="8" t="inlineStr">
        <is>
          <t>Vuông góc cạnh (hộp chạy từ mép vào trong, cùng phương lực dây)</t>
        </is>
      </c>
      <c r="D223" s="8" t="inlineStr">
        <is>
          <t>B4-D08a</t>
        </is>
      </c>
      <c r="E223" s="8" t="n">
        <v>1</v>
      </c>
      <c r="F223" s="8" t="n">
        <v>93.40000000000001</v>
      </c>
      <c r="G223" s="13">
        <f>E223*F223*GiaDinh!$C$18*GiaDinh!$C$17</f>
        <v/>
      </c>
      <c r="H223" s="8">
        <f>GiaDinh!$C$21</f>
        <v/>
      </c>
      <c r="I223" s="8">
        <f>GiaDinh!$C$15</f>
        <v/>
      </c>
      <c r="J223" s="8">
        <f>ROUNDDOWN(I223/H223,0)+1</f>
        <v/>
      </c>
      <c r="K223" s="13">
        <f>J223*GiaDinh!$C$16</f>
        <v/>
      </c>
      <c r="L223" s="8">
        <f>MAX(1,ROUNDUP(G223/K223-0.0005,0))</f>
        <v/>
      </c>
      <c r="M223" s="13">
        <f>L223*I223</f>
        <v/>
      </c>
      <c r="N223" s="8">
        <f>L223*ROUNDUP(I223/GiaDinh!$C$5-0.0005,0)</f>
        <v/>
      </c>
      <c r="O223" s="8">
        <f>L223*(ROUNDUP(I223/GiaDinh!$C$5-0.0005,0)-1)</f>
        <v/>
      </c>
      <c r="P223" s="8">
        <f>L223*J223</f>
        <v/>
      </c>
      <c r="Q223" s="8">
        <f>2*P223</f>
        <v/>
      </c>
      <c r="R223" s="8">
        <f>P223</f>
        <v/>
      </c>
      <c r="S223" s="14">
        <f>M223*GiaDinh!$C$7</f>
        <v/>
      </c>
    </row>
    <row r="224">
      <c r="A224" s="8" t="inlineStr">
        <is>
          <t>BÈ 4</t>
        </is>
      </c>
      <c r="B224" s="8" t="inlineStr">
        <is>
          <t>B4-30</t>
        </is>
      </c>
      <c r="C224" s="8" t="inlineStr">
        <is>
          <t>Vuông góc cạnh (hộp chạy từ mép vào trong, cùng phương lực dây)</t>
        </is>
      </c>
      <c r="D224" s="8" t="inlineStr">
        <is>
          <t>B4-D08b</t>
        </is>
      </c>
      <c r="E224" s="8" t="n">
        <v>1</v>
      </c>
      <c r="F224" s="8" t="n">
        <v>93.40000000000001</v>
      </c>
      <c r="G224" s="13">
        <f>E224*F224*GiaDinh!$C$18*GiaDinh!$C$17</f>
        <v/>
      </c>
      <c r="H224" s="8">
        <f>GiaDinh!$C$21</f>
        <v/>
      </c>
      <c r="I224" s="8">
        <f>GiaDinh!$C$15</f>
        <v/>
      </c>
      <c r="J224" s="8">
        <f>ROUNDDOWN(I224/H224,0)+1</f>
        <v/>
      </c>
      <c r="K224" s="13">
        <f>J224*GiaDinh!$C$16</f>
        <v/>
      </c>
      <c r="L224" s="8">
        <f>MAX(1,ROUNDUP(G224/K224-0.0005,0))</f>
        <v/>
      </c>
      <c r="M224" s="13">
        <f>L224*I224</f>
        <v/>
      </c>
      <c r="N224" s="8">
        <f>L224*ROUNDUP(I224/GiaDinh!$C$5-0.0005,0)</f>
        <v/>
      </c>
      <c r="O224" s="8">
        <f>L224*(ROUNDUP(I224/GiaDinh!$C$5-0.0005,0)-1)</f>
        <v/>
      </c>
      <c r="P224" s="8">
        <f>L224*J224</f>
        <v/>
      </c>
      <c r="Q224" s="8">
        <f>2*P224</f>
        <v/>
      </c>
      <c r="R224" s="8">
        <f>P224</f>
        <v/>
      </c>
      <c r="S224" s="14">
        <f>M224*GiaDinh!$C$7</f>
        <v/>
      </c>
    </row>
    <row r="225">
      <c r="A225" s="8" t="inlineStr">
        <is>
          <t>BÈ 4</t>
        </is>
      </c>
      <c r="B225" s="8" t="inlineStr">
        <is>
          <t>B4-31</t>
        </is>
      </c>
      <c r="C225" s="8" t="inlineStr">
        <is>
          <t>Vuông góc cạnh (hộp chạy từ mép vào trong, cùng phương lực dây)</t>
        </is>
      </c>
      <c r="D225" s="8" t="inlineStr">
        <is>
          <t>B4-D09a</t>
        </is>
      </c>
      <c r="E225" s="8" t="n">
        <v>1</v>
      </c>
      <c r="F225" s="8" t="n">
        <v>93.40000000000001</v>
      </c>
      <c r="G225" s="13">
        <f>E225*F225*GiaDinh!$C$18*GiaDinh!$C$17</f>
        <v/>
      </c>
      <c r="H225" s="8">
        <f>GiaDinh!$C$21</f>
        <v/>
      </c>
      <c r="I225" s="8">
        <f>GiaDinh!$C$15</f>
        <v/>
      </c>
      <c r="J225" s="8">
        <f>ROUNDDOWN(I225/H225,0)+1</f>
        <v/>
      </c>
      <c r="K225" s="13">
        <f>J225*GiaDinh!$C$16</f>
        <v/>
      </c>
      <c r="L225" s="8">
        <f>MAX(1,ROUNDUP(G225/K225-0.0005,0))</f>
        <v/>
      </c>
      <c r="M225" s="13">
        <f>L225*I225</f>
        <v/>
      </c>
      <c r="N225" s="8">
        <f>L225*ROUNDUP(I225/GiaDinh!$C$5-0.0005,0)</f>
        <v/>
      </c>
      <c r="O225" s="8">
        <f>L225*(ROUNDUP(I225/GiaDinh!$C$5-0.0005,0)-1)</f>
        <v/>
      </c>
      <c r="P225" s="8">
        <f>L225*J225</f>
        <v/>
      </c>
      <c r="Q225" s="8">
        <f>2*P225</f>
        <v/>
      </c>
      <c r="R225" s="8">
        <f>P225</f>
        <v/>
      </c>
      <c r="S225" s="14">
        <f>M225*GiaDinh!$C$7</f>
        <v/>
      </c>
    </row>
    <row r="226">
      <c r="A226" s="8" t="inlineStr">
        <is>
          <t>BÈ 4</t>
        </is>
      </c>
      <c r="B226" s="8" t="inlineStr">
        <is>
          <t>B4-32</t>
        </is>
      </c>
      <c r="C226" s="8" t="inlineStr">
        <is>
          <t>Vuông góc cạnh (hộp chạy từ mép vào trong, cùng phương lực dây)</t>
        </is>
      </c>
      <c r="D226" s="8" t="inlineStr">
        <is>
          <t>B4-D09b</t>
        </is>
      </c>
      <c r="E226" s="8" t="n">
        <v>1</v>
      </c>
      <c r="F226" s="8" t="n">
        <v>93.40000000000001</v>
      </c>
      <c r="G226" s="13">
        <f>E226*F226*GiaDinh!$C$18*GiaDinh!$C$17</f>
        <v/>
      </c>
      <c r="H226" s="8">
        <f>GiaDinh!$C$21</f>
        <v/>
      </c>
      <c r="I226" s="8">
        <f>GiaDinh!$C$15</f>
        <v/>
      </c>
      <c r="J226" s="8">
        <f>ROUNDDOWN(I226/H226,0)+1</f>
        <v/>
      </c>
      <c r="K226" s="13">
        <f>J226*GiaDinh!$C$16</f>
        <v/>
      </c>
      <c r="L226" s="8">
        <f>MAX(1,ROUNDUP(G226/K226-0.0005,0))</f>
        <v/>
      </c>
      <c r="M226" s="13">
        <f>L226*I226</f>
        <v/>
      </c>
      <c r="N226" s="8">
        <f>L226*ROUNDUP(I226/GiaDinh!$C$5-0.0005,0)</f>
        <v/>
      </c>
      <c r="O226" s="8">
        <f>L226*(ROUNDUP(I226/GiaDinh!$C$5-0.0005,0)-1)</f>
        <v/>
      </c>
      <c r="P226" s="8">
        <f>L226*J226</f>
        <v/>
      </c>
      <c r="Q226" s="8">
        <f>2*P226</f>
        <v/>
      </c>
      <c r="R226" s="8">
        <f>P226</f>
        <v/>
      </c>
      <c r="S226" s="14">
        <f>M226*GiaDinh!$C$7</f>
        <v/>
      </c>
    </row>
    <row r="227">
      <c r="A227" s="8" t="inlineStr">
        <is>
          <t>BÈ 4</t>
        </is>
      </c>
      <c r="B227" s="8" t="inlineStr">
        <is>
          <t>B4-33</t>
        </is>
      </c>
      <c r="C227" s="8" t="inlineStr">
        <is>
          <t>Vuông góc cạnh (hộp chạy từ mép vào trong, cùng phương lực dây)</t>
        </is>
      </c>
      <c r="D227" s="8" t="inlineStr">
        <is>
          <t>B4-D10a</t>
        </is>
      </c>
      <c r="E227" s="8" t="n">
        <v>1</v>
      </c>
      <c r="F227" s="8" t="n">
        <v>93.40000000000001</v>
      </c>
      <c r="G227" s="13">
        <f>E227*F227*GiaDinh!$C$18*GiaDinh!$C$17</f>
        <v/>
      </c>
      <c r="H227" s="8">
        <f>GiaDinh!$C$21</f>
        <v/>
      </c>
      <c r="I227" s="8">
        <f>GiaDinh!$C$15</f>
        <v/>
      </c>
      <c r="J227" s="8">
        <f>ROUNDDOWN(I227/H227,0)+1</f>
        <v/>
      </c>
      <c r="K227" s="13">
        <f>J227*GiaDinh!$C$16</f>
        <v/>
      </c>
      <c r="L227" s="8">
        <f>MAX(1,ROUNDUP(G227/K227-0.0005,0))</f>
        <v/>
      </c>
      <c r="M227" s="13">
        <f>L227*I227</f>
        <v/>
      </c>
      <c r="N227" s="8">
        <f>L227*ROUNDUP(I227/GiaDinh!$C$5-0.0005,0)</f>
        <v/>
      </c>
      <c r="O227" s="8">
        <f>L227*(ROUNDUP(I227/GiaDinh!$C$5-0.0005,0)-1)</f>
        <v/>
      </c>
      <c r="P227" s="8">
        <f>L227*J227</f>
        <v/>
      </c>
      <c r="Q227" s="8">
        <f>2*P227</f>
        <v/>
      </c>
      <c r="R227" s="8">
        <f>P227</f>
        <v/>
      </c>
      <c r="S227" s="14">
        <f>M227*GiaDinh!$C$7</f>
        <v/>
      </c>
    </row>
    <row r="228">
      <c r="A228" s="8" t="inlineStr">
        <is>
          <t>BÈ 4</t>
        </is>
      </c>
      <c r="B228" s="8" t="inlineStr">
        <is>
          <t>B4-34</t>
        </is>
      </c>
      <c r="C228" s="8" t="inlineStr">
        <is>
          <t>Vuông góc cạnh (hộp chạy từ mép vào trong, cùng phương lực dây)</t>
        </is>
      </c>
      <c r="D228" s="8" t="inlineStr">
        <is>
          <t>B4-D10b</t>
        </is>
      </c>
      <c r="E228" s="8" t="n">
        <v>1</v>
      </c>
      <c r="F228" s="8" t="n">
        <v>93.40000000000001</v>
      </c>
      <c r="G228" s="13">
        <f>E228*F228*GiaDinh!$C$18*GiaDinh!$C$17</f>
        <v/>
      </c>
      <c r="H228" s="8">
        <f>GiaDinh!$C$21</f>
        <v/>
      </c>
      <c r="I228" s="8">
        <f>GiaDinh!$C$15</f>
        <v/>
      </c>
      <c r="J228" s="8">
        <f>ROUNDDOWN(I228/H228,0)+1</f>
        <v/>
      </c>
      <c r="K228" s="13">
        <f>J228*GiaDinh!$C$16</f>
        <v/>
      </c>
      <c r="L228" s="8">
        <f>MAX(1,ROUNDUP(G228/K228-0.0005,0))</f>
        <v/>
      </c>
      <c r="M228" s="13">
        <f>L228*I228</f>
        <v/>
      </c>
      <c r="N228" s="8">
        <f>L228*ROUNDUP(I228/GiaDinh!$C$5-0.0005,0)</f>
        <v/>
      </c>
      <c r="O228" s="8">
        <f>L228*(ROUNDUP(I228/GiaDinh!$C$5-0.0005,0)-1)</f>
        <v/>
      </c>
      <c r="P228" s="8">
        <f>L228*J228</f>
        <v/>
      </c>
      <c r="Q228" s="8">
        <f>2*P228</f>
        <v/>
      </c>
      <c r="R228" s="8">
        <f>P228</f>
        <v/>
      </c>
      <c r="S228" s="14">
        <f>M228*GiaDinh!$C$7</f>
        <v/>
      </c>
    </row>
    <row r="229">
      <c r="A229" s="8" t="inlineStr">
        <is>
          <t>BÈ 4</t>
        </is>
      </c>
      <c r="B229" s="8" t="inlineStr">
        <is>
          <t>B4-35</t>
        </is>
      </c>
      <c r="C229" s="8" t="inlineStr">
        <is>
          <t>Vuông góc cạnh (hộp chạy từ mép vào trong, cùng phương lực dây)</t>
        </is>
      </c>
      <c r="D229" s="8" t="inlineStr">
        <is>
          <t>B4-D11a</t>
        </is>
      </c>
      <c r="E229" s="8" t="n">
        <v>1</v>
      </c>
      <c r="F229" s="8" t="n">
        <v>93.40000000000001</v>
      </c>
      <c r="G229" s="13">
        <f>E229*F229*GiaDinh!$C$18*GiaDinh!$C$17</f>
        <v/>
      </c>
      <c r="H229" s="8">
        <f>GiaDinh!$C$21</f>
        <v/>
      </c>
      <c r="I229" s="8">
        <f>GiaDinh!$C$15</f>
        <v/>
      </c>
      <c r="J229" s="8">
        <f>ROUNDDOWN(I229/H229,0)+1</f>
        <v/>
      </c>
      <c r="K229" s="13">
        <f>J229*GiaDinh!$C$16</f>
        <v/>
      </c>
      <c r="L229" s="8">
        <f>MAX(1,ROUNDUP(G229/K229-0.0005,0))</f>
        <v/>
      </c>
      <c r="M229" s="13">
        <f>L229*I229</f>
        <v/>
      </c>
      <c r="N229" s="8">
        <f>L229*ROUNDUP(I229/GiaDinh!$C$5-0.0005,0)</f>
        <v/>
      </c>
      <c r="O229" s="8">
        <f>L229*(ROUNDUP(I229/GiaDinh!$C$5-0.0005,0)-1)</f>
        <v/>
      </c>
      <c r="P229" s="8">
        <f>L229*J229</f>
        <v/>
      </c>
      <c r="Q229" s="8">
        <f>2*P229</f>
        <v/>
      </c>
      <c r="R229" s="8">
        <f>P229</f>
        <v/>
      </c>
      <c r="S229" s="14">
        <f>M229*GiaDinh!$C$7</f>
        <v/>
      </c>
    </row>
    <row r="230">
      <c r="A230" s="8" t="inlineStr">
        <is>
          <t>BÈ 4</t>
        </is>
      </c>
      <c r="B230" s="8" t="inlineStr">
        <is>
          <t>B4-36</t>
        </is>
      </c>
      <c r="C230" s="8" t="inlineStr">
        <is>
          <t>Vuông góc cạnh (hộp chạy từ mép vào trong, cùng phương lực dây)</t>
        </is>
      </c>
      <c r="D230" s="8" t="inlineStr">
        <is>
          <t>B4-D11b</t>
        </is>
      </c>
      <c r="E230" s="8" t="n">
        <v>1</v>
      </c>
      <c r="F230" s="8" t="n">
        <v>93.40000000000001</v>
      </c>
      <c r="G230" s="13">
        <f>E230*F230*GiaDinh!$C$18*GiaDinh!$C$17</f>
        <v/>
      </c>
      <c r="H230" s="8">
        <f>GiaDinh!$C$21</f>
        <v/>
      </c>
      <c r="I230" s="8">
        <f>GiaDinh!$C$15</f>
        <v/>
      </c>
      <c r="J230" s="8">
        <f>ROUNDDOWN(I230/H230,0)+1</f>
        <v/>
      </c>
      <c r="K230" s="13">
        <f>J230*GiaDinh!$C$16</f>
        <v/>
      </c>
      <c r="L230" s="8">
        <f>MAX(1,ROUNDUP(G230/K230-0.0005,0))</f>
        <v/>
      </c>
      <c r="M230" s="13">
        <f>L230*I230</f>
        <v/>
      </c>
      <c r="N230" s="8">
        <f>L230*ROUNDUP(I230/GiaDinh!$C$5-0.0005,0)</f>
        <v/>
      </c>
      <c r="O230" s="8">
        <f>L230*(ROUNDUP(I230/GiaDinh!$C$5-0.0005,0)-1)</f>
        <v/>
      </c>
      <c r="P230" s="8">
        <f>L230*J230</f>
        <v/>
      </c>
      <c r="Q230" s="8">
        <f>2*P230</f>
        <v/>
      </c>
      <c r="R230" s="8">
        <f>P230</f>
        <v/>
      </c>
      <c r="S230" s="14">
        <f>M230*GiaDinh!$C$7</f>
        <v/>
      </c>
    </row>
    <row r="231">
      <c r="A231" s="8" t="inlineStr">
        <is>
          <t>BÈ 4</t>
        </is>
      </c>
      <c r="B231" s="8" t="inlineStr">
        <is>
          <t>B4-37</t>
        </is>
      </c>
      <c r="C231" s="8" t="inlineStr">
        <is>
          <t>Vuông góc cạnh (hộp chạy từ mép vào trong, cùng phương lực dây)</t>
        </is>
      </c>
      <c r="D231" s="8" t="inlineStr">
        <is>
          <t>B4-D12a</t>
        </is>
      </c>
      <c r="E231" s="8" t="n">
        <v>1</v>
      </c>
      <c r="F231" s="8" t="n">
        <v>93.40000000000001</v>
      </c>
      <c r="G231" s="13">
        <f>E231*F231*GiaDinh!$C$18*GiaDinh!$C$17</f>
        <v/>
      </c>
      <c r="H231" s="8">
        <f>GiaDinh!$C$21</f>
        <v/>
      </c>
      <c r="I231" s="8">
        <f>GiaDinh!$C$15</f>
        <v/>
      </c>
      <c r="J231" s="8">
        <f>ROUNDDOWN(I231/H231,0)+1</f>
        <v/>
      </c>
      <c r="K231" s="13">
        <f>J231*GiaDinh!$C$16</f>
        <v/>
      </c>
      <c r="L231" s="8">
        <f>MAX(1,ROUNDUP(G231/K231-0.0005,0))</f>
        <v/>
      </c>
      <c r="M231" s="13">
        <f>L231*I231</f>
        <v/>
      </c>
      <c r="N231" s="8">
        <f>L231*ROUNDUP(I231/GiaDinh!$C$5-0.0005,0)</f>
        <v/>
      </c>
      <c r="O231" s="8">
        <f>L231*(ROUNDUP(I231/GiaDinh!$C$5-0.0005,0)-1)</f>
        <v/>
      </c>
      <c r="P231" s="8">
        <f>L231*J231</f>
        <v/>
      </c>
      <c r="Q231" s="8">
        <f>2*P231</f>
        <v/>
      </c>
      <c r="R231" s="8">
        <f>P231</f>
        <v/>
      </c>
      <c r="S231" s="14">
        <f>M231*GiaDinh!$C$7</f>
        <v/>
      </c>
    </row>
    <row r="232">
      <c r="A232" s="8" t="inlineStr">
        <is>
          <t>BÈ 4</t>
        </is>
      </c>
      <c r="B232" s="8" t="inlineStr">
        <is>
          <t>B4-38</t>
        </is>
      </c>
      <c r="C232" s="8" t="inlineStr">
        <is>
          <t>Vuông góc cạnh (hộp chạy từ mép vào trong, cùng phương lực dây)</t>
        </is>
      </c>
      <c r="D232" s="8" t="inlineStr">
        <is>
          <t>B4-D12b</t>
        </is>
      </c>
      <c r="E232" s="8" t="n">
        <v>1</v>
      </c>
      <c r="F232" s="8" t="n">
        <v>93.40000000000001</v>
      </c>
      <c r="G232" s="13">
        <f>E232*F232*GiaDinh!$C$18*GiaDinh!$C$17</f>
        <v/>
      </c>
      <c r="H232" s="8">
        <f>GiaDinh!$C$21</f>
        <v/>
      </c>
      <c r="I232" s="8">
        <f>GiaDinh!$C$15</f>
        <v/>
      </c>
      <c r="J232" s="8">
        <f>ROUNDDOWN(I232/H232,0)+1</f>
        <v/>
      </c>
      <c r="K232" s="13">
        <f>J232*GiaDinh!$C$16</f>
        <v/>
      </c>
      <c r="L232" s="8">
        <f>MAX(1,ROUNDUP(G232/K232-0.0005,0))</f>
        <v/>
      </c>
      <c r="M232" s="13">
        <f>L232*I232</f>
        <v/>
      </c>
      <c r="N232" s="8">
        <f>L232*ROUNDUP(I232/GiaDinh!$C$5-0.0005,0)</f>
        <v/>
      </c>
      <c r="O232" s="8">
        <f>L232*(ROUNDUP(I232/GiaDinh!$C$5-0.0005,0)-1)</f>
        <v/>
      </c>
      <c r="P232" s="8">
        <f>L232*J232</f>
        <v/>
      </c>
      <c r="Q232" s="8">
        <f>2*P232</f>
        <v/>
      </c>
      <c r="R232" s="8">
        <f>P232</f>
        <v/>
      </c>
      <c r="S232" s="14">
        <f>M232*GiaDinh!$C$7</f>
        <v/>
      </c>
    </row>
    <row r="233">
      <c r="A233" s="8" t="inlineStr">
        <is>
          <t>BÈ 4</t>
        </is>
      </c>
      <c r="B233" s="8" t="inlineStr">
        <is>
          <t>B4-39</t>
        </is>
      </c>
      <c r="C233" s="8" t="inlineStr">
        <is>
          <t>Vuông góc cạnh (hộp chạy từ mép vào trong, cùng phương lực dây)</t>
        </is>
      </c>
      <c r="D233" s="8" t="inlineStr">
        <is>
          <t>B4-D13a</t>
        </is>
      </c>
      <c r="E233" s="8" t="n">
        <v>1</v>
      </c>
      <c r="F233" s="8" t="n">
        <v>93.40000000000001</v>
      </c>
      <c r="G233" s="13">
        <f>E233*F233*GiaDinh!$C$18*GiaDinh!$C$17</f>
        <v/>
      </c>
      <c r="H233" s="8">
        <f>GiaDinh!$C$21</f>
        <v/>
      </c>
      <c r="I233" s="8">
        <f>GiaDinh!$C$15</f>
        <v/>
      </c>
      <c r="J233" s="8">
        <f>ROUNDDOWN(I233/H233,0)+1</f>
        <v/>
      </c>
      <c r="K233" s="13">
        <f>J233*GiaDinh!$C$16</f>
        <v/>
      </c>
      <c r="L233" s="8">
        <f>MAX(1,ROUNDUP(G233/K233-0.0005,0))</f>
        <v/>
      </c>
      <c r="M233" s="13">
        <f>L233*I233</f>
        <v/>
      </c>
      <c r="N233" s="8">
        <f>L233*ROUNDUP(I233/GiaDinh!$C$5-0.0005,0)</f>
        <v/>
      </c>
      <c r="O233" s="8">
        <f>L233*(ROUNDUP(I233/GiaDinh!$C$5-0.0005,0)-1)</f>
        <v/>
      </c>
      <c r="P233" s="8">
        <f>L233*J233</f>
        <v/>
      </c>
      <c r="Q233" s="8">
        <f>2*P233</f>
        <v/>
      </c>
      <c r="R233" s="8">
        <f>P233</f>
        <v/>
      </c>
      <c r="S233" s="14">
        <f>M233*GiaDinh!$C$7</f>
        <v/>
      </c>
    </row>
    <row r="234">
      <c r="A234" s="8" t="inlineStr">
        <is>
          <t>BÈ 4</t>
        </is>
      </c>
      <c r="B234" s="8" t="inlineStr">
        <is>
          <t>B4-40</t>
        </is>
      </c>
      <c r="C234" s="8" t="inlineStr">
        <is>
          <t>Vuông góc cạnh (hộp chạy từ mép vào trong, cùng phương lực dây)</t>
        </is>
      </c>
      <c r="D234" s="8" t="inlineStr">
        <is>
          <t>B4-D13b</t>
        </is>
      </c>
      <c r="E234" s="8" t="n">
        <v>1</v>
      </c>
      <c r="F234" s="8" t="n">
        <v>93.40000000000001</v>
      </c>
      <c r="G234" s="13">
        <f>E234*F234*GiaDinh!$C$18*GiaDinh!$C$17</f>
        <v/>
      </c>
      <c r="H234" s="8">
        <f>GiaDinh!$C$21</f>
        <v/>
      </c>
      <c r="I234" s="8">
        <f>GiaDinh!$C$15</f>
        <v/>
      </c>
      <c r="J234" s="8">
        <f>ROUNDDOWN(I234/H234,0)+1</f>
        <v/>
      </c>
      <c r="K234" s="13">
        <f>J234*GiaDinh!$C$16</f>
        <v/>
      </c>
      <c r="L234" s="8">
        <f>MAX(1,ROUNDUP(G234/K234-0.0005,0))</f>
        <v/>
      </c>
      <c r="M234" s="13">
        <f>L234*I234</f>
        <v/>
      </c>
      <c r="N234" s="8">
        <f>L234*ROUNDUP(I234/GiaDinh!$C$5-0.0005,0)</f>
        <v/>
      </c>
      <c r="O234" s="8">
        <f>L234*(ROUNDUP(I234/GiaDinh!$C$5-0.0005,0)-1)</f>
        <v/>
      </c>
      <c r="P234" s="8">
        <f>L234*J234</f>
        <v/>
      </c>
      <c r="Q234" s="8">
        <f>2*P234</f>
        <v/>
      </c>
      <c r="R234" s="8">
        <f>P234</f>
        <v/>
      </c>
      <c r="S234" s="14">
        <f>M234*GiaDinh!$C$7</f>
        <v/>
      </c>
    </row>
    <row r="235">
      <c r="A235" s="8" t="inlineStr">
        <is>
          <t>BÈ 4</t>
        </is>
      </c>
      <c r="B235" s="8" t="inlineStr">
        <is>
          <t>B4-41</t>
        </is>
      </c>
      <c r="C235" s="8" t="inlineStr">
        <is>
          <t>Vuông góc cạnh (hộp chạy từ mép vào trong, cùng phương lực dây)</t>
        </is>
      </c>
      <c r="D235" s="8" t="inlineStr">
        <is>
          <t>B4-D14a</t>
        </is>
      </c>
      <c r="E235" s="8" t="n">
        <v>1</v>
      </c>
      <c r="F235" s="8" t="n">
        <v>93.40000000000001</v>
      </c>
      <c r="G235" s="13">
        <f>E235*F235*GiaDinh!$C$18*GiaDinh!$C$17</f>
        <v/>
      </c>
      <c r="H235" s="8">
        <f>GiaDinh!$C$21</f>
        <v/>
      </c>
      <c r="I235" s="8">
        <f>GiaDinh!$C$15</f>
        <v/>
      </c>
      <c r="J235" s="8">
        <f>ROUNDDOWN(I235/H235,0)+1</f>
        <v/>
      </c>
      <c r="K235" s="13">
        <f>J235*GiaDinh!$C$16</f>
        <v/>
      </c>
      <c r="L235" s="8">
        <f>MAX(1,ROUNDUP(G235/K235-0.0005,0))</f>
        <v/>
      </c>
      <c r="M235" s="13">
        <f>L235*I235</f>
        <v/>
      </c>
      <c r="N235" s="8">
        <f>L235*ROUNDUP(I235/GiaDinh!$C$5-0.0005,0)</f>
        <v/>
      </c>
      <c r="O235" s="8">
        <f>L235*(ROUNDUP(I235/GiaDinh!$C$5-0.0005,0)-1)</f>
        <v/>
      </c>
      <c r="P235" s="8">
        <f>L235*J235</f>
        <v/>
      </c>
      <c r="Q235" s="8">
        <f>2*P235</f>
        <v/>
      </c>
      <c r="R235" s="8">
        <f>P235</f>
        <v/>
      </c>
      <c r="S235" s="14">
        <f>M235*GiaDinh!$C$7</f>
        <v/>
      </c>
    </row>
    <row r="236">
      <c r="A236" s="8" t="inlineStr">
        <is>
          <t>BÈ 4</t>
        </is>
      </c>
      <c r="B236" s="8" t="inlineStr">
        <is>
          <t>B4-42</t>
        </is>
      </c>
      <c r="C236" s="8" t="inlineStr">
        <is>
          <t>Vuông góc cạnh (hộp chạy từ mép vào trong, cùng phương lực dây)</t>
        </is>
      </c>
      <c r="D236" s="8" t="inlineStr">
        <is>
          <t>B4-D14b</t>
        </is>
      </c>
      <c r="E236" s="8" t="n">
        <v>1</v>
      </c>
      <c r="F236" s="8" t="n">
        <v>93.40000000000001</v>
      </c>
      <c r="G236" s="13">
        <f>E236*F236*GiaDinh!$C$18*GiaDinh!$C$17</f>
        <v/>
      </c>
      <c r="H236" s="8">
        <f>GiaDinh!$C$21</f>
        <v/>
      </c>
      <c r="I236" s="8">
        <f>GiaDinh!$C$15</f>
        <v/>
      </c>
      <c r="J236" s="8">
        <f>ROUNDDOWN(I236/H236,0)+1</f>
        <v/>
      </c>
      <c r="K236" s="13">
        <f>J236*GiaDinh!$C$16</f>
        <v/>
      </c>
      <c r="L236" s="8">
        <f>MAX(1,ROUNDUP(G236/K236-0.0005,0))</f>
        <v/>
      </c>
      <c r="M236" s="13">
        <f>L236*I236</f>
        <v/>
      </c>
      <c r="N236" s="8">
        <f>L236*ROUNDUP(I236/GiaDinh!$C$5-0.0005,0)</f>
        <v/>
      </c>
      <c r="O236" s="8">
        <f>L236*(ROUNDUP(I236/GiaDinh!$C$5-0.0005,0)-1)</f>
        <v/>
      </c>
      <c r="P236" s="8">
        <f>L236*J236</f>
        <v/>
      </c>
      <c r="Q236" s="8">
        <f>2*P236</f>
        <v/>
      </c>
      <c r="R236" s="8">
        <f>P236</f>
        <v/>
      </c>
      <c r="S236" s="14">
        <f>M236*GiaDinh!$C$7</f>
        <v/>
      </c>
    </row>
    <row r="237">
      <c r="A237" s="8" t="inlineStr">
        <is>
          <t>BÈ 4</t>
        </is>
      </c>
      <c r="B237" s="8" t="inlineStr">
        <is>
          <t>B4-43</t>
        </is>
      </c>
      <c r="C237" s="8" t="inlineStr">
        <is>
          <t>Vuông góc cạnh (hộp chạy từ mép vào trong, cùng phương lực dây)</t>
        </is>
      </c>
      <c r="D237" s="8" t="inlineStr">
        <is>
          <t>B4-D22a</t>
        </is>
      </c>
      <c r="E237" s="8" t="n">
        <v>1</v>
      </c>
      <c r="F237" s="8" t="n">
        <v>93.40000000000001</v>
      </c>
      <c r="G237" s="13">
        <f>E237*F237*GiaDinh!$C$18*GiaDinh!$C$17</f>
        <v/>
      </c>
      <c r="H237" s="8">
        <f>GiaDinh!$C$21</f>
        <v/>
      </c>
      <c r="I237" s="8">
        <f>GiaDinh!$C$15</f>
        <v/>
      </c>
      <c r="J237" s="8">
        <f>ROUNDDOWN(I237/H237,0)+1</f>
        <v/>
      </c>
      <c r="K237" s="13">
        <f>J237*GiaDinh!$C$16</f>
        <v/>
      </c>
      <c r="L237" s="8">
        <f>MAX(1,ROUNDUP(G237/K237-0.0005,0))</f>
        <v/>
      </c>
      <c r="M237" s="13">
        <f>L237*I237</f>
        <v/>
      </c>
      <c r="N237" s="8">
        <f>L237*ROUNDUP(I237/GiaDinh!$C$5-0.0005,0)</f>
        <v/>
      </c>
      <c r="O237" s="8">
        <f>L237*(ROUNDUP(I237/GiaDinh!$C$5-0.0005,0)-1)</f>
        <v/>
      </c>
      <c r="P237" s="8">
        <f>L237*J237</f>
        <v/>
      </c>
      <c r="Q237" s="8">
        <f>2*P237</f>
        <v/>
      </c>
      <c r="R237" s="8">
        <f>P237</f>
        <v/>
      </c>
      <c r="S237" s="14">
        <f>M237*GiaDinh!$C$7</f>
        <v/>
      </c>
    </row>
    <row r="238">
      <c r="A238" s="8" t="inlineStr">
        <is>
          <t>BÈ 4</t>
        </is>
      </c>
      <c r="B238" s="8" t="inlineStr">
        <is>
          <t>B4-44</t>
        </is>
      </c>
      <c r="C238" s="8" t="inlineStr">
        <is>
          <t>Vuông góc cạnh (hộp chạy từ mép vào trong, cùng phương lực dây)</t>
        </is>
      </c>
      <c r="D238" s="8" t="inlineStr">
        <is>
          <t>B4-D22b</t>
        </is>
      </c>
      <c r="E238" s="8" t="n">
        <v>1</v>
      </c>
      <c r="F238" s="8" t="n">
        <v>93.40000000000001</v>
      </c>
      <c r="G238" s="13">
        <f>E238*F238*GiaDinh!$C$18*GiaDinh!$C$17</f>
        <v/>
      </c>
      <c r="H238" s="8">
        <f>GiaDinh!$C$21</f>
        <v/>
      </c>
      <c r="I238" s="8">
        <f>GiaDinh!$C$15</f>
        <v/>
      </c>
      <c r="J238" s="8">
        <f>ROUNDDOWN(I238/H238,0)+1</f>
        <v/>
      </c>
      <c r="K238" s="13">
        <f>J238*GiaDinh!$C$16</f>
        <v/>
      </c>
      <c r="L238" s="8">
        <f>MAX(1,ROUNDUP(G238/K238-0.0005,0))</f>
        <v/>
      </c>
      <c r="M238" s="13">
        <f>L238*I238</f>
        <v/>
      </c>
      <c r="N238" s="8">
        <f>L238*ROUNDUP(I238/GiaDinh!$C$5-0.0005,0)</f>
        <v/>
      </c>
      <c r="O238" s="8">
        <f>L238*(ROUNDUP(I238/GiaDinh!$C$5-0.0005,0)-1)</f>
        <v/>
      </c>
      <c r="P238" s="8">
        <f>L238*J238</f>
        <v/>
      </c>
      <c r="Q238" s="8">
        <f>2*P238</f>
        <v/>
      </c>
      <c r="R238" s="8">
        <f>P238</f>
        <v/>
      </c>
      <c r="S238" s="14">
        <f>M238*GiaDinh!$C$7</f>
        <v/>
      </c>
    </row>
    <row r="239">
      <c r="A239" s="8" t="inlineStr">
        <is>
          <t>BÈ 4</t>
        </is>
      </c>
      <c r="B239" s="8" t="inlineStr">
        <is>
          <t>B4-45</t>
        </is>
      </c>
      <c r="C239" s="8" t="inlineStr">
        <is>
          <t>Vuông góc cạnh (hộp chạy từ mép vào trong, cùng phương lực dây)</t>
        </is>
      </c>
      <c r="D239" s="8" t="inlineStr">
        <is>
          <t>B4-D24a</t>
        </is>
      </c>
      <c r="E239" s="8" t="n">
        <v>1</v>
      </c>
      <c r="F239" s="8" t="n">
        <v>93.40000000000001</v>
      </c>
      <c r="G239" s="13">
        <f>E239*F239*GiaDinh!$C$18*GiaDinh!$C$17</f>
        <v/>
      </c>
      <c r="H239" s="8">
        <f>GiaDinh!$C$21</f>
        <v/>
      </c>
      <c r="I239" s="8">
        <f>GiaDinh!$C$15</f>
        <v/>
      </c>
      <c r="J239" s="8">
        <f>ROUNDDOWN(I239/H239,0)+1</f>
        <v/>
      </c>
      <c r="K239" s="13">
        <f>J239*GiaDinh!$C$16</f>
        <v/>
      </c>
      <c r="L239" s="8">
        <f>MAX(1,ROUNDUP(G239/K239-0.0005,0))</f>
        <v/>
      </c>
      <c r="M239" s="13">
        <f>L239*I239</f>
        <v/>
      </c>
      <c r="N239" s="8">
        <f>L239*ROUNDUP(I239/GiaDinh!$C$5-0.0005,0)</f>
        <v/>
      </c>
      <c r="O239" s="8">
        <f>L239*(ROUNDUP(I239/GiaDinh!$C$5-0.0005,0)-1)</f>
        <v/>
      </c>
      <c r="P239" s="8">
        <f>L239*J239</f>
        <v/>
      </c>
      <c r="Q239" s="8">
        <f>2*P239</f>
        <v/>
      </c>
      <c r="R239" s="8">
        <f>P239</f>
        <v/>
      </c>
      <c r="S239" s="14">
        <f>M239*GiaDinh!$C$7</f>
        <v/>
      </c>
    </row>
    <row r="240">
      <c r="A240" s="8" t="inlineStr">
        <is>
          <t>BÈ 4</t>
        </is>
      </c>
      <c r="B240" s="8" t="inlineStr">
        <is>
          <t>B4-46</t>
        </is>
      </c>
      <c r="C240" s="8" t="inlineStr">
        <is>
          <t>Vuông góc cạnh (hộp chạy từ mép vào trong, cùng phương lực dây)</t>
        </is>
      </c>
      <c r="D240" s="8" t="inlineStr">
        <is>
          <t>B4-D24b</t>
        </is>
      </c>
      <c r="E240" s="8" t="n">
        <v>1</v>
      </c>
      <c r="F240" s="8" t="n">
        <v>93.40000000000001</v>
      </c>
      <c r="G240" s="13">
        <f>E240*F240*GiaDinh!$C$18*GiaDinh!$C$17</f>
        <v/>
      </c>
      <c r="H240" s="8">
        <f>GiaDinh!$C$21</f>
        <v/>
      </c>
      <c r="I240" s="8">
        <f>GiaDinh!$C$15</f>
        <v/>
      </c>
      <c r="J240" s="8">
        <f>ROUNDDOWN(I240/H240,0)+1</f>
        <v/>
      </c>
      <c r="K240" s="13">
        <f>J240*GiaDinh!$C$16</f>
        <v/>
      </c>
      <c r="L240" s="8">
        <f>MAX(1,ROUNDUP(G240/K240-0.0005,0))</f>
        <v/>
      </c>
      <c r="M240" s="13">
        <f>L240*I240</f>
        <v/>
      </c>
      <c r="N240" s="8">
        <f>L240*ROUNDUP(I240/GiaDinh!$C$5-0.0005,0)</f>
        <v/>
      </c>
      <c r="O240" s="8">
        <f>L240*(ROUNDUP(I240/GiaDinh!$C$5-0.0005,0)-1)</f>
        <v/>
      </c>
      <c r="P240" s="8">
        <f>L240*J240</f>
        <v/>
      </c>
      <c r="Q240" s="8">
        <f>2*P240</f>
        <v/>
      </c>
      <c r="R240" s="8">
        <f>P240</f>
        <v/>
      </c>
      <c r="S240" s="14">
        <f>M240*GiaDinh!$C$7</f>
        <v/>
      </c>
    </row>
    <row r="241">
      <c r="A241" s="8" t="inlineStr">
        <is>
          <t>BÈ 4</t>
        </is>
      </c>
      <c r="B241" s="8" t="inlineStr">
        <is>
          <t>B4-47</t>
        </is>
      </c>
      <c r="C241" s="8" t="inlineStr">
        <is>
          <t>Vuông góc cạnh (hộp chạy từ mép vào trong, cùng phương lực dây)</t>
        </is>
      </c>
      <c r="D241" s="8" t="inlineStr">
        <is>
          <t>B4-D25a</t>
        </is>
      </c>
      <c r="E241" s="8" t="n">
        <v>1</v>
      </c>
      <c r="F241" s="8" t="n">
        <v>93.40000000000001</v>
      </c>
      <c r="G241" s="13">
        <f>E241*F241*GiaDinh!$C$18*GiaDinh!$C$17</f>
        <v/>
      </c>
      <c r="H241" s="8">
        <f>GiaDinh!$C$21</f>
        <v/>
      </c>
      <c r="I241" s="8">
        <f>GiaDinh!$C$15</f>
        <v/>
      </c>
      <c r="J241" s="8">
        <f>ROUNDDOWN(I241/H241,0)+1</f>
        <v/>
      </c>
      <c r="K241" s="13">
        <f>J241*GiaDinh!$C$16</f>
        <v/>
      </c>
      <c r="L241" s="8">
        <f>MAX(1,ROUNDUP(G241/K241-0.0005,0))</f>
        <v/>
      </c>
      <c r="M241" s="13">
        <f>L241*I241</f>
        <v/>
      </c>
      <c r="N241" s="8">
        <f>L241*ROUNDUP(I241/GiaDinh!$C$5-0.0005,0)</f>
        <v/>
      </c>
      <c r="O241" s="8">
        <f>L241*(ROUNDUP(I241/GiaDinh!$C$5-0.0005,0)-1)</f>
        <v/>
      </c>
      <c r="P241" s="8">
        <f>L241*J241</f>
        <v/>
      </c>
      <c r="Q241" s="8">
        <f>2*P241</f>
        <v/>
      </c>
      <c r="R241" s="8">
        <f>P241</f>
        <v/>
      </c>
      <c r="S241" s="14">
        <f>M241*GiaDinh!$C$7</f>
        <v/>
      </c>
    </row>
    <row r="242">
      <c r="A242" s="8" t="inlineStr">
        <is>
          <t>BÈ 4</t>
        </is>
      </c>
      <c r="B242" s="8" t="inlineStr">
        <is>
          <t>B4-48</t>
        </is>
      </c>
      <c r="C242" s="8" t="inlineStr">
        <is>
          <t>Vuông góc cạnh (hộp chạy từ mép vào trong, cùng phương lực dây)</t>
        </is>
      </c>
      <c r="D242" s="8" t="inlineStr">
        <is>
          <t>B4-D25b</t>
        </is>
      </c>
      <c r="E242" s="8" t="n">
        <v>1</v>
      </c>
      <c r="F242" s="8" t="n">
        <v>93.40000000000001</v>
      </c>
      <c r="G242" s="13">
        <f>E242*F242*GiaDinh!$C$18*GiaDinh!$C$17</f>
        <v/>
      </c>
      <c r="H242" s="8">
        <f>GiaDinh!$C$21</f>
        <v/>
      </c>
      <c r="I242" s="8">
        <f>GiaDinh!$C$15</f>
        <v/>
      </c>
      <c r="J242" s="8">
        <f>ROUNDDOWN(I242/H242,0)+1</f>
        <v/>
      </c>
      <c r="K242" s="13">
        <f>J242*GiaDinh!$C$16</f>
        <v/>
      </c>
      <c r="L242" s="8">
        <f>MAX(1,ROUNDUP(G242/K242-0.0005,0))</f>
        <v/>
      </c>
      <c r="M242" s="13">
        <f>L242*I242</f>
        <v/>
      </c>
      <c r="N242" s="8">
        <f>L242*ROUNDUP(I242/GiaDinh!$C$5-0.0005,0)</f>
        <v/>
      </c>
      <c r="O242" s="8">
        <f>L242*(ROUNDUP(I242/GiaDinh!$C$5-0.0005,0)-1)</f>
        <v/>
      </c>
      <c r="P242" s="8">
        <f>L242*J242</f>
        <v/>
      </c>
      <c r="Q242" s="8">
        <f>2*P242</f>
        <v/>
      </c>
      <c r="R242" s="8">
        <f>P242</f>
        <v/>
      </c>
      <c r="S242" s="14">
        <f>M242*GiaDinh!$C$7</f>
        <v/>
      </c>
    </row>
    <row r="243">
      <c r="A243" s="8" t="inlineStr">
        <is>
          <t>BÈ 4</t>
        </is>
      </c>
      <c r="B243" s="8" t="inlineStr">
        <is>
          <t>B4-49</t>
        </is>
      </c>
      <c r="C243" s="8" t="inlineStr">
        <is>
          <t>Vuông góc cạnh (hộp chạy từ mép vào trong, cùng phương lực dây)</t>
        </is>
      </c>
      <c r="D243" s="8" t="inlineStr">
        <is>
          <t>B4-D26a</t>
        </is>
      </c>
      <c r="E243" s="8" t="n">
        <v>1</v>
      </c>
      <c r="F243" s="8" t="n">
        <v>93.40000000000001</v>
      </c>
      <c r="G243" s="13">
        <f>E243*F243*GiaDinh!$C$18*GiaDinh!$C$17</f>
        <v/>
      </c>
      <c r="H243" s="8">
        <f>GiaDinh!$C$21</f>
        <v/>
      </c>
      <c r="I243" s="8">
        <f>GiaDinh!$C$15</f>
        <v/>
      </c>
      <c r="J243" s="8">
        <f>ROUNDDOWN(I243/H243,0)+1</f>
        <v/>
      </c>
      <c r="K243" s="13">
        <f>J243*GiaDinh!$C$16</f>
        <v/>
      </c>
      <c r="L243" s="8">
        <f>MAX(1,ROUNDUP(G243/K243-0.0005,0))</f>
        <v/>
      </c>
      <c r="M243" s="13">
        <f>L243*I243</f>
        <v/>
      </c>
      <c r="N243" s="8">
        <f>L243*ROUNDUP(I243/GiaDinh!$C$5-0.0005,0)</f>
        <v/>
      </c>
      <c r="O243" s="8">
        <f>L243*(ROUNDUP(I243/GiaDinh!$C$5-0.0005,0)-1)</f>
        <v/>
      </c>
      <c r="P243" s="8">
        <f>L243*J243</f>
        <v/>
      </c>
      <c r="Q243" s="8">
        <f>2*P243</f>
        <v/>
      </c>
      <c r="R243" s="8">
        <f>P243</f>
        <v/>
      </c>
      <c r="S243" s="14">
        <f>M243*GiaDinh!$C$7</f>
        <v/>
      </c>
    </row>
    <row r="244">
      <c r="A244" s="8" t="inlineStr">
        <is>
          <t>BÈ 4</t>
        </is>
      </c>
      <c r="B244" s="8" t="inlineStr">
        <is>
          <t>B4-50</t>
        </is>
      </c>
      <c r="C244" s="8" t="inlineStr">
        <is>
          <t>Vuông góc cạnh (hộp chạy từ mép vào trong, cùng phương lực dây)</t>
        </is>
      </c>
      <c r="D244" s="8" t="inlineStr">
        <is>
          <t>B4-D26b</t>
        </is>
      </c>
      <c r="E244" s="8" t="n">
        <v>1</v>
      </c>
      <c r="F244" s="8" t="n">
        <v>93.40000000000001</v>
      </c>
      <c r="G244" s="13">
        <f>E244*F244*GiaDinh!$C$18*GiaDinh!$C$17</f>
        <v/>
      </c>
      <c r="H244" s="8">
        <f>GiaDinh!$C$21</f>
        <v/>
      </c>
      <c r="I244" s="8">
        <f>GiaDinh!$C$15</f>
        <v/>
      </c>
      <c r="J244" s="8">
        <f>ROUNDDOWN(I244/H244,0)+1</f>
        <v/>
      </c>
      <c r="K244" s="13">
        <f>J244*GiaDinh!$C$16</f>
        <v/>
      </c>
      <c r="L244" s="8">
        <f>MAX(1,ROUNDUP(G244/K244-0.0005,0))</f>
        <v/>
      </c>
      <c r="M244" s="13">
        <f>L244*I244</f>
        <v/>
      </c>
      <c r="N244" s="8">
        <f>L244*ROUNDUP(I244/GiaDinh!$C$5-0.0005,0)</f>
        <v/>
      </c>
      <c r="O244" s="8">
        <f>L244*(ROUNDUP(I244/GiaDinh!$C$5-0.0005,0)-1)</f>
        <v/>
      </c>
      <c r="P244" s="8">
        <f>L244*J244</f>
        <v/>
      </c>
      <c r="Q244" s="8">
        <f>2*P244</f>
        <v/>
      </c>
      <c r="R244" s="8">
        <f>P244</f>
        <v/>
      </c>
      <c r="S244" s="14">
        <f>M244*GiaDinh!$C$7</f>
        <v/>
      </c>
    </row>
    <row r="245">
      <c r="A245" s="8" t="inlineStr">
        <is>
          <t>BÈ 4</t>
        </is>
      </c>
      <c r="B245" s="8" t="inlineStr">
        <is>
          <t>B4-51</t>
        </is>
      </c>
      <c r="C245" s="8" t="inlineStr">
        <is>
          <t>Vuông góc cạnh (hộp chạy từ mép vào trong, cùng phương lực dây)</t>
        </is>
      </c>
      <c r="D245" s="8" t="inlineStr">
        <is>
          <t>B4-D27a</t>
        </is>
      </c>
      <c r="E245" s="8" t="n">
        <v>1</v>
      </c>
      <c r="F245" s="8" t="n">
        <v>93.40000000000001</v>
      </c>
      <c r="G245" s="13">
        <f>E245*F245*GiaDinh!$C$18*GiaDinh!$C$17</f>
        <v/>
      </c>
      <c r="H245" s="8">
        <f>GiaDinh!$C$21</f>
        <v/>
      </c>
      <c r="I245" s="8">
        <f>GiaDinh!$C$15</f>
        <v/>
      </c>
      <c r="J245" s="8">
        <f>ROUNDDOWN(I245/H245,0)+1</f>
        <v/>
      </c>
      <c r="K245" s="13">
        <f>J245*GiaDinh!$C$16</f>
        <v/>
      </c>
      <c r="L245" s="8">
        <f>MAX(1,ROUNDUP(G245/K245-0.0005,0))</f>
        <v/>
      </c>
      <c r="M245" s="13">
        <f>L245*I245</f>
        <v/>
      </c>
      <c r="N245" s="8">
        <f>L245*ROUNDUP(I245/GiaDinh!$C$5-0.0005,0)</f>
        <v/>
      </c>
      <c r="O245" s="8">
        <f>L245*(ROUNDUP(I245/GiaDinh!$C$5-0.0005,0)-1)</f>
        <v/>
      </c>
      <c r="P245" s="8">
        <f>L245*J245</f>
        <v/>
      </c>
      <c r="Q245" s="8">
        <f>2*P245</f>
        <v/>
      </c>
      <c r="R245" s="8">
        <f>P245</f>
        <v/>
      </c>
      <c r="S245" s="14">
        <f>M245*GiaDinh!$C$7</f>
        <v/>
      </c>
    </row>
    <row r="246">
      <c r="A246" s="8" t="inlineStr">
        <is>
          <t>BÈ 4</t>
        </is>
      </c>
      <c r="B246" s="8" t="inlineStr">
        <is>
          <t>B4-52</t>
        </is>
      </c>
      <c r="C246" s="8" t="inlineStr">
        <is>
          <t>Vuông góc cạnh (hộp chạy từ mép vào trong, cùng phương lực dây)</t>
        </is>
      </c>
      <c r="D246" s="8" t="inlineStr">
        <is>
          <t>B4-D27b</t>
        </is>
      </c>
      <c r="E246" s="8" t="n">
        <v>1</v>
      </c>
      <c r="F246" s="8" t="n">
        <v>93.40000000000001</v>
      </c>
      <c r="G246" s="13">
        <f>E246*F246*GiaDinh!$C$18*GiaDinh!$C$17</f>
        <v/>
      </c>
      <c r="H246" s="8">
        <f>GiaDinh!$C$21</f>
        <v/>
      </c>
      <c r="I246" s="8">
        <f>GiaDinh!$C$15</f>
        <v/>
      </c>
      <c r="J246" s="8">
        <f>ROUNDDOWN(I246/H246,0)+1</f>
        <v/>
      </c>
      <c r="K246" s="13">
        <f>J246*GiaDinh!$C$16</f>
        <v/>
      </c>
      <c r="L246" s="8">
        <f>MAX(1,ROUNDUP(G246/K246-0.0005,0))</f>
        <v/>
      </c>
      <c r="M246" s="13">
        <f>L246*I246</f>
        <v/>
      </c>
      <c r="N246" s="8">
        <f>L246*ROUNDUP(I246/GiaDinh!$C$5-0.0005,0)</f>
        <v/>
      </c>
      <c r="O246" s="8">
        <f>L246*(ROUNDUP(I246/GiaDinh!$C$5-0.0005,0)-1)</f>
        <v/>
      </c>
      <c r="P246" s="8">
        <f>L246*J246</f>
        <v/>
      </c>
      <c r="Q246" s="8">
        <f>2*P246</f>
        <v/>
      </c>
      <c r="R246" s="8">
        <f>P246</f>
        <v/>
      </c>
      <c r="S246" s="14">
        <f>M246*GiaDinh!$C$7</f>
        <v/>
      </c>
    </row>
    <row r="247">
      <c r="A247" s="8" t="inlineStr">
        <is>
          <t>BÈ 4</t>
        </is>
      </c>
      <c r="B247" s="8" t="inlineStr">
        <is>
          <t>B4-53</t>
        </is>
      </c>
      <c r="C247" s="8" t="inlineStr">
        <is>
          <t>Vuông góc cạnh (hộp chạy từ mép vào trong, cùng phương lực dây)</t>
        </is>
      </c>
      <c r="D247" s="8" t="inlineStr">
        <is>
          <t>B4-D28a</t>
        </is>
      </c>
      <c r="E247" s="8" t="n">
        <v>1</v>
      </c>
      <c r="F247" s="8" t="n">
        <v>93.40000000000001</v>
      </c>
      <c r="G247" s="13">
        <f>E247*F247*GiaDinh!$C$18*GiaDinh!$C$17</f>
        <v/>
      </c>
      <c r="H247" s="8">
        <f>GiaDinh!$C$21</f>
        <v/>
      </c>
      <c r="I247" s="8">
        <f>GiaDinh!$C$15</f>
        <v/>
      </c>
      <c r="J247" s="8">
        <f>ROUNDDOWN(I247/H247,0)+1</f>
        <v/>
      </c>
      <c r="K247" s="13">
        <f>J247*GiaDinh!$C$16</f>
        <v/>
      </c>
      <c r="L247" s="8">
        <f>MAX(1,ROUNDUP(G247/K247-0.0005,0))</f>
        <v/>
      </c>
      <c r="M247" s="13">
        <f>L247*I247</f>
        <v/>
      </c>
      <c r="N247" s="8">
        <f>L247*ROUNDUP(I247/GiaDinh!$C$5-0.0005,0)</f>
        <v/>
      </c>
      <c r="O247" s="8">
        <f>L247*(ROUNDUP(I247/GiaDinh!$C$5-0.0005,0)-1)</f>
        <v/>
      </c>
      <c r="P247" s="8">
        <f>L247*J247</f>
        <v/>
      </c>
      <c r="Q247" s="8">
        <f>2*P247</f>
        <v/>
      </c>
      <c r="R247" s="8">
        <f>P247</f>
        <v/>
      </c>
      <c r="S247" s="14">
        <f>M247*GiaDinh!$C$7</f>
        <v/>
      </c>
    </row>
    <row r="248">
      <c r="A248" s="8" t="inlineStr">
        <is>
          <t>BÈ 4</t>
        </is>
      </c>
      <c r="B248" s="8" t="inlineStr">
        <is>
          <t>B4-54</t>
        </is>
      </c>
      <c r="C248" s="8" t="inlineStr">
        <is>
          <t>Vuông góc cạnh (hộp chạy từ mép vào trong, cùng phương lực dây)</t>
        </is>
      </c>
      <c r="D248" s="8" t="inlineStr">
        <is>
          <t>B4-D28b</t>
        </is>
      </c>
      <c r="E248" s="8" t="n">
        <v>1</v>
      </c>
      <c r="F248" s="8" t="n">
        <v>93.40000000000001</v>
      </c>
      <c r="G248" s="13">
        <f>E248*F248*GiaDinh!$C$18*GiaDinh!$C$17</f>
        <v/>
      </c>
      <c r="H248" s="8">
        <f>GiaDinh!$C$21</f>
        <v/>
      </c>
      <c r="I248" s="8">
        <f>GiaDinh!$C$15</f>
        <v/>
      </c>
      <c r="J248" s="8">
        <f>ROUNDDOWN(I248/H248,0)+1</f>
        <v/>
      </c>
      <c r="K248" s="13">
        <f>J248*GiaDinh!$C$16</f>
        <v/>
      </c>
      <c r="L248" s="8">
        <f>MAX(1,ROUNDUP(G248/K248-0.0005,0))</f>
        <v/>
      </c>
      <c r="M248" s="13">
        <f>L248*I248</f>
        <v/>
      </c>
      <c r="N248" s="8">
        <f>L248*ROUNDUP(I248/GiaDinh!$C$5-0.0005,0)</f>
        <v/>
      </c>
      <c r="O248" s="8">
        <f>L248*(ROUNDUP(I248/GiaDinh!$C$5-0.0005,0)-1)</f>
        <v/>
      </c>
      <c r="P248" s="8">
        <f>L248*J248</f>
        <v/>
      </c>
      <c r="Q248" s="8">
        <f>2*P248</f>
        <v/>
      </c>
      <c r="R248" s="8">
        <f>P248</f>
        <v/>
      </c>
      <c r="S248" s="14">
        <f>M248*GiaDinh!$C$7</f>
        <v/>
      </c>
    </row>
    <row r="249">
      <c r="A249" s="8" t="inlineStr">
        <is>
          <t>BÈ 4</t>
        </is>
      </c>
      <c r="B249" s="8" t="inlineStr">
        <is>
          <t>B4-55</t>
        </is>
      </c>
      <c r="C249" s="8" t="inlineStr">
        <is>
          <t>Vuông góc cạnh (hộp chạy từ mép vào trong, cùng phương lực dây)</t>
        </is>
      </c>
      <c r="D249" s="8" t="inlineStr">
        <is>
          <t>B4-D29a</t>
        </is>
      </c>
      <c r="E249" s="8" t="n">
        <v>1</v>
      </c>
      <c r="F249" s="8" t="n">
        <v>93.40000000000001</v>
      </c>
      <c r="G249" s="13">
        <f>E249*F249*GiaDinh!$C$18*GiaDinh!$C$17</f>
        <v/>
      </c>
      <c r="H249" s="8">
        <f>GiaDinh!$C$21</f>
        <v/>
      </c>
      <c r="I249" s="8">
        <f>GiaDinh!$C$15</f>
        <v/>
      </c>
      <c r="J249" s="8">
        <f>ROUNDDOWN(I249/H249,0)+1</f>
        <v/>
      </c>
      <c r="K249" s="13">
        <f>J249*GiaDinh!$C$16</f>
        <v/>
      </c>
      <c r="L249" s="8">
        <f>MAX(1,ROUNDUP(G249/K249-0.0005,0))</f>
        <v/>
      </c>
      <c r="M249" s="13">
        <f>L249*I249</f>
        <v/>
      </c>
      <c r="N249" s="8">
        <f>L249*ROUNDUP(I249/GiaDinh!$C$5-0.0005,0)</f>
        <v/>
      </c>
      <c r="O249" s="8">
        <f>L249*(ROUNDUP(I249/GiaDinh!$C$5-0.0005,0)-1)</f>
        <v/>
      </c>
      <c r="P249" s="8">
        <f>L249*J249</f>
        <v/>
      </c>
      <c r="Q249" s="8">
        <f>2*P249</f>
        <v/>
      </c>
      <c r="R249" s="8">
        <f>P249</f>
        <v/>
      </c>
      <c r="S249" s="14">
        <f>M249*GiaDinh!$C$7</f>
        <v/>
      </c>
    </row>
    <row r="250">
      <c r="A250" s="8" t="inlineStr">
        <is>
          <t>BÈ 4</t>
        </is>
      </c>
      <c r="B250" s="8" t="inlineStr">
        <is>
          <t>B4-56</t>
        </is>
      </c>
      <c r="C250" s="8" t="inlineStr">
        <is>
          <t>Vuông góc cạnh (hộp chạy từ mép vào trong, cùng phương lực dây)</t>
        </is>
      </c>
      <c r="D250" s="8" t="inlineStr">
        <is>
          <t>B4-D29b</t>
        </is>
      </c>
      <c r="E250" s="8" t="n">
        <v>1</v>
      </c>
      <c r="F250" s="8" t="n">
        <v>93.40000000000001</v>
      </c>
      <c r="G250" s="13">
        <f>E250*F250*GiaDinh!$C$18*GiaDinh!$C$17</f>
        <v/>
      </c>
      <c r="H250" s="8">
        <f>GiaDinh!$C$21</f>
        <v/>
      </c>
      <c r="I250" s="8">
        <f>GiaDinh!$C$15</f>
        <v/>
      </c>
      <c r="J250" s="8">
        <f>ROUNDDOWN(I250/H250,0)+1</f>
        <v/>
      </c>
      <c r="K250" s="13">
        <f>J250*GiaDinh!$C$16</f>
        <v/>
      </c>
      <c r="L250" s="8">
        <f>MAX(1,ROUNDUP(G250/K250-0.0005,0))</f>
        <v/>
      </c>
      <c r="M250" s="13">
        <f>L250*I250</f>
        <v/>
      </c>
      <c r="N250" s="8">
        <f>L250*ROUNDUP(I250/GiaDinh!$C$5-0.0005,0)</f>
        <v/>
      </c>
      <c r="O250" s="8">
        <f>L250*(ROUNDUP(I250/GiaDinh!$C$5-0.0005,0)-1)</f>
        <v/>
      </c>
      <c r="P250" s="8">
        <f>L250*J250</f>
        <v/>
      </c>
      <c r="Q250" s="8">
        <f>2*P250</f>
        <v/>
      </c>
      <c r="R250" s="8">
        <f>P250</f>
        <v/>
      </c>
      <c r="S250" s="14">
        <f>M250*GiaDinh!$C$7</f>
        <v/>
      </c>
    </row>
    <row r="251">
      <c r="A251" s="8" t="inlineStr">
        <is>
          <t>BÈ 4</t>
        </is>
      </c>
      <c r="B251" s="8" t="inlineStr">
        <is>
          <t>B4-57</t>
        </is>
      </c>
      <c r="C251" s="8" t="inlineStr">
        <is>
          <t>Vuông góc cạnh (hộp chạy từ mép vào trong, cùng phương lực dây)</t>
        </is>
      </c>
      <c r="D251" s="8" t="inlineStr">
        <is>
          <t>B4-D30a</t>
        </is>
      </c>
      <c r="E251" s="8" t="n">
        <v>1</v>
      </c>
      <c r="F251" s="8" t="n">
        <v>93.40000000000001</v>
      </c>
      <c r="G251" s="13">
        <f>E251*F251*GiaDinh!$C$18*GiaDinh!$C$17</f>
        <v/>
      </c>
      <c r="H251" s="8">
        <f>GiaDinh!$C$21</f>
        <v/>
      </c>
      <c r="I251" s="8">
        <f>GiaDinh!$C$15</f>
        <v/>
      </c>
      <c r="J251" s="8">
        <f>ROUNDDOWN(I251/H251,0)+1</f>
        <v/>
      </c>
      <c r="K251" s="13">
        <f>J251*GiaDinh!$C$16</f>
        <v/>
      </c>
      <c r="L251" s="8">
        <f>MAX(1,ROUNDUP(G251/K251-0.0005,0))</f>
        <v/>
      </c>
      <c r="M251" s="13">
        <f>L251*I251</f>
        <v/>
      </c>
      <c r="N251" s="8">
        <f>L251*ROUNDUP(I251/GiaDinh!$C$5-0.0005,0)</f>
        <v/>
      </c>
      <c r="O251" s="8">
        <f>L251*(ROUNDUP(I251/GiaDinh!$C$5-0.0005,0)-1)</f>
        <v/>
      </c>
      <c r="P251" s="8">
        <f>L251*J251</f>
        <v/>
      </c>
      <c r="Q251" s="8">
        <f>2*P251</f>
        <v/>
      </c>
      <c r="R251" s="8">
        <f>P251</f>
        <v/>
      </c>
      <c r="S251" s="14">
        <f>M251*GiaDinh!$C$7</f>
        <v/>
      </c>
    </row>
    <row r="252">
      <c r="A252" s="8" t="inlineStr">
        <is>
          <t>BÈ 4</t>
        </is>
      </c>
      <c r="B252" s="8" t="inlineStr">
        <is>
          <t>B4-58</t>
        </is>
      </c>
      <c r="C252" s="8" t="inlineStr">
        <is>
          <t>Vuông góc cạnh (hộp chạy từ mép vào trong, cùng phương lực dây)</t>
        </is>
      </c>
      <c r="D252" s="8" t="inlineStr">
        <is>
          <t>B4-D30b</t>
        </is>
      </c>
      <c r="E252" s="8" t="n">
        <v>1</v>
      </c>
      <c r="F252" s="8" t="n">
        <v>93.40000000000001</v>
      </c>
      <c r="G252" s="13">
        <f>E252*F252*GiaDinh!$C$18*GiaDinh!$C$17</f>
        <v/>
      </c>
      <c r="H252" s="8">
        <f>GiaDinh!$C$21</f>
        <v/>
      </c>
      <c r="I252" s="8">
        <f>GiaDinh!$C$15</f>
        <v/>
      </c>
      <c r="J252" s="8">
        <f>ROUNDDOWN(I252/H252,0)+1</f>
        <v/>
      </c>
      <c r="K252" s="13">
        <f>J252*GiaDinh!$C$16</f>
        <v/>
      </c>
      <c r="L252" s="8">
        <f>MAX(1,ROUNDUP(G252/K252-0.0005,0))</f>
        <v/>
      </c>
      <c r="M252" s="13">
        <f>L252*I252</f>
        <v/>
      </c>
      <c r="N252" s="8">
        <f>L252*ROUNDUP(I252/GiaDinh!$C$5-0.0005,0)</f>
        <v/>
      </c>
      <c r="O252" s="8">
        <f>L252*(ROUNDUP(I252/GiaDinh!$C$5-0.0005,0)-1)</f>
        <v/>
      </c>
      <c r="P252" s="8">
        <f>L252*J252</f>
        <v/>
      </c>
      <c r="Q252" s="8">
        <f>2*P252</f>
        <v/>
      </c>
      <c r="R252" s="8">
        <f>P252</f>
        <v/>
      </c>
      <c r="S252" s="14">
        <f>M252*GiaDinh!$C$7</f>
        <v/>
      </c>
    </row>
    <row r="253">
      <c r="A253" s="8" t="inlineStr">
        <is>
          <t>BÈ 4</t>
        </is>
      </c>
      <c r="B253" s="8" t="inlineStr">
        <is>
          <t>B4-59</t>
        </is>
      </c>
      <c r="C253" s="8" t="inlineStr">
        <is>
          <t>Vuông góc cạnh (hộp chạy từ mép vào trong, cùng phương lực dây)</t>
        </is>
      </c>
      <c r="D253" s="8" t="inlineStr">
        <is>
          <t>B4-D31a</t>
        </is>
      </c>
      <c r="E253" s="8" t="n">
        <v>1</v>
      </c>
      <c r="F253" s="8" t="n">
        <v>93.40000000000001</v>
      </c>
      <c r="G253" s="13">
        <f>E253*F253*GiaDinh!$C$18*GiaDinh!$C$17</f>
        <v/>
      </c>
      <c r="H253" s="8">
        <f>GiaDinh!$C$21</f>
        <v/>
      </c>
      <c r="I253" s="8">
        <f>GiaDinh!$C$15</f>
        <v/>
      </c>
      <c r="J253" s="8">
        <f>ROUNDDOWN(I253/H253,0)+1</f>
        <v/>
      </c>
      <c r="K253" s="13">
        <f>J253*GiaDinh!$C$16</f>
        <v/>
      </c>
      <c r="L253" s="8">
        <f>MAX(1,ROUNDUP(G253/K253-0.0005,0))</f>
        <v/>
      </c>
      <c r="M253" s="13">
        <f>L253*I253</f>
        <v/>
      </c>
      <c r="N253" s="8">
        <f>L253*ROUNDUP(I253/GiaDinh!$C$5-0.0005,0)</f>
        <v/>
      </c>
      <c r="O253" s="8">
        <f>L253*(ROUNDUP(I253/GiaDinh!$C$5-0.0005,0)-1)</f>
        <v/>
      </c>
      <c r="P253" s="8">
        <f>L253*J253</f>
        <v/>
      </c>
      <c r="Q253" s="8">
        <f>2*P253</f>
        <v/>
      </c>
      <c r="R253" s="8">
        <f>P253</f>
        <v/>
      </c>
      <c r="S253" s="14">
        <f>M253*GiaDinh!$C$7</f>
        <v/>
      </c>
    </row>
    <row r="254">
      <c r="A254" s="8" t="inlineStr">
        <is>
          <t>BÈ 4</t>
        </is>
      </c>
      <c r="B254" s="8" t="inlineStr">
        <is>
          <t>B4-60</t>
        </is>
      </c>
      <c r="C254" s="8" t="inlineStr">
        <is>
          <t>Vuông góc cạnh (hộp chạy từ mép vào trong, cùng phương lực dây)</t>
        </is>
      </c>
      <c r="D254" s="8" t="inlineStr">
        <is>
          <t>B4-D31b</t>
        </is>
      </c>
      <c r="E254" s="8" t="n">
        <v>1</v>
      </c>
      <c r="F254" s="8" t="n">
        <v>93.40000000000001</v>
      </c>
      <c r="G254" s="13">
        <f>E254*F254*GiaDinh!$C$18*GiaDinh!$C$17</f>
        <v/>
      </c>
      <c r="H254" s="8">
        <f>GiaDinh!$C$21</f>
        <v/>
      </c>
      <c r="I254" s="8">
        <f>GiaDinh!$C$15</f>
        <v/>
      </c>
      <c r="J254" s="8">
        <f>ROUNDDOWN(I254/H254,0)+1</f>
        <v/>
      </c>
      <c r="K254" s="13">
        <f>J254*GiaDinh!$C$16</f>
        <v/>
      </c>
      <c r="L254" s="8">
        <f>MAX(1,ROUNDUP(G254/K254-0.0005,0))</f>
        <v/>
      </c>
      <c r="M254" s="13">
        <f>L254*I254</f>
        <v/>
      </c>
      <c r="N254" s="8">
        <f>L254*ROUNDUP(I254/GiaDinh!$C$5-0.0005,0)</f>
        <v/>
      </c>
      <c r="O254" s="8">
        <f>L254*(ROUNDUP(I254/GiaDinh!$C$5-0.0005,0)-1)</f>
        <v/>
      </c>
      <c r="P254" s="8">
        <f>L254*J254</f>
        <v/>
      </c>
      <c r="Q254" s="8">
        <f>2*P254</f>
        <v/>
      </c>
      <c r="R254" s="8">
        <f>P254</f>
        <v/>
      </c>
      <c r="S254" s="14">
        <f>M254*GiaDinh!$C$7</f>
        <v/>
      </c>
    </row>
    <row r="255">
      <c r="A255" s="8" t="inlineStr">
        <is>
          <t>BÈ 4</t>
        </is>
      </c>
      <c r="B255" s="8" t="inlineStr">
        <is>
          <t>B4-61</t>
        </is>
      </c>
      <c r="C255" s="8" t="inlineStr">
        <is>
          <t>Vuông góc cạnh (hộp chạy từ mép vào trong, cùng phương lực dây)</t>
        </is>
      </c>
      <c r="D255" s="8" t="inlineStr">
        <is>
          <t>B4-D32a</t>
        </is>
      </c>
      <c r="E255" s="8" t="n">
        <v>1</v>
      </c>
      <c r="F255" s="8" t="n">
        <v>93.40000000000001</v>
      </c>
      <c r="G255" s="13">
        <f>E255*F255*GiaDinh!$C$18*GiaDinh!$C$17</f>
        <v/>
      </c>
      <c r="H255" s="8">
        <f>GiaDinh!$C$21</f>
        <v/>
      </c>
      <c r="I255" s="8">
        <f>GiaDinh!$C$15</f>
        <v/>
      </c>
      <c r="J255" s="8">
        <f>ROUNDDOWN(I255/H255,0)+1</f>
        <v/>
      </c>
      <c r="K255" s="13">
        <f>J255*GiaDinh!$C$16</f>
        <v/>
      </c>
      <c r="L255" s="8">
        <f>MAX(1,ROUNDUP(G255/K255-0.0005,0))</f>
        <v/>
      </c>
      <c r="M255" s="13">
        <f>L255*I255</f>
        <v/>
      </c>
      <c r="N255" s="8">
        <f>L255*ROUNDUP(I255/GiaDinh!$C$5-0.0005,0)</f>
        <v/>
      </c>
      <c r="O255" s="8">
        <f>L255*(ROUNDUP(I255/GiaDinh!$C$5-0.0005,0)-1)</f>
        <v/>
      </c>
      <c r="P255" s="8">
        <f>L255*J255</f>
        <v/>
      </c>
      <c r="Q255" s="8">
        <f>2*P255</f>
        <v/>
      </c>
      <c r="R255" s="8">
        <f>P255</f>
        <v/>
      </c>
      <c r="S255" s="14">
        <f>M255*GiaDinh!$C$7</f>
        <v/>
      </c>
    </row>
    <row r="256">
      <c r="A256" s="8" t="inlineStr">
        <is>
          <t>BÈ 4</t>
        </is>
      </c>
      <c r="B256" s="8" t="inlineStr">
        <is>
          <t>B4-62</t>
        </is>
      </c>
      <c r="C256" s="8" t="inlineStr">
        <is>
          <t>Vuông góc cạnh (hộp chạy từ mép vào trong, cùng phương lực dây)</t>
        </is>
      </c>
      <c r="D256" s="8" t="inlineStr">
        <is>
          <t>B4-D32b</t>
        </is>
      </c>
      <c r="E256" s="8" t="n">
        <v>1</v>
      </c>
      <c r="F256" s="8" t="n">
        <v>93.40000000000001</v>
      </c>
      <c r="G256" s="13">
        <f>E256*F256*GiaDinh!$C$18*GiaDinh!$C$17</f>
        <v/>
      </c>
      <c r="H256" s="8">
        <f>GiaDinh!$C$21</f>
        <v/>
      </c>
      <c r="I256" s="8">
        <f>GiaDinh!$C$15</f>
        <v/>
      </c>
      <c r="J256" s="8">
        <f>ROUNDDOWN(I256/H256,0)+1</f>
        <v/>
      </c>
      <c r="K256" s="13">
        <f>J256*GiaDinh!$C$16</f>
        <v/>
      </c>
      <c r="L256" s="8">
        <f>MAX(1,ROUNDUP(G256/K256-0.0005,0))</f>
        <v/>
      </c>
      <c r="M256" s="13">
        <f>L256*I256</f>
        <v/>
      </c>
      <c r="N256" s="8">
        <f>L256*ROUNDUP(I256/GiaDinh!$C$5-0.0005,0)</f>
        <v/>
      </c>
      <c r="O256" s="8">
        <f>L256*(ROUNDUP(I256/GiaDinh!$C$5-0.0005,0)-1)</f>
        <v/>
      </c>
      <c r="P256" s="8">
        <f>L256*J256</f>
        <v/>
      </c>
      <c r="Q256" s="8">
        <f>2*P256</f>
        <v/>
      </c>
      <c r="R256" s="8">
        <f>P256</f>
        <v/>
      </c>
      <c r="S256" s="14">
        <f>M256*GiaDinh!$C$7</f>
        <v/>
      </c>
    </row>
    <row r="257">
      <c r="A257" s="8" t="inlineStr">
        <is>
          <t>BÈ 4</t>
        </is>
      </c>
      <c r="B257" s="8" t="inlineStr">
        <is>
          <t>B4-63</t>
        </is>
      </c>
      <c r="C257" s="8" t="inlineStr">
        <is>
          <t>Vuông góc cạnh (hộp chạy từ mép vào trong, cùng phương lực dây)</t>
        </is>
      </c>
      <c r="D257" s="8" t="inlineStr">
        <is>
          <t>B4-D33a</t>
        </is>
      </c>
      <c r="E257" s="8" t="n">
        <v>1</v>
      </c>
      <c r="F257" s="8" t="n">
        <v>93.40000000000001</v>
      </c>
      <c r="G257" s="13">
        <f>E257*F257*GiaDinh!$C$18*GiaDinh!$C$17</f>
        <v/>
      </c>
      <c r="H257" s="8">
        <f>GiaDinh!$C$21</f>
        <v/>
      </c>
      <c r="I257" s="8">
        <f>GiaDinh!$C$15</f>
        <v/>
      </c>
      <c r="J257" s="8">
        <f>ROUNDDOWN(I257/H257,0)+1</f>
        <v/>
      </c>
      <c r="K257" s="13">
        <f>J257*GiaDinh!$C$16</f>
        <v/>
      </c>
      <c r="L257" s="8">
        <f>MAX(1,ROUNDUP(G257/K257-0.0005,0))</f>
        <v/>
      </c>
      <c r="M257" s="13">
        <f>L257*I257</f>
        <v/>
      </c>
      <c r="N257" s="8">
        <f>L257*ROUNDUP(I257/GiaDinh!$C$5-0.0005,0)</f>
        <v/>
      </c>
      <c r="O257" s="8">
        <f>L257*(ROUNDUP(I257/GiaDinh!$C$5-0.0005,0)-1)</f>
        <v/>
      </c>
      <c r="P257" s="8">
        <f>L257*J257</f>
        <v/>
      </c>
      <c r="Q257" s="8">
        <f>2*P257</f>
        <v/>
      </c>
      <c r="R257" s="8">
        <f>P257</f>
        <v/>
      </c>
      <c r="S257" s="14">
        <f>M257*GiaDinh!$C$7</f>
        <v/>
      </c>
    </row>
    <row r="258">
      <c r="A258" s="8" t="inlineStr">
        <is>
          <t>BÈ 4</t>
        </is>
      </c>
      <c r="B258" s="8" t="inlineStr">
        <is>
          <t>B4-64</t>
        </is>
      </c>
      <c r="C258" s="8" t="inlineStr">
        <is>
          <t>Vuông góc cạnh (hộp chạy từ mép vào trong, cùng phương lực dây)</t>
        </is>
      </c>
      <c r="D258" s="8" t="inlineStr">
        <is>
          <t>B4-D33b</t>
        </is>
      </c>
      <c r="E258" s="8" t="n">
        <v>1</v>
      </c>
      <c r="F258" s="8" t="n">
        <v>93.40000000000001</v>
      </c>
      <c r="G258" s="13">
        <f>E258*F258*GiaDinh!$C$18*GiaDinh!$C$17</f>
        <v/>
      </c>
      <c r="H258" s="8">
        <f>GiaDinh!$C$21</f>
        <v/>
      </c>
      <c r="I258" s="8">
        <f>GiaDinh!$C$15</f>
        <v/>
      </c>
      <c r="J258" s="8">
        <f>ROUNDDOWN(I258/H258,0)+1</f>
        <v/>
      </c>
      <c r="K258" s="13">
        <f>J258*GiaDinh!$C$16</f>
        <v/>
      </c>
      <c r="L258" s="8">
        <f>MAX(1,ROUNDUP(G258/K258-0.0005,0))</f>
        <v/>
      </c>
      <c r="M258" s="13">
        <f>L258*I258</f>
        <v/>
      </c>
      <c r="N258" s="8">
        <f>L258*ROUNDUP(I258/GiaDinh!$C$5-0.0005,0)</f>
        <v/>
      </c>
      <c r="O258" s="8">
        <f>L258*(ROUNDUP(I258/GiaDinh!$C$5-0.0005,0)-1)</f>
        <v/>
      </c>
      <c r="P258" s="8">
        <f>L258*J258</f>
        <v/>
      </c>
      <c r="Q258" s="8">
        <f>2*P258</f>
        <v/>
      </c>
      <c r="R258" s="8">
        <f>P258</f>
        <v/>
      </c>
      <c r="S258" s="14">
        <f>M258*GiaDinh!$C$7</f>
        <v/>
      </c>
    </row>
    <row r="259">
      <c r="A259" s="8" t="inlineStr">
        <is>
          <t>BÈ 4</t>
        </is>
      </c>
      <c r="B259" s="8" t="inlineStr">
        <is>
          <t>B4-65</t>
        </is>
      </c>
      <c r="C259" s="8" t="inlineStr">
        <is>
          <t>Vuông góc cạnh (hộp chạy từ mép vào trong, cùng phương lực dây)</t>
        </is>
      </c>
      <c r="D259" s="8" t="inlineStr">
        <is>
          <t>B4-D34a</t>
        </is>
      </c>
      <c r="E259" s="8" t="n">
        <v>1</v>
      </c>
      <c r="F259" s="8" t="n">
        <v>93.40000000000001</v>
      </c>
      <c r="G259" s="13">
        <f>E259*F259*GiaDinh!$C$18*GiaDinh!$C$17</f>
        <v/>
      </c>
      <c r="H259" s="8">
        <f>GiaDinh!$C$21</f>
        <v/>
      </c>
      <c r="I259" s="8">
        <f>GiaDinh!$C$15</f>
        <v/>
      </c>
      <c r="J259" s="8">
        <f>ROUNDDOWN(I259/H259,0)+1</f>
        <v/>
      </c>
      <c r="K259" s="13">
        <f>J259*GiaDinh!$C$16</f>
        <v/>
      </c>
      <c r="L259" s="8">
        <f>MAX(1,ROUNDUP(G259/K259-0.0005,0))</f>
        <v/>
      </c>
      <c r="M259" s="13">
        <f>L259*I259</f>
        <v/>
      </c>
      <c r="N259" s="8">
        <f>L259*ROUNDUP(I259/GiaDinh!$C$5-0.0005,0)</f>
        <v/>
      </c>
      <c r="O259" s="8">
        <f>L259*(ROUNDUP(I259/GiaDinh!$C$5-0.0005,0)-1)</f>
        <v/>
      </c>
      <c r="P259" s="8">
        <f>L259*J259</f>
        <v/>
      </c>
      <c r="Q259" s="8">
        <f>2*P259</f>
        <v/>
      </c>
      <c r="R259" s="8">
        <f>P259</f>
        <v/>
      </c>
      <c r="S259" s="14">
        <f>M259*GiaDinh!$C$7</f>
        <v/>
      </c>
    </row>
    <row r="260">
      <c r="A260" s="8" t="inlineStr">
        <is>
          <t>BÈ 4</t>
        </is>
      </c>
      <c r="B260" s="8" t="inlineStr">
        <is>
          <t>B4-66</t>
        </is>
      </c>
      <c r="C260" s="8" t="inlineStr">
        <is>
          <t>Vuông góc cạnh (hộp chạy từ mép vào trong, cùng phương lực dây)</t>
        </is>
      </c>
      <c r="D260" s="8" t="inlineStr">
        <is>
          <t>B4-D34b</t>
        </is>
      </c>
      <c r="E260" s="8" t="n">
        <v>1</v>
      </c>
      <c r="F260" s="8" t="n">
        <v>93.40000000000001</v>
      </c>
      <c r="G260" s="13">
        <f>E260*F260*GiaDinh!$C$18*GiaDinh!$C$17</f>
        <v/>
      </c>
      <c r="H260" s="8">
        <f>GiaDinh!$C$21</f>
        <v/>
      </c>
      <c r="I260" s="8">
        <f>GiaDinh!$C$15</f>
        <v/>
      </c>
      <c r="J260" s="8">
        <f>ROUNDDOWN(I260/H260,0)+1</f>
        <v/>
      </c>
      <c r="K260" s="13">
        <f>J260*GiaDinh!$C$16</f>
        <v/>
      </c>
      <c r="L260" s="8">
        <f>MAX(1,ROUNDUP(G260/K260-0.0005,0))</f>
        <v/>
      </c>
      <c r="M260" s="13">
        <f>L260*I260</f>
        <v/>
      </c>
      <c r="N260" s="8">
        <f>L260*ROUNDUP(I260/GiaDinh!$C$5-0.0005,0)</f>
        <v/>
      </c>
      <c r="O260" s="8">
        <f>L260*(ROUNDUP(I260/GiaDinh!$C$5-0.0005,0)-1)</f>
        <v/>
      </c>
      <c r="P260" s="8">
        <f>L260*J260</f>
        <v/>
      </c>
      <c r="Q260" s="8">
        <f>2*P260</f>
        <v/>
      </c>
      <c r="R260" s="8">
        <f>P260</f>
        <v/>
      </c>
      <c r="S260" s="14">
        <f>M260*GiaDinh!$C$7</f>
        <v/>
      </c>
    </row>
    <row r="261">
      <c r="A261" s="8" t="inlineStr">
        <is>
          <t>BÈ 4</t>
        </is>
      </c>
      <c r="B261" s="8" t="inlineStr">
        <is>
          <t>B4-67</t>
        </is>
      </c>
      <c r="C261" s="8" t="inlineStr">
        <is>
          <t>Vuông góc cạnh (hộp chạy từ mép vào trong, cùng phương lực dây)</t>
        </is>
      </c>
      <c r="D261" s="8" t="inlineStr">
        <is>
          <t>B4-D35a</t>
        </is>
      </c>
      <c r="E261" s="8" t="n">
        <v>1</v>
      </c>
      <c r="F261" s="8" t="n">
        <v>93.40000000000001</v>
      </c>
      <c r="G261" s="13">
        <f>E261*F261*GiaDinh!$C$18*GiaDinh!$C$17</f>
        <v/>
      </c>
      <c r="H261" s="8">
        <f>GiaDinh!$C$21</f>
        <v/>
      </c>
      <c r="I261" s="8">
        <f>GiaDinh!$C$15</f>
        <v/>
      </c>
      <c r="J261" s="8">
        <f>ROUNDDOWN(I261/H261,0)+1</f>
        <v/>
      </c>
      <c r="K261" s="13">
        <f>J261*GiaDinh!$C$16</f>
        <v/>
      </c>
      <c r="L261" s="8">
        <f>MAX(1,ROUNDUP(G261/K261-0.0005,0))</f>
        <v/>
      </c>
      <c r="M261" s="13">
        <f>L261*I261</f>
        <v/>
      </c>
      <c r="N261" s="8">
        <f>L261*ROUNDUP(I261/GiaDinh!$C$5-0.0005,0)</f>
        <v/>
      </c>
      <c r="O261" s="8">
        <f>L261*(ROUNDUP(I261/GiaDinh!$C$5-0.0005,0)-1)</f>
        <v/>
      </c>
      <c r="P261" s="8">
        <f>L261*J261</f>
        <v/>
      </c>
      <c r="Q261" s="8">
        <f>2*P261</f>
        <v/>
      </c>
      <c r="R261" s="8">
        <f>P261</f>
        <v/>
      </c>
      <c r="S261" s="14">
        <f>M261*GiaDinh!$C$7</f>
        <v/>
      </c>
    </row>
    <row r="262">
      <c r="A262" s="8" t="inlineStr">
        <is>
          <t>BÈ 4</t>
        </is>
      </c>
      <c r="B262" s="8" t="inlineStr">
        <is>
          <t>B4-68</t>
        </is>
      </c>
      <c r="C262" s="8" t="inlineStr">
        <is>
          <t>Vuông góc cạnh (hộp chạy từ mép vào trong, cùng phương lực dây)</t>
        </is>
      </c>
      <c r="D262" s="8" t="inlineStr">
        <is>
          <t>B4-D35b</t>
        </is>
      </c>
      <c r="E262" s="8" t="n">
        <v>1</v>
      </c>
      <c r="F262" s="8" t="n">
        <v>93.40000000000001</v>
      </c>
      <c r="G262" s="13">
        <f>E262*F262*GiaDinh!$C$18*GiaDinh!$C$17</f>
        <v/>
      </c>
      <c r="H262" s="8">
        <f>GiaDinh!$C$21</f>
        <v/>
      </c>
      <c r="I262" s="8">
        <f>GiaDinh!$C$15</f>
        <v/>
      </c>
      <c r="J262" s="8">
        <f>ROUNDDOWN(I262/H262,0)+1</f>
        <v/>
      </c>
      <c r="K262" s="13">
        <f>J262*GiaDinh!$C$16</f>
        <v/>
      </c>
      <c r="L262" s="8">
        <f>MAX(1,ROUNDUP(G262/K262-0.0005,0))</f>
        <v/>
      </c>
      <c r="M262" s="13">
        <f>L262*I262</f>
        <v/>
      </c>
      <c r="N262" s="8">
        <f>L262*ROUNDUP(I262/GiaDinh!$C$5-0.0005,0)</f>
        <v/>
      </c>
      <c r="O262" s="8">
        <f>L262*(ROUNDUP(I262/GiaDinh!$C$5-0.0005,0)-1)</f>
        <v/>
      </c>
      <c r="P262" s="8">
        <f>L262*J262</f>
        <v/>
      </c>
      <c r="Q262" s="8">
        <f>2*P262</f>
        <v/>
      </c>
      <c r="R262" s="8">
        <f>P262</f>
        <v/>
      </c>
      <c r="S262" s="14">
        <f>M262*GiaDinh!$C$7</f>
        <v/>
      </c>
    </row>
    <row r="263">
      <c r="A263" s="8" t="inlineStr">
        <is>
          <t>BÈ 4</t>
        </is>
      </c>
      <c r="B263" s="8" t="inlineStr">
        <is>
          <t>B4-69</t>
        </is>
      </c>
      <c r="C263" s="8" t="inlineStr">
        <is>
          <t>Vuông góc cạnh (hộp chạy từ mép vào trong, cùng phương lực dây)</t>
        </is>
      </c>
      <c r="D263" s="8" t="inlineStr">
        <is>
          <t>B4-D36a</t>
        </is>
      </c>
      <c r="E263" s="8" t="n">
        <v>1</v>
      </c>
      <c r="F263" s="8" t="n">
        <v>93.40000000000001</v>
      </c>
      <c r="G263" s="13">
        <f>E263*F263*GiaDinh!$C$18*GiaDinh!$C$17</f>
        <v/>
      </c>
      <c r="H263" s="8">
        <f>GiaDinh!$C$21</f>
        <v/>
      </c>
      <c r="I263" s="8">
        <f>GiaDinh!$C$15</f>
        <v/>
      </c>
      <c r="J263" s="8">
        <f>ROUNDDOWN(I263/H263,0)+1</f>
        <v/>
      </c>
      <c r="K263" s="13">
        <f>J263*GiaDinh!$C$16</f>
        <v/>
      </c>
      <c r="L263" s="8">
        <f>MAX(1,ROUNDUP(G263/K263-0.0005,0))</f>
        <v/>
      </c>
      <c r="M263" s="13">
        <f>L263*I263</f>
        <v/>
      </c>
      <c r="N263" s="8">
        <f>L263*ROUNDUP(I263/GiaDinh!$C$5-0.0005,0)</f>
        <v/>
      </c>
      <c r="O263" s="8">
        <f>L263*(ROUNDUP(I263/GiaDinh!$C$5-0.0005,0)-1)</f>
        <v/>
      </c>
      <c r="P263" s="8">
        <f>L263*J263</f>
        <v/>
      </c>
      <c r="Q263" s="8">
        <f>2*P263</f>
        <v/>
      </c>
      <c r="R263" s="8">
        <f>P263</f>
        <v/>
      </c>
      <c r="S263" s="14">
        <f>M263*GiaDinh!$C$7</f>
        <v/>
      </c>
    </row>
    <row r="264">
      <c r="A264" s="8" t="inlineStr">
        <is>
          <t>BÈ 4</t>
        </is>
      </c>
      <c r="B264" s="8" t="inlineStr">
        <is>
          <t>B4-70</t>
        </is>
      </c>
      <c r="C264" s="8" t="inlineStr">
        <is>
          <t>Vuông góc cạnh (hộp chạy từ mép vào trong, cùng phương lực dây)</t>
        </is>
      </c>
      <c r="D264" s="8" t="inlineStr">
        <is>
          <t>B4-D36b</t>
        </is>
      </c>
      <c r="E264" s="8" t="n">
        <v>1</v>
      </c>
      <c r="F264" s="8" t="n">
        <v>93.40000000000001</v>
      </c>
      <c r="G264" s="13">
        <f>E264*F264*GiaDinh!$C$18*GiaDinh!$C$17</f>
        <v/>
      </c>
      <c r="H264" s="8">
        <f>GiaDinh!$C$21</f>
        <v/>
      </c>
      <c r="I264" s="8">
        <f>GiaDinh!$C$15</f>
        <v/>
      </c>
      <c r="J264" s="8">
        <f>ROUNDDOWN(I264/H264,0)+1</f>
        <v/>
      </c>
      <c r="K264" s="13">
        <f>J264*GiaDinh!$C$16</f>
        <v/>
      </c>
      <c r="L264" s="8">
        <f>MAX(1,ROUNDUP(G264/K264-0.0005,0))</f>
        <v/>
      </c>
      <c r="M264" s="13">
        <f>L264*I264</f>
        <v/>
      </c>
      <c r="N264" s="8">
        <f>L264*ROUNDUP(I264/GiaDinh!$C$5-0.0005,0)</f>
        <v/>
      </c>
      <c r="O264" s="8">
        <f>L264*(ROUNDUP(I264/GiaDinh!$C$5-0.0005,0)-1)</f>
        <v/>
      </c>
      <c r="P264" s="8">
        <f>L264*J264</f>
        <v/>
      </c>
      <c r="Q264" s="8">
        <f>2*P264</f>
        <v/>
      </c>
      <c r="R264" s="8">
        <f>P264</f>
        <v/>
      </c>
      <c r="S264" s="14">
        <f>M264*GiaDinh!$C$7</f>
        <v/>
      </c>
    </row>
    <row r="265">
      <c r="A265" s="8" t="inlineStr">
        <is>
          <t>BÈ 4</t>
        </is>
      </c>
      <c r="B265" s="8" t="inlineStr">
        <is>
          <t>B4-71</t>
        </is>
      </c>
      <c r="C265" s="8" t="inlineStr">
        <is>
          <t>Vuông góc cạnh (hộp chạy từ mép vào trong, cùng phương lực dây)</t>
        </is>
      </c>
      <c r="D265" s="8" t="inlineStr">
        <is>
          <t>B4-D37a</t>
        </is>
      </c>
      <c r="E265" s="8" t="n">
        <v>1</v>
      </c>
      <c r="F265" s="8" t="n">
        <v>93.40000000000001</v>
      </c>
      <c r="G265" s="13">
        <f>E265*F265*GiaDinh!$C$18*GiaDinh!$C$17</f>
        <v/>
      </c>
      <c r="H265" s="8">
        <f>GiaDinh!$C$21</f>
        <v/>
      </c>
      <c r="I265" s="8">
        <f>GiaDinh!$C$15</f>
        <v/>
      </c>
      <c r="J265" s="8">
        <f>ROUNDDOWN(I265/H265,0)+1</f>
        <v/>
      </c>
      <c r="K265" s="13">
        <f>J265*GiaDinh!$C$16</f>
        <v/>
      </c>
      <c r="L265" s="8">
        <f>MAX(1,ROUNDUP(G265/K265-0.0005,0))</f>
        <v/>
      </c>
      <c r="M265" s="13">
        <f>L265*I265</f>
        <v/>
      </c>
      <c r="N265" s="8">
        <f>L265*ROUNDUP(I265/GiaDinh!$C$5-0.0005,0)</f>
        <v/>
      </c>
      <c r="O265" s="8">
        <f>L265*(ROUNDUP(I265/GiaDinh!$C$5-0.0005,0)-1)</f>
        <v/>
      </c>
      <c r="P265" s="8">
        <f>L265*J265</f>
        <v/>
      </c>
      <c r="Q265" s="8">
        <f>2*P265</f>
        <v/>
      </c>
      <c r="R265" s="8">
        <f>P265</f>
        <v/>
      </c>
      <c r="S265" s="14">
        <f>M265*GiaDinh!$C$7</f>
        <v/>
      </c>
    </row>
    <row r="266">
      <c r="A266" s="8" t="inlineStr">
        <is>
          <t>BÈ 4</t>
        </is>
      </c>
      <c r="B266" s="8" t="inlineStr">
        <is>
          <t>B4-72</t>
        </is>
      </c>
      <c r="C266" s="8" t="inlineStr">
        <is>
          <t>Vuông góc cạnh (hộp chạy từ mép vào trong, cùng phương lực dây)</t>
        </is>
      </c>
      <c r="D266" s="8" t="inlineStr">
        <is>
          <t>B4-D37b</t>
        </is>
      </c>
      <c r="E266" s="8" t="n">
        <v>1</v>
      </c>
      <c r="F266" s="8" t="n">
        <v>93.40000000000001</v>
      </c>
      <c r="G266" s="13">
        <f>E266*F266*GiaDinh!$C$18*GiaDinh!$C$17</f>
        <v/>
      </c>
      <c r="H266" s="8">
        <f>GiaDinh!$C$21</f>
        <v/>
      </c>
      <c r="I266" s="8">
        <f>GiaDinh!$C$15</f>
        <v/>
      </c>
      <c r="J266" s="8">
        <f>ROUNDDOWN(I266/H266,0)+1</f>
        <v/>
      </c>
      <c r="K266" s="13">
        <f>J266*GiaDinh!$C$16</f>
        <v/>
      </c>
      <c r="L266" s="8">
        <f>MAX(1,ROUNDUP(G266/K266-0.0005,0))</f>
        <v/>
      </c>
      <c r="M266" s="13">
        <f>L266*I266</f>
        <v/>
      </c>
      <c r="N266" s="8">
        <f>L266*ROUNDUP(I266/GiaDinh!$C$5-0.0005,0)</f>
        <v/>
      </c>
      <c r="O266" s="8">
        <f>L266*(ROUNDUP(I266/GiaDinh!$C$5-0.0005,0)-1)</f>
        <v/>
      </c>
      <c r="P266" s="8">
        <f>L266*J266</f>
        <v/>
      </c>
      <c r="Q266" s="8">
        <f>2*P266</f>
        <v/>
      </c>
      <c r="R266" s="8">
        <f>P266</f>
        <v/>
      </c>
      <c r="S266" s="14">
        <f>M266*GiaDinh!$C$7</f>
        <v/>
      </c>
    </row>
    <row r="267">
      <c r="A267" s="8" t="inlineStr">
        <is>
          <t>BÈ 4</t>
        </is>
      </c>
      <c r="B267" s="8" t="inlineStr">
        <is>
          <t>B4-73</t>
        </is>
      </c>
      <c r="C267" s="8" t="inlineStr">
        <is>
          <t>Vuông góc cạnh (hộp chạy từ mép vào trong, cùng phương lực dây)</t>
        </is>
      </c>
      <c r="D267" s="8" t="inlineStr">
        <is>
          <t>B4-D38a</t>
        </is>
      </c>
      <c r="E267" s="8" t="n">
        <v>1</v>
      </c>
      <c r="F267" s="8" t="n">
        <v>93.40000000000001</v>
      </c>
      <c r="G267" s="13">
        <f>E267*F267*GiaDinh!$C$18*GiaDinh!$C$17</f>
        <v/>
      </c>
      <c r="H267" s="8">
        <f>GiaDinh!$C$21</f>
        <v/>
      </c>
      <c r="I267" s="8">
        <f>GiaDinh!$C$15</f>
        <v/>
      </c>
      <c r="J267" s="8">
        <f>ROUNDDOWN(I267/H267,0)+1</f>
        <v/>
      </c>
      <c r="K267" s="13">
        <f>J267*GiaDinh!$C$16</f>
        <v/>
      </c>
      <c r="L267" s="8">
        <f>MAX(1,ROUNDUP(G267/K267-0.0005,0))</f>
        <v/>
      </c>
      <c r="M267" s="13">
        <f>L267*I267</f>
        <v/>
      </c>
      <c r="N267" s="8">
        <f>L267*ROUNDUP(I267/GiaDinh!$C$5-0.0005,0)</f>
        <v/>
      </c>
      <c r="O267" s="8">
        <f>L267*(ROUNDUP(I267/GiaDinh!$C$5-0.0005,0)-1)</f>
        <v/>
      </c>
      <c r="P267" s="8">
        <f>L267*J267</f>
        <v/>
      </c>
      <c r="Q267" s="8">
        <f>2*P267</f>
        <v/>
      </c>
      <c r="R267" s="8">
        <f>P267</f>
        <v/>
      </c>
      <c r="S267" s="14">
        <f>M267*GiaDinh!$C$7</f>
        <v/>
      </c>
    </row>
    <row r="268">
      <c r="A268" s="8" t="inlineStr">
        <is>
          <t>BÈ 4</t>
        </is>
      </c>
      <c r="B268" s="8" t="inlineStr">
        <is>
          <t>B4-74</t>
        </is>
      </c>
      <c r="C268" s="8" t="inlineStr">
        <is>
          <t>Vuông góc cạnh (hộp chạy từ mép vào trong, cùng phương lực dây)</t>
        </is>
      </c>
      <c r="D268" s="8" t="inlineStr">
        <is>
          <t>B4-D38b</t>
        </is>
      </c>
      <c r="E268" s="8" t="n">
        <v>1</v>
      </c>
      <c r="F268" s="8" t="n">
        <v>93.40000000000001</v>
      </c>
      <c r="G268" s="13">
        <f>E268*F268*GiaDinh!$C$18*GiaDinh!$C$17</f>
        <v/>
      </c>
      <c r="H268" s="8">
        <f>GiaDinh!$C$21</f>
        <v/>
      </c>
      <c r="I268" s="8">
        <f>GiaDinh!$C$15</f>
        <v/>
      </c>
      <c r="J268" s="8">
        <f>ROUNDDOWN(I268/H268,0)+1</f>
        <v/>
      </c>
      <c r="K268" s="13">
        <f>J268*GiaDinh!$C$16</f>
        <v/>
      </c>
      <c r="L268" s="8">
        <f>MAX(1,ROUNDUP(G268/K268-0.0005,0))</f>
        <v/>
      </c>
      <c r="M268" s="13">
        <f>L268*I268</f>
        <v/>
      </c>
      <c r="N268" s="8">
        <f>L268*ROUNDUP(I268/GiaDinh!$C$5-0.0005,0)</f>
        <v/>
      </c>
      <c r="O268" s="8">
        <f>L268*(ROUNDUP(I268/GiaDinh!$C$5-0.0005,0)-1)</f>
        <v/>
      </c>
      <c r="P268" s="8">
        <f>L268*J268</f>
        <v/>
      </c>
      <c r="Q268" s="8">
        <f>2*P268</f>
        <v/>
      </c>
      <c r="R268" s="8">
        <f>P268</f>
        <v/>
      </c>
      <c r="S268" s="14">
        <f>M268*GiaDinh!$C$7</f>
        <v/>
      </c>
    </row>
    <row r="269">
      <c r="A269" s="8" t="inlineStr">
        <is>
          <t>BÈ 4</t>
        </is>
      </c>
      <c r="B269" s="8" t="inlineStr">
        <is>
          <t>B4-75</t>
        </is>
      </c>
      <c r="C269" s="8" t="inlineStr">
        <is>
          <t>Vuông góc cạnh (hộp chạy từ mép vào trong, cùng phương lực dây)</t>
        </is>
      </c>
      <c r="D269" s="8" t="inlineStr">
        <is>
          <t>B4-D39a</t>
        </is>
      </c>
      <c r="E269" s="8" t="n">
        <v>1</v>
      </c>
      <c r="F269" s="8" t="n">
        <v>93.40000000000001</v>
      </c>
      <c r="G269" s="13">
        <f>E269*F269*GiaDinh!$C$18*GiaDinh!$C$17</f>
        <v/>
      </c>
      <c r="H269" s="8">
        <f>GiaDinh!$C$21</f>
        <v/>
      </c>
      <c r="I269" s="8">
        <f>GiaDinh!$C$15</f>
        <v/>
      </c>
      <c r="J269" s="8">
        <f>ROUNDDOWN(I269/H269,0)+1</f>
        <v/>
      </c>
      <c r="K269" s="13">
        <f>J269*GiaDinh!$C$16</f>
        <v/>
      </c>
      <c r="L269" s="8">
        <f>MAX(1,ROUNDUP(G269/K269-0.0005,0))</f>
        <v/>
      </c>
      <c r="M269" s="13">
        <f>L269*I269</f>
        <v/>
      </c>
      <c r="N269" s="8">
        <f>L269*ROUNDUP(I269/GiaDinh!$C$5-0.0005,0)</f>
        <v/>
      </c>
      <c r="O269" s="8">
        <f>L269*(ROUNDUP(I269/GiaDinh!$C$5-0.0005,0)-1)</f>
        <v/>
      </c>
      <c r="P269" s="8">
        <f>L269*J269</f>
        <v/>
      </c>
      <c r="Q269" s="8">
        <f>2*P269</f>
        <v/>
      </c>
      <c r="R269" s="8">
        <f>P269</f>
        <v/>
      </c>
      <c r="S269" s="14">
        <f>M269*GiaDinh!$C$7</f>
        <v/>
      </c>
    </row>
    <row r="270">
      <c r="A270" s="8" t="inlineStr">
        <is>
          <t>BÈ 4</t>
        </is>
      </c>
      <c r="B270" s="8" t="inlineStr">
        <is>
          <t>B4-76</t>
        </is>
      </c>
      <c r="C270" s="8" t="inlineStr">
        <is>
          <t>Vuông góc cạnh (hộp chạy từ mép vào trong, cùng phương lực dây)</t>
        </is>
      </c>
      <c r="D270" s="8" t="inlineStr">
        <is>
          <t>B4-D39b</t>
        </is>
      </c>
      <c r="E270" s="8" t="n">
        <v>1</v>
      </c>
      <c r="F270" s="8" t="n">
        <v>93.40000000000001</v>
      </c>
      <c r="G270" s="13">
        <f>E270*F270*GiaDinh!$C$18*GiaDinh!$C$17</f>
        <v/>
      </c>
      <c r="H270" s="8">
        <f>GiaDinh!$C$21</f>
        <v/>
      </c>
      <c r="I270" s="8">
        <f>GiaDinh!$C$15</f>
        <v/>
      </c>
      <c r="J270" s="8">
        <f>ROUNDDOWN(I270/H270,0)+1</f>
        <v/>
      </c>
      <c r="K270" s="13">
        <f>J270*GiaDinh!$C$16</f>
        <v/>
      </c>
      <c r="L270" s="8">
        <f>MAX(1,ROUNDUP(G270/K270-0.0005,0))</f>
        <v/>
      </c>
      <c r="M270" s="13">
        <f>L270*I270</f>
        <v/>
      </c>
      <c r="N270" s="8">
        <f>L270*ROUNDUP(I270/GiaDinh!$C$5-0.0005,0)</f>
        <v/>
      </c>
      <c r="O270" s="8">
        <f>L270*(ROUNDUP(I270/GiaDinh!$C$5-0.0005,0)-1)</f>
        <v/>
      </c>
      <c r="P270" s="8">
        <f>L270*J270</f>
        <v/>
      </c>
      <c r="Q270" s="8">
        <f>2*P270</f>
        <v/>
      </c>
      <c r="R270" s="8">
        <f>P270</f>
        <v/>
      </c>
      <c r="S270" s="14">
        <f>M270*GiaDinh!$C$7</f>
        <v/>
      </c>
    </row>
    <row r="271">
      <c r="A271" s="8" t="inlineStr">
        <is>
          <t>BÈ 4</t>
        </is>
      </c>
      <c r="B271" s="8" t="inlineStr">
        <is>
          <t>B4-77</t>
        </is>
      </c>
      <c r="C271" s="8" t="inlineStr">
        <is>
          <t>Vuông góc cạnh (hộp chạy từ mép vào trong, cùng phương lực dây)</t>
        </is>
      </c>
      <c r="D271" s="8" t="inlineStr">
        <is>
          <t>B4-D40a</t>
        </is>
      </c>
      <c r="E271" s="8" t="n">
        <v>1</v>
      </c>
      <c r="F271" s="8" t="n">
        <v>93.40000000000001</v>
      </c>
      <c r="G271" s="13">
        <f>E271*F271*GiaDinh!$C$18*GiaDinh!$C$17</f>
        <v/>
      </c>
      <c r="H271" s="8">
        <f>GiaDinh!$C$21</f>
        <v/>
      </c>
      <c r="I271" s="8">
        <f>GiaDinh!$C$15</f>
        <v/>
      </c>
      <c r="J271" s="8">
        <f>ROUNDDOWN(I271/H271,0)+1</f>
        <v/>
      </c>
      <c r="K271" s="13">
        <f>J271*GiaDinh!$C$16</f>
        <v/>
      </c>
      <c r="L271" s="8">
        <f>MAX(1,ROUNDUP(G271/K271-0.0005,0))</f>
        <v/>
      </c>
      <c r="M271" s="13">
        <f>L271*I271</f>
        <v/>
      </c>
      <c r="N271" s="8">
        <f>L271*ROUNDUP(I271/GiaDinh!$C$5-0.0005,0)</f>
        <v/>
      </c>
      <c r="O271" s="8">
        <f>L271*(ROUNDUP(I271/GiaDinh!$C$5-0.0005,0)-1)</f>
        <v/>
      </c>
      <c r="P271" s="8">
        <f>L271*J271</f>
        <v/>
      </c>
      <c r="Q271" s="8">
        <f>2*P271</f>
        <v/>
      </c>
      <c r="R271" s="8">
        <f>P271</f>
        <v/>
      </c>
      <c r="S271" s="14">
        <f>M271*GiaDinh!$C$7</f>
        <v/>
      </c>
    </row>
    <row r="272">
      <c r="A272" s="8" t="inlineStr">
        <is>
          <t>BÈ 4</t>
        </is>
      </c>
      <c r="B272" s="8" t="inlineStr">
        <is>
          <t>B4-78</t>
        </is>
      </c>
      <c r="C272" s="8" t="inlineStr">
        <is>
          <t>Vuông góc cạnh (hộp chạy từ mép vào trong, cùng phương lực dây)</t>
        </is>
      </c>
      <c r="D272" s="8" t="inlineStr">
        <is>
          <t>B4-D40b</t>
        </is>
      </c>
      <c r="E272" s="8" t="n">
        <v>1</v>
      </c>
      <c r="F272" s="8" t="n">
        <v>93.40000000000001</v>
      </c>
      <c r="G272" s="13">
        <f>E272*F272*GiaDinh!$C$18*GiaDinh!$C$17</f>
        <v/>
      </c>
      <c r="H272" s="8">
        <f>GiaDinh!$C$21</f>
        <v/>
      </c>
      <c r="I272" s="8">
        <f>GiaDinh!$C$15</f>
        <v/>
      </c>
      <c r="J272" s="8">
        <f>ROUNDDOWN(I272/H272,0)+1</f>
        <v/>
      </c>
      <c r="K272" s="13">
        <f>J272*GiaDinh!$C$16</f>
        <v/>
      </c>
      <c r="L272" s="8">
        <f>MAX(1,ROUNDUP(G272/K272-0.0005,0))</f>
        <v/>
      </c>
      <c r="M272" s="13">
        <f>L272*I272</f>
        <v/>
      </c>
      <c r="N272" s="8">
        <f>L272*ROUNDUP(I272/GiaDinh!$C$5-0.0005,0)</f>
        <v/>
      </c>
      <c r="O272" s="8">
        <f>L272*(ROUNDUP(I272/GiaDinh!$C$5-0.0005,0)-1)</f>
        <v/>
      </c>
      <c r="P272" s="8">
        <f>L272*J272</f>
        <v/>
      </c>
      <c r="Q272" s="8">
        <f>2*P272</f>
        <v/>
      </c>
      <c r="R272" s="8">
        <f>P272</f>
        <v/>
      </c>
      <c r="S272" s="14">
        <f>M272*GiaDinh!$C$7</f>
        <v/>
      </c>
    </row>
    <row r="273">
      <c r="A273" s="8" t="inlineStr">
        <is>
          <t>BÈ 4</t>
        </is>
      </c>
      <c r="B273" s="8" t="inlineStr">
        <is>
          <t>B4-79</t>
        </is>
      </c>
      <c r="C273" s="8" t="inlineStr">
        <is>
          <t>Vuông góc cạnh (hộp chạy từ mép vào trong, cùng phương lực dây)</t>
        </is>
      </c>
      <c r="D273" s="8" t="inlineStr">
        <is>
          <t>B4-D54a</t>
        </is>
      </c>
      <c r="E273" s="8" t="n">
        <v>1</v>
      </c>
      <c r="F273" s="8" t="n">
        <v>93.40000000000001</v>
      </c>
      <c r="G273" s="13">
        <f>E273*F273*GiaDinh!$C$18*GiaDinh!$C$17</f>
        <v/>
      </c>
      <c r="H273" s="8">
        <f>GiaDinh!$C$21</f>
        <v/>
      </c>
      <c r="I273" s="8">
        <f>GiaDinh!$C$15</f>
        <v/>
      </c>
      <c r="J273" s="8">
        <f>ROUNDDOWN(I273/H273,0)+1</f>
        <v/>
      </c>
      <c r="K273" s="13">
        <f>J273*GiaDinh!$C$16</f>
        <v/>
      </c>
      <c r="L273" s="8">
        <f>MAX(1,ROUNDUP(G273/K273-0.0005,0))</f>
        <v/>
      </c>
      <c r="M273" s="13">
        <f>L273*I273</f>
        <v/>
      </c>
      <c r="N273" s="8">
        <f>L273*ROUNDUP(I273/GiaDinh!$C$5-0.0005,0)</f>
        <v/>
      </c>
      <c r="O273" s="8">
        <f>L273*(ROUNDUP(I273/GiaDinh!$C$5-0.0005,0)-1)</f>
        <v/>
      </c>
      <c r="P273" s="8">
        <f>L273*J273</f>
        <v/>
      </c>
      <c r="Q273" s="8">
        <f>2*P273</f>
        <v/>
      </c>
      <c r="R273" s="8">
        <f>P273</f>
        <v/>
      </c>
      <c r="S273" s="14">
        <f>M273*GiaDinh!$C$7</f>
        <v/>
      </c>
    </row>
    <row r="274">
      <c r="A274" s="8" t="inlineStr">
        <is>
          <t>BÈ 4</t>
        </is>
      </c>
      <c r="B274" s="8" t="inlineStr">
        <is>
          <t>B4-80</t>
        </is>
      </c>
      <c r="C274" s="8" t="inlineStr">
        <is>
          <t>Vuông góc cạnh (hộp chạy từ mép vào trong, cùng phương lực dây)</t>
        </is>
      </c>
      <c r="D274" s="8" t="inlineStr">
        <is>
          <t>B4-D54b</t>
        </is>
      </c>
      <c r="E274" s="8" t="n">
        <v>1</v>
      </c>
      <c r="F274" s="8" t="n">
        <v>93.40000000000001</v>
      </c>
      <c r="G274" s="13">
        <f>E274*F274*GiaDinh!$C$18*GiaDinh!$C$17</f>
        <v/>
      </c>
      <c r="H274" s="8">
        <f>GiaDinh!$C$21</f>
        <v/>
      </c>
      <c r="I274" s="8">
        <f>GiaDinh!$C$15</f>
        <v/>
      </c>
      <c r="J274" s="8">
        <f>ROUNDDOWN(I274/H274,0)+1</f>
        <v/>
      </c>
      <c r="K274" s="13">
        <f>J274*GiaDinh!$C$16</f>
        <v/>
      </c>
      <c r="L274" s="8">
        <f>MAX(1,ROUNDUP(G274/K274-0.0005,0))</f>
        <v/>
      </c>
      <c r="M274" s="13">
        <f>L274*I274</f>
        <v/>
      </c>
      <c r="N274" s="8">
        <f>L274*ROUNDUP(I274/GiaDinh!$C$5-0.0005,0)</f>
        <v/>
      </c>
      <c r="O274" s="8">
        <f>L274*(ROUNDUP(I274/GiaDinh!$C$5-0.0005,0)-1)</f>
        <v/>
      </c>
      <c r="P274" s="8">
        <f>L274*J274</f>
        <v/>
      </c>
      <c r="Q274" s="8">
        <f>2*P274</f>
        <v/>
      </c>
      <c r="R274" s="8">
        <f>P274</f>
        <v/>
      </c>
      <c r="S274" s="14">
        <f>M274*GiaDinh!$C$7</f>
        <v/>
      </c>
    </row>
    <row r="275">
      <c r="A275" s="8" t="inlineStr">
        <is>
          <t>BÈ 4</t>
        </is>
      </c>
      <c r="B275" s="8" t="inlineStr">
        <is>
          <t>B4-81</t>
        </is>
      </c>
      <c r="C275" s="8" t="inlineStr">
        <is>
          <t>Vuông góc cạnh (hộp chạy từ mép vào trong, cùng phương lực dây)</t>
        </is>
      </c>
      <c r="D275" s="8" t="inlineStr">
        <is>
          <t>B4-D55a</t>
        </is>
      </c>
      <c r="E275" s="8" t="n">
        <v>1</v>
      </c>
      <c r="F275" s="8" t="n">
        <v>93.40000000000001</v>
      </c>
      <c r="G275" s="13">
        <f>E275*F275*GiaDinh!$C$18*GiaDinh!$C$17</f>
        <v/>
      </c>
      <c r="H275" s="8">
        <f>GiaDinh!$C$21</f>
        <v/>
      </c>
      <c r="I275" s="8">
        <f>GiaDinh!$C$15</f>
        <v/>
      </c>
      <c r="J275" s="8">
        <f>ROUNDDOWN(I275/H275,0)+1</f>
        <v/>
      </c>
      <c r="K275" s="13">
        <f>J275*GiaDinh!$C$16</f>
        <v/>
      </c>
      <c r="L275" s="8">
        <f>MAX(1,ROUNDUP(G275/K275-0.0005,0))</f>
        <v/>
      </c>
      <c r="M275" s="13">
        <f>L275*I275</f>
        <v/>
      </c>
      <c r="N275" s="8">
        <f>L275*ROUNDUP(I275/GiaDinh!$C$5-0.0005,0)</f>
        <v/>
      </c>
      <c r="O275" s="8">
        <f>L275*(ROUNDUP(I275/GiaDinh!$C$5-0.0005,0)-1)</f>
        <v/>
      </c>
      <c r="P275" s="8">
        <f>L275*J275</f>
        <v/>
      </c>
      <c r="Q275" s="8">
        <f>2*P275</f>
        <v/>
      </c>
      <c r="R275" s="8">
        <f>P275</f>
        <v/>
      </c>
      <c r="S275" s="14">
        <f>M275*GiaDinh!$C$7</f>
        <v/>
      </c>
    </row>
    <row r="276">
      <c r="A276" s="8" t="inlineStr">
        <is>
          <t>BÈ 4</t>
        </is>
      </c>
      <c r="B276" s="8" t="inlineStr">
        <is>
          <t>B4-82</t>
        </is>
      </c>
      <c r="C276" s="8" t="inlineStr">
        <is>
          <t>Vuông góc cạnh (hộp chạy từ mép vào trong, cùng phương lực dây)</t>
        </is>
      </c>
      <c r="D276" s="8" t="inlineStr">
        <is>
          <t>B4-D55b</t>
        </is>
      </c>
      <c r="E276" s="8" t="n">
        <v>1</v>
      </c>
      <c r="F276" s="8" t="n">
        <v>93.40000000000001</v>
      </c>
      <c r="G276" s="13">
        <f>E276*F276*GiaDinh!$C$18*GiaDinh!$C$17</f>
        <v/>
      </c>
      <c r="H276" s="8">
        <f>GiaDinh!$C$21</f>
        <v/>
      </c>
      <c r="I276" s="8">
        <f>GiaDinh!$C$15</f>
        <v/>
      </c>
      <c r="J276" s="8">
        <f>ROUNDDOWN(I276/H276,0)+1</f>
        <v/>
      </c>
      <c r="K276" s="13">
        <f>J276*GiaDinh!$C$16</f>
        <v/>
      </c>
      <c r="L276" s="8">
        <f>MAX(1,ROUNDUP(G276/K276-0.0005,0))</f>
        <v/>
      </c>
      <c r="M276" s="13">
        <f>L276*I276</f>
        <v/>
      </c>
      <c r="N276" s="8">
        <f>L276*ROUNDUP(I276/GiaDinh!$C$5-0.0005,0)</f>
        <v/>
      </c>
      <c r="O276" s="8">
        <f>L276*(ROUNDUP(I276/GiaDinh!$C$5-0.0005,0)-1)</f>
        <v/>
      </c>
      <c r="P276" s="8">
        <f>L276*J276</f>
        <v/>
      </c>
      <c r="Q276" s="8">
        <f>2*P276</f>
        <v/>
      </c>
      <c r="R276" s="8">
        <f>P276</f>
        <v/>
      </c>
      <c r="S276" s="14">
        <f>M276*GiaDinh!$C$7</f>
        <v/>
      </c>
    </row>
    <row r="277">
      <c r="A277" s="8" t="inlineStr">
        <is>
          <t>BÈ 4</t>
        </is>
      </c>
      <c r="B277" s="8" t="inlineStr">
        <is>
          <t>B4-83</t>
        </is>
      </c>
      <c r="C277" s="8" t="inlineStr">
        <is>
          <t>Vuông góc cạnh (hộp chạy từ mép vào trong, cùng phương lực dây)</t>
        </is>
      </c>
      <c r="D277" s="8" t="inlineStr">
        <is>
          <t>B4-D56a</t>
        </is>
      </c>
      <c r="E277" s="8" t="n">
        <v>1</v>
      </c>
      <c r="F277" s="8" t="n">
        <v>93.40000000000001</v>
      </c>
      <c r="G277" s="13">
        <f>E277*F277*GiaDinh!$C$18*GiaDinh!$C$17</f>
        <v/>
      </c>
      <c r="H277" s="8">
        <f>GiaDinh!$C$21</f>
        <v/>
      </c>
      <c r="I277" s="8">
        <f>GiaDinh!$C$15</f>
        <v/>
      </c>
      <c r="J277" s="8">
        <f>ROUNDDOWN(I277/H277,0)+1</f>
        <v/>
      </c>
      <c r="K277" s="13">
        <f>J277*GiaDinh!$C$16</f>
        <v/>
      </c>
      <c r="L277" s="8">
        <f>MAX(1,ROUNDUP(G277/K277-0.0005,0))</f>
        <v/>
      </c>
      <c r="M277" s="13">
        <f>L277*I277</f>
        <v/>
      </c>
      <c r="N277" s="8">
        <f>L277*ROUNDUP(I277/GiaDinh!$C$5-0.0005,0)</f>
        <v/>
      </c>
      <c r="O277" s="8">
        <f>L277*(ROUNDUP(I277/GiaDinh!$C$5-0.0005,0)-1)</f>
        <v/>
      </c>
      <c r="P277" s="8">
        <f>L277*J277</f>
        <v/>
      </c>
      <c r="Q277" s="8">
        <f>2*P277</f>
        <v/>
      </c>
      <c r="R277" s="8">
        <f>P277</f>
        <v/>
      </c>
      <c r="S277" s="14">
        <f>M277*GiaDinh!$C$7</f>
        <v/>
      </c>
    </row>
    <row r="278">
      <c r="A278" s="8" t="inlineStr">
        <is>
          <t>BÈ 4</t>
        </is>
      </c>
      <c r="B278" s="8" t="inlineStr">
        <is>
          <t>B4-84</t>
        </is>
      </c>
      <c r="C278" s="8" t="inlineStr">
        <is>
          <t>Vuông góc cạnh (hộp chạy từ mép vào trong, cùng phương lực dây)</t>
        </is>
      </c>
      <c r="D278" s="8" t="inlineStr">
        <is>
          <t>B4-D56b</t>
        </is>
      </c>
      <c r="E278" s="8" t="n">
        <v>1</v>
      </c>
      <c r="F278" s="8" t="n">
        <v>93.40000000000001</v>
      </c>
      <c r="G278" s="13">
        <f>E278*F278*GiaDinh!$C$18*GiaDinh!$C$17</f>
        <v/>
      </c>
      <c r="H278" s="8">
        <f>GiaDinh!$C$21</f>
        <v/>
      </c>
      <c r="I278" s="8">
        <f>GiaDinh!$C$15</f>
        <v/>
      </c>
      <c r="J278" s="8">
        <f>ROUNDDOWN(I278/H278,0)+1</f>
        <v/>
      </c>
      <c r="K278" s="13">
        <f>J278*GiaDinh!$C$16</f>
        <v/>
      </c>
      <c r="L278" s="8">
        <f>MAX(1,ROUNDUP(G278/K278-0.0005,0))</f>
        <v/>
      </c>
      <c r="M278" s="13">
        <f>L278*I278</f>
        <v/>
      </c>
      <c r="N278" s="8">
        <f>L278*ROUNDUP(I278/GiaDinh!$C$5-0.0005,0)</f>
        <v/>
      </c>
      <c r="O278" s="8">
        <f>L278*(ROUNDUP(I278/GiaDinh!$C$5-0.0005,0)-1)</f>
        <v/>
      </c>
      <c r="P278" s="8">
        <f>L278*J278</f>
        <v/>
      </c>
      <c r="Q278" s="8">
        <f>2*P278</f>
        <v/>
      </c>
      <c r="R278" s="8">
        <f>P278</f>
        <v/>
      </c>
      <c r="S278" s="14">
        <f>M278*GiaDinh!$C$7</f>
        <v/>
      </c>
    </row>
    <row r="279">
      <c r="A279" s="8" t="inlineStr">
        <is>
          <t>BÈ 4</t>
        </is>
      </c>
      <c r="B279" s="8" t="inlineStr">
        <is>
          <t>B4-85</t>
        </is>
      </c>
      <c r="C279" s="8" t="inlineStr">
        <is>
          <t>Vuông góc cạnh (hộp chạy từ mép vào trong, cùng phương lực dây)</t>
        </is>
      </c>
      <c r="D279" s="8" t="inlineStr">
        <is>
          <t>B4-D57a</t>
        </is>
      </c>
      <c r="E279" s="8" t="n">
        <v>1</v>
      </c>
      <c r="F279" s="8" t="n">
        <v>93.40000000000001</v>
      </c>
      <c r="G279" s="13">
        <f>E279*F279*GiaDinh!$C$18*GiaDinh!$C$17</f>
        <v/>
      </c>
      <c r="H279" s="8">
        <f>GiaDinh!$C$21</f>
        <v/>
      </c>
      <c r="I279" s="8">
        <f>GiaDinh!$C$15</f>
        <v/>
      </c>
      <c r="J279" s="8">
        <f>ROUNDDOWN(I279/H279,0)+1</f>
        <v/>
      </c>
      <c r="K279" s="13">
        <f>J279*GiaDinh!$C$16</f>
        <v/>
      </c>
      <c r="L279" s="8">
        <f>MAX(1,ROUNDUP(G279/K279-0.0005,0))</f>
        <v/>
      </c>
      <c r="M279" s="13">
        <f>L279*I279</f>
        <v/>
      </c>
      <c r="N279" s="8">
        <f>L279*ROUNDUP(I279/GiaDinh!$C$5-0.0005,0)</f>
        <v/>
      </c>
      <c r="O279" s="8">
        <f>L279*(ROUNDUP(I279/GiaDinh!$C$5-0.0005,0)-1)</f>
        <v/>
      </c>
      <c r="P279" s="8">
        <f>L279*J279</f>
        <v/>
      </c>
      <c r="Q279" s="8">
        <f>2*P279</f>
        <v/>
      </c>
      <c r="R279" s="8">
        <f>P279</f>
        <v/>
      </c>
      <c r="S279" s="14">
        <f>M279*GiaDinh!$C$7</f>
        <v/>
      </c>
    </row>
    <row r="280">
      <c r="A280" s="8" t="inlineStr">
        <is>
          <t>BÈ 4</t>
        </is>
      </c>
      <c r="B280" s="8" t="inlineStr">
        <is>
          <t>B4-86</t>
        </is>
      </c>
      <c r="C280" s="8" t="inlineStr">
        <is>
          <t>Vuông góc cạnh (hộp chạy từ mép vào trong, cùng phương lực dây)</t>
        </is>
      </c>
      <c r="D280" s="8" t="inlineStr">
        <is>
          <t>B4-D57b</t>
        </is>
      </c>
      <c r="E280" s="8" t="n">
        <v>1</v>
      </c>
      <c r="F280" s="8" t="n">
        <v>93.40000000000001</v>
      </c>
      <c r="G280" s="13">
        <f>E280*F280*GiaDinh!$C$18*GiaDinh!$C$17</f>
        <v/>
      </c>
      <c r="H280" s="8">
        <f>GiaDinh!$C$21</f>
        <v/>
      </c>
      <c r="I280" s="8">
        <f>GiaDinh!$C$15</f>
        <v/>
      </c>
      <c r="J280" s="8">
        <f>ROUNDDOWN(I280/H280,0)+1</f>
        <v/>
      </c>
      <c r="K280" s="13">
        <f>J280*GiaDinh!$C$16</f>
        <v/>
      </c>
      <c r="L280" s="8">
        <f>MAX(1,ROUNDUP(G280/K280-0.0005,0))</f>
        <v/>
      </c>
      <c r="M280" s="13">
        <f>L280*I280</f>
        <v/>
      </c>
      <c r="N280" s="8">
        <f>L280*ROUNDUP(I280/GiaDinh!$C$5-0.0005,0)</f>
        <v/>
      </c>
      <c r="O280" s="8">
        <f>L280*(ROUNDUP(I280/GiaDinh!$C$5-0.0005,0)-1)</f>
        <v/>
      </c>
      <c r="P280" s="8">
        <f>L280*J280</f>
        <v/>
      </c>
      <c r="Q280" s="8">
        <f>2*P280</f>
        <v/>
      </c>
      <c r="R280" s="8">
        <f>P280</f>
        <v/>
      </c>
      <c r="S280" s="14">
        <f>M280*GiaDinh!$C$7</f>
        <v/>
      </c>
    </row>
    <row r="281">
      <c r="A281" s="8" t="inlineStr">
        <is>
          <t>BÈ 4</t>
        </is>
      </c>
      <c r="B281" s="8" t="inlineStr">
        <is>
          <t>B4-87</t>
        </is>
      </c>
      <c r="C281" s="8" t="inlineStr">
        <is>
          <t>Vuông góc cạnh (hộp chạy từ mép vào trong, cùng phương lực dây)</t>
        </is>
      </c>
      <c r="D281" s="8" t="inlineStr">
        <is>
          <t>B4-D58a</t>
        </is>
      </c>
      <c r="E281" s="8" t="n">
        <v>1</v>
      </c>
      <c r="F281" s="8" t="n">
        <v>93.40000000000001</v>
      </c>
      <c r="G281" s="13">
        <f>E281*F281*GiaDinh!$C$18*GiaDinh!$C$17</f>
        <v/>
      </c>
      <c r="H281" s="8">
        <f>GiaDinh!$C$21</f>
        <v/>
      </c>
      <c r="I281" s="8">
        <f>GiaDinh!$C$15</f>
        <v/>
      </c>
      <c r="J281" s="8">
        <f>ROUNDDOWN(I281/H281,0)+1</f>
        <v/>
      </c>
      <c r="K281" s="13">
        <f>J281*GiaDinh!$C$16</f>
        <v/>
      </c>
      <c r="L281" s="8">
        <f>MAX(1,ROUNDUP(G281/K281-0.0005,0))</f>
        <v/>
      </c>
      <c r="M281" s="13">
        <f>L281*I281</f>
        <v/>
      </c>
      <c r="N281" s="8">
        <f>L281*ROUNDUP(I281/GiaDinh!$C$5-0.0005,0)</f>
        <v/>
      </c>
      <c r="O281" s="8">
        <f>L281*(ROUNDUP(I281/GiaDinh!$C$5-0.0005,0)-1)</f>
        <v/>
      </c>
      <c r="P281" s="8">
        <f>L281*J281</f>
        <v/>
      </c>
      <c r="Q281" s="8">
        <f>2*P281</f>
        <v/>
      </c>
      <c r="R281" s="8">
        <f>P281</f>
        <v/>
      </c>
      <c r="S281" s="14">
        <f>M281*GiaDinh!$C$7</f>
        <v/>
      </c>
    </row>
    <row r="282">
      <c r="A282" s="8" t="inlineStr">
        <is>
          <t>BÈ 4</t>
        </is>
      </c>
      <c r="B282" s="8" t="inlineStr">
        <is>
          <t>B4-88</t>
        </is>
      </c>
      <c r="C282" s="8" t="inlineStr">
        <is>
          <t>Vuông góc cạnh (hộp chạy từ mép vào trong, cùng phương lực dây)</t>
        </is>
      </c>
      <c r="D282" s="8" t="inlineStr">
        <is>
          <t>B4-D58b</t>
        </is>
      </c>
      <c r="E282" s="8" t="n">
        <v>1</v>
      </c>
      <c r="F282" s="8" t="n">
        <v>93.40000000000001</v>
      </c>
      <c r="G282" s="13">
        <f>E282*F282*GiaDinh!$C$18*GiaDinh!$C$17</f>
        <v/>
      </c>
      <c r="H282" s="8">
        <f>GiaDinh!$C$21</f>
        <v/>
      </c>
      <c r="I282" s="8">
        <f>GiaDinh!$C$15</f>
        <v/>
      </c>
      <c r="J282" s="8">
        <f>ROUNDDOWN(I282/H282,0)+1</f>
        <v/>
      </c>
      <c r="K282" s="13">
        <f>J282*GiaDinh!$C$16</f>
        <v/>
      </c>
      <c r="L282" s="8">
        <f>MAX(1,ROUNDUP(G282/K282-0.0005,0))</f>
        <v/>
      </c>
      <c r="M282" s="13">
        <f>L282*I282</f>
        <v/>
      </c>
      <c r="N282" s="8">
        <f>L282*ROUNDUP(I282/GiaDinh!$C$5-0.0005,0)</f>
        <v/>
      </c>
      <c r="O282" s="8">
        <f>L282*(ROUNDUP(I282/GiaDinh!$C$5-0.0005,0)-1)</f>
        <v/>
      </c>
      <c r="P282" s="8">
        <f>L282*J282</f>
        <v/>
      </c>
      <c r="Q282" s="8">
        <f>2*P282</f>
        <v/>
      </c>
      <c r="R282" s="8">
        <f>P282</f>
        <v/>
      </c>
      <c r="S282" s="14">
        <f>M282*GiaDinh!$C$7</f>
        <v/>
      </c>
    </row>
    <row r="283">
      <c r="A283" s="8" t="inlineStr">
        <is>
          <t>BÈ 4</t>
        </is>
      </c>
      <c r="B283" s="8" t="inlineStr">
        <is>
          <t>B4-89</t>
        </is>
      </c>
      <c r="C283" s="8" t="inlineStr">
        <is>
          <t>Vuông góc cạnh (hộp chạy từ mép vào trong, cùng phương lực dây)</t>
        </is>
      </c>
      <c r="D283" s="8" t="inlineStr">
        <is>
          <t>B4-D59a</t>
        </is>
      </c>
      <c r="E283" s="8" t="n">
        <v>1</v>
      </c>
      <c r="F283" s="8" t="n">
        <v>93.40000000000001</v>
      </c>
      <c r="G283" s="13">
        <f>E283*F283*GiaDinh!$C$18*GiaDinh!$C$17</f>
        <v/>
      </c>
      <c r="H283" s="8">
        <f>GiaDinh!$C$21</f>
        <v/>
      </c>
      <c r="I283" s="8">
        <f>GiaDinh!$C$15</f>
        <v/>
      </c>
      <c r="J283" s="8">
        <f>ROUNDDOWN(I283/H283,0)+1</f>
        <v/>
      </c>
      <c r="K283" s="13">
        <f>J283*GiaDinh!$C$16</f>
        <v/>
      </c>
      <c r="L283" s="8">
        <f>MAX(1,ROUNDUP(G283/K283-0.0005,0))</f>
        <v/>
      </c>
      <c r="M283" s="13">
        <f>L283*I283</f>
        <v/>
      </c>
      <c r="N283" s="8">
        <f>L283*ROUNDUP(I283/GiaDinh!$C$5-0.0005,0)</f>
        <v/>
      </c>
      <c r="O283" s="8">
        <f>L283*(ROUNDUP(I283/GiaDinh!$C$5-0.0005,0)-1)</f>
        <v/>
      </c>
      <c r="P283" s="8">
        <f>L283*J283</f>
        <v/>
      </c>
      <c r="Q283" s="8">
        <f>2*P283</f>
        <v/>
      </c>
      <c r="R283" s="8">
        <f>P283</f>
        <v/>
      </c>
      <c r="S283" s="14">
        <f>M283*GiaDinh!$C$7</f>
        <v/>
      </c>
    </row>
    <row r="284">
      <c r="A284" s="8" t="inlineStr">
        <is>
          <t>BÈ 4</t>
        </is>
      </c>
      <c r="B284" s="8" t="inlineStr">
        <is>
          <t>B4-90</t>
        </is>
      </c>
      <c r="C284" s="8" t="inlineStr">
        <is>
          <t>Vuông góc cạnh (hộp chạy từ mép vào trong, cùng phương lực dây)</t>
        </is>
      </c>
      <c r="D284" s="8" t="inlineStr">
        <is>
          <t>B4-D59b</t>
        </is>
      </c>
      <c r="E284" s="8" t="n">
        <v>1</v>
      </c>
      <c r="F284" s="8" t="n">
        <v>93.40000000000001</v>
      </c>
      <c r="G284" s="13">
        <f>E284*F284*GiaDinh!$C$18*GiaDinh!$C$17</f>
        <v/>
      </c>
      <c r="H284" s="8">
        <f>GiaDinh!$C$21</f>
        <v/>
      </c>
      <c r="I284" s="8">
        <f>GiaDinh!$C$15</f>
        <v/>
      </c>
      <c r="J284" s="8">
        <f>ROUNDDOWN(I284/H284,0)+1</f>
        <v/>
      </c>
      <c r="K284" s="13">
        <f>J284*GiaDinh!$C$16</f>
        <v/>
      </c>
      <c r="L284" s="8">
        <f>MAX(1,ROUNDUP(G284/K284-0.0005,0))</f>
        <v/>
      </c>
      <c r="M284" s="13">
        <f>L284*I284</f>
        <v/>
      </c>
      <c r="N284" s="8">
        <f>L284*ROUNDUP(I284/GiaDinh!$C$5-0.0005,0)</f>
        <v/>
      </c>
      <c r="O284" s="8">
        <f>L284*(ROUNDUP(I284/GiaDinh!$C$5-0.0005,0)-1)</f>
        <v/>
      </c>
      <c r="P284" s="8">
        <f>L284*J284</f>
        <v/>
      </c>
      <c r="Q284" s="8">
        <f>2*P284</f>
        <v/>
      </c>
      <c r="R284" s="8">
        <f>P284</f>
        <v/>
      </c>
      <c r="S284" s="14">
        <f>M284*GiaDinh!$C$7</f>
        <v/>
      </c>
    </row>
    <row r="285">
      <c r="A285" s="8" t="inlineStr">
        <is>
          <t>BÈ 4</t>
        </is>
      </c>
      <c r="B285" s="8" t="inlineStr">
        <is>
          <t>B4-91</t>
        </is>
      </c>
      <c r="C285" s="8" t="inlineStr">
        <is>
          <t>Vuông góc cạnh (hộp chạy từ mép vào trong, cùng phương lực dây)</t>
        </is>
      </c>
      <c r="D285" s="8" t="inlineStr">
        <is>
          <t>B4-D60a</t>
        </is>
      </c>
      <c r="E285" s="8" t="n">
        <v>1</v>
      </c>
      <c r="F285" s="8" t="n">
        <v>93.40000000000001</v>
      </c>
      <c r="G285" s="13">
        <f>E285*F285*GiaDinh!$C$18*GiaDinh!$C$17</f>
        <v/>
      </c>
      <c r="H285" s="8">
        <f>GiaDinh!$C$21</f>
        <v/>
      </c>
      <c r="I285" s="8">
        <f>GiaDinh!$C$15</f>
        <v/>
      </c>
      <c r="J285" s="8">
        <f>ROUNDDOWN(I285/H285,0)+1</f>
        <v/>
      </c>
      <c r="K285" s="13">
        <f>J285*GiaDinh!$C$16</f>
        <v/>
      </c>
      <c r="L285" s="8">
        <f>MAX(1,ROUNDUP(G285/K285-0.0005,0))</f>
        <v/>
      </c>
      <c r="M285" s="13">
        <f>L285*I285</f>
        <v/>
      </c>
      <c r="N285" s="8">
        <f>L285*ROUNDUP(I285/GiaDinh!$C$5-0.0005,0)</f>
        <v/>
      </c>
      <c r="O285" s="8">
        <f>L285*(ROUNDUP(I285/GiaDinh!$C$5-0.0005,0)-1)</f>
        <v/>
      </c>
      <c r="P285" s="8">
        <f>L285*J285</f>
        <v/>
      </c>
      <c r="Q285" s="8">
        <f>2*P285</f>
        <v/>
      </c>
      <c r="R285" s="8">
        <f>P285</f>
        <v/>
      </c>
      <c r="S285" s="14">
        <f>M285*GiaDinh!$C$7</f>
        <v/>
      </c>
    </row>
    <row r="286">
      <c r="A286" s="8" t="inlineStr">
        <is>
          <t>BÈ 4</t>
        </is>
      </c>
      <c r="B286" s="8" t="inlineStr">
        <is>
          <t>B4-92</t>
        </is>
      </c>
      <c r="C286" s="8" t="inlineStr">
        <is>
          <t>Vuông góc cạnh (hộp chạy từ mép vào trong, cùng phương lực dây)</t>
        </is>
      </c>
      <c r="D286" s="8" t="inlineStr">
        <is>
          <t>B4-D60b</t>
        </is>
      </c>
      <c r="E286" s="8" t="n">
        <v>1</v>
      </c>
      <c r="F286" s="8" t="n">
        <v>93.40000000000001</v>
      </c>
      <c r="G286" s="13">
        <f>E286*F286*GiaDinh!$C$18*GiaDinh!$C$17</f>
        <v/>
      </c>
      <c r="H286" s="8">
        <f>GiaDinh!$C$21</f>
        <v/>
      </c>
      <c r="I286" s="8">
        <f>GiaDinh!$C$15</f>
        <v/>
      </c>
      <c r="J286" s="8">
        <f>ROUNDDOWN(I286/H286,0)+1</f>
        <v/>
      </c>
      <c r="K286" s="13">
        <f>J286*GiaDinh!$C$16</f>
        <v/>
      </c>
      <c r="L286" s="8">
        <f>MAX(1,ROUNDUP(G286/K286-0.0005,0))</f>
        <v/>
      </c>
      <c r="M286" s="13">
        <f>L286*I286</f>
        <v/>
      </c>
      <c r="N286" s="8">
        <f>L286*ROUNDUP(I286/GiaDinh!$C$5-0.0005,0)</f>
        <v/>
      </c>
      <c r="O286" s="8">
        <f>L286*(ROUNDUP(I286/GiaDinh!$C$5-0.0005,0)-1)</f>
        <v/>
      </c>
      <c r="P286" s="8">
        <f>L286*J286</f>
        <v/>
      </c>
      <c r="Q286" s="8">
        <f>2*P286</f>
        <v/>
      </c>
      <c r="R286" s="8">
        <f>P286</f>
        <v/>
      </c>
      <c r="S286" s="14">
        <f>M286*GiaDinh!$C$7</f>
        <v/>
      </c>
    </row>
    <row r="287">
      <c r="A287" s="8" t="inlineStr">
        <is>
          <t>BÈ 4</t>
        </is>
      </c>
      <c r="B287" s="8" t="inlineStr">
        <is>
          <t>B4-93</t>
        </is>
      </c>
      <c r="C287" s="8" t="inlineStr">
        <is>
          <t>Vuông góc cạnh (hộp chạy từ mép vào trong, cùng phương lực dây)</t>
        </is>
      </c>
      <c r="D287" s="8" t="inlineStr">
        <is>
          <t>B4-D61a</t>
        </is>
      </c>
      <c r="E287" s="8" t="n">
        <v>1</v>
      </c>
      <c r="F287" s="8" t="n">
        <v>93.40000000000001</v>
      </c>
      <c r="G287" s="13">
        <f>E287*F287*GiaDinh!$C$18*GiaDinh!$C$17</f>
        <v/>
      </c>
      <c r="H287" s="8">
        <f>GiaDinh!$C$21</f>
        <v/>
      </c>
      <c r="I287" s="8">
        <f>GiaDinh!$C$15</f>
        <v/>
      </c>
      <c r="J287" s="8">
        <f>ROUNDDOWN(I287/H287,0)+1</f>
        <v/>
      </c>
      <c r="K287" s="13">
        <f>J287*GiaDinh!$C$16</f>
        <v/>
      </c>
      <c r="L287" s="8">
        <f>MAX(1,ROUNDUP(G287/K287-0.0005,0))</f>
        <v/>
      </c>
      <c r="M287" s="13">
        <f>L287*I287</f>
        <v/>
      </c>
      <c r="N287" s="8">
        <f>L287*ROUNDUP(I287/GiaDinh!$C$5-0.0005,0)</f>
        <v/>
      </c>
      <c r="O287" s="8">
        <f>L287*(ROUNDUP(I287/GiaDinh!$C$5-0.0005,0)-1)</f>
        <v/>
      </c>
      <c r="P287" s="8">
        <f>L287*J287</f>
        <v/>
      </c>
      <c r="Q287" s="8">
        <f>2*P287</f>
        <v/>
      </c>
      <c r="R287" s="8">
        <f>P287</f>
        <v/>
      </c>
      <c r="S287" s="14">
        <f>M287*GiaDinh!$C$7</f>
        <v/>
      </c>
    </row>
    <row r="288">
      <c r="A288" s="8" t="inlineStr">
        <is>
          <t>BÈ 4</t>
        </is>
      </c>
      <c r="B288" s="8" t="inlineStr">
        <is>
          <t>B4-94</t>
        </is>
      </c>
      <c r="C288" s="8" t="inlineStr">
        <is>
          <t>Vuông góc cạnh (hộp chạy từ mép vào trong, cùng phương lực dây)</t>
        </is>
      </c>
      <c r="D288" s="8" t="inlineStr">
        <is>
          <t>B4-D61b</t>
        </is>
      </c>
      <c r="E288" s="8" t="n">
        <v>1</v>
      </c>
      <c r="F288" s="8" t="n">
        <v>93.40000000000001</v>
      </c>
      <c r="G288" s="13">
        <f>E288*F288*GiaDinh!$C$18*GiaDinh!$C$17</f>
        <v/>
      </c>
      <c r="H288" s="8">
        <f>GiaDinh!$C$21</f>
        <v/>
      </c>
      <c r="I288" s="8">
        <f>GiaDinh!$C$15</f>
        <v/>
      </c>
      <c r="J288" s="8">
        <f>ROUNDDOWN(I288/H288,0)+1</f>
        <v/>
      </c>
      <c r="K288" s="13">
        <f>J288*GiaDinh!$C$16</f>
        <v/>
      </c>
      <c r="L288" s="8">
        <f>MAX(1,ROUNDUP(G288/K288-0.0005,0))</f>
        <v/>
      </c>
      <c r="M288" s="13">
        <f>L288*I288</f>
        <v/>
      </c>
      <c r="N288" s="8">
        <f>L288*ROUNDUP(I288/GiaDinh!$C$5-0.0005,0)</f>
        <v/>
      </c>
      <c r="O288" s="8">
        <f>L288*(ROUNDUP(I288/GiaDinh!$C$5-0.0005,0)-1)</f>
        <v/>
      </c>
      <c r="P288" s="8">
        <f>L288*J288</f>
        <v/>
      </c>
      <c r="Q288" s="8">
        <f>2*P288</f>
        <v/>
      </c>
      <c r="R288" s="8">
        <f>P288</f>
        <v/>
      </c>
      <c r="S288" s="14">
        <f>M288*GiaDinh!$C$7</f>
        <v/>
      </c>
    </row>
    <row r="289">
      <c r="A289" s="8" t="inlineStr">
        <is>
          <t>BÈ 4</t>
        </is>
      </c>
      <c r="B289" s="8" t="inlineStr">
        <is>
          <t>B4-95</t>
        </is>
      </c>
      <c r="C289" s="8" t="inlineStr">
        <is>
          <t>Vuông góc cạnh (hộp chạy từ mép vào trong, cùng phương lực dây)</t>
        </is>
      </c>
      <c r="D289" s="8" t="inlineStr">
        <is>
          <t>B4-D62a</t>
        </is>
      </c>
      <c r="E289" s="8" t="n">
        <v>1</v>
      </c>
      <c r="F289" s="8" t="n">
        <v>93.40000000000001</v>
      </c>
      <c r="G289" s="13">
        <f>E289*F289*GiaDinh!$C$18*GiaDinh!$C$17</f>
        <v/>
      </c>
      <c r="H289" s="8">
        <f>GiaDinh!$C$21</f>
        <v/>
      </c>
      <c r="I289" s="8">
        <f>GiaDinh!$C$15</f>
        <v/>
      </c>
      <c r="J289" s="8">
        <f>ROUNDDOWN(I289/H289,0)+1</f>
        <v/>
      </c>
      <c r="K289" s="13">
        <f>J289*GiaDinh!$C$16</f>
        <v/>
      </c>
      <c r="L289" s="8">
        <f>MAX(1,ROUNDUP(G289/K289-0.0005,0))</f>
        <v/>
      </c>
      <c r="M289" s="13">
        <f>L289*I289</f>
        <v/>
      </c>
      <c r="N289" s="8">
        <f>L289*ROUNDUP(I289/GiaDinh!$C$5-0.0005,0)</f>
        <v/>
      </c>
      <c r="O289" s="8">
        <f>L289*(ROUNDUP(I289/GiaDinh!$C$5-0.0005,0)-1)</f>
        <v/>
      </c>
      <c r="P289" s="8">
        <f>L289*J289</f>
        <v/>
      </c>
      <c r="Q289" s="8">
        <f>2*P289</f>
        <v/>
      </c>
      <c r="R289" s="8">
        <f>P289</f>
        <v/>
      </c>
      <c r="S289" s="14">
        <f>M289*GiaDinh!$C$7</f>
        <v/>
      </c>
    </row>
    <row r="290">
      <c r="A290" s="8" t="inlineStr">
        <is>
          <t>BÈ 4</t>
        </is>
      </c>
      <c r="B290" s="8" t="inlineStr">
        <is>
          <t>B4-96</t>
        </is>
      </c>
      <c r="C290" s="8" t="inlineStr">
        <is>
          <t>Vuông góc cạnh (hộp chạy từ mép vào trong, cùng phương lực dây)</t>
        </is>
      </c>
      <c r="D290" s="8" t="inlineStr">
        <is>
          <t>B4-D62b</t>
        </is>
      </c>
      <c r="E290" s="8" t="n">
        <v>1</v>
      </c>
      <c r="F290" s="8" t="n">
        <v>93.40000000000001</v>
      </c>
      <c r="G290" s="13">
        <f>E290*F290*GiaDinh!$C$18*GiaDinh!$C$17</f>
        <v/>
      </c>
      <c r="H290" s="8">
        <f>GiaDinh!$C$21</f>
        <v/>
      </c>
      <c r="I290" s="8">
        <f>GiaDinh!$C$15</f>
        <v/>
      </c>
      <c r="J290" s="8">
        <f>ROUNDDOWN(I290/H290,0)+1</f>
        <v/>
      </c>
      <c r="K290" s="13">
        <f>J290*GiaDinh!$C$16</f>
        <v/>
      </c>
      <c r="L290" s="8">
        <f>MAX(1,ROUNDUP(G290/K290-0.0005,0))</f>
        <v/>
      </c>
      <c r="M290" s="13">
        <f>L290*I290</f>
        <v/>
      </c>
      <c r="N290" s="8">
        <f>L290*ROUNDUP(I290/GiaDinh!$C$5-0.0005,0)</f>
        <v/>
      </c>
      <c r="O290" s="8">
        <f>L290*(ROUNDUP(I290/GiaDinh!$C$5-0.0005,0)-1)</f>
        <v/>
      </c>
      <c r="P290" s="8">
        <f>L290*J290</f>
        <v/>
      </c>
      <c r="Q290" s="8">
        <f>2*P290</f>
        <v/>
      </c>
      <c r="R290" s="8">
        <f>P290</f>
        <v/>
      </c>
      <c r="S290" s="14">
        <f>M290*GiaDinh!$C$7</f>
        <v/>
      </c>
    </row>
    <row r="291">
      <c r="A291" s="8" t="inlineStr">
        <is>
          <t>BÈ 4</t>
        </is>
      </c>
      <c r="B291" s="8" t="inlineStr">
        <is>
          <t>B4-97</t>
        </is>
      </c>
      <c r="C291" s="8" t="inlineStr">
        <is>
          <t>Vuông góc cạnh (hộp chạy từ mép vào trong, cùng phương lực dây)</t>
        </is>
      </c>
      <c r="D291" s="8" t="inlineStr">
        <is>
          <t>B4-D63a</t>
        </is>
      </c>
      <c r="E291" s="8" t="n">
        <v>1</v>
      </c>
      <c r="F291" s="8" t="n">
        <v>93.40000000000001</v>
      </c>
      <c r="G291" s="13">
        <f>E291*F291*GiaDinh!$C$18*GiaDinh!$C$17</f>
        <v/>
      </c>
      <c r="H291" s="8">
        <f>GiaDinh!$C$21</f>
        <v/>
      </c>
      <c r="I291" s="8">
        <f>GiaDinh!$C$15</f>
        <v/>
      </c>
      <c r="J291" s="8">
        <f>ROUNDDOWN(I291/H291,0)+1</f>
        <v/>
      </c>
      <c r="K291" s="13">
        <f>J291*GiaDinh!$C$16</f>
        <v/>
      </c>
      <c r="L291" s="8">
        <f>MAX(1,ROUNDUP(G291/K291-0.0005,0))</f>
        <v/>
      </c>
      <c r="M291" s="13">
        <f>L291*I291</f>
        <v/>
      </c>
      <c r="N291" s="8">
        <f>L291*ROUNDUP(I291/GiaDinh!$C$5-0.0005,0)</f>
        <v/>
      </c>
      <c r="O291" s="8">
        <f>L291*(ROUNDUP(I291/GiaDinh!$C$5-0.0005,0)-1)</f>
        <v/>
      </c>
      <c r="P291" s="8">
        <f>L291*J291</f>
        <v/>
      </c>
      <c r="Q291" s="8">
        <f>2*P291</f>
        <v/>
      </c>
      <c r="R291" s="8">
        <f>P291</f>
        <v/>
      </c>
      <c r="S291" s="14">
        <f>M291*GiaDinh!$C$7</f>
        <v/>
      </c>
    </row>
    <row r="292">
      <c r="A292" s="8" t="inlineStr">
        <is>
          <t>BÈ 4</t>
        </is>
      </c>
      <c r="B292" s="8" t="inlineStr">
        <is>
          <t>B4-98</t>
        </is>
      </c>
      <c r="C292" s="8" t="inlineStr">
        <is>
          <t>Vuông góc cạnh (hộp chạy từ mép vào trong, cùng phương lực dây)</t>
        </is>
      </c>
      <c r="D292" s="8" t="inlineStr">
        <is>
          <t>B4-D63b</t>
        </is>
      </c>
      <c r="E292" s="8" t="n">
        <v>1</v>
      </c>
      <c r="F292" s="8" t="n">
        <v>93.40000000000001</v>
      </c>
      <c r="G292" s="13">
        <f>E292*F292*GiaDinh!$C$18*GiaDinh!$C$17</f>
        <v/>
      </c>
      <c r="H292" s="8">
        <f>GiaDinh!$C$21</f>
        <v/>
      </c>
      <c r="I292" s="8">
        <f>GiaDinh!$C$15</f>
        <v/>
      </c>
      <c r="J292" s="8">
        <f>ROUNDDOWN(I292/H292,0)+1</f>
        <v/>
      </c>
      <c r="K292" s="13">
        <f>J292*GiaDinh!$C$16</f>
        <v/>
      </c>
      <c r="L292" s="8">
        <f>MAX(1,ROUNDUP(G292/K292-0.0005,0))</f>
        <v/>
      </c>
      <c r="M292" s="13">
        <f>L292*I292</f>
        <v/>
      </c>
      <c r="N292" s="8">
        <f>L292*ROUNDUP(I292/GiaDinh!$C$5-0.0005,0)</f>
        <v/>
      </c>
      <c r="O292" s="8">
        <f>L292*(ROUNDUP(I292/GiaDinh!$C$5-0.0005,0)-1)</f>
        <v/>
      </c>
      <c r="P292" s="8">
        <f>L292*J292</f>
        <v/>
      </c>
      <c r="Q292" s="8">
        <f>2*P292</f>
        <v/>
      </c>
      <c r="R292" s="8">
        <f>P292</f>
        <v/>
      </c>
      <c r="S292" s="14">
        <f>M292*GiaDinh!$C$7</f>
        <v/>
      </c>
    </row>
    <row r="293">
      <c r="A293" s="8" t="inlineStr">
        <is>
          <t>BÈ 4</t>
        </is>
      </c>
      <c r="B293" s="8" t="inlineStr">
        <is>
          <t>B4-99</t>
        </is>
      </c>
      <c r="C293" s="8" t="inlineStr">
        <is>
          <t>Vuông góc cạnh (hộp chạy từ mép vào trong, cùng phương lực dây)</t>
        </is>
      </c>
      <c r="D293" s="8" t="inlineStr">
        <is>
          <t>B4-D66a</t>
        </is>
      </c>
      <c r="E293" s="8" t="n">
        <v>1</v>
      </c>
      <c r="F293" s="8" t="n">
        <v>93.40000000000001</v>
      </c>
      <c r="G293" s="13">
        <f>E293*F293*GiaDinh!$C$18*GiaDinh!$C$17</f>
        <v/>
      </c>
      <c r="H293" s="8">
        <f>GiaDinh!$C$21</f>
        <v/>
      </c>
      <c r="I293" s="8">
        <f>GiaDinh!$C$15</f>
        <v/>
      </c>
      <c r="J293" s="8">
        <f>ROUNDDOWN(I293/H293,0)+1</f>
        <v/>
      </c>
      <c r="K293" s="13">
        <f>J293*GiaDinh!$C$16</f>
        <v/>
      </c>
      <c r="L293" s="8">
        <f>MAX(1,ROUNDUP(G293/K293-0.0005,0))</f>
        <v/>
      </c>
      <c r="M293" s="13">
        <f>L293*I293</f>
        <v/>
      </c>
      <c r="N293" s="8">
        <f>L293*ROUNDUP(I293/GiaDinh!$C$5-0.0005,0)</f>
        <v/>
      </c>
      <c r="O293" s="8">
        <f>L293*(ROUNDUP(I293/GiaDinh!$C$5-0.0005,0)-1)</f>
        <v/>
      </c>
      <c r="P293" s="8">
        <f>L293*J293</f>
        <v/>
      </c>
      <c r="Q293" s="8">
        <f>2*P293</f>
        <v/>
      </c>
      <c r="R293" s="8">
        <f>P293</f>
        <v/>
      </c>
      <c r="S293" s="14">
        <f>M293*GiaDinh!$C$7</f>
        <v/>
      </c>
    </row>
    <row r="294">
      <c r="A294" s="8" t="inlineStr">
        <is>
          <t>BÈ 4</t>
        </is>
      </c>
      <c r="B294" s="8" t="inlineStr">
        <is>
          <t>B4-100</t>
        </is>
      </c>
      <c r="C294" s="8" t="inlineStr">
        <is>
          <t>Vuông góc cạnh (hộp chạy từ mép vào trong, cùng phương lực dây)</t>
        </is>
      </c>
      <c r="D294" s="8" t="inlineStr">
        <is>
          <t>B4-D66b</t>
        </is>
      </c>
      <c r="E294" s="8" t="n">
        <v>1</v>
      </c>
      <c r="F294" s="8" t="n">
        <v>93.40000000000001</v>
      </c>
      <c r="G294" s="13">
        <f>E294*F294*GiaDinh!$C$18*GiaDinh!$C$17</f>
        <v/>
      </c>
      <c r="H294" s="8">
        <f>GiaDinh!$C$21</f>
        <v/>
      </c>
      <c r="I294" s="8">
        <f>GiaDinh!$C$15</f>
        <v/>
      </c>
      <c r="J294" s="8">
        <f>ROUNDDOWN(I294/H294,0)+1</f>
        <v/>
      </c>
      <c r="K294" s="13">
        <f>J294*GiaDinh!$C$16</f>
        <v/>
      </c>
      <c r="L294" s="8">
        <f>MAX(1,ROUNDUP(G294/K294-0.0005,0))</f>
        <v/>
      </c>
      <c r="M294" s="13">
        <f>L294*I294</f>
        <v/>
      </c>
      <c r="N294" s="8">
        <f>L294*ROUNDUP(I294/GiaDinh!$C$5-0.0005,0)</f>
        <v/>
      </c>
      <c r="O294" s="8">
        <f>L294*(ROUNDUP(I294/GiaDinh!$C$5-0.0005,0)-1)</f>
        <v/>
      </c>
      <c r="P294" s="8">
        <f>L294*J294</f>
        <v/>
      </c>
      <c r="Q294" s="8">
        <f>2*P294</f>
        <v/>
      </c>
      <c r="R294" s="8">
        <f>P294</f>
        <v/>
      </c>
      <c r="S294" s="14">
        <f>M294*GiaDinh!$C$7</f>
        <v/>
      </c>
    </row>
    <row r="295">
      <c r="A295" s="8" t="inlineStr">
        <is>
          <t>BÈ 4</t>
        </is>
      </c>
      <c r="B295" s="8" t="inlineStr">
        <is>
          <t>B4-101</t>
        </is>
      </c>
      <c r="C295" s="8" t="inlineStr">
        <is>
          <t>Vuông góc cạnh (hộp chạy từ mép vào trong, cùng phương lực dây)</t>
        </is>
      </c>
      <c r="D295" s="8" t="inlineStr">
        <is>
          <t>B4-D21a</t>
        </is>
      </c>
      <c r="E295" s="8" t="n">
        <v>1</v>
      </c>
      <c r="F295" s="8" t="n">
        <v>93.40000000000001</v>
      </c>
      <c r="G295" s="13">
        <f>E295*F295*GiaDinh!$C$18*GiaDinh!$C$17</f>
        <v/>
      </c>
      <c r="H295" s="8">
        <f>GiaDinh!$C$21</f>
        <v/>
      </c>
      <c r="I295" s="8">
        <f>GiaDinh!$C$15</f>
        <v/>
      </c>
      <c r="J295" s="8">
        <f>ROUNDDOWN(I295/H295,0)+1</f>
        <v/>
      </c>
      <c r="K295" s="13">
        <f>J295*GiaDinh!$C$16</f>
        <v/>
      </c>
      <c r="L295" s="8">
        <f>MAX(1,ROUNDUP(G295/K295-0.0005,0))</f>
        <v/>
      </c>
      <c r="M295" s="13">
        <f>L295*I295</f>
        <v/>
      </c>
      <c r="N295" s="8">
        <f>L295*ROUNDUP(I295/GiaDinh!$C$5-0.0005,0)</f>
        <v/>
      </c>
      <c r="O295" s="8">
        <f>L295*(ROUNDUP(I295/GiaDinh!$C$5-0.0005,0)-1)</f>
        <v/>
      </c>
      <c r="P295" s="8">
        <f>L295*J295</f>
        <v/>
      </c>
      <c r="Q295" s="8">
        <f>2*P295</f>
        <v/>
      </c>
      <c r="R295" s="8">
        <f>P295</f>
        <v/>
      </c>
      <c r="S295" s="14">
        <f>M295*GiaDinh!$C$7</f>
        <v/>
      </c>
    </row>
    <row r="296">
      <c r="A296" s="8" t="inlineStr">
        <is>
          <t>BÈ 4</t>
        </is>
      </c>
      <c r="B296" s="8" t="inlineStr">
        <is>
          <t>B4-102</t>
        </is>
      </c>
      <c r="C296" s="8" t="inlineStr">
        <is>
          <t>Vuông góc cạnh (hộp chạy từ mép vào trong, cùng phương lực dây)</t>
        </is>
      </c>
      <c r="D296" s="8" t="inlineStr">
        <is>
          <t>B4-D21b</t>
        </is>
      </c>
      <c r="E296" s="8" t="n">
        <v>1</v>
      </c>
      <c r="F296" s="8" t="n">
        <v>93.40000000000001</v>
      </c>
      <c r="G296" s="13">
        <f>E296*F296*GiaDinh!$C$18*GiaDinh!$C$17</f>
        <v/>
      </c>
      <c r="H296" s="8">
        <f>GiaDinh!$C$21</f>
        <v/>
      </c>
      <c r="I296" s="8">
        <f>GiaDinh!$C$15</f>
        <v/>
      </c>
      <c r="J296" s="8">
        <f>ROUNDDOWN(I296/H296,0)+1</f>
        <v/>
      </c>
      <c r="K296" s="13">
        <f>J296*GiaDinh!$C$16</f>
        <v/>
      </c>
      <c r="L296" s="8">
        <f>MAX(1,ROUNDUP(G296/K296-0.0005,0))</f>
        <v/>
      </c>
      <c r="M296" s="13">
        <f>L296*I296</f>
        <v/>
      </c>
      <c r="N296" s="8">
        <f>L296*ROUNDUP(I296/GiaDinh!$C$5-0.0005,0)</f>
        <v/>
      </c>
      <c r="O296" s="8">
        <f>L296*(ROUNDUP(I296/GiaDinh!$C$5-0.0005,0)-1)</f>
        <v/>
      </c>
      <c r="P296" s="8">
        <f>L296*J296</f>
        <v/>
      </c>
      <c r="Q296" s="8">
        <f>2*P296</f>
        <v/>
      </c>
      <c r="R296" s="8">
        <f>P296</f>
        <v/>
      </c>
      <c r="S296" s="14">
        <f>M296*GiaDinh!$C$7</f>
        <v/>
      </c>
    </row>
    <row r="297">
      <c r="A297" s="8" t="inlineStr">
        <is>
          <t>BÈ 4</t>
        </is>
      </c>
      <c r="B297" s="8" t="inlineStr">
        <is>
          <t>B4-103</t>
        </is>
      </c>
      <c r="C297" s="8" t="inlineStr">
        <is>
          <t>Vuông góc cạnh (hộp chạy từ mép vào trong, cùng phương lực dây)</t>
        </is>
      </c>
      <c r="D297" s="8" t="inlineStr">
        <is>
          <t>B4-D69a</t>
        </is>
      </c>
      <c r="E297" s="8" t="n">
        <v>1</v>
      </c>
      <c r="F297" s="8" t="n">
        <v>93.40000000000001</v>
      </c>
      <c r="G297" s="13">
        <f>E297*F297*GiaDinh!$C$18*GiaDinh!$C$17</f>
        <v/>
      </c>
      <c r="H297" s="8">
        <f>GiaDinh!$C$21</f>
        <v/>
      </c>
      <c r="I297" s="8">
        <f>GiaDinh!$C$15</f>
        <v/>
      </c>
      <c r="J297" s="8">
        <f>ROUNDDOWN(I297/H297,0)+1</f>
        <v/>
      </c>
      <c r="K297" s="13">
        <f>J297*GiaDinh!$C$16</f>
        <v/>
      </c>
      <c r="L297" s="8">
        <f>MAX(1,ROUNDUP(G297/K297-0.0005,0))</f>
        <v/>
      </c>
      <c r="M297" s="13">
        <f>L297*I297</f>
        <v/>
      </c>
      <c r="N297" s="8">
        <f>L297*ROUNDUP(I297/GiaDinh!$C$5-0.0005,0)</f>
        <v/>
      </c>
      <c r="O297" s="8">
        <f>L297*(ROUNDUP(I297/GiaDinh!$C$5-0.0005,0)-1)</f>
        <v/>
      </c>
      <c r="P297" s="8">
        <f>L297*J297</f>
        <v/>
      </c>
      <c r="Q297" s="8">
        <f>2*P297</f>
        <v/>
      </c>
      <c r="R297" s="8">
        <f>P297</f>
        <v/>
      </c>
      <c r="S297" s="14">
        <f>M297*GiaDinh!$C$7</f>
        <v/>
      </c>
    </row>
    <row r="298">
      <c r="A298" s="8" t="inlineStr">
        <is>
          <t>BÈ 4</t>
        </is>
      </c>
      <c r="B298" s="8" t="inlineStr">
        <is>
          <t>B4-104</t>
        </is>
      </c>
      <c r="C298" s="8" t="inlineStr">
        <is>
          <t>Vuông góc cạnh (hộp chạy từ mép vào trong, cùng phương lực dây)</t>
        </is>
      </c>
      <c r="D298" s="8" t="inlineStr">
        <is>
          <t>B4-D69b</t>
        </is>
      </c>
      <c r="E298" s="8" t="n">
        <v>1</v>
      </c>
      <c r="F298" s="8" t="n">
        <v>93.40000000000001</v>
      </c>
      <c r="G298" s="13">
        <f>E298*F298*GiaDinh!$C$18*GiaDinh!$C$17</f>
        <v/>
      </c>
      <c r="H298" s="8">
        <f>GiaDinh!$C$21</f>
        <v/>
      </c>
      <c r="I298" s="8">
        <f>GiaDinh!$C$15</f>
        <v/>
      </c>
      <c r="J298" s="8">
        <f>ROUNDDOWN(I298/H298,0)+1</f>
        <v/>
      </c>
      <c r="K298" s="13">
        <f>J298*GiaDinh!$C$16</f>
        <v/>
      </c>
      <c r="L298" s="8">
        <f>MAX(1,ROUNDUP(G298/K298-0.0005,0))</f>
        <v/>
      </c>
      <c r="M298" s="13">
        <f>L298*I298</f>
        <v/>
      </c>
      <c r="N298" s="8">
        <f>L298*ROUNDUP(I298/GiaDinh!$C$5-0.0005,0)</f>
        <v/>
      </c>
      <c r="O298" s="8">
        <f>L298*(ROUNDUP(I298/GiaDinh!$C$5-0.0005,0)-1)</f>
        <v/>
      </c>
      <c r="P298" s="8">
        <f>L298*J298</f>
        <v/>
      </c>
      <c r="Q298" s="8">
        <f>2*P298</f>
        <v/>
      </c>
      <c r="R298" s="8">
        <f>P298</f>
        <v/>
      </c>
      <c r="S298" s="14">
        <f>M298*GiaDinh!$C$7</f>
        <v/>
      </c>
    </row>
    <row r="299">
      <c r="A299" s="8" t="inlineStr">
        <is>
          <t>BÈ 4</t>
        </is>
      </c>
      <c r="B299" s="8" t="inlineStr">
        <is>
          <t>B4-105</t>
        </is>
      </c>
      <c r="C299" s="8" t="inlineStr">
        <is>
          <t>Vuông góc cạnh (hộp chạy từ mép vào trong, cùng phương lực dây)</t>
        </is>
      </c>
      <c r="D299" s="8" t="inlineStr">
        <is>
          <t>B4-D41a</t>
        </is>
      </c>
      <c r="E299" s="8" t="n">
        <v>1</v>
      </c>
      <c r="F299" s="8" t="n">
        <v>93.40000000000001</v>
      </c>
      <c r="G299" s="13">
        <f>E299*F299*GiaDinh!$C$18*GiaDinh!$C$17</f>
        <v/>
      </c>
      <c r="H299" s="8">
        <f>GiaDinh!$C$21</f>
        <v/>
      </c>
      <c r="I299" s="8">
        <f>GiaDinh!$C$15</f>
        <v/>
      </c>
      <c r="J299" s="8">
        <f>ROUNDDOWN(I299/H299,0)+1</f>
        <v/>
      </c>
      <c r="K299" s="13">
        <f>J299*GiaDinh!$C$16</f>
        <v/>
      </c>
      <c r="L299" s="8">
        <f>MAX(1,ROUNDUP(G299/K299-0.0005,0))</f>
        <v/>
      </c>
      <c r="M299" s="13">
        <f>L299*I299</f>
        <v/>
      </c>
      <c r="N299" s="8">
        <f>L299*ROUNDUP(I299/GiaDinh!$C$5-0.0005,0)</f>
        <v/>
      </c>
      <c r="O299" s="8">
        <f>L299*(ROUNDUP(I299/GiaDinh!$C$5-0.0005,0)-1)</f>
        <v/>
      </c>
      <c r="P299" s="8">
        <f>L299*J299</f>
        <v/>
      </c>
      <c r="Q299" s="8">
        <f>2*P299</f>
        <v/>
      </c>
      <c r="R299" s="8">
        <f>P299</f>
        <v/>
      </c>
      <c r="S299" s="14">
        <f>M299*GiaDinh!$C$7</f>
        <v/>
      </c>
    </row>
    <row r="300">
      <c r="A300" s="8" t="inlineStr">
        <is>
          <t>BÈ 4</t>
        </is>
      </c>
      <c r="B300" s="8" t="inlineStr">
        <is>
          <t>B4-106</t>
        </is>
      </c>
      <c r="C300" s="8" t="inlineStr">
        <is>
          <t>Vuông góc cạnh (hộp chạy từ mép vào trong, cùng phương lực dây)</t>
        </is>
      </c>
      <c r="D300" s="8" t="inlineStr">
        <is>
          <t>B4-D41b</t>
        </is>
      </c>
      <c r="E300" s="8" t="n">
        <v>1</v>
      </c>
      <c r="F300" s="8" t="n">
        <v>93.40000000000001</v>
      </c>
      <c r="G300" s="13">
        <f>E300*F300*GiaDinh!$C$18*GiaDinh!$C$17</f>
        <v/>
      </c>
      <c r="H300" s="8">
        <f>GiaDinh!$C$21</f>
        <v/>
      </c>
      <c r="I300" s="8">
        <f>GiaDinh!$C$15</f>
        <v/>
      </c>
      <c r="J300" s="8">
        <f>ROUNDDOWN(I300/H300,0)+1</f>
        <v/>
      </c>
      <c r="K300" s="13">
        <f>J300*GiaDinh!$C$16</f>
        <v/>
      </c>
      <c r="L300" s="8">
        <f>MAX(1,ROUNDUP(G300/K300-0.0005,0))</f>
        <v/>
      </c>
      <c r="M300" s="13">
        <f>L300*I300</f>
        <v/>
      </c>
      <c r="N300" s="8">
        <f>L300*ROUNDUP(I300/GiaDinh!$C$5-0.0005,0)</f>
        <v/>
      </c>
      <c r="O300" s="8">
        <f>L300*(ROUNDUP(I300/GiaDinh!$C$5-0.0005,0)-1)</f>
        <v/>
      </c>
      <c r="P300" s="8">
        <f>L300*J300</f>
        <v/>
      </c>
      <c r="Q300" s="8">
        <f>2*P300</f>
        <v/>
      </c>
      <c r="R300" s="8">
        <f>P300</f>
        <v/>
      </c>
      <c r="S300" s="14">
        <f>M300*GiaDinh!$C$7</f>
        <v/>
      </c>
    </row>
    <row r="301">
      <c r="A301" s="8" t="inlineStr">
        <is>
          <t>BÈ 4</t>
        </is>
      </c>
      <c r="B301" s="8" t="inlineStr">
        <is>
          <t>B4-107</t>
        </is>
      </c>
      <c r="C301" s="8" t="inlineStr">
        <is>
          <t>Vuông góc cạnh (hộp chạy từ mép vào trong, cùng phương lực dây)</t>
        </is>
      </c>
      <c r="D301" s="8" t="inlineStr">
        <is>
          <t>B4-D43a</t>
        </is>
      </c>
      <c r="E301" s="8" t="n">
        <v>1</v>
      </c>
      <c r="F301" s="8" t="n">
        <v>93.40000000000001</v>
      </c>
      <c r="G301" s="13">
        <f>E301*F301*GiaDinh!$C$18*GiaDinh!$C$17</f>
        <v/>
      </c>
      <c r="H301" s="8">
        <f>GiaDinh!$C$21</f>
        <v/>
      </c>
      <c r="I301" s="8">
        <f>GiaDinh!$C$15</f>
        <v/>
      </c>
      <c r="J301" s="8">
        <f>ROUNDDOWN(I301/H301,0)+1</f>
        <v/>
      </c>
      <c r="K301" s="13">
        <f>J301*GiaDinh!$C$16</f>
        <v/>
      </c>
      <c r="L301" s="8">
        <f>MAX(1,ROUNDUP(G301/K301-0.0005,0))</f>
        <v/>
      </c>
      <c r="M301" s="13">
        <f>L301*I301</f>
        <v/>
      </c>
      <c r="N301" s="8">
        <f>L301*ROUNDUP(I301/GiaDinh!$C$5-0.0005,0)</f>
        <v/>
      </c>
      <c r="O301" s="8">
        <f>L301*(ROUNDUP(I301/GiaDinh!$C$5-0.0005,0)-1)</f>
        <v/>
      </c>
      <c r="P301" s="8">
        <f>L301*J301</f>
        <v/>
      </c>
      <c r="Q301" s="8">
        <f>2*P301</f>
        <v/>
      </c>
      <c r="R301" s="8">
        <f>P301</f>
        <v/>
      </c>
      <c r="S301" s="14">
        <f>M301*GiaDinh!$C$7</f>
        <v/>
      </c>
    </row>
    <row r="302">
      <c r="A302" s="8" t="inlineStr">
        <is>
          <t>BÈ 4</t>
        </is>
      </c>
      <c r="B302" s="8" t="inlineStr">
        <is>
          <t>B4-108</t>
        </is>
      </c>
      <c r="C302" s="8" t="inlineStr">
        <is>
          <t>Vuông góc cạnh (hộp chạy từ mép vào trong, cùng phương lực dây)</t>
        </is>
      </c>
      <c r="D302" s="8" t="inlineStr">
        <is>
          <t>B4-D43b</t>
        </is>
      </c>
      <c r="E302" s="8" t="n">
        <v>1</v>
      </c>
      <c r="F302" s="8" t="n">
        <v>93.40000000000001</v>
      </c>
      <c r="G302" s="13">
        <f>E302*F302*GiaDinh!$C$18*GiaDinh!$C$17</f>
        <v/>
      </c>
      <c r="H302" s="8">
        <f>GiaDinh!$C$21</f>
        <v/>
      </c>
      <c r="I302" s="8">
        <f>GiaDinh!$C$15</f>
        <v/>
      </c>
      <c r="J302" s="8">
        <f>ROUNDDOWN(I302/H302,0)+1</f>
        <v/>
      </c>
      <c r="K302" s="13">
        <f>J302*GiaDinh!$C$16</f>
        <v/>
      </c>
      <c r="L302" s="8">
        <f>MAX(1,ROUNDUP(G302/K302-0.0005,0))</f>
        <v/>
      </c>
      <c r="M302" s="13">
        <f>L302*I302</f>
        <v/>
      </c>
      <c r="N302" s="8">
        <f>L302*ROUNDUP(I302/GiaDinh!$C$5-0.0005,0)</f>
        <v/>
      </c>
      <c r="O302" s="8">
        <f>L302*(ROUNDUP(I302/GiaDinh!$C$5-0.0005,0)-1)</f>
        <v/>
      </c>
      <c r="P302" s="8">
        <f>L302*J302</f>
        <v/>
      </c>
      <c r="Q302" s="8">
        <f>2*P302</f>
        <v/>
      </c>
      <c r="R302" s="8">
        <f>P302</f>
        <v/>
      </c>
      <c r="S302" s="14">
        <f>M302*GiaDinh!$C$7</f>
        <v/>
      </c>
    </row>
    <row r="303">
      <c r="A303" s="8" t="inlineStr">
        <is>
          <t>BÈ 4</t>
        </is>
      </c>
      <c r="B303" s="8" t="inlineStr">
        <is>
          <t>B4-109</t>
        </is>
      </c>
      <c r="C303" s="8" t="inlineStr">
        <is>
          <t>Vuông góc cạnh (hộp chạy từ mép vào trong, cùng phương lực dây)</t>
        </is>
      </c>
      <c r="D303" s="8" t="inlineStr">
        <is>
          <t>B4-D44a</t>
        </is>
      </c>
      <c r="E303" s="8" t="n">
        <v>1</v>
      </c>
      <c r="F303" s="8" t="n">
        <v>93.40000000000001</v>
      </c>
      <c r="G303" s="13">
        <f>E303*F303*GiaDinh!$C$18*GiaDinh!$C$17</f>
        <v/>
      </c>
      <c r="H303" s="8">
        <f>GiaDinh!$C$21</f>
        <v/>
      </c>
      <c r="I303" s="8">
        <f>GiaDinh!$C$15</f>
        <v/>
      </c>
      <c r="J303" s="8">
        <f>ROUNDDOWN(I303/H303,0)+1</f>
        <v/>
      </c>
      <c r="K303" s="13">
        <f>J303*GiaDinh!$C$16</f>
        <v/>
      </c>
      <c r="L303" s="8">
        <f>MAX(1,ROUNDUP(G303/K303-0.0005,0))</f>
        <v/>
      </c>
      <c r="M303" s="13">
        <f>L303*I303</f>
        <v/>
      </c>
      <c r="N303" s="8">
        <f>L303*ROUNDUP(I303/GiaDinh!$C$5-0.0005,0)</f>
        <v/>
      </c>
      <c r="O303" s="8">
        <f>L303*(ROUNDUP(I303/GiaDinh!$C$5-0.0005,0)-1)</f>
        <v/>
      </c>
      <c r="P303" s="8">
        <f>L303*J303</f>
        <v/>
      </c>
      <c r="Q303" s="8">
        <f>2*P303</f>
        <v/>
      </c>
      <c r="R303" s="8">
        <f>P303</f>
        <v/>
      </c>
      <c r="S303" s="14">
        <f>M303*GiaDinh!$C$7</f>
        <v/>
      </c>
    </row>
    <row r="304">
      <c r="A304" s="8" t="inlineStr">
        <is>
          <t>BÈ 4</t>
        </is>
      </c>
      <c r="B304" s="8" t="inlineStr">
        <is>
          <t>B4-110</t>
        </is>
      </c>
      <c r="C304" s="8" t="inlineStr">
        <is>
          <t>Vuông góc cạnh (hộp chạy từ mép vào trong, cùng phương lực dây)</t>
        </is>
      </c>
      <c r="D304" s="8" t="inlineStr">
        <is>
          <t>B4-D44b</t>
        </is>
      </c>
      <c r="E304" s="8" t="n">
        <v>1</v>
      </c>
      <c r="F304" s="8" t="n">
        <v>93.40000000000001</v>
      </c>
      <c r="G304" s="13">
        <f>E304*F304*GiaDinh!$C$18*GiaDinh!$C$17</f>
        <v/>
      </c>
      <c r="H304" s="8">
        <f>GiaDinh!$C$21</f>
        <v/>
      </c>
      <c r="I304" s="8">
        <f>GiaDinh!$C$15</f>
        <v/>
      </c>
      <c r="J304" s="8">
        <f>ROUNDDOWN(I304/H304,0)+1</f>
        <v/>
      </c>
      <c r="K304" s="13">
        <f>J304*GiaDinh!$C$16</f>
        <v/>
      </c>
      <c r="L304" s="8">
        <f>MAX(1,ROUNDUP(G304/K304-0.0005,0))</f>
        <v/>
      </c>
      <c r="M304" s="13">
        <f>L304*I304</f>
        <v/>
      </c>
      <c r="N304" s="8">
        <f>L304*ROUNDUP(I304/GiaDinh!$C$5-0.0005,0)</f>
        <v/>
      </c>
      <c r="O304" s="8">
        <f>L304*(ROUNDUP(I304/GiaDinh!$C$5-0.0005,0)-1)</f>
        <v/>
      </c>
      <c r="P304" s="8">
        <f>L304*J304</f>
        <v/>
      </c>
      <c r="Q304" s="8">
        <f>2*P304</f>
        <v/>
      </c>
      <c r="R304" s="8">
        <f>P304</f>
        <v/>
      </c>
      <c r="S304" s="14">
        <f>M304*GiaDinh!$C$7</f>
        <v/>
      </c>
    </row>
    <row r="305">
      <c r="A305" s="8" t="inlineStr">
        <is>
          <t>BÈ 4</t>
        </is>
      </c>
      <c r="B305" s="8" t="inlineStr">
        <is>
          <t>B4-111</t>
        </is>
      </c>
      <c r="C305" s="8" t="inlineStr">
        <is>
          <t>Vuông góc cạnh (hộp chạy từ mép vào trong, cùng phương lực dây)</t>
        </is>
      </c>
      <c r="D305" s="8" t="inlineStr">
        <is>
          <t>B4-D45a</t>
        </is>
      </c>
      <c r="E305" s="8" t="n">
        <v>1</v>
      </c>
      <c r="F305" s="8" t="n">
        <v>93.40000000000001</v>
      </c>
      <c r="G305" s="13">
        <f>E305*F305*GiaDinh!$C$18*GiaDinh!$C$17</f>
        <v/>
      </c>
      <c r="H305" s="8">
        <f>GiaDinh!$C$21</f>
        <v/>
      </c>
      <c r="I305" s="8">
        <f>GiaDinh!$C$15</f>
        <v/>
      </c>
      <c r="J305" s="8">
        <f>ROUNDDOWN(I305/H305,0)+1</f>
        <v/>
      </c>
      <c r="K305" s="13">
        <f>J305*GiaDinh!$C$16</f>
        <v/>
      </c>
      <c r="L305" s="8">
        <f>MAX(1,ROUNDUP(G305/K305-0.0005,0))</f>
        <v/>
      </c>
      <c r="M305" s="13">
        <f>L305*I305</f>
        <v/>
      </c>
      <c r="N305" s="8">
        <f>L305*ROUNDUP(I305/GiaDinh!$C$5-0.0005,0)</f>
        <v/>
      </c>
      <c r="O305" s="8">
        <f>L305*(ROUNDUP(I305/GiaDinh!$C$5-0.0005,0)-1)</f>
        <v/>
      </c>
      <c r="P305" s="8">
        <f>L305*J305</f>
        <v/>
      </c>
      <c r="Q305" s="8">
        <f>2*P305</f>
        <v/>
      </c>
      <c r="R305" s="8">
        <f>P305</f>
        <v/>
      </c>
      <c r="S305" s="14">
        <f>M305*GiaDinh!$C$7</f>
        <v/>
      </c>
    </row>
    <row r="306">
      <c r="A306" s="8" t="inlineStr">
        <is>
          <t>BÈ 4</t>
        </is>
      </c>
      <c r="B306" s="8" t="inlineStr">
        <is>
          <t>B4-112</t>
        </is>
      </c>
      <c r="C306" s="8" t="inlineStr">
        <is>
          <t>Vuông góc cạnh (hộp chạy từ mép vào trong, cùng phương lực dây)</t>
        </is>
      </c>
      <c r="D306" s="8" t="inlineStr">
        <is>
          <t>B4-D45b</t>
        </is>
      </c>
      <c r="E306" s="8" t="n">
        <v>1</v>
      </c>
      <c r="F306" s="8" t="n">
        <v>93.40000000000001</v>
      </c>
      <c r="G306" s="13">
        <f>E306*F306*GiaDinh!$C$18*GiaDinh!$C$17</f>
        <v/>
      </c>
      <c r="H306" s="8">
        <f>GiaDinh!$C$21</f>
        <v/>
      </c>
      <c r="I306" s="8">
        <f>GiaDinh!$C$15</f>
        <v/>
      </c>
      <c r="J306" s="8">
        <f>ROUNDDOWN(I306/H306,0)+1</f>
        <v/>
      </c>
      <c r="K306" s="13">
        <f>J306*GiaDinh!$C$16</f>
        <v/>
      </c>
      <c r="L306" s="8">
        <f>MAX(1,ROUNDUP(G306/K306-0.0005,0))</f>
        <v/>
      </c>
      <c r="M306" s="13">
        <f>L306*I306</f>
        <v/>
      </c>
      <c r="N306" s="8">
        <f>L306*ROUNDUP(I306/GiaDinh!$C$5-0.0005,0)</f>
        <v/>
      </c>
      <c r="O306" s="8">
        <f>L306*(ROUNDUP(I306/GiaDinh!$C$5-0.0005,0)-1)</f>
        <v/>
      </c>
      <c r="P306" s="8">
        <f>L306*J306</f>
        <v/>
      </c>
      <c r="Q306" s="8">
        <f>2*P306</f>
        <v/>
      </c>
      <c r="R306" s="8">
        <f>P306</f>
        <v/>
      </c>
      <c r="S306" s="14">
        <f>M306*GiaDinh!$C$7</f>
        <v/>
      </c>
    </row>
    <row r="307">
      <c r="A307" s="8" t="inlineStr">
        <is>
          <t>BÈ 4</t>
        </is>
      </c>
      <c r="B307" s="8" t="inlineStr">
        <is>
          <t>B4-113</t>
        </is>
      </c>
      <c r="C307" s="8" t="inlineStr">
        <is>
          <t>Vuông góc cạnh (hộp chạy từ mép vào trong, cùng phương lực dây)</t>
        </is>
      </c>
      <c r="D307" s="8" t="inlineStr">
        <is>
          <t>B4-D51a</t>
        </is>
      </c>
      <c r="E307" s="8" t="n">
        <v>1</v>
      </c>
      <c r="F307" s="8" t="n">
        <v>93.40000000000001</v>
      </c>
      <c r="G307" s="13">
        <f>E307*F307*GiaDinh!$C$18*GiaDinh!$C$17</f>
        <v/>
      </c>
      <c r="H307" s="8">
        <f>GiaDinh!$C$21</f>
        <v/>
      </c>
      <c r="I307" s="8">
        <f>GiaDinh!$C$15</f>
        <v/>
      </c>
      <c r="J307" s="8">
        <f>ROUNDDOWN(I307/H307,0)+1</f>
        <v/>
      </c>
      <c r="K307" s="13">
        <f>J307*GiaDinh!$C$16</f>
        <v/>
      </c>
      <c r="L307" s="8">
        <f>MAX(1,ROUNDUP(G307/K307-0.0005,0))</f>
        <v/>
      </c>
      <c r="M307" s="13">
        <f>L307*I307</f>
        <v/>
      </c>
      <c r="N307" s="8">
        <f>L307*ROUNDUP(I307/GiaDinh!$C$5-0.0005,0)</f>
        <v/>
      </c>
      <c r="O307" s="8">
        <f>L307*(ROUNDUP(I307/GiaDinh!$C$5-0.0005,0)-1)</f>
        <v/>
      </c>
      <c r="P307" s="8">
        <f>L307*J307</f>
        <v/>
      </c>
      <c r="Q307" s="8">
        <f>2*P307</f>
        <v/>
      </c>
      <c r="R307" s="8">
        <f>P307</f>
        <v/>
      </c>
      <c r="S307" s="14">
        <f>M307*GiaDinh!$C$7</f>
        <v/>
      </c>
    </row>
    <row r="308">
      <c r="A308" s="8" t="inlineStr">
        <is>
          <t>BÈ 4</t>
        </is>
      </c>
      <c r="B308" s="8" t="inlineStr">
        <is>
          <t>B4-114</t>
        </is>
      </c>
      <c r="C308" s="8" t="inlineStr">
        <is>
          <t>Vuông góc cạnh (hộp chạy từ mép vào trong, cùng phương lực dây)</t>
        </is>
      </c>
      <c r="D308" s="8" t="inlineStr">
        <is>
          <t>B4-D51b</t>
        </is>
      </c>
      <c r="E308" s="8" t="n">
        <v>1</v>
      </c>
      <c r="F308" s="8" t="n">
        <v>93.40000000000001</v>
      </c>
      <c r="G308" s="13">
        <f>E308*F308*GiaDinh!$C$18*GiaDinh!$C$17</f>
        <v/>
      </c>
      <c r="H308" s="8">
        <f>GiaDinh!$C$21</f>
        <v/>
      </c>
      <c r="I308" s="8">
        <f>GiaDinh!$C$15</f>
        <v/>
      </c>
      <c r="J308" s="8">
        <f>ROUNDDOWN(I308/H308,0)+1</f>
        <v/>
      </c>
      <c r="K308" s="13">
        <f>J308*GiaDinh!$C$16</f>
        <v/>
      </c>
      <c r="L308" s="8">
        <f>MAX(1,ROUNDUP(G308/K308-0.0005,0))</f>
        <v/>
      </c>
      <c r="M308" s="13">
        <f>L308*I308</f>
        <v/>
      </c>
      <c r="N308" s="8">
        <f>L308*ROUNDUP(I308/GiaDinh!$C$5-0.0005,0)</f>
        <v/>
      </c>
      <c r="O308" s="8">
        <f>L308*(ROUNDUP(I308/GiaDinh!$C$5-0.0005,0)-1)</f>
        <v/>
      </c>
      <c r="P308" s="8">
        <f>L308*J308</f>
        <v/>
      </c>
      <c r="Q308" s="8">
        <f>2*P308</f>
        <v/>
      </c>
      <c r="R308" s="8">
        <f>P308</f>
        <v/>
      </c>
      <c r="S308" s="14">
        <f>M308*GiaDinh!$C$7</f>
        <v/>
      </c>
    </row>
    <row r="309">
      <c r="A309" s="8" t="inlineStr">
        <is>
          <t>BÈ 4</t>
        </is>
      </c>
      <c r="B309" s="8" t="inlineStr">
        <is>
          <t>B4-115</t>
        </is>
      </c>
      <c r="C309" s="8" t="inlineStr">
        <is>
          <t>Vuông góc cạnh (hộp chạy từ mép vào trong, cùng phương lực dây)</t>
        </is>
      </c>
      <c r="D309" s="8" t="inlineStr">
        <is>
          <t>B4-D52a</t>
        </is>
      </c>
      <c r="E309" s="8" t="n">
        <v>1</v>
      </c>
      <c r="F309" s="8" t="n">
        <v>93.40000000000001</v>
      </c>
      <c r="G309" s="13">
        <f>E309*F309*GiaDinh!$C$18*GiaDinh!$C$17</f>
        <v/>
      </c>
      <c r="H309" s="8">
        <f>GiaDinh!$C$21</f>
        <v/>
      </c>
      <c r="I309" s="8">
        <f>GiaDinh!$C$15</f>
        <v/>
      </c>
      <c r="J309" s="8">
        <f>ROUNDDOWN(I309/H309,0)+1</f>
        <v/>
      </c>
      <c r="K309" s="13">
        <f>J309*GiaDinh!$C$16</f>
        <v/>
      </c>
      <c r="L309" s="8">
        <f>MAX(1,ROUNDUP(G309/K309-0.0005,0))</f>
        <v/>
      </c>
      <c r="M309" s="13">
        <f>L309*I309</f>
        <v/>
      </c>
      <c r="N309" s="8">
        <f>L309*ROUNDUP(I309/GiaDinh!$C$5-0.0005,0)</f>
        <v/>
      </c>
      <c r="O309" s="8">
        <f>L309*(ROUNDUP(I309/GiaDinh!$C$5-0.0005,0)-1)</f>
        <v/>
      </c>
      <c r="P309" s="8">
        <f>L309*J309</f>
        <v/>
      </c>
      <c r="Q309" s="8">
        <f>2*P309</f>
        <v/>
      </c>
      <c r="R309" s="8">
        <f>P309</f>
        <v/>
      </c>
      <c r="S309" s="14">
        <f>M309*GiaDinh!$C$7</f>
        <v/>
      </c>
    </row>
    <row r="310">
      <c r="A310" s="8" t="inlineStr">
        <is>
          <t>BÈ 4</t>
        </is>
      </c>
      <c r="B310" s="8" t="inlineStr">
        <is>
          <t>B4-116</t>
        </is>
      </c>
      <c r="C310" s="8" t="inlineStr">
        <is>
          <t>Vuông góc cạnh (hộp chạy từ mép vào trong, cùng phương lực dây)</t>
        </is>
      </c>
      <c r="D310" s="8" t="inlineStr">
        <is>
          <t>B4-D52b</t>
        </is>
      </c>
      <c r="E310" s="8" t="n">
        <v>1</v>
      </c>
      <c r="F310" s="8" t="n">
        <v>93.40000000000001</v>
      </c>
      <c r="G310" s="13">
        <f>E310*F310*GiaDinh!$C$18*GiaDinh!$C$17</f>
        <v/>
      </c>
      <c r="H310" s="8">
        <f>GiaDinh!$C$21</f>
        <v/>
      </c>
      <c r="I310" s="8">
        <f>GiaDinh!$C$15</f>
        <v/>
      </c>
      <c r="J310" s="8">
        <f>ROUNDDOWN(I310/H310,0)+1</f>
        <v/>
      </c>
      <c r="K310" s="13">
        <f>J310*GiaDinh!$C$16</f>
        <v/>
      </c>
      <c r="L310" s="8">
        <f>MAX(1,ROUNDUP(G310/K310-0.0005,0))</f>
        <v/>
      </c>
      <c r="M310" s="13">
        <f>L310*I310</f>
        <v/>
      </c>
      <c r="N310" s="8">
        <f>L310*ROUNDUP(I310/GiaDinh!$C$5-0.0005,0)</f>
        <v/>
      </c>
      <c r="O310" s="8">
        <f>L310*(ROUNDUP(I310/GiaDinh!$C$5-0.0005,0)-1)</f>
        <v/>
      </c>
      <c r="P310" s="8">
        <f>L310*J310</f>
        <v/>
      </c>
      <c r="Q310" s="8">
        <f>2*P310</f>
        <v/>
      </c>
      <c r="R310" s="8">
        <f>P310</f>
        <v/>
      </c>
      <c r="S310" s="14">
        <f>M310*GiaDinh!$C$7</f>
        <v/>
      </c>
    </row>
    <row r="311">
      <c r="A311" s="8" t="inlineStr">
        <is>
          <t>BÈ 4</t>
        </is>
      </c>
      <c r="B311" s="8" t="inlineStr">
        <is>
          <t>B4-117</t>
        </is>
      </c>
      <c r="C311" s="8" t="inlineStr">
        <is>
          <t>Vuông góc cạnh (hộp chạy từ mép vào trong, cùng phương lực dây)</t>
        </is>
      </c>
      <c r="D311" s="8" t="inlineStr">
        <is>
          <t>B4-D53a</t>
        </is>
      </c>
      <c r="E311" s="8" t="n">
        <v>1</v>
      </c>
      <c r="F311" s="8" t="n">
        <v>93.40000000000001</v>
      </c>
      <c r="G311" s="13">
        <f>E311*F311*GiaDinh!$C$18*GiaDinh!$C$17</f>
        <v/>
      </c>
      <c r="H311" s="8">
        <f>GiaDinh!$C$21</f>
        <v/>
      </c>
      <c r="I311" s="8">
        <f>GiaDinh!$C$15</f>
        <v/>
      </c>
      <c r="J311" s="8">
        <f>ROUNDDOWN(I311/H311,0)+1</f>
        <v/>
      </c>
      <c r="K311" s="13">
        <f>J311*GiaDinh!$C$16</f>
        <v/>
      </c>
      <c r="L311" s="8">
        <f>MAX(1,ROUNDUP(G311/K311-0.0005,0))</f>
        <v/>
      </c>
      <c r="M311" s="13">
        <f>L311*I311</f>
        <v/>
      </c>
      <c r="N311" s="8">
        <f>L311*ROUNDUP(I311/GiaDinh!$C$5-0.0005,0)</f>
        <v/>
      </c>
      <c r="O311" s="8">
        <f>L311*(ROUNDUP(I311/GiaDinh!$C$5-0.0005,0)-1)</f>
        <v/>
      </c>
      <c r="P311" s="8">
        <f>L311*J311</f>
        <v/>
      </c>
      <c r="Q311" s="8">
        <f>2*P311</f>
        <v/>
      </c>
      <c r="R311" s="8">
        <f>P311</f>
        <v/>
      </c>
      <c r="S311" s="14">
        <f>M311*GiaDinh!$C$7</f>
        <v/>
      </c>
    </row>
    <row r="312">
      <c r="A312" s="8" t="inlineStr">
        <is>
          <t>BÈ 4</t>
        </is>
      </c>
      <c r="B312" s="8" t="inlineStr">
        <is>
          <t>B4-118</t>
        </is>
      </c>
      <c r="C312" s="8" t="inlineStr">
        <is>
          <t>Vuông góc cạnh (hộp chạy từ mép vào trong, cùng phương lực dây)</t>
        </is>
      </c>
      <c r="D312" s="8" t="inlineStr">
        <is>
          <t>B4-D53b</t>
        </is>
      </c>
      <c r="E312" s="8" t="n">
        <v>1</v>
      </c>
      <c r="F312" s="8" t="n">
        <v>93.40000000000001</v>
      </c>
      <c r="G312" s="13">
        <f>E312*F312*GiaDinh!$C$18*GiaDinh!$C$17</f>
        <v/>
      </c>
      <c r="H312" s="8">
        <f>GiaDinh!$C$21</f>
        <v/>
      </c>
      <c r="I312" s="8">
        <f>GiaDinh!$C$15</f>
        <v/>
      </c>
      <c r="J312" s="8">
        <f>ROUNDDOWN(I312/H312,0)+1</f>
        <v/>
      </c>
      <c r="K312" s="13">
        <f>J312*GiaDinh!$C$16</f>
        <v/>
      </c>
      <c r="L312" s="8">
        <f>MAX(1,ROUNDUP(G312/K312-0.0005,0))</f>
        <v/>
      </c>
      <c r="M312" s="13">
        <f>L312*I312</f>
        <v/>
      </c>
      <c r="N312" s="8">
        <f>L312*ROUNDUP(I312/GiaDinh!$C$5-0.0005,0)</f>
        <v/>
      </c>
      <c r="O312" s="8">
        <f>L312*(ROUNDUP(I312/GiaDinh!$C$5-0.0005,0)-1)</f>
        <v/>
      </c>
      <c r="P312" s="8">
        <f>L312*J312</f>
        <v/>
      </c>
      <c r="Q312" s="8">
        <f>2*P312</f>
        <v/>
      </c>
      <c r="R312" s="8">
        <f>P312</f>
        <v/>
      </c>
      <c r="S312" s="14">
        <f>M312*GiaDinh!$C$7</f>
        <v/>
      </c>
    </row>
  </sheetData>
  <mergeCells count="1">
    <mergeCell ref="A2:S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8" customWidth="1" min="1" max="1"/>
    <col width="8" customWidth="1" min="2" max="2"/>
    <col width="12" customWidth="1" min="3" max="3"/>
    <col width="12" customWidth="1" min="4" max="4"/>
    <col width="10" customWidth="1" min="5" max="5"/>
    <col width="16" customWidth="1" min="6" max="6"/>
    <col width="16" customWidth="1" min="7" max="7"/>
    <col width="10" customWidth="1" min="8" max="8"/>
    <col width="11" customWidth="1" min="9" max="9"/>
    <col width="9" customWidth="1" min="10" max="10"/>
    <col width="11" customWidth="1" min="11" max="11"/>
    <col width="11" customWidth="1" min="12" max="12"/>
    <col width="10" customWidth="1" min="13" max="13"/>
    <col width="9" customWidth="1" min="14" max="14"/>
  </cols>
  <sheetData>
    <row r="1">
      <c r="A1" s="1" t="inlineStr">
        <is>
          <t>ĐỐI CHIẾU TỪNG TỜ CT-BE (28/10/2026) VỚI MẶT BẰNG BÈ MÀ WEB DÙNG TÍNH NEO (bản vẽ CAD 27/10/2026)</t>
        </is>
      </c>
    </row>
    <row r="2" ht="34" customHeight="1">
      <c r="A2" s="2" t="inlineStr">
        <is>
          <t>Đường bao bè đo trên ảnh từng tờ CT-BE (tỷ lệ in trên tờ, gồm cả mép phao). Số tấm pin trên web lấy đúng bảng từng tờ (18.914 tấm, từ 28/10/2026; trước đó tạm 18.354 tấm của mặt bằng 08/10 chia theo diện tích).</t>
        </is>
      </c>
    </row>
    <row r="3" ht="48" customHeight="1">
      <c r="A3" s="3" t="inlineStr">
        <is>
          <t>Bè</t>
        </is>
      </c>
      <c r="B3" s="3" t="inlineStr">
        <is>
          <t>Tỷ lệ tờ</t>
        </is>
      </c>
      <c r="C3" s="3" t="inlineStr">
        <is>
          <t>Diện tích bản vẽ 28/10 (m²)</t>
        </is>
      </c>
      <c r="D3" s="3" t="inlineStr">
        <is>
          <t>Diện tích trên web (m²)</t>
        </is>
      </c>
      <c r="E3" s="3" t="inlineStr">
        <is>
          <t>Lệch diện tích</t>
        </is>
      </c>
      <c r="F3" s="3" t="inlineStr">
        <is>
          <t>Kích thước bản vẽ (m)</t>
        </is>
      </c>
      <c r="G3" s="3" t="inlineStr">
        <is>
          <t>Kích thước trên web (m)</t>
        </is>
      </c>
      <c r="H3" s="3" t="inlineStr">
        <is>
          <t>Tấm pin bản vẽ</t>
        </is>
      </c>
      <c r="I3" s="3" t="inlineStr">
        <is>
          <t>Tấm pin trên web</t>
        </is>
      </c>
      <c r="J3" s="3" t="inlineStr">
        <is>
          <t>Lệch tấm pin</t>
        </is>
      </c>
      <c r="K3" s="3" t="inlineStr">
        <is>
          <t>Dầm C52 TB 1 thanh (m)</t>
        </is>
      </c>
      <c r="L3" s="3" t="inlineStr">
        <is>
          <t>Hộp 40x60 TB 1 thanh (m)</t>
        </is>
      </c>
      <c r="M3" s="3" t="inlineStr">
        <is>
          <t>Phương dầm C52 trên tờ</t>
        </is>
      </c>
      <c r="N3" s="3" t="inlineStr">
        <is>
          <t>Số dây neo</t>
        </is>
      </c>
    </row>
    <row r="4">
      <c r="A4" s="8" t="inlineStr">
        <is>
          <t>BÈ 1</t>
        </is>
      </c>
      <c r="B4" s="8" t="inlineStr">
        <is>
          <t>1:900</t>
        </is>
      </c>
      <c r="C4" s="9" t="n">
        <v>14719</v>
      </c>
      <c r="D4" s="9" t="n">
        <v>14512</v>
      </c>
      <c r="E4" s="15">
        <f>C4/D4-1</f>
        <v/>
      </c>
      <c r="F4" s="8" t="inlineStr">
        <is>
          <t>291,7 × 50,7</t>
        </is>
      </c>
      <c r="G4" s="8" t="inlineStr">
        <is>
          <t>290,3 × 50,0</t>
        </is>
      </c>
      <c r="H4" s="9" t="n">
        <v>2800</v>
      </c>
      <c r="I4" s="9" t="n">
        <v>2800</v>
      </c>
      <c r="J4" s="15">
        <f>H4/I4-1</f>
        <v/>
      </c>
      <c r="K4" s="13">
        <f>DuLieuBanVe!C14/DuLieuBanVe!C13</f>
        <v/>
      </c>
      <c r="L4" s="13">
        <f>DuLieuBanVe!C16/DuLieuBanVe!C15</f>
        <v/>
      </c>
      <c r="M4" s="8" t="inlineStr">
        <is>
          <t>đứng</t>
        </is>
      </c>
      <c r="N4" s="8" t="n">
        <v>46</v>
      </c>
    </row>
    <row r="5">
      <c r="A5" s="8" t="inlineStr">
        <is>
          <t>BÈ 2</t>
        </is>
      </c>
      <c r="B5" s="8" t="inlineStr">
        <is>
          <t>1:1100</t>
        </is>
      </c>
      <c r="C5" s="9" t="n">
        <v>48033</v>
      </c>
      <c r="D5" s="9" t="n">
        <v>47627</v>
      </c>
      <c r="E5" s="15">
        <f>C5/D5-1</f>
        <v/>
      </c>
      <c r="F5" s="8" t="inlineStr">
        <is>
          <t>384,5 × 148,8</t>
        </is>
      </c>
      <c r="G5" s="8" t="inlineStr">
        <is>
          <t>382,9 × 148,0</t>
        </is>
      </c>
      <c r="H5" s="9" t="n">
        <v>9114</v>
      </c>
      <c r="I5" s="9" t="n">
        <v>9114</v>
      </c>
      <c r="J5" s="15">
        <f>H5/I5-1</f>
        <v/>
      </c>
      <c r="K5" s="13">
        <f>DuLieuBanVe!D14/DuLieuBanVe!D13</f>
        <v/>
      </c>
      <c r="L5" s="13">
        <f>DuLieuBanVe!D16/DuLieuBanVe!D15</f>
        <v/>
      </c>
      <c r="M5" s="8" t="inlineStr">
        <is>
          <t>đứng</t>
        </is>
      </c>
      <c r="N5" s="8" t="n">
        <v>78</v>
      </c>
    </row>
    <row r="6">
      <c r="A6" s="8" t="inlineStr">
        <is>
          <t>BÈ 3</t>
        </is>
      </c>
      <c r="B6" s="8" t="inlineStr">
        <is>
          <t>1:500</t>
        </is>
      </c>
      <c r="C6" s="9" t="n">
        <v>7597</v>
      </c>
      <c r="D6" s="9" t="n">
        <v>7293</v>
      </c>
      <c r="E6" s="15">
        <f>C6/D6-1</f>
        <v/>
      </c>
      <c r="F6" s="8" t="inlineStr">
        <is>
          <t>111,9 × 91,1</t>
        </is>
      </c>
      <c r="G6" s="8" t="inlineStr">
        <is>
          <t>109,9 × 90,0</t>
        </is>
      </c>
      <c r="H6" s="9" t="n">
        <v>1400</v>
      </c>
      <c r="I6" s="9" t="n">
        <v>1400</v>
      </c>
      <c r="J6" s="15">
        <f>H6/I6-1</f>
        <v/>
      </c>
      <c r="K6" s="13">
        <f>DuLieuBanVe!E14/DuLieuBanVe!E13</f>
        <v/>
      </c>
      <c r="L6" s="13">
        <f>DuLieuBanVe!E16/DuLieuBanVe!E15</f>
        <v/>
      </c>
      <c r="M6" s="8" t="inlineStr">
        <is>
          <t>đứng</t>
        </is>
      </c>
      <c r="N6" s="8" t="n">
        <v>30</v>
      </c>
    </row>
    <row r="7">
      <c r="A7" s="8" t="inlineStr">
        <is>
          <t>BÈ 4</t>
        </is>
      </c>
      <c r="B7" s="8" t="inlineStr">
        <is>
          <t>1:1000</t>
        </is>
      </c>
      <c r="C7" s="9" t="n">
        <v>29916</v>
      </c>
      <c r="D7" s="9" t="n">
        <v>29371</v>
      </c>
      <c r="E7" s="15">
        <f>C7/D7-1</f>
        <v/>
      </c>
      <c r="F7" s="8" t="inlineStr">
        <is>
          <t>348,7 × 117,9</t>
        </is>
      </c>
      <c r="G7" s="8" t="inlineStr">
        <is>
          <t>348,0 × 111,8</t>
        </is>
      </c>
      <c r="H7" s="9" t="n">
        <v>5600</v>
      </c>
      <c r="I7" s="9" t="n">
        <v>5600</v>
      </c>
      <c r="J7" s="15">
        <f>H7/I7-1</f>
        <v/>
      </c>
      <c r="K7" s="13">
        <f>DuLieuBanVe!F14/DuLieuBanVe!F13</f>
        <v/>
      </c>
      <c r="L7" s="13">
        <f>DuLieuBanVe!F16/DuLieuBanVe!F15</f>
        <v/>
      </c>
      <c r="M7" s="8" t="inlineStr">
        <is>
          <t>ngang</t>
        </is>
      </c>
      <c r="N7" s="8" t="n">
        <v>68</v>
      </c>
    </row>
    <row r="8">
      <c r="A8" s="16" t="inlineStr">
        <is>
          <t>TỔNG</t>
        </is>
      </c>
      <c r="B8" s="16" t="n"/>
      <c r="C8" s="17">
        <f>SUM(C4:C7)</f>
        <v/>
      </c>
      <c r="D8" s="17">
        <f>SUM(D4:D7)</f>
        <v/>
      </c>
      <c r="E8" s="18">
        <f>C8/D8-1</f>
        <v/>
      </c>
      <c r="F8" s="16" t="n"/>
      <c r="G8" s="16" t="n"/>
      <c r="H8" s="17">
        <f>SUM(H4:H7)</f>
        <v/>
      </c>
      <c r="I8" s="17">
        <f>SUM(I4:I7)</f>
        <v/>
      </c>
      <c r="J8" s="18">
        <f>H8/I8-1</f>
        <v/>
      </c>
      <c r="K8" s="16" t="n"/>
      <c r="L8" s="16" t="n"/>
      <c r="M8" s="16" t="n"/>
      <c r="N8" s="16">
        <f>SUM(N4:N7)</f>
        <v/>
      </c>
    </row>
  </sheetData>
  <mergeCells count="1">
    <mergeCell ref="A2:N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9" customWidth="1" min="1" max="1"/>
    <col width="52" customWidth="1" min="2" max="2"/>
    <col width="10" customWidth="1" min="3" max="3"/>
    <col width="10" customWidth="1" min="4" max="4"/>
    <col width="110" customWidth="1" min="5" max="5"/>
  </cols>
  <sheetData>
    <row r="1">
      <c r="A1" s="1" t="inlineStr">
        <is>
          <t>THÔNG SỐ GIẢ ĐỊNH — ô tô vàng là ô NHẬP, sửa là cả file tự tính lại (bản vẽ GC-01 vẽ theo giá trị mặc định)</t>
        </is>
      </c>
    </row>
    <row r="3">
      <c r="A3" s="3" t="inlineStr">
        <is>
          <t>Mã</t>
        </is>
      </c>
      <c r="B3" s="3" t="inlineStr">
        <is>
          <t>Thông số</t>
        </is>
      </c>
      <c r="C3" s="3" t="inlineStr">
        <is>
          <t>Giá trị</t>
        </is>
      </c>
      <c r="D3" s="3" t="inlineStr">
        <is>
          <t>Đơn vị</t>
        </is>
      </c>
      <c r="E3" s="3" t="inlineStr">
        <is>
          <t>Ghi chú</t>
        </is>
      </c>
    </row>
    <row r="4">
      <c r="A4" s="8" t="inlineStr">
        <is>
          <t>L_C52</t>
        </is>
      </c>
      <c r="B4" s="8" t="inlineStr">
        <is>
          <t>Chiều dài cây dầm C52 khi cấp hàng</t>
        </is>
      </c>
      <c r="C4" s="19" t="n">
        <v>6</v>
      </c>
      <c r="D4" s="8" t="inlineStr">
        <is>
          <t>m</t>
        </is>
      </c>
      <c r="E4" s="8" t="inlineStr">
        <is>
          <t>GIẢ ĐỊNH. HD lắp Mibet G5 dùng đoạn L2990 / L3750 — nếu cấp đoạn ~3 m thì số mối nối gần gấp đôi</t>
        </is>
      </c>
    </row>
    <row r="5">
      <c r="A5" s="8" t="inlineStr">
        <is>
          <t>L_H</t>
        </is>
      </c>
      <c r="B5" s="8" t="inlineStr">
        <is>
          <t>Chiều dài cây hộp 40x60</t>
        </is>
      </c>
      <c r="C5" s="19" t="n">
        <v>6</v>
      </c>
      <c r="D5" s="8" t="inlineStr">
        <is>
          <t>m</t>
        </is>
      </c>
      <c r="E5" s="8" t="inlineStr">
        <is>
          <t>GIẢ ĐỊNH, cây thép hộp thương mại 6 m</t>
        </is>
      </c>
    </row>
    <row r="6">
      <c r="A6" s="8" t="inlineStr">
        <is>
          <t>M_C52</t>
        </is>
      </c>
      <c r="B6" s="8" t="inlineStr">
        <is>
          <t>Khối lượng dầm C52</t>
        </is>
      </c>
      <c r="C6" s="19" t="n">
        <v>2.36</v>
      </c>
      <c r="D6" s="8" t="inlineStr">
        <is>
          <t>kg/m</t>
        </is>
      </c>
      <c r="E6" s="8" t="inlineStr">
        <is>
          <t>GIẢ ĐỊNH tiết diện C 52×41×12×2,0 (chưa có catalogue nhà sản xuất)</t>
        </is>
      </c>
    </row>
    <row r="7">
      <c r="A7" s="8" t="inlineStr">
        <is>
          <t>M_H</t>
        </is>
      </c>
      <c r="B7" s="8" t="inlineStr">
        <is>
          <t>Khối lượng hộp 40x60</t>
        </is>
      </c>
      <c r="C7" s="19" t="n">
        <v>3.01</v>
      </c>
      <c r="D7" s="8" t="inlineStr">
        <is>
          <t>kg/m</t>
        </is>
      </c>
      <c r="E7" s="8" t="inlineStr">
        <is>
          <t>GIẢ ĐỊNH 40×60×2,0</t>
        </is>
      </c>
    </row>
    <row r="8">
      <c r="A8" s="8" t="inlineStr">
        <is>
          <t>K_FS</t>
        </is>
      </c>
      <c r="B8" s="8" t="inlineStr">
        <is>
          <t>Gá trước (Front Support) mỗi tấm pin</t>
        </is>
      </c>
      <c r="C8" s="19" t="n">
        <v>2</v>
      </c>
      <c r="D8" s="8" t="inlineStr">
        <is>
          <t>cái/tấm</t>
        </is>
      </c>
      <c r="E8" s="8" t="inlineStr">
        <is>
          <t>ƯỚC LƯỢNG theo HD lắp G5</t>
        </is>
      </c>
    </row>
    <row r="9">
      <c r="A9" s="8" t="inlineStr">
        <is>
          <t>K_BS</t>
        </is>
      </c>
      <c r="B9" s="8" t="inlineStr">
        <is>
          <t>Gá sau (Back Support) mỗi tấm pin</t>
        </is>
      </c>
      <c r="C9" s="19" t="n">
        <v>2</v>
      </c>
      <c r="D9" s="8" t="inlineStr">
        <is>
          <t>cái/tấm</t>
        </is>
      </c>
      <c r="E9" s="8" t="inlineStr">
        <is>
          <t>ƯỚC LƯỢNG</t>
        </is>
      </c>
    </row>
    <row r="10">
      <c r="A10" s="8" t="inlineStr">
        <is>
          <t>K_EC</t>
        </is>
      </c>
      <c r="B10" s="8" t="inlineStr">
        <is>
          <t>Bộ kẹp biên tấm pin (End Clamp Kit) mỗi tấm</t>
        </is>
      </c>
      <c r="C10" s="19" t="n">
        <v>2</v>
      </c>
      <c r="D10" s="8" t="inlineStr">
        <is>
          <t>bộ/tấm</t>
        </is>
      </c>
      <c r="E10" s="8" t="inlineStr">
        <is>
          <t>ƯỚC LƯỢNG</t>
        </is>
      </c>
    </row>
    <row r="11">
      <c r="A11" s="8" t="inlineStr">
        <is>
          <t>K_GC</t>
        </is>
      </c>
      <c r="B11" s="8" t="inlineStr">
        <is>
          <t>Bộ kẹp tiếp địa mỗi tấm</t>
        </is>
      </c>
      <c r="C11" s="19" t="n">
        <v>2</v>
      </c>
      <c r="D11" s="8" t="inlineStr">
        <is>
          <t>bộ/tấm</t>
        </is>
      </c>
      <c r="E11" s="8" t="inlineStr">
        <is>
          <t>ƯỚC LƯỢNG; hỏi Mibet: kẹp biên/kẹp giữa có răng tiếp địa thì bỏ được hạng mục này, hoặc 1 bộ/tấm</t>
        </is>
      </c>
    </row>
    <row r="12">
      <c r="A12" s="8" t="inlineStr">
        <is>
          <t>K_RN8</t>
        </is>
      </c>
      <c r="B12" s="8" t="inlineStr">
        <is>
          <t>Bộ đai ốc thoi M8×25 bắt gá vào C52</t>
        </is>
      </c>
      <c r="C12" s="19" t="n">
        <v>4</v>
      </c>
      <c r="D12" s="8" t="inlineStr">
        <is>
          <t>bộ/tấm</t>
        </is>
      </c>
      <c r="E12" s="8" t="inlineStr">
        <is>
          <t>ƯỚC LƯỢNG = 1 bộ mỗi gá</t>
        </is>
      </c>
    </row>
    <row r="13">
      <c r="A13" s="8" t="inlineStr">
        <is>
          <t>K_FB</t>
        </is>
      </c>
      <c r="B13" s="8" t="inlineStr">
        <is>
          <t>Bộ bulông nhựa nối phao</t>
        </is>
      </c>
      <c r="C13" s="19" t="n">
        <v>2</v>
      </c>
      <c r="D13" s="8" t="inlineStr">
        <is>
          <t>bộ/phao</t>
        </is>
      </c>
      <c r="E13" s="8" t="inlineStr">
        <is>
          <t>ƯỚC LƯỢNG (HD: các phao nối với nhau bằng bulông + đai ốc nhựa)</t>
        </is>
      </c>
    </row>
    <row r="14">
      <c r="A14" s="8" t="inlineStr">
        <is>
          <t>HH</t>
        </is>
      </c>
      <c r="B14" s="8" t="inlineStr">
        <is>
          <t>Hao hụt phụ kiện, bulông</t>
        </is>
      </c>
      <c r="C14" s="19" t="n">
        <v>3</v>
      </c>
      <c r="D14" s="8" t="inlineStr">
        <is>
          <t>%</t>
        </is>
      </c>
      <c r="E14" s="8" t="inlineStr">
        <is>
          <t>GIẢ ĐỊNH, chỉ cộng ở cột "Tổng có hao hụt"</t>
        </is>
      </c>
    </row>
    <row r="15">
      <c r="A15" s="8" t="inlineStr">
        <is>
          <t>L_GC</t>
        </is>
      </c>
      <c r="B15" s="8" t="inlineStr">
        <is>
          <t>Chiều dài 1 thanh hộp 40x60 gia cường tai neo</t>
        </is>
      </c>
      <c r="C15" s="19" t="n">
        <v>15</v>
      </c>
      <c r="D15" s="8" t="inlineStr">
        <is>
          <t>m</t>
        </is>
      </c>
      <c r="E15" s="8" t="inlineStr">
        <is>
          <t>Theo bản vẽ gia cường bè 1 Huổi Vanh 9 bè (13,4–15,5 m)</t>
        </is>
      </c>
    </row>
    <row r="16">
      <c r="A16" s="8" t="inlineStr">
        <is>
          <t>P_KEP</t>
        </is>
      </c>
      <c r="B16" s="8" t="inlineStr">
        <is>
          <t>Sức chịu 1 móc "几" (2 đai ốc thoi M10×30 trong rãnh C52)</t>
        </is>
      </c>
      <c r="C16" s="19" t="n">
        <v>7</v>
      </c>
      <c r="D16" s="8" t="inlineStr">
        <is>
          <t>kN</t>
        </is>
      </c>
      <c r="E16" s="8" t="inlineStr">
        <is>
          <t>GIẢ ĐỊNH — chưa có số liệu nhà sản xuất; quyết định số thanh xếp song song ở cụm chịu lực lớn. Bản vẽ GC-01 vẽ số thanh theo giá trị mặc định này</t>
        </is>
      </c>
    </row>
    <row r="17">
      <c r="A17" s="8" t="inlineStr">
        <is>
          <t>GAMMA</t>
        </is>
      </c>
      <c r="B17" s="8" t="inlineStr">
        <is>
          <t>Hệ số tải trọng cho lực dây</t>
        </is>
      </c>
      <c r="C17" s="19" t="n">
        <v>1.2</v>
      </c>
      <c r="D17" s="8" t="inlineStr"/>
      <c r="E17" s="8" t="inlineStr">
        <is>
          <t>Như kiểm tra cọc (pileBendingLoadFactor)</t>
        </is>
      </c>
    </row>
    <row r="18">
      <c r="A18" s="8" t="inlineStr">
        <is>
          <t>K_Y</t>
        </is>
      </c>
      <c r="B18" s="8" t="inlineStr">
        <is>
          <t>Phần lực dây vào MỘT bích (cáp 2 nhánh chữ Y)</t>
        </is>
      </c>
      <c r="C18" s="19" t="n">
        <v>0.7</v>
      </c>
      <c r="D18" s="8" t="inlineStr">
        <is>
          <t>× T</t>
        </is>
      </c>
      <c r="E18" s="8" t="inlineStr">
        <is>
          <t>Chia đều ở góc 60°: 0,58 T; lấy 0,7 T vì 2 nhánh có thể dài lệch nhau (cùng giả định với bảng vật tư neo, sheet KiemTra_Nhanh)</t>
        </is>
      </c>
    </row>
    <row r="19">
      <c r="A19" s="8" t="inlineStr">
        <is>
          <t>K_DU</t>
        </is>
      </c>
      <c r="B19" s="8" t="inlineStr">
        <is>
          <t>Phần thừa trung bình của cây cuối mỗi thanh</t>
        </is>
      </c>
      <c r="C19" s="19" t="n">
        <v>0.5</v>
      </c>
      <c r="D19" s="8" t="inlineStr">
        <is>
          <t>cây/thanh</t>
        </is>
      </c>
      <c r="E19" s="8" t="inlineStr">
        <is>
          <t>ƯỚC LƯỢNG: không đo được từng thanh → số cây = ROUNDUP(tổng dài / L + số thanh × K_DU)</t>
        </is>
      </c>
    </row>
    <row r="20">
      <c r="A20" s="8" t="inlineStr">
        <is>
          <t>K_XF</t>
        </is>
      </c>
      <c r="B20" s="8" t="inlineStr">
        <is>
          <t>Số chỗ dầm C52 vượt qua một hàng phao, trên 1 m dầm</t>
        </is>
      </c>
      <c r="C20" s="19" t="n">
        <v>0.522</v>
      </c>
      <c r="D20" s="8" t="inlineStr">
        <is>
          <t>điểm/m</t>
        </is>
      </c>
      <c r="E20" s="8" t="inlineStr">
        <is>
          <t>ĐO trên bè 5 Bản Mòng (cùng hệ G5). Kiểm lại trên BÈ 1 Huổi Vanh: 234 dầm × 26 hàng phao mỗi khối / 11.925 m = 0,51</t>
        </is>
      </c>
    </row>
    <row r="21">
      <c r="A21" s="8" t="inlineStr">
        <is>
          <t>B_C52</t>
        </is>
      </c>
      <c r="B21" s="8" t="inlineStr">
        <is>
          <t>Khoảng cách trung bình giữa các dầm C52 (theo phương hộp)</t>
        </is>
      </c>
      <c r="C21" s="19" t="n">
        <v>1.225</v>
      </c>
      <c r="D21" s="8" t="inlineStr">
        <is>
          <t>m</t>
        </is>
      </c>
      <c r="E21" s="8" t="inlineStr">
        <is>
          <t>ĐO trên bè 5 Bản Mòng; Huổi Vanh: bề rộng / số dầm = 1,24 m (BÈ 1, BÈ 2), 1,22 m (BÈ 3). 1 bulông M10×120 mỗi giao điểm hộp – dầm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5" customWidth="1" min="1" max="1"/>
    <col width="150" customWidth="1" min="2" max="2"/>
  </cols>
  <sheetData>
    <row r="1">
      <c r="A1" s="1" t="inlineStr">
        <is>
          <t>GHI CHÚ, NGUỒN SỐ LIỆU VÀ CÁC ĐIỂM CẦN XÁC NHẬN</t>
        </is>
      </c>
    </row>
    <row r="3">
      <c r="A3" s="8" t="n">
        <v>1</v>
      </c>
      <c r="B3" s="8" t="inlineStr">
        <is>
          <t>Nguồn: "HOHUOIVANH.BỐ TRÍ BÈ PIN 281026.pdf" (9 tờ: CT-BE01…04 bố trí từng bè có bảng tấm pin, phao, inverter; KC-BE-01…04 khung kết cấu có bảng dầm C52 và hộp 40x60; MB-BP-01 mặt bằng tổng có bảng phao đỡ cáp), HD lắp Mibet MRac G5, tài liệu phụ kiện Mibet, datasheet G5G. Script: scripts/buildHuoiVanhRaftBOQ.py.</t>
        </is>
      </c>
    </row>
    <row r="4">
      <c r="A4" s="8" t="n">
        <v>2</v>
      </c>
      <c r="B4" s="8" t="inlineStr">
        <is>
          <t>Số tấm pin, phao, inverter, số thanh và chiều dài dầm C52, hộp 40x60 lấy NGUYÊN bảng thống kê trên bản vẽ (script kiểm tra từng số có trên đúng tờ).</t>
        </is>
      </c>
    </row>
    <row r="5">
      <c r="A5" s="8" t="n">
        <v>3</v>
      </c>
      <c r="B5" s="8" t="inlineStr">
        <is>
          <t>Số tấm pin 18.914 tấm (BÈ 1: 2.800; BÈ 2: 9.114; BÈ 3: 1.400; BÈ 4: 5.600). Từ 28/10/2026 lực gió, lực dây, cáp, cọc, đế trên web và trong thuyết minh, bảng tính, bảng vật tư neo đều tính theo số tấm này (trước đó tạm 18.354 tấm chia theo diện tích).</t>
        </is>
      </c>
    </row>
    <row r="6">
      <c r="A6" s="8" t="n">
        <v>4</v>
      </c>
      <c r="B6" s="8" t="inlineStr">
        <is>
          <t>Bản vẽ không thể hiện từng thanh thép đủ để đo: số cây cấp hàng, mối nối, bulông M8 và M10 là ƯỚC LƯỢNG theo hệ số ở GiaDinh (cùng hệ số với bảng Bản Mòng, hệ MRac G5 như nhau). Bảng KC-BE-03 (BÈ 3) ghi hộp 40x60 23 thanh dài 3.402,96 m — trung bình 148 m/thanh, dài hơn kích thước lớn nhất của bè (109,9 m); tờ KC-BE-03 vẽ tấm pin chứ không vẽ khung. Cần kiểm lại bảng này.</t>
        </is>
      </c>
    </row>
    <row r="7">
      <c r="A7" s="8" t="n">
        <v>5</v>
      </c>
      <c r="B7" s="8" t="inlineStr">
        <is>
          <t>Bản vẽ CHƯA có hộp 40x60 gia cường tai neo. Mục D bố trí cho cả 4 bè (sơ đồ GC-01, file DXF/DWG kèm theo) theo cách của bản vẽ gia cường bè 1 Huổi Vanh trước đây: cáp 2 nhánh chữ Y (Chủ đầu tư chọn 16/10/2026), 2 bích mỗi dây cách nhau 3,5 m, mỗi bích chịu K_Y × T; T là lực dây của bè trong bảng vật tư neo (engine, gió 20 m/s, chỉnh dây mỗi 1 m mực nước). Với P_KEP = 7 kN GIẢ ĐỊNH, cụm chịu lực lớn cần 2–3 thanh xếp song song — cần số liệu sức chịu móc "几" của Mibet hoặc bản vẽ gia cường của nhà cung cấp bè.</t>
        </is>
      </c>
    </row>
    <row r="8">
      <c r="A8" s="8" t="n">
        <v>6</v>
      </c>
      <c r="B8" s="8" t="inlineStr">
        <is>
          <t>Mặt bằng neo (số dây, vị trí bích) là của web, tính trên mặt bằng bè CAD 27/10/2026 (CHUGIAP-HOHUOIVANH ver 3); sheet DoiChieu_MatBang so với từng tờ CT-BE 28/10.</t>
        </is>
      </c>
    </row>
    <row r="9">
      <c r="A9" s="8" t="n">
        <v>7</v>
      </c>
      <c r="B9" s="8" t="inlineStr">
        <is>
          <t>Khối lượng thép theo tiết diện GIẢ ĐỊNH (C52 ≈ 2,36 kg/m; hộp 40×60×2,0 ≈ 3,01 kg/m) vì chưa có catalogue tiết diện của nhà sản xuất.</t>
        </is>
      </c>
    </row>
    <row r="10">
      <c r="A10" s="8" t="n">
        <v>8</v>
      </c>
      <c r="B10" s="8" t="inlineStr">
        <is>
          <t>Gá đỡ, kẹp tấm pin, bulông nối phao là ƯỚC LƯỢNG theo hệ số mỗi tấm / mỗi phao (sheet GiaDinh) — phải thay bằng BOM của nhà sản xuất khi có. Kẹp tiếp địa: hỏi Mibet trước khi đặt (có thể bỏ nếu kẹp có răng tiếp địa).</t>
        </is>
      </c>
    </row>
    <row r="11">
      <c r="A11" s="8" t="n">
        <v>9</v>
      </c>
      <c r="B11" s="8" t="inlineStr">
        <is>
          <t>Chưa gồm: cáp neo, phụ kiện đầu cáp, cọc khoan nhồi, đế neo (xem bảng thống kê vật tư neo Huổi Vanh), cáp điện DC/AC, máng cáp, tủ điện, tấm lối đi (Walkway Board) nếu có, vận chuyển.</t>
        </is>
      </c>
    </row>
    <row r="12">
      <c r="A12" s="8" t="n">
        <v>10</v>
      </c>
      <c r="B12" s="8" t="inlineStr">
        <is>
          <t>Hình minh họa ở cột C chép từ bảng vật tư bè pin Huổi Vanh trước đây (cắt từ tài liệu Mibet): chỉ để nhận dạng loại vật tư, không phải bản vẽ chế tạo.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2026-10-28T16:47:45Z</dcterms:created>
  <dcterms:modified xsi:type="dcterms:W3CDTF">2026-10-28T16:47:45Z</dcterms:modified>
</cp:coreProperties>
</file>