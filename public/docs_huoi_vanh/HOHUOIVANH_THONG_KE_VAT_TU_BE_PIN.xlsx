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codeName="ThisWorkbook"/>
  <mc:AlternateContent xmlns:mc="http://schemas.openxmlformats.org/markup-compatibility/2006">
    <mc:Choice Requires="x15">
      <x15ac:absPath xmlns:x15ac="http://schemas.microsoft.com/office/spreadsheetml/2010/11/ac" url="C:\Users\nhatm\AppData\Local\Temp\claude\E--Out-Job-Chu-Giap-Web-t-nh-neo-b-\76591ad0-fd64-4fcb-9443-d8c50853fa07\scratchpad\boq\"/>
    </mc:Choice>
  </mc:AlternateContent>
  <xr:revisionPtr revIDLastSave="0" documentId="8_{281F8ECC-978B-4616-8493-E8008AD5A1F0}" xr6:coauthVersionLast="47" xr6:coauthVersionMax="47" xr10:uidLastSave="{00000000-0000-0000-0000-000000000000}"/>
  <bookViews>
    <workbookView xWindow="2380" yWindow="4110" windowWidth="19200" windowHeight="11170" firstSheet="3" activeTab="7" xr2:uid="{00000000-000D-0000-FFFF-FFFF00000000}"/>
  </bookViews>
  <sheets>
    <sheet name="TongHop" sheetId="1" r:id="rId1"/>
    <sheet name="DuLieuBanVe" sheetId="2" r:id="rId2"/>
    <sheet name="C52_TungThanh" sheetId="3" r:id="rId3"/>
    <sheet name="Hop40x60_TungThanh" sheetId="4" r:id="rId4"/>
    <sheet name="GiaCuong_Be1" sheetId="5" r:id="rId5"/>
    <sheet name="GiaCuong_UocTinh" sheetId="6" r:id="rId6"/>
    <sheet name="GiaDinh" sheetId="7" r:id="rId7"/>
    <sheet name="GhiChu" sheetId="8" r:id="rId8"/>
  </sheets>
  <calcPr calcId="181029"/>
</workbook>
</file>

<file path=xl/calcChain.xml><?xml version="1.0" encoding="utf-8"?>
<calcChain xmlns="http://schemas.openxmlformats.org/spreadsheetml/2006/main">
  <c r="I392" i="6" l="1"/>
  <c r="J392" i="6" s="1"/>
  <c r="K392" i="6" s="1"/>
  <c r="G392" i="6"/>
  <c r="I391" i="6"/>
  <c r="J391" i="6" s="1"/>
  <c r="K391" i="6" s="1"/>
  <c r="G391" i="6"/>
  <c r="I390" i="6"/>
  <c r="J390" i="6" s="1"/>
  <c r="K390" i="6" s="1"/>
  <c r="G390" i="6"/>
  <c r="L390" i="6" s="1"/>
  <c r="I389" i="6"/>
  <c r="J389" i="6" s="1"/>
  <c r="K389" i="6" s="1"/>
  <c r="G389" i="6"/>
  <c r="I388" i="6"/>
  <c r="J388" i="6" s="1"/>
  <c r="K388" i="6" s="1"/>
  <c r="L388" i="6" s="1"/>
  <c r="G388" i="6"/>
  <c r="I387" i="6"/>
  <c r="J387" i="6" s="1"/>
  <c r="K387" i="6" s="1"/>
  <c r="G387" i="6"/>
  <c r="L387" i="6" s="1"/>
  <c r="I386" i="6"/>
  <c r="J386" i="6" s="1"/>
  <c r="K386" i="6" s="1"/>
  <c r="G386" i="6"/>
  <c r="I385" i="6"/>
  <c r="J385" i="6" s="1"/>
  <c r="K385" i="6" s="1"/>
  <c r="G385" i="6"/>
  <c r="I384" i="6"/>
  <c r="J384" i="6" s="1"/>
  <c r="K384" i="6" s="1"/>
  <c r="G384" i="6"/>
  <c r="I383" i="6"/>
  <c r="J383" i="6" s="1"/>
  <c r="K383" i="6" s="1"/>
  <c r="G383" i="6"/>
  <c r="I382" i="6"/>
  <c r="J382" i="6" s="1"/>
  <c r="K382" i="6" s="1"/>
  <c r="G382" i="6"/>
  <c r="J381" i="6"/>
  <c r="K381" i="6" s="1"/>
  <c r="I381" i="6"/>
  <c r="G381" i="6"/>
  <c r="I380" i="6"/>
  <c r="J380" i="6" s="1"/>
  <c r="K380" i="6" s="1"/>
  <c r="G380" i="6"/>
  <c r="L380" i="6" s="1"/>
  <c r="J379" i="6"/>
  <c r="K379" i="6" s="1"/>
  <c r="I379" i="6"/>
  <c r="G379" i="6"/>
  <c r="I378" i="6"/>
  <c r="J378" i="6" s="1"/>
  <c r="K378" i="6" s="1"/>
  <c r="G378" i="6"/>
  <c r="L378" i="6" s="1"/>
  <c r="I377" i="6"/>
  <c r="J377" i="6" s="1"/>
  <c r="K377" i="6" s="1"/>
  <c r="G377" i="6"/>
  <c r="I376" i="6"/>
  <c r="J376" i="6" s="1"/>
  <c r="K376" i="6" s="1"/>
  <c r="G376" i="6"/>
  <c r="I375" i="6"/>
  <c r="J375" i="6" s="1"/>
  <c r="K375" i="6" s="1"/>
  <c r="G375" i="6"/>
  <c r="R374" i="6"/>
  <c r="I374" i="6"/>
  <c r="J374" i="6" s="1"/>
  <c r="K374" i="6" s="1"/>
  <c r="G374" i="6"/>
  <c r="L374" i="6" s="1"/>
  <c r="P374" i="6" s="1"/>
  <c r="Q374" i="6" s="1"/>
  <c r="I373" i="6"/>
  <c r="J373" i="6" s="1"/>
  <c r="K373" i="6" s="1"/>
  <c r="L373" i="6" s="1"/>
  <c r="G373" i="6"/>
  <c r="I372" i="6"/>
  <c r="J372" i="6" s="1"/>
  <c r="K372" i="6" s="1"/>
  <c r="G372" i="6"/>
  <c r="I371" i="6"/>
  <c r="J371" i="6" s="1"/>
  <c r="K371" i="6" s="1"/>
  <c r="G371" i="6"/>
  <c r="I370" i="6"/>
  <c r="J370" i="6" s="1"/>
  <c r="K370" i="6" s="1"/>
  <c r="L370" i="6" s="1"/>
  <c r="G370" i="6"/>
  <c r="I369" i="6"/>
  <c r="J369" i="6" s="1"/>
  <c r="K369" i="6" s="1"/>
  <c r="G369" i="6"/>
  <c r="I368" i="6"/>
  <c r="J368" i="6" s="1"/>
  <c r="K368" i="6" s="1"/>
  <c r="G368" i="6"/>
  <c r="I367" i="6"/>
  <c r="J367" i="6" s="1"/>
  <c r="K367" i="6" s="1"/>
  <c r="G367" i="6"/>
  <c r="I366" i="6"/>
  <c r="J366" i="6" s="1"/>
  <c r="K366" i="6" s="1"/>
  <c r="G366" i="6"/>
  <c r="L366" i="6" s="1"/>
  <c r="I365" i="6"/>
  <c r="J365" i="6" s="1"/>
  <c r="K365" i="6" s="1"/>
  <c r="G365" i="6"/>
  <c r="I364" i="6"/>
  <c r="J364" i="6" s="1"/>
  <c r="K364" i="6" s="1"/>
  <c r="L364" i="6" s="1"/>
  <c r="P364" i="6" s="1"/>
  <c r="G364" i="6"/>
  <c r="I363" i="6"/>
  <c r="J363" i="6" s="1"/>
  <c r="K363" i="6" s="1"/>
  <c r="G363" i="6"/>
  <c r="I362" i="6"/>
  <c r="J362" i="6" s="1"/>
  <c r="K362" i="6" s="1"/>
  <c r="G362" i="6"/>
  <c r="L362" i="6" s="1"/>
  <c r="P362" i="6" s="1"/>
  <c r="I361" i="6"/>
  <c r="J361" i="6" s="1"/>
  <c r="K361" i="6" s="1"/>
  <c r="G361" i="6"/>
  <c r="I360" i="6"/>
  <c r="J360" i="6" s="1"/>
  <c r="K360" i="6" s="1"/>
  <c r="G360" i="6"/>
  <c r="I359" i="6"/>
  <c r="J359" i="6" s="1"/>
  <c r="K359" i="6" s="1"/>
  <c r="G359" i="6"/>
  <c r="I358" i="6"/>
  <c r="J358" i="6" s="1"/>
  <c r="K358" i="6" s="1"/>
  <c r="G358" i="6"/>
  <c r="I357" i="6"/>
  <c r="J357" i="6" s="1"/>
  <c r="K357" i="6" s="1"/>
  <c r="G357" i="6"/>
  <c r="I356" i="6"/>
  <c r="J356" i="6" s="1"/>
  <c r="K356" i="6" s="1"/>
  <c r="G356" i="6"/>
  <c r="I355" i="6"/>
  <c r="J355" i="6" s="1"/>
  <c r="K355" i="6" s="1"/>
  <c r="G355" i="6"/>
  <c r="L354" i="6"/>
  <c r="I354" i="6"/>
  <c r="J354" i="6" s="1"/>
  <c r="K354" i="6" s="1"/>
  <c r="G354" i="6"/>
  <c r="I353" i="6"/>
  <c r="J353" i="6" s="1"/>
  <c r="K353" i="6" s="1"/>
  <c r="G353" i="6"/>
  <c r="O352" i="6"/>
  <c r="I352" i="6"/>
  <c r="J352" i="6" s="1"/>
  <c r="K352" i="6" s="1"/>
  <c r="L352" i="6" s="1"/>
  <c r="G352" i="6"/>
  <c r="I351" i="6"/>
  <c r="J351" i="6" s="1"/>
  <c r="K351" i="6" s="1"/>
  <c r="G351" i="6"/>
  <c r="I350" i="6"/>
  <c r="J350" i="6" s="1"/>
  <c r="K350" i="6" s="1"/>
  <c r="G350" i="6"/>
  <c r="I349" i="6"/>
  <c r="J349" i="6" s="1"/>
  <c r="K349" i="6" s="1"/>
  <c r="L349" i="6" s="1"/>
  <c r="G349" i="6"/>
  <c r="I348" i="6"/>
  <c r="J348" i="6" s="1"/>
  <c r="K348" i="6" s="1"/>
  <c r="L348" i="6" s="1"/>
  <c r="G348" i="6"/>
  <c r="I347" i="6"/>
  <c r="J347" i="6" s="1"/>
  <c r="K347" i="6" s="1"/>
  <c r="G347" i="6"/>
  <c r="I346" i="6"/>
  <c r="J346" i="6" s="1"/>
  <c r="K346" i="6" s="1"/>
  <c r="G346" i="6"/>
  <c r="I345" i="6"/>
  <c r="J345" i="6" s="1"/>
  <c r="K345" i="6" s="1"/>
  <c r="G345" i="6"/>
  <c r="I344" i="6"/>
  <c r="J344" i="6" s="1"/>
  <c r="K344" i="6" s="1"/>
  <c r="G344" i="6"/>
  <c r="L344" i="6" s="1"/>
  <c r="N344" i="6" s="1"/>
  <c r="J343" i="6"/>
  <c r="K343" i="6" s="1"/>
  <c r="I343" i="6"/>
  <c r="G343" i="6"/>
  <c r="L343" i="6" s="1"/>
  <c r="I342" i="6"/>
  <c r="J342" i="6" s="1"/>
  <c r="K342" i="6" s="1"/>
  <c r="G342" i="6"/>
  <c r="L342" i="6" s="1"/>
  <c r="I341" i="6"/>
  <c r="J341" i="6" s="1"/>
  <c r="K341" i="6" s="1"/>
  <c r="G341" i="6"/>
  <c r="I340" i="6"/>
  <c r="J340" i="6" s="1"/>
  <c r="K340" i="6" s="1"/>
  <c r="G340" i="6"/>
  <c r="I339" i="6"/>
  <c r="J339" i="6" s="1"/>
  <c r="K339" i="6" s="1"/>
  <c r="G339" i="6"/>
  <c r="I338" i="6"/>
  <c r="J338" i="6" s="1"/>
  <c r="K338" i="6" s="1"/>
  <c r="G338" i="6"/>
  <c r="L338" i="6" s="1"/>
  <c r="O338" i="6" s="1"/>
  <c r="I337" i="6"/>
  <c r="J337" i="6" s="1"/>
  <c r="K337" i="6" s="1"/>
  <c r="G337" i="6"/>
  <c r="I336" i="6"/>
  <c r="J336" i="6" s="1"/>
  <c r="K336" i="6" s="1"/>
  <c r="G336" i="6"/>
  <c r="L336" i="6" s="1"/>
  <c r="J335" i="6"/>
  <c r="K335" i="6" s="1"/>
  <c r="I335" i="6"/>
  <c r="G335" i="6"/>
  <c r="I334" i="6"/>
  <c r="J334" i="6" s="1"/>
  <c r="K334" i="6" s="1"/>
  <c r="L334" i="6" s="1"/>
  <c r="G334" i="6"/>
  <c r="J333" i="6"/>
  <c r="K333" i="6" s="1"/>
  <c r="L333" i="6" s="1"/>
  <c r="I333" i="6"/>
  <c r="G333" i="6"/>
  <c r="I332" i="6"/>
  <c r="J332" i="6" s="1"/>
  <c r="K332" i="6" s="1"/>
  <c r="G332" i="6"/>
  <c r="I331" i="6"/>
  <c r="J331" i="6" s="1"/>
  <c r="K331" i="6" s="1"/>
  <c r="G331" i="6"/>
  <c r="L331" i="6" s="1"/>
  <c r="I330" i="6"/>
  <c r="J330" i="6" s="1"/>
  <c r="K330" i="6" s="1"/>
  <c r="G330" i="6"/>
  <c r="L330" i="6" s="1"/>
  <c r="P329" i="6"/>
  <c r="I329" i="6"/>
  <c r="J329" i="6" s="1"/>
  <c r="K329" i="6" s="1"/>
  <c r="L329" i="6" s="1"/>
  <c r="G329" i="6"/>
  <c r="I328" i="6"/>
  <c r="J328" i="6" s="1"/>
  <c r="K328" i="6" s="1"/>
  <c r="G328" i="6"/>
  <c r="I327" i="6"/>
  <c r="J327" i="6" s="1"/>
  <c r="K327" i="6" s="1"/>
  <c r="G327" i="6"/>
  <c r="I326" i="6"/>
  <c r="J326" i="6" s="1"/>
  <c r="K326" i="6" s="1"/>
  <c r="G326" i="6"/>
  <c r="I325" i="6"/>
  <c r="J325" i="6" s="1"/>
  <c r="K325" i="6" s="1"/>
  <c r="G325" i="6"/>
  <c r="J324" i="6"/>
  <c r="K324" i="6" s="1"/>
  <c r="I324" i="6"/>
  <c r="G324" i="6"/>
  <c r="I323" i="6"/>
  <c r="J323" i="6" s="1"/>
  <c r="K323" i="6" s="1"/>
  <c r="G323" i="6"/>
  <c r="L322" i="6"/>
  <c r="I322" i="6"/>
  <c r="J322" i="6" s="1"/>
  <c r="K322" i="6" s="1"/>
  <c r="G322" i="6"/>
  <c r="I321" i="6"/>
  <c r="J321" i="6" s="1"/>
  <c r="K321" i="6" s="1"/>
  <c r="L321" i="6" s="1"/>
  <c r="O321" i="6" s="1"/>
  <c r="G321" i="6"/>
  <c r="I320" i="6"/>
  <c r="J320" i="6" s="1"/>
  <c r="K320" i="6" s="1"/>
  <c r="G320" i="6"/>
  <c r="L320" i="6" s="1"/>
  <c r="P320" i="6" s="1"/>
  <c r="I319" i="6"/>
  <c r="J319" i="6" s="1"/>
  <c r="K319" i="6" s="1"/>
  <c r="G319" i="6"/>
  <c r="I318" i="6"/>
  <c r="J318" i="6" s="1"/>
  <c r="K318" i="6" s="1"/>
  <c r="G318" i="6"/>
  <c r="I317" i="6"/>
  <c r="J317" i="6" s="1"/>
  <c r="K317" i="6" s="1"/>
  <c r="G317" i="6"/>
  <c r="I316" i="6"/>
  <c r="J316" i="6" s="1"/>
  <c r="K316" i="6" s="1"/>
  <c r="G316" i="6"/>
  <c r="I315" i="6"/>
  <c r="J315" i="6" s="1"/>
  <c r="K315" i="6" s="1"/>
  <c r="G315" i="6"/>
  <c r="I314" i="6"/>
  <c r="J314" i="6" s="1"/>
  <c r="K314" i="6" s="1"/>
  <c r="G314" i="6"/>
  <c r="L314" i="6" s="1"/>
  <c r="I313" i="6"/>
  <c r="J313" i="6" s="1"/>
  <c r="K313" i="6" s="1"/>
  <c r="G313" i="6"/>
  <c r="I312" i="6"/>
  <c r="J312" i="6" s="1"/>
  <c r="K312" i="6" s="1"/>
  <c r="L312" i="6" s="1"/>
  <c r="G312" i="6"/>
  <c r="I311" i="6"/>
  <c r="J311" i="6" s="1"/>
  <c r="K311" i="6" s="1"/>
  <c r="G311" i="6"/>
  <c r="I310" i="6"/>
  <c r="J310" i="6" s="1"/>
  <c r="K310" i="6" s="1"/>
  <c r="G310" i="6"/>
  <c r="L310" i="6" s="1"/>
  <c r="I309" i="6"/>
  <c r="J309" i="6" s="1"/>
  <c r="K309" i="6" s="1"/>
  <c r="G309" i="6"/>
  <c r="I308" i="6"/>
  <c r="J308" i="6" s="1"/>
  <c r="K308" i="6" s="1"/>
  <c r="G308" i="6"/>
  <c r="L308" i="6" s="1"/>
  <c r="P308" i="6" s="1"/>
  <c r="I307" i="6"/>
  <c r="J307" i="6" s="1"/>
  <c r="K307" i="6" s="1"/>
  <c r="G307" i="6"/>
  <c r="I306" i="6"/>
  <c r="J306" i="6" s="1"/>
  <c r="K306" i="6" s="1"/>
  <c r="G306" i="6"/>
  <c r="L306" i="6" s="1"/>
  <c r="O306" i="6" s="1"/>
  <c r="I305" i="6"/>
  <c r="J305" i="6" s="1"/>
  <c r="K305" i="6" s="1"/>
  <c r="L305" i="6" s="1"/>
  <c r="G305" i="6"/>
  <c r="I304" i="6"/>
  <c r="J304" i="6" s="1"/>
  <c r="K304" i="6" s="1"/>
  <c r="G304" i="6"/>
  <c r="L304" i="6" s="1"/>
  <c r="I303" i="6"/>
  <c r="J303" i="6" s="1"/>
  <c r="K303" i="6" s="1"/>
  <c r="G303" i="6"/>
  <c r="I302" i="6"/>
  <c r="J302" i="6" s="1"/>
  <c r="K302" i="6" s="1"/>
  <c r="G302" i="6"/>
  <c r="I301" i="6"/>
  <c r="J301" i="6" s="1"/>
  <c r="K301" i="6" s="1"/>
  <c r="G301" i="6"/>
  <c r="I300" i="6"/>
  <c r="J300" i="6" s="1"/>
  <c r="K300" i="6" s="1"/>
  <c r="L300" i="6" s="1"/>
  <c r="G300" i="6"/>
  <c r="I299" i="6"/>
  <c r="J299" i="6" s="1"/>
  <c r="K299" i="6" s="1"/>
  <c r="G299" i="6"/>
  <c r="L299" i="6" s="1"/>
  <c r="I298" i="6"/>
  <c r="J298" i="6" s="1"/>
  <c r="K298" i="6" s="1"/>
  <c r="G298" i="6"/>
  <c r="L298" i="6" s="1"/>
  <c r="J297" i="6"/>
  <c r="K297" i="6" s="1"/>
  <c r="L297" i="6" s="1"/>
  <c r="I297" i="6"/>
  <c r="G297" i="6"/>
  <c r="I296" i="6"/>
  <c r="J296" i="6" s="1"/>
  <c r="K296" i="6" s="1"/>
  <c r="G296" i="6"/>
  <c r="I295" i="6"/>
  <c r="J295" i="6" s="1"/>
  <c r="K295" i="6" s="1"/>
  <c r="G295" i="6"/>
  <c r="I294" i="6"/>
  <c r="J294" i="6" s="1"/>
  <c r="K294" i="6" s="1"/>
  <c r="G294" i="6"/>
  <c r="I293" i="6"/>
  <c r="J293" i="6" s="1"/>
  <c r="K293" i="6" s="1"/>
  <c r="G293" i="6"/>
  <c r="I292" i="6"/>
  <c r="J292" i="6" s="1"/>
  <c r="K292" i="6" s="1"/>
  <c r="G292" i="6"/>
  <c r="I291" i="6"/>
  <c r="J291" i="6" s="1"/>
  <c r="K291" i="6" s="1"/>
  <c r="G291" i="6"/>
  <c r="L291" i="6" s="1"/>
  <c r="I290" i="6"/>
  <c r="J290" i="6" s="1"/>
  <c r="K290" i="6" s="1"/>
  <c r="G290" i="6"/>
  <c r="L290" i="6" s="1"/>
  <c r="N290" i="6" s="1"/>
  <c r="I289" i="6"/>
  <c r="J289" i="6" s="1"/>
  <c r="K289" i="6" s="1"/>
  <c r="G289" i="6"/>
  <c r="L289" i="6" s="1"/>
  <c r="I288" i="6"/>
  <c r="J288" i="6" s="1"/>
  <c r="K288" i="6" s="1"/>
  <c r="G288" i="6"/>
  <c r="L288" i="6" s="1"/>
  <c r="P288" i="6" s="1"/>
  <c r="R288" i="6" s="1"/>
  <c r="I287" i="6"/>
  <c r="J287" i="6" s="1"/>
  <c r="K287" i="6" s="1"/>
  <c r="G287" i="6"/>
  <c r="L287" i="6" s="1"/>
  <c r="I286" i="6"/>
  <c r="J286" i="6" s="1"/>
  <c r="K286" i="6" s="1"/>
  <c r="G286" i="6"/>
  <c r="L286" i="6" s="1"/>
  <c r="I285" i="6"/>
  <c r="J285" i="6" s="1"/>
  <c r="K285" i="6" s="1"/>
  <c r="G285" i="6"/>
  <c r="L285" i="6" s="1"/>
  <c r="I284" i="6"/>
  <c r="J284" i="6" s="1"/>
  <c r="K284" i="6" s="1"/>
  <c r="G284" i="6"/>
  <c r="I283" i="6"/>
  <c r="J283" i="6" s="1"/>
  <c r="K283" i="6" s="1"/>
  <c r="G283" i="6"/>
  <c r="L282" i="6"/>
  <c r="O282" i="6" s="1"/>
  <c r="I282" i="6"/>
  <c r="J282" i="6" s="1"/>
  <c r="K282" i="6" s="1"/>
  <c r="G282" i="6"/>
  <c r="I281" i="6"/>
  <c r="J281" i="6" s="1"/>
  <c r="K281" i="6" s="1"/>
  <c r="G281" i="6"/>
  <c r="I280" i="6"/>
  <c r="J280" i="6" s="1"/>
  <c r="K280" i="6" s="1"/>
  <c r="G280" i="6"/>
  <c r="I279" i="6"/>
  <c r="J279" i="6" s="1"/>
  <c r="K279" i="6" s="1"/>
  <c r="G279" i="6"/>
  <c r="L279" i="6" s="1"/>
  <c r="I278" i="6"/>
  <c r="J278" i="6" s="1"/>
  <c r="K278" i="6" s="1"/>
  <c r="L278" i="6" s="1"/>
  <c r="G278" i="6"/>
  <c r="I277" i="6"/>
  <c r="J277" i="6" s="1"/>
  <c r="K277" i="6" s="1"/>
  <c r="G277" i="6"/>
  <c r="L277" i="6" s="1"/>
  <c r="K276" i="6"/>
  <c r="I276" i="6"/>
  <c r="J276" i="6" s="1"/>
  <c r="G276" i="6"/>
  <c r="I275" i="6"/>
  <c r="J275" i="6" s="1"/>
  <c r="K275" i="6" s="1"/>
  <c r="L275" i="6" s="1"/>
  <c r="M275" i="6" s="1"/>
  <c r="S275" i="6" s="1"/>
  <c r="G275" i="6"/>
  <c r="I274" i="6"/>
  <c r="J274" i="6" s="1"/>
  <c r="K274" i="6" s="1"/>
  <c r="G274" i="6"/>
  <c r="L274" i="6" s="1"/>
  <c r="I273" i="6"/>
  <c r="J273" i="6" s="1"/>
  <c r="K273" i="6" s="1"/>
  <c r="G273" i="6"/>
  <c r="I272" i="6"/>
  <c r="J272" i="6" s="1"/>
  <c r="K272" i="6" s="1"/>
  <c r="L272" i="6" s="1"/>
  <c r="G272" i="6"/>
  <c r="I271" i="6"/>
  <c r="J271" i="6" s="1"/>
  <c r="K271" i="6" s="1"/>
  <c r="G271" i="6"/>
  <c r="L271" i="6" s="1"/>
  <c r="I270" i="6"/>
  <c r="J270" i="6" s="1"/>
  <c r="K270" i="6" s="1"/>
  <c r="G270" i="6"/>
  <c r="I269" i="6"/>
  <c r="J269" i="6" s="1"/>
  <c r="K269" i="6" s="1"/>
  <c r="G269" i="6"/>
  <c r="I268" i="6"/>
  <c r="J268" i="6" s="1"/>
  <c r="K268" i="6" s="1"/>
  <c r="G268" i="6"/>
  <c r="I267" i="6"/>
  <c r="J267" i="6" s="1"/>
  <c r="K267" i="6" s="1"/>
  <c r="G267" i="6"/>
  <c r="I266" i="6"/>
  <c r="J266" i="6" s="1"/>
  <c r="K266" i="6" s="1"/>
  <c r="G266" i="6"/>
  <c r="I265" i="6"/>
  <c r="J265" i="6" s="1"/>
  <c r="K265" i="6" s="1"/>
  <c r="L265" i="6" s="1"/>
  <c r="G265" i="6"/>
  <c r="I264" i="6"/>
  <c r="J264" i="6" s="1"/>
  <c r="K264" i="6" s="1"/>
  <c r="G264" i="6"/>
  <c r="I263" i="6"/>
  <c r="J263" i="6" s="1"/>
  <c r="K263" i="6" s="1"/>
  <c r="G263" i="6"/>
  <c r="K262" i="6"/>
  <c r="I262" i="6"/>
  <c r="J262" i="6" s="1"/>
  <c r="G262" i="6"/>
  <c r="I261" i="6"/>
  <c r="J261" i="6" s="1"/>
  <c r="K261" i="6" s="1"/>
  <c r="G261" i="6"/>
  <c r="L261" i="6" s="1"/>
  <c r="I260" i="6"/>
  <c r="J260" i="6" s="1"/>
  <c r="K260" i="6" s="1"/>
  <c r="G260" i="6"/>
  <c r="I259" i="6"/>
  <c r="J259" i="6" s="1"/>
  <c r="K259" i="6" s="1"/>
  <c r="G259" i="6"/>
  <c r="I258" i="6"/>
  <c r="J258" i="6" s="1"/>
  <c r="K258" i="6" s="1"/>
  <c r="G258" i="6"/>
  <c r="I257" i="6"/>
  <c r="J257" i="6" s="1"/>
  <c r="K257" i="6" s="1"/>
  <c r="G257" i="6"/>
  <c r="K256" i="6"/>
  <c r="I256" i="6"/>
  <c r="J256" i="6" s="1"/>
  <c r="G256" i="6"/>
  <c r="L256" i="6" s="1"/>
  <c r="I255" i="6"/>
  <c r="J255" i="6" s="1"/>
  <c r="K255" i="6" s="1"/>
  <c r="G255" i="6"/>
  <c r="J254" i="6"/>
  <c r="K254" i="6" s="1"/>
  <c r="I254" i="6"/>
  <c r="G254" i="6"/>
  <c r="L254" i="6" s="1"/>
  <c r="I253" i="6"/>
  <c r="J253" i="6" s="1"/>
  <c r="K253" i="6" s="1"/>
  <c r="G253" i="6"/>
  <c r="L253" i="6" s="1"/>
  <c r="I252" i="6"/>
  <c r="J252" i="6" s="1"/>
  <c r="K252" i="6" s="1"/>
  <c r="G252" i="6"/>
  <c r="L252" i="6" s="1"/>
  <c r="I251" i="6"/>
  <c r="J251" i="6" s="1"/>
  <c r="K251" i="6" s="1"/>
  <c r="L251" i="6" s="1"/>
  <c r="G251" i="6"/>
  <c r="I250" i="6"/>
  <c r="J250" i="6" s="1"/>
  <c r="K250" i="6" s="1"/>
  <c r="G250" i="6"/>
  <c r="I249" i="6"/>
  <c r="J249" i="6" s="1"/>
  <c r="K249" i="6" s="1"/>
  <c r="L249" i="6" s="1"/>
  <c r="G249" i="6"/>
  <c r="I248" i="6"/>
  <c r="J248" i="6" s="1"/>
  <c r="K248" i="6" s="1"/>
  <c r="G248" i="6"/>
  <c r="K247" i="6"/>
  <c r="L247" i="6" s="1"/>
  <c r="I247" i="6"/>
  <c r="J247" i="6" s="1"/>
  <c r="G247" i="6"/>
  <c r="I246" i="6"/>
  <c r="J246" i="6" s="1"/>
  <c r="K246" i="6" s="1"/>
  <c r="L246" i="6" s="1"/>
  <c r="G246" i="6"/>
  <c r="I245" i="6"/>
  <c r="J245" i="6" s="1"/>
  <c r="K245" i="6" s="1"/>
  <c r="G245" i="6"/>
  <c r="I244" i="6"/>
  <c r="J244" i="6" s="1"/>
  <c r="K244" i="6" s="1"/>
  <c r="G244" i="6"/>
  <c r="J243" i="6"/>
  <c r="K243" i="6" s="1"/>
  <c r="L243" i="6" s="1"/>
  <c r="I243" i="6"/>
  <c r="G243" i="6"/>
  <c r="I242" i="6"/>
  <c r="J242" i="6" s="1"/>
  <c r="K242" i="6" s="1"/>
  <c r="G242" i="6"/>
  <c r="I241" i="6"/>
  <c r="J241" i="6" s="1"/>
  <c r="K241" i="6" s="1"/>
  <c r="G241" i="6"/>
  <c r="L241" i="6" s="1"/>
  <c r="I240" i="6"/>
  <c r="J240" i="6" s="1"/>
  <c r="K240" i="6" s="1"/>
  <c r="L240" i="6" s="1"/>
  <c r="G240" i="6"/>
  <c r="I239" i="6"/>
  <c r="J239" i="6" s="1"/>
  <c r="K239" i="6" s="1"/>
  <c r="G239" i="6"/>
  <c r="I238" i="6"/>
  <c r="J238" i="6" s="1"/>
  <c r="K238" i="6" s="1"/>
  <c r="G238" i="6"/>
  <c r="I237" i="6"/>
  <c r="J237" i="6" s="1"/>
  <c r="K237" i="6" s="1"/>
  <c r="G237" i="6"/>
  <c r="J236" i="6"/>
  <c r="K236" i="6" s="1"/>
  <c r="L236" i="6" s="1"/>
  <c r="I236" i="6"/>
  <c r="G236" i="6"/>
  <c r="I235" i="6"/>
  <c r="J235" i="6" s="1"/>
  <c r="K235" i="6" s="1"/>
  <c r="L235" i="6" s="1"/>
  <c r="G235" i="6"/>
  <c r="I234" i="6"/>
  <c r="J234" i="6" s="1"/>
  <c r="K234" i="6" s="1"/>
  <c r="G234" i="6"/>
  <c r="I233" i="6"/>
  <c r="J233" i="6" s="1"/>
  <c r="K233" i="6" s="1"/>
  <c r="G233" i="6"/>
  <c r="I232" i="6"/>
  <c r="J232" i="6" s="1"/>
  <c r="K232" i="6" s="1"/>
  <c r="G232" i="6"/>
  <c r="I231" i="6"/>
  <c r="J231" i="6" s="1"/>
  <c r="K231" i="6" s="1"/>
  <c r="G231" i="6"/>
  <c r="L231" i="6" s="1"/>
  <c r="I230" i="6"/>
  <c r="J230" i="6" s="1"/>
  <c r="K230" i="6" s="1"/>
  <c r="G230" i="6"/>
  <c r="J229" i="6"/>
  <c r="K229" i="6" s="1"/>
  <c r="I229" i="6"/>
  <c r="G229" i="6"/>
  <c r="I228" i="6"/>
  <c r="J228" i="6" s="1"/>
  <c r="K228" i="6" s="1"/>
  <c r="L228" i="6" s="1"/>
  <c r="G228" i="6"/>
  <c r="I227" i="6"/>
  <c r="J227" i="6" s="1"/>
  <c r="K227" i="6" s="1"/>
  <c r="G227" i="6"/>
  <c r="I226" i="6"/>
  <c r="J226" i="6" s="1"/>
  <c r="K226" i="6" s="1"/>
  <c r="G226" i="6"/>
  <c r="I225" i="6"/>
  <c r="J225" i="6" s="1"/>
  <c r="K225" i="6" s="1"/>
  <c r="G225" i="6"/>
  <c r="I224" i="6"/>
  <c r="J224" i="6" s="1"/>
  <c r="K224" i="6" s="1"/>
  <c r="L224" i="6" s="1"/>
  <c r="N224" i="6" s="1"/>
  <c r="G224" i="6"/>
  <c r="I223" i="6"/>
  <c r="J223" i="6" s="1"/>
  <c r="K223" i="6" s="1"/>
  <c r="G223" i="6"/>
  <c r="I222" i="6"/>
  <c r="J222" i="6" s="1"/>
  <c r="K222" i="6" s="1"/>
  <c r="G222" i="6"/>
  <c r="I221" i="6"/>
  <c r="J221" i="6" s="1"/>
  <c r="K221" i="6" s="1"/>
  <c r="G221" i="6"/>
  <c r="I220" i="6"/>
  <c r="J220" i="6" s="1"/>
  <c r="K220" i="6" s="1"/>
  <c r="G220" i="6"/>
  <c r="I219" i="6"/>
  <c r="J219" i="6" s="1"/>
  <c r="K219" i="6" s="1"/>
  <c r="G219" i="6"/>
  <c r="I218" i="6"/>
  <c r="J218" i="6" s="1"/>
  <c r="K218" i="6" s="1"/>
  <c r="G218" i="6"/>
  <c r="I217" i="6"/>
  <c r="J217" i="6" s="1"/>
  <c r="K217" i="6" s="1"/>
  <c r="G217" i="6"/>
  <c r="I216" i="6"/>
  <c r="J216" i="6" s="1"/>
  <c r="K216" i="6" s="1"/>
  <c r="L216" i="6" s="1"/>
  <c r="M216" i="6" s="1"/>
  <c r="S216" i="6" s="1"/>
  <c r="G216" i="6"/>
  <c r="I215" i="6"/>
  <c r="J215" i="6" s="1"/>
  <c r="K215" i="6" s="1"/>
  <c r="G215" i="6"/>
  <c r="I214" i="6"/>
  <c r="J214" i="6" s="1"/>
  <c r="K214" i="6" s="1"/>
  <c r="L214" i="6" s="1"/>
  <c r="G214" i="6"/>
  <c r="I213" i="6"/>
  <c r="J213" i="6" s="1"/>
  <c r="K213" i="6" s="1"/>
  <c r="G213" i="6"/>
  <c r="L213" i="6" s="1"/>
  <c r="J212" i="6"/>
  <c r="K212" i="6" s="1"/>
  <c r="L212" i="6" s="1"/>
  <c r="I212" i="6"/>
  <c r="G212" i="6"/>
  <c r="I211" i="6"/>
  <c r="J211" i="6" s="1"/>
  <c r="K211" i="6" s="1"/>
  <c r="G211" i="6"/>
  <c r="I210" i="6"/>
  <c r="J210" i="6" s="1"/>
  <c r="K210" i="6" s="1"/>
  <c r="G210" i="6"/>
  <c r="I209" i="6"/>
  <c r="J209" i="6" s="1"/>
  <c r="K209" i="6" s="1"/>
  <c r="G209" i="6"/>
  <c r="I208" i="6"/>
  <c r="J208" i="6" s="1"/>
  <c r="K208" i="6" s="1"/>
  <c r="G208" i="6"/>
  <c r="J207" i="6"/>
  <c r="K207" i="6" s="1"/>
  <c r="I207" i="6"/>
  <c r="G207" i="6"/>
  <c r="I206" i="6"/>
  <c r="J206" i="6" s="1"/>
  <c r="K206" i="6" s="1"/>
  <c r="G206" i="6"/>
  <c r="I205" i="6"/>
  <c r="J205" i="6" s="1"/>
  <c r="K205" i="6" s="1"/>
  <c r="G205" i="6"/>
  <c r="K204" i="6"/>
  <c r="J204" i="6"/>
  <c r="I204" i="6"/>
  <c r="G204" i="6"/>
  <c r="I203" i="6"/>
  <c r="J203" i="6" s="1"/>
  <c r="K203" i="6" s="1"/>
  <c r="G203" i="6"/>
  <c r="L203" i="6" s="1"/>
  <c r="I202" i="6"/>
  <c r="J202" i="6" s="1"/>
  <c r="K202" i="6" s="1"/>
  <c r="L202" i="6" s="1"/>
  <c r="G202" i="6"/>
  <c r="I201" i="6"/>
  <c r="J201" i="6" s="1"/>
  <c r="K201" i="6" s="1"/>
  <c r="G201" i="6"/>
  <c r="I200" i="6"/>
  <c r="J200" i="6" s="1"/>
  <c r="K200" i="6" s="1"/>
  <c r="G200" i="6"/>
  <c r="I199" i="6"/>
  <c r="J199" i="6" s="1"/>
  <c r="K199" i="6" s="1"/>
  <c r="G199" i="6"/>
  <c r="I198" i="6"/>
  <c r="J198" i="6" s="1"/>
  <c r="K198" i="6" s="1"/>
  <c r="L198" i="6" s="1"/>
  <c r="G198" i="6"/>
  <c r="I197" i="6"/>
  <c r="J197" i="6" s="1"/>
  <c r="K197" i="6" s="1"/>
  <c r="G197" i="6"/>
  <c r="L197" i="6" s="1"/>
  <c r="I196" i="6"/>
  <c r="J196" i="6" s="1"/>
  <c r="K196" i="6" s="1"/>
  <c r="G196" i="6"/>
  <c r="J195" i="6"/>
  <c r="K195" i="6" s="1"/>
  <c r="L195" i="6" s="1"/>
  <c r="I195" i="6"/>
  <c r="G195" i="6"/>
  <c r="I194" i="6"/>
  <c r="J194" i="6" s="1"/>
  <c r="K194" i="6" s="1"/>
  <c r="G194" i="6"/>
  <c r="I193" i="6"/>
  <c r="J193" i="6" s="1"/>
  <c r="K193" i="6" s="1"/>
  <c r="G193" i="6"/>
  <c r="I192" i="6"/>
  <c r="J192" i="6" s="1"/>
  <c r="K192" i="6" s="1"/>
  <c r="G192" i="6"/>
  <c r="I191" i="6"/>
  <c r="J191" i="6" s="1"/>
  <c r="K191" i="6" s="1"/>
  <c r="G191" i="6"/>
  <c r="I190" i="6"/>
  <c r="J190" i="6" s="1"/>
  <c r="K190" i="6" s="1"/>
  <c r="G190" i="6"/>
  <c r="I189" i="6"/>
  <c r="J189" i="6" s="1"/>
  <c r="K189" i="6" s="1"/>
  <c r="G189" i="6"/>
  <c r="I188" i="6"/>
  <c r="J188" i="6" s="1"/>
  <c r="K188" i="6" s="1"/>
  <c r="G188" i="6"/>
  <c r="I187" i="6"/>
  <c r="J187" i="6" s="1"/>
  <c r="K187" i="6" s="1"/>
  <c r="G187" i="6"/>
  <c r="I186" i="6"/>
  <c r="J186" i="6" s="1"/>
  <c r="K186" i="6" s="1"/>
  <c r="G186" i="6"/>
  <c r="I185" i="6"/>
  <c r="J185" i="6" s="1"/>
  <c r="K185" i="6" s="1"/>
  <c r="G185" i="6"/>
  <c r="I184" i="6"/>
  <c r="J184" i="6" s="1"/>
  <c r="K184" i="6" s="1"/>
  <c r="G184" i="6"/>
  <c r="L184" i="6" s="1"/>
  <c r="M184" i="6" s="1"/>
  <c r="S184" i="6" s="1"/>
  <c r="I183" i="6"/>
  <c r="J183" i="6" s="1"/>
  <c r="K183" i="6" s="1"/>
  <c r="L183" i="6" s="1"/>
  <c r="G183" i="6"/>
  <c r="I182" i="6"/>
  <c r="J182" i="6" s="1"/>
  <c r="K182" i="6" s="1"/>
  <c r="G182" i="6"/>
  <c r="J181" i="6"/>
  <c r="K181" i="6" s="1"/>
  <c r="I181" i="6"/>
  <c r="G181" i="6"/>
  <c r="L181" i="6" s="1"/>
  <c r="K180" i="6"/>
  <c r="I180" i="6"/>
  <c r="J180" i="6" s="1"/>
  <c r="G180" i="6"/>
  <c r="J179" i="6"/>
  <c r="K179" i="6" s="1"/>
  <c r="L179" i="6" s="1"/>
  <c r="I179" i="6"/>
  <c r="G179" i="6"/>
  <c r="I178" i="6"/>
  <c r="J178" i="6" s="1"/>
  <c r="K178" i="6" s="1"/>
  <c r="G178" i="6"/>
  <c r="I177" i="6"/>
  <c r="J177" i="6" s="1"/>
  <c r="K177" i="6" s="1"/>
  <c r="G177" i="6"/>
  <c r="I176" i="6"/>
  <c r="J176" i="6" s="1"/>
  <c r="K176" i="6" s="1"/>
  <c r="G176" i="6"/>
  <c r="P175" i="6"/>
  <c r="R175" i="6" s="1"/>
  <c r="I175" i="6"/>
  <c r="J175" i="6" s="1"/>
  <c r="K175" i="6" s="1"/>
  <c r="G175" i="6"/>
  <c r="L175" i="6" s="1"/>
  <c r="O175" i="6" s="1"/>
  <c r="I174" i="6"/>
  <c r="J174" i="6" s="1"/>
  <c r="K174" i="6" s="1"/>
  <c r="G174" i="6"/>
  <c r="J173" i="6"/>
  <c r="K173" i="6" s="1"/>
  <c r="I173" i="6"/>
  <c r="G173" i="6"/>
  <c r="I172" i="6"/>
  <c r="J172" i="6" s="1"/>
  <c r="K172" i="6" s="1"/>
  <c r="G172" i="6"/>
  <c r="I171" i="6"/>
  <c r="J171" i="6" s="1"/>
  <c r="K171" i="6" s="1"/>
  <c r="L171" i="6" s="1"/>
  <c r="G171" i="6"/>
  <c r="J170" i="6"/>
  <c r="K170" i="6" s="1"/>
  <c r="L170" i="6" s="1"/>
  <c r="O170" i="6" s="1"/>
  <c r="I170" i="6"/>
  <c r="G170" i="6"/>
  <c r="I169" i="6"/>
  <c r="J169" i="6" s="1"/>
  <c r="K169" i="6" s="1"/>
  <c r="G169" i="6"/>
  <c r="I168" i="6"/>
  <c r="J168" i="6" s="1"/>
  <c r="K168" i="6" s="1"/>
  <c r="L168" i="6" s="1"/>
  <c r="G168" i="6"/>
  <c r="J167" i="6"/>
  <c r="K167" i="6" s="1"/>
  <c r="I167" i="6"/>
  <c r="G167" i="6"/>
  <c r="I166" i="6"/>
  <c r="J166" i="6" s="1"/>
  <c r="K166" i="6" s="1"/>
  <c r="G166" i="6"/>
  <c r="J165" i="6"/>
  <c r="K165" i="6" s="1"/>
  <c r="L165" i="6" s="1"/>
  <c r="I165" i="6"/>
  <c r="G165" i="6"/>
  <c r="I164" i="6"/>
  <c r="J164" i="6" s="1"/>
  <c r="K164" i="6" s="1"/>
  <c r="L164" i="6" s="1"/>
  <c r="G164" i="6"/>
  <c r="J163" i="6"/>
  <c r="K163" i="6" s="1"/>
  <c r="I163" i="6"/>
  <c r="G163" i="6"/>
  <c r="K162" i="6"/>
  <c r="L162" i="6" s="1"/>
  <c r="J162" i="6"/>
  <c r="I162" i="6"/>
  <c r="G162" i="6"/>
  <c r="I161" i="6"/>
  <c r="J161" i="6" s="1"/>
  <c r="K161" i="6" s="1"/>
  <c r="L161" i="6" s="1"/>
  <c r="G161" i="6"/>
  <c r="I160" i="6"/>
  <c r="J160" i="6" s="1"/>
  <c r="K160" i="6" s="1"/>
  <c r="G160" i="6"/>
  <c r="J159" i="6"/>
  <c r="K159" i="6" s="1"/>
  <c r="I159" i="6"/>
  <c r="G159" i="6"/>
  <c r="I158" i="6"/>
  <c r="J158" i="6" s="1"/>
  <c r="K158" i="6" s="1"/>
  <c r="L158" i="6" s="1"/>
  <c r="G158" i="6"/>
  <c r="I157" i="6"/>
  <c r="J157" i="6" s="1"/>
  <c r="K157" i="6" s="1"/>
  <c r="G157" i="6"/>
  <c r="J156" i="6"/>
  <c r="K156" i="6" s="1"/>
  <c r="L156" i="6" s="1"/>
  <c r="I156" i="6"/>
  <c r="G156" i="6"/>
  <c r="I155" i="6"/>
  <c r="J155" i="6" s="1"/>
  <c r="K155" i="6" s="1"/>
  <c r="G155" i="6"/>
  <c r="J154" i="6"/>
  <c r="K154" i="6" s="1"/>
  <c r="L154" i="6" s="1"/>
  <c r="I154" i="6"/>
  <c r="G154" i="6"/>
  <c r="I153" i="6"/>
  <c r="J153" i="6" s="1"/>
  <c r="K153" i="6" s="1"/>
  <c r="G153" i="6"/>
  <c r="L153" i="6" s="1"/>
  <c r="I152" i="6"/>
  <c r="J152" i="6" s="1"/>
  <c r="K152" i="6" s="1"/>
  <c r="G152" i="6"/>
  <c r="I151" i="6"/>
  <c r="J151" i="6" s="1"/>
  <c r="K151" i="6" s="1"/>
  <c r="G151" i="6"/>
  <c r="I150" i="6"/>
  <c r="J150" i="6" s="1"/>
  <c r="K150" i="6" s="1"/>
  <c r="L150" i="6" s="1"/>
  <c r="N150" i="6" s="1"/>
  <c r="G150" i="6"/>
  <c r="J149" i="6"/>
  <c r="K149" i="6" s="1"/>
  <c r="I149" i="6"/>
  <c r="G149" i="6"/>
  <c r="I148" i="6"/>
  <c r="J148" i="6" s="1"/>
  <c r="K148" i="6" s="1"/>
  <c r="L148" i="6" s="1"/>
  <c r="G148" i="6"/>
  <c r="J147" i="6"/>
  <c r="K147" i="6" s="1"/>
  <c r="I147" i="6"/>
  <c r="G147" i="6"/>
  <c r="I146" i="6"/>
  <c r="J146" i="6" s="1"/>
  <c r="K146" i="6" s="1"/>
  <c r="G146" i="6"/>
  <c r="L146" i="6" s="1"/>
  <c r="I145" i="6"/>
  <c r="J145" i="6" s="1"/>
  <c r="K145" i="6" s="1"/>
  <c r="G145" i="6"/>
  <c r="L145" i="6" s="1"/>
  <c r="I144" i="6"/>
  <c r="J144" i="6" s="1"/>
  <c r="K144" i="6" s="1"/>
  <c r="G144" i="6"/>
  <c r="L144" i="6" s="1"/>
  <c r="J143" i="6"/>
  <c r="K143" i="6" s="1"/>
  <c r="I143" i="6"/>
  <c r="G143" i="6"/>
  <c r="J142" i="6"/>
  <c r="K142" i="6" s="1"/>
  <c r="L142" i="6" s="1"/>
  <c r="I142" i="6"/>
  <c r="G142" i="6"/>
  <c r="I141" i="6"/>
  <c r="J141" i="6" s="1"/>
  <c r="K141" i="6" s="1"/>
  <c r="G141" i="6"/>
  <c r="I140" i="6"/>
  <c r="J140" i="6" s="1"/>
  <c r="K140" i="6" s="1"/>
  <c r="L140" i="6" s="1"/>
  <c r="G140" i="6"/>
  <c r="I139" i="6"/>
  <c r="J139" i="6" s="1"/>
  <c r="K139" i="6" s="1"/>
  <c r="G139" i="6"/>
  <c r="I138" i="6"/>
  <c r="J138" i="6" s="1"/>
  <c r="K138" i="6" s="1"/>
  <c r="L138" i="6" s="1"/>
  <c r="G138" i="6"/>
  <c r="L137" i="6"/>
  <c r="I137" i="6"/>
  <c r="J137" i="6" s="1"/>
  <c r="K137" i="6" s="1"/>
  <c r="G137" i="6"/>
  <c r="I136" i="6"/>
  <c r="J136" i="6" s="1"/>
  <c r="K136" i="6" s="1"/>
  <c r="G136" i="6"/>
  <c r="J135" i="6"/>
  <c r="K135" i="6" s="1"/>
  <c r="I135" i="6"/>
  <c r="G135" i="6"/>
  <c r="L135" i="6" s="1"/>
  <c r="J134" i="6"/>
  <c r="K134" i="6" s="1"/>
  <c r="L134" i="6" s="1"/>
  <c r="O134" i="6" s="1"/>
  <c r="I134" i="6"/>
  <c r="G134" i="6"/>
  <c r="I133" i="6"/>
  <c r="J133" i="6" s="1"/>
  <c r="K133" i="6" s="1"/>
  <c r="G133" i="6"/>
  <c r="I132" i="6"/>
  <c r="J132" i="6" s="1"/>
  <c r="K132" i="6" s="1"/>
  <c r="G132" i="6"/>
  <c r="I131" i="6"/>
  <c r="J131" i="6" s="1"/>
  <c r="K131" i="6" s="1"/>
  <c r="G131" i="6"/>
  <c r="I130" i="6"/>
  <c r="J130" i="6" s="1"/>
  <c r="K130" i="6" s="1"/>
  <c r="L130" i="6" s="1"/>
  <c r="G130" i="6"/>
  <c r="I129" i="6"/>
  <c r="J129" i="6" s="1"/>
  <c r="K129" i="6" s="1"/>
  <c r="G129" i="6"/>
  <c r="J128" i="6"/>
  <c r="K128" i="6" s="1"/>
  <c r="I128" i="6"/>
  <c r="G128" i="6"/>
  <c r="I127" i="6"/>
  <c r="J127" i="6" s="1"/>
  <c r="K127" i="6" s="1"/>
  <c r="G127" i="6"/>
  <c r="I126" i="6"/>
  <c r="J126" i="6" s="1"/>
  <c r="K126" i="6" s="1"/>
  <c r="L126" i="6" s="1"/>
  <c r="G126" i="6"/>
  <c r="I125" i="6"/>
  <c r="J125" i="6" s="1"/>
  <c r="K125" i="6" s="1"/>
  <c r="G125" i="6"/>
  <c r="L125" i="6" s="1"/>
  <c r="I124" i="6"/>
  <c r="J124" i="6" s="1"/>
  <c r="K124" i="6" s="1"/>
  <c r="G124" i="6"/>
  <c r="P123" i="6"/>
  <c r="I123" i="6"/>
  <c r="J123" i="6" s="1"/>
  <c r="K123" i="6" s="1"/>
  <c r="G123" i="6"/>
  <c r="L123" i="6" s="1"/>
  <c r="I122" i="6"/>
  <c r="J122" i="6" s="1"/>
  <c r="K122" i="6" s="1"/>
  <c r="L122" i="6" s="1"/>
  <c r="G122" i="6"/>
  <c r="I121" i="6"/>
  <c r="J121" i="6" s="1"/>
  <c r="K121" i="6" s="1"/>
  <c r="L121" i="6" s="1"/>
  <c r="G121" i="6"/>
  <c r="I120" i="6"/>
  <c r="J120" i="6" s="1"/>
  <c r="K120" i="6" s="1"/>
  <c r="G120" i="6"/>
  <c r="L120" i="6" s="1"/>
  <c r="J119" i="6"/>
  <c r="K119" i="6" s="1"/>
  <c r="I119" i="6"/>
  <c r="G119" i="6"/>
  <c r="L119" i="6" s="1"/>
  <c r="K118" i="6"/>
  <c r="L118" i="6" s="1"/>
  <c r="I118" i="6"/>
  <c r="J118" i="6" s="1"/>
  <c r="G118" i="6"/>
  <c r="J117" i="6"/>
  <c r="K117" i="6" s="1"/>
  <c r="I117" i="6"/>
  <c r="G117" i="6"/>
  <c r="I116" i="6"/>
  <c r="J116" i="6" s="1"/>
  <c r="K116" i="6" s="1"/>
  <c r="G116" i="6"/>
  <c r="L116" i="6" s="1"/>
  <c r="I115" i="6"/>
  <c r="J115" i="6" s="1"/>
  <c r="K115" i="6" s="1"/>
  <c r="G115" i="6"/>
  <c r="I114" i="6"/>
  <c r="J114" i="6" s="1"/>
  <c r="K114" i="6" s="1"/>
  <c r="L114" i="6" s="1"/>
  <c r="G114" i="6"/>
  <c r="J113" i="6"/>
  <c r="K113" i="6" s="1"/>
  <c r="I113" i="6"/>
  <c r="G113" i="6"/>
  <c r="I112" i="6"/>
  <c r="J112" i="6" s="1"/>
  <c r="K112" i="6" s="1"/>
  <c r="G112" i="6"/>
  <c r="I111" i="6"/>
  <c r="J111" i="6" s="1"/>
  <c r="K111" i="6" s="1"/>
  <c r="G111" i="6"/>
  <c r="L111" i="6" s="1"/>
  <c r="J110" i="6"/>
  <c r="K110" i="6" s="1"/>
  <c r="L110" i="6" s="1"/>
  <c r="I110" i="6"/>
  <c r="G110" i="6"/>
  <c r="I109" i="6"/>
  <c r="J109" i="6" s="1"/>
  <c r="K109" i="6" s="1"/>
  <c r="G109" i="6"/>
  <c r="I108" i="6"/>
  <c r="J108" i="6" s="1"/>
  <c r="K108" i="6" s="1"/>
  <c r="G108" i="6"/>
  <c r="J107" i="6"/>
  <c r="K107" i="6" s="1"/>
  <c r="I107" i="6"/>
  <c r="G107" i="6"/>
  <c r="I106" i="6"/>
  <c r="J106" i="6" s="1"/>
  <c r="K106" i="6" s="1"/>
  <c r="G106" i="6"/>
  <c r="I105" i="6"/>
  <c r="J105" i="6" s="1"/>
  <c r="K105" i="6" s="1"/>
  <c r="L105" i="6" s="1"/>
  <c r="G105" i="6"/>
  <c r="I104" i="6"/>
  <c r="J104" i="6" s="1"/>
  <c r="K104" i="6" s="1"/>
  <c r="G104" i="6"/>
  <c r="L103" i="6"/>
  <c r="J103" i="6"/>
  <c r="K103" i="6" s="1"/>
  <c r="I103" i="6"/>
  <c r="G103" i="6"/>
  <c r="I102" i="6"/>
  <c r="J102" i="6" s="1"/>
  <c r="K102" i="6" s="1"/>
  <c r="G102" i="6"/>
  <c r="I101" i="6"/>
  <c r="J101" i="6" s="1"/>
  <c r="K101" i="6" s="1"/>
  <c r="L101" i="6" s="1"/>
  <c r="G101" i="6"/>
  <c r="I100" i="6"/>
  <c r="J100" i="6" s="1"/>
  <c r="K100" i="6" s="1"/>
  <c r="G100" i="6"/>
  <c r="L100" i="6" s="1"/>
  <c r="I99" i="6"/>
  <c r="J99" i="6" s="1"/>
  <c r="K99" i="6" s="1"/>
  <c r="G99" i="6"/>
  <c r="J98" i="6"/>
  <c r="K98" i="6" s="1"/>
  <c r="L98" i="6" s="1"/>
  <c r="I98" i="6"/>
  <c r="G98" i="6"/>
  <c r="I97" i="6"/>
  <c r="J97" i="6" s="1"/>
  <c r="K97" i="6" s="1"/>
  <c r="G97" i="6"/>
  <c r="I96" i="6"/>
  <c r="J96" i="6" s="1"/>
  <c r="K96" i="6" s="1"/>
  <c r="G96" i="6"/>
  <c r="I95" i="6"/>
  <c r="J95" i="6" s="1"/>
  <c r="K95" i="6" s="1"/>
  <c r="G95" i="6"/>
  <c r="I94" i="6"/>
  <c r="J94" i="6" s="1"/>
  <c r="K94" i="6" s="1"/>
  <c r="G94" i="6"/>
  <c r="K93" i="6"/>
  <c r="I93" i="6"/>
  <c r="J93" i="6" s="1"/>
  <c r="G93" i="6"/>
  <c r="I92" i="6"/>
  <c r="J92" i="6" s="1"/>
  <c r="K92" i="6" s="1"/>
  <c r="G92" i="6"/>
  <c r="I91" i="6"/>
  <c r="J91" i="6" s="1"/>
  <c r="K91" i="6" s="1"/>
  <c r="G91" i="6"/>
  <c r="L91" i="6" s="1"/>
  <c r="I90" i="6"/>
  <c r="J90" i="6" s="1"/>
  <c r="K90" i="6" s="1"/>
  <c r="L90" i="6" s="1"/>
  <c r="P90" i="6" s="1"/>
  <c r="G90" i="6"/>
  <c r="I89" i="6"/>
  <c r="J89" i="6" s="1"/>
  <c r="K89" i="6" s="1"/>
  <c r="G89" i="6"/>
  <c r="I88" i="6"/>
  <c r="J88" i="6" s="1"/>
  <c r="K88" i="6" s="1"/>
  <c r="G88" i="6"/>
  <c r="L88" i="6" s="1"/>
  <c r="M88" i="6" s="1"/>
  <c r="S88" i="6" s="1"/>
  <c r="I87" i="6"/>
  <c r="J87" i="6" s="1"/>
  <c r="K87" i="6" s="1"/>
  <c r="L87" i="6" s="1"/>
  <c r="G87" i="6"/>
  <c r="I86" i="6"/>
  <c r="J86" i="6" s="1"/>
  <c r="K86" i="6" s="1"/>
  <c r="L86" i="6" s="1"/>
  <c r="G86" i="6"/>
  <c r="I85" i="6"/>
  <c r="J85" i="6" s="1"/>
  <c r="K85" i="6" s="1"/>
  <c r="G85" i="6"/>
  <c r="I84" i="6"/>
  <c r="J84" i="6" s="1"/>
  <c r="K84" i="6" s="1"/>
  <c r="G84" i="6"/>
  <c r="J83" i="6"/>
  <c r="K83" i="6" s="1"/>
  <c r="L83" i="6" s="1"/>
  <c r="O83" i="6" s="1"/>
  <c r="I83" i="6"/>
  <c r="G83" i="6"/>
  <c r="I82" i="6"/>
  <c r="J82" i="6" s="1"/>
  <c r="K82" i="6" s="1"/>
  <c r="L82" i="6" s="1"/>
  <c r="G82" i="6"/>
  <c r="I81" i="6"/>
  <c r="J81" i="6" s="1"/>
  <c r="K81" i="6" s="1"/>
  <c r="G81" i="6"/>
  <c r="O80" i="6"/>
  <c r="J80" i="6"/>
  <c r="K80" i="6" s="1"/>
  <c r="L80" i="6" s="1"/>
  <c r="I80" i="6"/>
  <c r="G80" i="6"/>
  <c r="I79" i="6"/>
  <c r="J79" i="6" s="1"/>
  <c r="K79" i="6" s="1"/>
  <c r="G79" i="6"/>
  <c r="L79" i="6" s="1"/>
  <c r="I78" i="6"/>
  <c r="J78" i="6" s="1"/>
  <c r="K78" i="6" s="1"/>
  <c r="G78" i="6"/>
  <c r="J77" i="6"/>
  <c r="K77" i="6" s="1"/>
  <c r="I77" i="6"/>
  <c r="G77" i="6"/>
  <c r="I76" i="6"/>
  <c r="J76" i="6" s="1"/>
  <c r="K76" i="6" s="1"/>
  <c r="G76" i="6"/>
  <c r="L76" i="6" s="1"/>
  <c r="I75" i="6"/>
  <c r="J75" i="6" s="1"/>
  <c r="K75" i="6" s="1"/>
  <c r="G75" i="6"/>
  <c r="L75" i="6" s="1"/>
  <c r="O75" i="6" s="1"/>
  <c r="I74" i="6"/>
  <c r="J74" i="6" s="1"/>
  <c r="K74" i="6" s="1"/>
  <c r="G74" i="6"/>
  <c r="P73" i="6"/>
  <c r="I73" i="6"/>
  <c r="J73" i="6" s="1"/>
  <c r="K73" i="6" s="1"/>
  <c r="G73" i="6"/>
  <c r="L73" i="6" s="1"/>
  <c r="M73" i="6" s="1"/>
  <c r="S73" i="6" s="1"/>
  <c r="J72" i="6"/>
  <c r="K72" i="6" s="1"/>
  <c r="L72" i="6" s="1"/>
  <c r="I72" i="6"/>
  <c r="G72" i="6"/>
  <c r="I71" i="6"/>
  <c r="J71" i="6" s="1"/>
  <c r="K71" i="6" s="1"/>
  <c r="G71" i="6"/>
  <c r="L71" i="6" s="1"/>
  <c r="J70" i="6"/>
  <c r="K70" i="6" s="1"/>
  <c r="I70" i="6"/>
  <c r="G70" i="6"/>
  <c r="I69" i="6"/>
  <c r="J69" i="6" s="1"/>
  <c r="K69" i="6" s="1"/>
  <c r="L69" i="6" s="1"/>
  <c r="G69" i="6"/>
  <c r="I68" i="6"/>
  <c r="J68" i="6" s="1"/>
  <c r="K68" i="6" s="1"/>
  <c r="G68" i="6"/>
  <c r="I67" i="6"/>
  <c r="J67" i="6" s="1"/>
  <c r="K67" i="6" s="1"/>
  <c r="G67" i="6"/>
  <c r="I66" i="6"/>
  <c r="J66" i="6" s="1"/>
  <c r="K66" i="6" s="1"/>
  <c r="G66" i="6"/>
  <c r="L66" i="6" s="1"/>
  <c r="O66" i="6" s="1"/>
  <c r="I65" i="6"/>
  <c r="J65" i="6" s="1"/>
  <c r="K65" i="6" s="1"/>
  <c r="L65" i="6" s="1"/>
  <c r="G65" i="6"/>
  <c r="I64" i="6"/>
  <c r="J64" i="6" s="1"/>
  <c r="K64" i="6" s="1"/>
  <c r="G64" i="6"/>
  <c r="I63" i="6"/>
  <c r="J63" i="6" s="1"/>
  <c r="K63" i="6" s="1"/>
  <c r="L63" i="6" s="1"/>
  <c r="G63" i="6"/>
  <c r="J62" i="6"/>
  <c r="K62" i="6" s="1"/>
  <c r="I62" i="6"/>
  <c r="G62" i="6"/>
  <c r="I61" i="6"/>
  <c r="J61" i="6" s="1"/>
  <c r="K61" i="6" s="1"/>
  <c r="G61" i="6"/>
  <c r="I60" i="6"/>
  <c r="J60" i="6" s="1"/>
  <c r="K60" i="6" s="1"/>
  <c r="G60" i="6"/>
  <c r="L60" i="6" s="1"/>
  <c r="I59" i="6"/>
  <c r="J59" i="6" s="1"/>
  <c r="K59" i="6" s="1"/>
  <c r="G59" i="6"/>
  <c r="J58" i="6"/>
  <c r="K58" i="6" s="1"/>
  <c r="I58" i="6"/>
  <c r="G58" i="6"/>
  <c r="I57" i="6"/>
  <c r="J57" i="6" s="1"/>
  <c r="K57" i="6" s="1"/>
  <c r="L57" i="6" s="1"/>
  <c r="G57" i="6"/>
  <c r="I56" i="6"/>
  <c r="J56" i="6" s="1"/>
  <c r="K56" i="6" s="1"/>
  <c r="G56" i="6"/>
  <c r="I55" i="6"/>
  <c r="J55" i="6" s="1"/>
  <c r="K55" i="6" s="1"/>
  <c r="L55" i="6" s="1"/>
  <c r="G55" i="6"/>
  <c r="I54" i="6"/>
  <c r="J54" i="6" s="1"/>
  <c r="K54" i="6" s="1"/>
  <c r="G54" i="6"/>
  <c r="I53" i="6"/>
  <c r="J53" i="6" s="1"/>
  <c r="K53" i="6" s="1"/>
  <c r="L53" i="6" s="1"/>
  <c r="G53" i="6"/>
  <c r="K52" i="6"/>
  <c r="L52" i="6" s="1"/>
  <c r="J52" i="6"/>
  <c r="I52" i="6"/>
  <c r="G52" i="6"/>
  <c r="I51" i="6"/>
  <c r="J51" i="6" s="1"/>
  <c r="K51" i="6" s="1"/>
  <c r="G51" i="6"/>
  <c r="I50" i="6"/>
  <c r="J50" i="6" s="1"/>
  <c r="K50" i="6" s="1"/>
  <c r="G50" i="6"/>
  <c r="I49" i="6"/>
  <c r="J49" i="6" s="1"/>
  <c r="K49" i="6" s="1"/>
  <c r="L49" i="6" s="1"/>
  <c r="G49" i="6"/>
  <c r="I48" i="6"/>
  <c r="J48" i="6" s="1"/>
  <c r="K48" i="6" s="1"/>
  <c r="L48" i="6" s="1"/>
  <c r="G48" i="6"/>
  <c r="I47" i="6"/>
  <c r="J47" i="6" s="1"/>
  <c r="K47" i="6" s="1"/>
  <c r="G47" i="6"/>
  <c r="L47" i="6" s="1"/>
  <c r="I46" i="6"/>
  <c r="J46" i="6" s="1"/>
  <c r="K46" i="6" s="1"/>
  <c r="G46" i="6"/>
  <c r="L46" i="6" s="1"/>
  <c r="I45" i="6"/>
  <c r="J45" i="6" s="1"/>
  <c r="K45" i="6" s="1"/>
  <c r="G45" i="6"/>
  <c r="I44" i="6"/>
  <c r="J44" i="6" s="1"/>
  <c r="K44" i="6" s="1"/>
  <c r="G44" i="6"/>
  <c r="I43" i="6"/>
  <c r="J43" i="6" s="1"/>
  <c r="K43" i="6" s="1"/>
  <c r="G43" i="6"/>
  <c r="J42" i="6"/>
  <c r="K42" i="6" s="1"/>
  <c r="I42" i="6"/>
  <c r="G42" i="6"/>
  <c r="I41" i="6"/>
  <c r="J41" i="6" s="1"/>
  <c r="K41" i="6" s="1"/>
  <c r="L41" i="6" s="1"/>
  <c r="G41" i="6"/>
  <c r="I40" i="6"/>
  <c r="J40" i="6" s="1"/>
  <c r="K40" i="6" s="1"/>
  <c r="G40" i="6"/>
  <c r="I39" i="6"/>
  <c r="J39" i="6" s="1"/>
  <c r="K39" i="6" s="1"/>
  <c r="G39" i="6"/>
  <c r="L39" i="6" s="1"/>
  <c r="I38" i="6"/>
  <c r="J38" i="6" s="1"/>
  <c r="K38" i="6" s="1"/>
  <c r="G38" i="6"/>
  <c r="I37" i="6"/>
  <c r="J37" i="6" s="1"/>
  <c r="K37" i="6" s="1"/>
  <c r="G37" i="6"/>
  <c r="I36" i="6"/>
  <c r="J36" i="6" s="1"/>
  <c r="K36" i="6" s="1"/>
  <c r="G36" i="6"/>
  <c r="I35" i="6"/>
  <c r="J35" i="6" s="1"/>
  <c r="K35" i="6" s="1"/>
  <c r="G35" i="6"/>
  <c r="I34" i="6"/>
  <c r="J34" i="6" s="1"/>
  <c r="K34" i="6" s="1"/>
  <c r="G34" i="6"/>
  <c r="L34" i="6" s="1"/>
  <c r="I33" i="6"/>
  <c r="J33" i="6" s="1"/>
  <c r="K33" i="6" s="1"/>
  <c r="L33" i="6" s="1"/>
  <c r="N33" i="6" s="1"/>
  <c r="G33" i="6"/>
  <c r="I32" i="6"/>
  <c r="J32" i="6" s="1"/>
  <c r="K32" i="6" s="1"/>
  <c r="G32" i="6"/>
  <c r="J31" i="6"/>
  <c r="K31" i="6" s="1"/>
  <c r="I31" i="6"/>
  <c r="G31" i="6"/>
  <c r="J30" i="6"/>
  <c r="K30" i="6" s="1"/>
  <c r="I30" i="6"/>
  <c r="G30" i="6"/>
  <c r="I29" i="6"/>
  <c r="J29" i="6" s="1"/>
  <c r="K29" i="6" s="1"/>
  <c r="L29" i="6" s="1"/>
  <c r="G29" i="6"/>
  <c r="I28" i="6"/>
  <c r="J28" i="6" s="1"/>
  <c r="K28" i="6" s="1"/>
  <c r="G28" i="6"/>
  <c r="I27" i="6"/>
  <c r="J27" i="6" s="1"/>
  <c r="K27" i="6" s="1"/>
  <c r="G27" i="6"/>
  <c r="J26" i="6"/>
  <c r="K26" i="6" s="1"/>
  <c r="I26" i="6"/>
  <c r="G26" i="6"/>
  <c r="I25" i="6"/>
  <c r="J25" i="6" s="1"/>
  <c r="K25" i="6" s="1"/>
  <c r="G25" i="6"/>
  <c r="I24" i="6"/>
  <c r="J24" i="6" s="1"/>
  <c r="K24" i="6" s="1"/>
  <c r="L24" i="6" s="1"/>
  <c r="G24" i="6"/>
  <c r="I23" i="6"/>
  <c r="J23" i="6" s="1"/>
  <c r="K23" i="6" s="1"/>
  <c r="G23" i="6"/>
  <c r="I22" i="6"/>
  <c r="J22" i="6" s="1"/>
  <c r="K22" i="6" s="1"/>
  <c r="G22" i="6"/>
  <c r="I21" i="6"/>
  <c r="J21" i="6" s="1"/>
  <c r="K21" i="6" s="1"/>
  <c r="L21" i="6" s="1"/>
  <c r="G21" i="6"/>
  <c r="J20" i="6"/>
  <c r="K20" i="6" s="1"/>
  <c r="I20" i="6"/>
  <c r="G20" i="6"/>
  <c r="I19" i="6"/>
  <c r="J19" i="6" s="1"/>
  <c r="K19" i="6" s="1"/>
  <c r="L19" i="6" s="1"/>
  <c r="G19" i="6"/>
  <c r="I18" i="6"/>
  <c r="J18" i="6" s="1"/>
  <c r="K18" i="6" s="1"/>
  <c r="G18" i="6"/>
  <c r="I17" i="6"/>
  <c r="J17" i="6" s="1"/>
  <c r="K17" i="6" s="1"/>
  <c r="L17" i="6" s="1"/>
  <c r="G17" i="6"/>
  <c r="I16" i="6"/>
  <c r="J16" i="6" s="1"/>
  <c r="K16" i="6" s="1"/>
  <c r="G16" i="6"/>
  <c r="J15" i="6"/>
  <c r="K15" i="6" s="1"/>
  <c r="I15" i="6"/>
  <c r="G15" i="6"/>
  <c r="L15" i="6" s="1"/>
  <c r="J14" i="6"/>
  <c r="K14" i="6" s="1"/>
  <c r="I14" i="6"/>
  <c r="G14" i="6"/>
  <c r="I13" i="6"/>
  <c r="J13" i="6" s="1"/>
  <c r="K13" i="6" s="1"/>
  <c r="L13" i="6" s="1"/>
  <c r="P13" i="6" s="1"/>
  <c r="G13" i="6"/>
  <c r="J12" i="6"/>
  <c r="K12" i="6" s="1"/>
  <c r="L12" i="6" s="1"/>
  <c r="I12" i="6"/>
  <c r="G12" i="6"/>
  <c r="I11" i="6"/>
  <c r="J11" i="6" s="1"/>
  <c r="K11" i="6" s="1"/>
  <c r="G11" i="6"/>
  <c r="L11" i="6" s="1"/>
  <c r="J10" i="6"/>
  <c r="K10" i="6" s="1"/>
  <c r="I10" i="6"/>
  <c r="G10" i="6"/>
  <c r="I9" i="6"/>
  <c r="J9" i="6" s="1"/>
  <c r="K9" i="6" s="1"/>
  <c r="G9" i="6"/>
  <c r="I8" i="6"/>
  <c r="J8" i="6" s="1"/>
  <c r="K8" i="6" s="1"/>
  <c r="G8" i="6"/>
  <c r="I7" i="6"/>
  <c r="J7" i="6" s="1"/>
  <c r="K7" i="6" s="1"/>
  <c r="G7" i="6"/>
  <c r="L7" i="6" s="1"/>
  <c r="I6" i="6"/>
  <c r="J6" i="6" s="1"/>
  <c r="K6" i="6" s="1"/>
  <c r="G6" i="6"/>
  <c r="I5" i="6"/>
  <c r="J5" i="6" s="1"/>
  <c r="K5" i="6" s="1"/>
  <c r="L5" i="6" s="1"/>
  <c r="G5" i="6"/>
  <c r="J4" i="6"/>
  <c r="K4" i="6" s="1"/>
  <c r="I4" i="6"/>
  <c r="G4" i="6"/>
  <c r="J12" i="5"/>
  <c r="I12" i="5"/>
  <c r="H12" i="5"/>
  <c r="G12" i="5"/>
  <c r="D12" i="5"/>
  <c r="E12" i="5" s="1"/>
  <c r="J11" i="5"/>
  <c r="I11" i="5"/>
  <c r="H11" i="5"/>
  <c r="G11" i="5"/>
  <c r="E11" i="5"/>
  <c r="D11" i="5"/>
  <c r="J10" i="5"/>
  <c r="I10" i="5"/>
  <c r="H10" i="5"/>
  <c r="G10" i="5"/>
  <c r="D10" i="5"/>
  <c r="E10" i="5" s="1"/>
  <c r="J9" i="5"/>
  <c r="I9" i="5"/>
  <c r="H9" i="5"/>
  <c r="G9" i="5"/>
  <c r="D9" i="5"/>
  <c r="E9" i="5" s="1"/>
  <c r="J8" i="5"/>
  <c r="I8" i="5"/>
  <c r="H8" i="5"/>
  <c r="G8" i="5"/>
  <c r="E8" i="5"/>
  <c r="D8" i="5"/>
  <c r="J7" i="5"/>
  <c r="I7" i="5"/>
  <c r="H7" i="5"/>
  <c r="G7" i="5"/>
  <c r="D7" i="5"/>
  <c r="E7" i="5" s="1"/>
  <c r="J6" i="5"/>
  <c r="I6" i="5"/>
  <c r="H6" i="5"/>
  <c r="G6" i="5"/>
  <c r="D6" i="5"/>
  <c r="E6" i="5" s="1"/>
  <c r="J5" i="5"/>
  <c r="I5" i="5"/>
  <c r="H5" i="5"/>
  <c r="G5" i="5"/>
  <c r="D5" i="5"/>
  <c r="E5" i="5" s="1"/>
  <c r="J4" i="5"/>
  <c r="I4" i="5"/>
  <c r="H4" i="5"/>
  <c r="G4" i="5"/>
  <c r="D4" i="5"/>
  <c r="E4" i="5" s="1"/>
  <c r="E31" i="1" s="1"/>
  <c r="H187" i="4"/>
  <c r="G187" i="4"/>
  <c r="D187" i="4"/>
  <c r="E187" i="4" s="1"/>
  <c r="H186" i="4"/>
  <c r="G186" i="4"/>
  <c r="D186" i="4"/>
  <c r="E186" i="4" s="1"/>
  <c r="H185" i="4"/>
  <c r="G185" i="4"/>
  <c r="E185" i="4"/>
  <c r="D185" i="4"/>
  <c r="H184" i="4"/>
  <c r="G184" i="4"/>
  <c r="D184" i="4"/>
  <c r="E184" i="4" s="1"/>
  <c r="H183" i="4"/>
  <c r="G183" i="4"/>
  <c r="D183" i="4"/>
  <c r="E183" i="4" s="1"/>
  <c r="H182" i="4"/>
  <c r="G182" i="4"/>
  <c r="D182" i="4"/>
  <c r="E182" i="4" s="1"/>
  <c r="H181" i="4"/>
  <c r="G181" i="4"/>
  <c r="D181" i="4"/>
  <c r="E181" i="4" s="1"/>
  <c r="H180" i="4"/>
  <c r="G180" i="4"/>
  <c r="D180" i="4"/>
  <c r="E180" i="4" s="1"/>
  <c r="H179" i="4"/>
  <c r="G179" i="4"/>
  <c r="D179" i="4"/>
  <c r="E179" i="4" s="1"/>
  <c r="H178" i="4"/>
  <c r="G178" i="4"/>
  <c r="D178" i="4"/>
  <c r="E178" i="4" s="1"/>
  <c r="H177" i="4"/>
  <c r="G177" i="4"/>
  <c r="D177" i="4"/>
  <c r="E177" i="4" s="1"/>
  <c r="H176" i="4"/>
  <c r="G176" i="4"/>
  <c r="D176" i="4"/>
  <c r="E176" i="4" s="1"/>
  <c r="H175" i="4"/>
  <c r="G175" i="4"/>
  <c r="D175" i="4"/>
  <c r="E175" i="4" s="1"/>
  <c r="H174" i="4"/>
  <c r="G174" i="4"/>
  <c r="D174" i="4"/>
  <c r="E174" i="4" s="1"/>
  <c r="H173" i="4"/>
  <c r="G173" i="4"/>
  <c r="D173" i="4"/>
  <c r="E173" i="4" s="1"/>
  <c r="H172" i="4"/>
  <c r="G172" i="4"/>
  <c r="D172" i="4"/>
  <c r="E172" i="4" s="1"/>
  <c r="H171" i="4"/>
  <c r="G171" i="4"/>
  <c r="D171" i="4"/>
  <c r="E171" i="4" s="1"/>
  <c r="H170" i="4"/>
  <c r="G170" i="4"/>
  <c r="D170" i="4"/>
  <c r="E170" i="4" s="1"/>
  <c r="H169" i="4"/>
  <c r="G169" i="4"/>
  <c r="D169" i="4"/>
  <c r="E169" i="4" s="1"/>
  <c r="H168" i="4"/>
  <c r="G168" i="4"/>
  <c r="D168" i="4"/>
  <c r="H167" i="4"/>
  <c r="G167" i="4"/>
  <c r="D167" i="4"/>
  <c r="E167" i="4" s="1"/>
  <c r="H166" i="4"/>
  <c r="G166" i="4"/>
  <c r="D166" i="4"/>
  <c r="E166" i="4" s="1"/>
  <c r="H165" i="4"/>
  <c r="G165" i="4"/>
  <c r="D165" i="4"/>
  <c r="E165" i="4" s="1"/>
  <c r="H164" i="4"/>
  <c r="G164" i="4"/>
  <c r="D164" i="4"/>
  <c r="E164" i="4" s="1"/>
  <c r="H163" i="4"/>
  <c r="G163" i="4"/>
  <c r="D163" i="4"/>
  <c r="E163" i="4" s="1"/>
  <c r="H162" i="4"/>
  <c r="G162" i="4"/>
  <c r="D162" i="4"/>
  <c r="E162" i="4" s="1"/>
  <c r="H161" i="4"/>
  <c r="G161" i="4"/>
  <c r="D161" i="4"/>
  <c r="E161" i="4" s="1"/>
  <c r="H160" i="4"/>
  <c r="G160" i="4"/>
  <c r="D160" i="4"/>
  <c r="E160" i="4" s="1"/>
  <c r="H159" i="4"/>
  <c r="G159" i="4"/>
  <c r="D159" i="4"/>
  <c r="E159" i="4" s="1"/>
  <c r="H158" i="4"/>
  <c r="G158" i="4"/>
  <c r="D158" i="4"/>
  <c r="E158" i="4" s="1"/>
  <c r="H157" i="4"/>
  <c r="G157" i="4"/>
  <c r="D157" i="4"/>
  <c r="E157" i="4" s="1"/>
  <c r="H156" i="4"/>
  <c r="G156" i="4"/>
  <c r="D156" i="4"/>
  <c r="E156" i="4" s="1"/>
  <c r="H155" i="4"/>
  <c r="G155" i="4"/>
  <c r="D155" i="4"/>
  <c r="E155" i="4" s="1"/>
  <c r="H154" i="4"/>
  <c r="G154" i="4"/>
  <c r="D154" i="4"/>
  <c r="E154" i="4" s="1"/>
  <c r="H153" i="4"/>
  <c r="G153" i="4"/>
  <c r="D153" i="4"/>
  <c r="E153" i="4" s="1"/>
  <c r="H152" i="4"/>
  <c r="G152" i="4"/>
  <c r="D152" i="4"/>
  <c r="E152" i="4" s="1"/>
  <c r="H151" i="4"/>
  <c r="G151" i="4"/>
  <c r="D151" i="4"/>
  <c r="E151" i="4" s="1"/>
  <c r="H150" i="4"/>
  <c r="G150" i="4"/>
  <c r="E150" i="4"/>
  <c r="D150" i="4"/>
  <c r="H149" i="4"/>
  <c r="G149" i="4"/>
  <c r="D149" i="4"/>
  <c r="E149" i="4" s="1"/>
  <c r="H148" i="4"/>
  <c r="G148" i="4"/>
  <c r="D148" i="4"/>
  <c r="E148" i="4" s="1"/>
  <c r="H147" i="4"/>
  <c r="G147" i="4"/>
  <c r="D147" i="4"/>
  <c r="E147" i="4" s="1"/>
  <c r="H146" i="4"/>
  <c r="G146" i="4"/>
  <c r="D146" i="4"/>
  <c r="E146" i="4" s="1"/>
  <c r="H145" i="4"/>
  <c r="G145" i="4"/>
  <c r="E145" i="4"/>
  <c r="D145" i="4"/>
  <c r="H144" i="4"/>
  <c r="G144" i="4"/>
  <c r="D144" i="4"/>
  <c r="E144" i="4" s="1"/>
  <c r="H143" i="4"/>
  <c r="G143" i="4"/>
  <c r="D143" i="4"/>
  <c r="E143" i="4" s="1"/>
  <c r="H142" i="4"/>
  <c r="G142" i="4"/>
  <c r="D142" i="4"/>
  <c r="E142" i="4" s="1"/>
  <c r="H141" i="4"/>
  <c r="G141" i="4"/>
  <c r="D141" i="4"/>
  <c r="E141" i="4" s="1"/>
  <c r="H140" i="4"/>
  <c r="G140" i="4"/>
  <c r="D140" i="4"/>
  <c r="E140" i="4" s="1"/>
  <c r="H139" i="4"/>
  <c r="G139" i="4"/>
  <c r="D139" i="4"/>
  <c r="H138" i="4"/>
  <c r="G138" i="4"/>
  <c r="D138" i="4"/>
  <c r="E138" i="4" s="1"/>
  <c r="H137" i="4"/>
  <c r="G137" i="4"/>
  <c r="D137" i="4"/>
  <c r="E137" i="4" s="1"/>
  <c r="H136" i="4"/>
  <c r="L25" i="1" s="1"/>
  <c r="G136" i="4"/>
  <c r="D136" i="4"/>
  <c r="E136" i="4" s="1"/>
  <c r="H135" i="4"/>
  <c r="G135" i="4"/>
  <c r="D135" i="4"/>
  <c r="E135" i="4" s="1"/>
  <c r="H134" i="4"/>
  <c r="G134" i="4"/>
  <c r="D134" i="4"/>
  <c r="E134" i="4" s="1"/>
  <c r="H133" i="4"/>
  <c r="G133" i="4"/>
  <c r="D133" i="4"/>
  <c r="E133" i="4" s="1"/>
  <c r="H132" i="4"/>
  <c r="G132" i="4"/>
  <c r="D132" i="4"/>
  <c r="E132" i="4" s="1"/>
  <c r="H131" i="4"/>
  <c r="G131" i="4"/>
  <c r="D131" i="4"/>
  <c r="E131" i="4" s="1"/>
  <c r="H130" i="4"/>
  <c r="G130" i="4"/>
  <c r="D130" i="4"/>
  <c r="E130" i="4" s="1"/>
  <c r="H129" i="4"/>
  <c r="G129" i="4"/>
  <c r="D129" i="4"/>
  <c r="E129" i="4" s="1"/>
  <c r="H128" i="4"/>
  <c r="G128" i="4"/>
  <c r="D128" i="4"/>
  <c r="E128" i="4" s="1"/>
  <c r="H127" i="4"/>
  <c r="G127" i="4"/>
  <c r="D127" i="4"/>
  <c r="E127" i="4" s="1"/>
  <c r="H126" i="4"/>
  <c r="G126" i="4"/>
  <c r="E126" i="4"/>
  <c r="D126" i="4"/>
  <c r="H125" i="4"/>
  <c r="G125" i="4"/>
  <c r="D125" i="4"/>
  <c r="E125" i="4" s="1"/>
  <c r="H124" i="4"/>
  <c r="G124" i="4"/>
  <c r="D124" i="4"/>
  <c r="E124" i="4" s="1"/>
  <c r="H123" i="4"/>
  <c r="G123" i="4"/>
  <c r="D123" i="4"/>
  <c r="E123" i="4" s="1"/>
  <c r="H122" i="4"/>
  <c r="G122" i="4"/>
  <c r="D122" i="4"/>
  <c r="E122" i="4" s="1"/>
  <c r="H121" i="4"/>
  <c r="G121" i="4"/>
  <c r="D121" i="4"/>
  <c r="E121" i="4" s="1"/>
  <c r="H120" i="4"/>
  <c r="G120" i="4"/>
  <c r="E120" i="4"/>
  <c r="D120" i="4"/>
  <c r="H119" i="4"/>
  <c r="G119" i="4"/>
  <c r="D119" i="4"/>
  <c r="E119" i="4" s="1"/>
  <c r="H118" i="4"/>
  <c r="G118" i="4"/>
  <c r="D118" i="4"/>
  <c r="E118" i="4" s="1"/>
  <c r="H117" i="4"/>
  <c r="G117" i="4"/>
  <c r="D117" i="4"/>
  <c r="E117" i="4" s="1"/>
  <c r="H116" i="4"/>
  <c r="G116" i="4"/>
  <c r="D116" i="4"/>
  <c r="E116" i="4" s="1"/>
  <c r="H115" i="4"/>
  <c r="G115" i="4"/>
  <c r="D115" i="4"/>
  <c r="E115" i="4" s="1"/>
  <c r="H114" i="4"/>
  <c r="G114" i="4"/>
  <c r="D114" i="4"/>
  <c r="E114" i="4" s="1"/>
  <c r="H113" i="4"/>
  <c r="G113" i="4"/>
  <c r="D113" i="4"/>
  <c r="E113" i="4" s="1"/>
  <c r="H112" i="4"/>
  <c r="K25" i="1" s="1"/>
  <c r="G112" i="4"/>
  <c r="E112" i="4"/>
  <c r="D112" i="4"/>
  <c r="H111" i="4"/>
  <c r="G111" i="4"/>
  <c r="D111" i="4"/>
  <c r="E111" i="4" s="1"/>
  <c r="H110" i="4"/>
  <c r="G110" i="4"/>
  <c r="D110" i="4"/>
  <c r="H109" i="4"/>
  <c r="G109" i="4"/>
  <c r="E109" i="4"/>
  <c r="D109" i="4"/>
  <c r="H108" i="4"/>
  <c r="G108" i="4"/>
  <c r="E108" i="4"/>
  <c r="D108" i="4"/>
  <c r="H107" i="4"/>
  <c r="G107" i="4"/>
  <c r="E107" i="4"/>
  <c r="D107" i="4"/>
  <c r="H106" i="4"/>
  <c r="G106" i="4"/>
  <c r="D106" i="4"/>
  <c r="E106" i="4" s="1"/>
  <c r="H105" i="4"/>
  <c r="G105" i="4"/>
  <c r="D105" i="4"/>
  <c r="E105" i="4" s="1"/>
  <c r="H104" i="4"/>
  <c r="G104" i="4"/>
  <c r="D104" i="4"/>
  <c r="E104" i="4" s="1"/>
  <c r="H103" i="4"/>
  <c r="G103" i="4"/>
  <c r="D103" i="4"/>
  <c r="E103" i="4" s="1"/>
  <c r="H102" i="4"/>
  <c r="G102" i="4"/>
  <c r="D102" i="4"/>
  <c r="E102" i="4" s="1"/>
  <c r="H101" i="4"/>
  <c r="G101" i="4"/>
  <c r="E101" i="4"/>
  <c r="D101" i="4"/>
  <c r="H100" i="4"/>
  <c r="G100" i="4"/>
  <c r="D100" i="4"/>
  <c r="E100" i="4" s="1"/>
  <c r="H99" i="4"/>
  <c r="G99" i="4"/>
  <c r="E99" i="4"/>
  <c r="D99" i="4"/>
  <c r="H98" i="4"/>
  <c r="G98" i="4"/>
  <c r="D98" i="4"/>
  <c r="E98" i="4" s="1"/>
  <c r="H97" i="4"/>
  <c r="G97" i="4"/>
  <c r="D97" i="4"/>
  <c r="E97" i="4" s="1"/>
  <c r="H96" i="4"/>
  <c r="G96" i="4"/>
  <c r="E96" i="4"/>
  <c r="D96" i="4"/>
  <c r="H95" i="4"/>
  <c r="G95" i="4"/>
  <c r="D95" i="4"/>
  <c r="E95" i="4" s="1"/>
  <c r="H94" i="4"/>
  <c r="G94" i="4"/>
  <c r="D94" i="4"/>
  <c r="H93" i="4"/>
  <c r="G93" i="4"/>
  <c r="D93" i="4"/>
  <c r="E93" i="4" s="1"/>
  <c r="H92" i="4"/>
  <c r="G92" i="4"/>
  <c r="D92" i="4"/>
  <c r="E92" i="4" s="1"/>
  <c r="H91" i="4"/>
  <c r="G91" i="4"/>
  <c r="D91" i="4"/>
  <c r="E91" i="4" s="1"/>
  <c r="H90" i="4"/>
  <c r="G90" i="4"/>
  <c r="D90" i="4"/>
  <c r="E90" i="4" s="1"/>
  <c r="H89" i="4"/>
  <c r="G89" i="4"/>
  <c r="D89" i="4"/>
  <c r="E89" i="4" s="1"/>
  <c r="H88" i="4"/>
  <c r="G88" i="4"/>
  <c r="D88" i="4"/>
  <c r="E88" i="4" s="1"/>
  <c r="H87" i="4"/>
  <c r="G87" i="4"/>
  <c r="E87" i="4"/>
  <c r="D87" i="4"/>
  <c r="H86" i="4"/>
  <c r="G86" i="4"/>
  <c r="D86" i="4"/>
  <c r="E86" i="4" s="1"/>
  <c r="H85" i="4"/>
  <c r="G85" i="4"/>
  <c r="D85" i="4"/>
  <c r="E85" i="4" s="1"/>
  <c r="H84" i="4"/>
  <c r="G84" i="4"/>
  <c r="E84" i="4"/>
  <c r="D84" i="4"/>
  <c r="H83" i="4"/>
  <c r="G83" i="4"/>
  <c r="D83" i="4"/>
  <c r="E83" i="4" s="1"/>
  <c r="H82" i="4"/>
  <c r="G82" i="4"/>
  <c r="E82" i="4"/>
  <c r="D82" i="4"/>
  <c r="H81" i="4"/>
  <c r="G81" i="4"/>
  <c r="D81" i="4"/>
  <c r="E81" i="4" s="1"/>
  <c r="H80" i="4"/>
  <c r="G80" i="4"/>
  <c r="D80" i="4"/>
  <c r="E80" i="4" s="1"/>
  <c r="H79" i="4"/>
  <c r="G79" i="4"/>
  <c r="D79" i="4"/>
  <c r="E79" i="4" s="1"/>
  <c r="H78" i="4"/>
  <c r="G78" i="4"/>
  <c r="D78" i="4"/>
  <c r="E78" i="4" s="1"/>
  <c r="H77" i="4"/>
  <c r="G77" i="4"/>
  <c r="D77" i="4"/>
  <c r="E77" i="4" s="1"/>
  <c r="H76" i="4"/>
  <c r="G76" i="4"/>
  <c r="D76" i="4"/>
  <c r="H75" i="4"/>
  <c r="G75" i="4"/>
  <c r="E75" i="4"/>
  <c r="D75" i="4"/>
  <c r="H74" i="4"/>
  <c r="G74" i="4"/>
  <c r="D74" i="4"/>
  <c r="E74" i="4" s="1"/>
  <c r="H73" i="4"/>
  <c r="G73" i="4"/>
  <c r="D73" i="4"/>
  <c r="E73" i="4" s="1"/>
  <c r="H72" i="4"/>
  <c r="G72" i="4"/>
  <c r="D72" i="4"/>
  <c r="E72" i="4" s="1"/>
  <c r="H71" i="4"/>
  <c r="G71" i="4"/>
  <c r="E71" i="4"/>
  <c r="D71" i="4"/>
  <c r="H70" i="4"/>
  <c r="G70" i="4"/>
  <c r="D70" i="4"/>
  <c r="E70" i="4" s="1"/>
  <c r="H69" i="4"/>
  <c r="G69" i="4"/>
  <c r="D69" i="4"/>
  <c r="E69" i="4" s="1"/>
  <c r="H68" i="4"/>
  <c r="G68" i="4"/>
  <c r="D68" i="4"/>
  <c r="E68" i="4" s="1"/>
  <c r="H67" i="4"/>
  <c r="G67" i="4"/>
  <c r="E67" i="4"/>
  <c r="D67" i="4"/>
  <c r="H66" i="4"/>
  <c r="G66" i="4"/>
  <c r="E66" i="4"/>
  <c r="D66" i="4"/>
  <c r="H65" i="4"/>
  <c r="G65" i="4"/>
  <c r="D65" i="4"/>
  <c r="E65" i="4" s="1"/>
  <c r="H64" i="4"/>
  <c r="G64" i="4"/>
  <c r="D64" i="4"/>
  <c r="E64" i="4" s="1"/>
  <c r="H63" i="4"/>
  <c r="G63" i="4"/>
  <c r="E63" i="4"/>
  <c r="D63" i="4"/>
  <c r="H62" i="4"/>
  <c r="G62" i="4"/>
  <c r="D62" i="4"/>
  <c r="E62" i="4" s="1"/>
  <c r="H61" i="4"/>
  <c r="G61" i="4"/>
  <c r="D61" i="4"/>
  <c r="E61" i="4" s="1"/>
  <c r="H60" i="4"/>
  <c r="G60" i="4"/>
  <c r="D60" i="4"/>
  <c r="E60" i="4" s="1"/>
  <c r="H59" i="4"/>
  <c r="G59" i="4"/>
  <c r="D59" i="4"/>
  <c r="E59" i="4" s="1"/>
  <c r="H58" i="4"/>
  <c r="G58" i="4"/>
  <c r="D58" i="4"/>
  <c r="E58" i="4" s="1"/>
  <c r="H57" i="4"/>
  <c r="G57" i="4"/>
  <c r="D57" i="4"/>
  <c r="E57" i="4" s="1"/>
  <c r="H56" i="4"/>
  <c r="G56" i="4"/>
  <c r="D56" i="4"/>
  <c r="E56" i="4" s="1"/>
  <c r="H55" i="4"/>
  <c r="G55" i="4"/>
  <c r="E55" i="4"/>
  <c r="D55" i="4"/>
  <c r="H54" i="4"/>
  <c r="G54" i="4"/>
  <c r="D54" i="4"/>
  <c r="E54" i="4" s="1"/>
  <c r="H53" i="4"/>
  <c r="G53" i="4"/>
  <c r="D53" i="4"/>
  <c r="E53" i="4" s="1"/>
  <c r="H52" i="4"/>
  <c r="G52" i="4"/>
  <c r="D52" i="4"/>
  <c r="E52" i="4" s="1"/>
  <c r="H51" i="4"/>
  <c r="G51" i="4"/>
  <c r="D51" i="4"/>
  <c r="E51" i="4" s="1"/>
  <c r="H50" i="4"/>
  <c r="G50" i="4"/>
  <c r="D50" i="4"/>
  <c r="E50" i="4" s="1"/>
  <c r="H49" i="4"/>
  <c r="G49" i="4"/>
  <c r="D49" i="4"/>
  <c r="E49" i="4" s="1"/>
  <c r="H48" i="4"/>
  <c r="G48" i="4"/>
  <c r="D48" i="4"/>
  <c r="E48" i="4" s="1"/>
  <c r="H47" i="4"/>
  <c r="G47" i="4"/>
  <c r="D47" i="4"/>
  <c r="E47" i="4" s="1"/>
  <c r="H46" i="4"/>
  <c r="G46" i="4"/>
  <c r="D46" i="4"/>
  <c r="E46" i="4" s="1"/>
  <c r="H45" i="4"/>
  <c r="G45" i="4"/>
  <c r="D45" i="4"/>
  <c r="E45" i="4" s="1"/>
  <c r="H44" i="4"/>
  <c r="G44" i="4"/>
  <c r="D44" i="4"/>
  <c r="E44" i="4" s="1"/>
  <c r="H43" i="4"/>
  <c r="G43" i="4"/>
  <c r="D43" i="4"/>
  <c r="E43" i="4" s="1"/>
  <c r="H42" i="4"/>
  <c r="G42" i="4"/>
  <c r="D42" i="4"/>
  <c r="E42" i="4" s="1"/>
  <c r="H41" i="4"/>
  <c r="G41" i="4"/>
  <c r="E41" i="4"/>
  <c r="D41" i="4"/>
  <c r="H40" i="4"/>
  <c r="G40" i="4"/>
  <c r="D40" i="4"/>
  <c r="E40" i="4" s="1"/>
  <c r="H39" i="4"/>
  <c r="G39" i="4"/>
  <c r="D39" i="4"/>
  <c r="E39" i="4" s="1"/>
  <c r="H38" i="4"/>
  <c r="G38" i="4"/>
  <c r="D38" i="4"/>
  <c r="E38" i="4" s="1"/>
  <c r="H37" i="4"/>
  <c r="G37" i="4"/>
  <c r="E37" i="4"/>
  <c r="D37" i="4"/>
  <c r="H36" i="4"/>
  <c r="G36" i="4"/>
  <c r="D36" i="4"/>
  <c r="E36" i="4" s="1"/>
  <c r="H35" i="4"/>
  <c r="G35" i="4"/>
  <c r="D35" i="4"/>
  <c r="E35" i="4" s="1"/>
  <c r="H34" i="4"/>
  <c r="G34" i="4"/>
  <c r="D34" i="4"/>
  <c r="E34" i="4" s="1"/>
  <c r="H33" i="4"/>
  <c r="G33" i="4"/>
  <c r="E33" i="4"/>
  <c r="D33" i="4"/>
  <c r="H32" i="4"/>
  <c r="G32" i="4"/>
  <c r="D32" i="4"/>
  <c r="E32" i="4" s="1"/>
  <c r="H31" i="4"/>
  <c r="G31" i="4"/>
  <c r="D31" i="4"/>
  <c r="E31" i="4" s="1"/>
  <c r="H30" i="4"/>
  <c r="G30" i="4"/>
  <c r="D30" i="4"/>
  <c r="E30" i="4" s="1"/>
  <c r="H29" i="4"/>
  <c r="G29" i="4"/>
  <c r="D29" i="4"/>
  <c r="E29" i="4" s="1"/>
  <c r="H28" i="4"/>
  <c r="G28" i="4"/>
  <c r="D28" i="4"/>
  <c r="E28" i="4" s="1"/>
  <c r="H27" i="4"/>
  <c r="G27" i="4"/>
  <c r="D27" i="4"/>
  <c r="E27" i="4" s="1"/>
  <c r="H26" i="4"/>
  <c r="G26" i="4"/>
  <c r="E26" i="4"/>
  <c r="D26" i="4"/>
  <c r="H25" i="4"/>
  <c r="G25" i="4"/>
  <c r="D25" i="4"/>
  <c r="E25" i="4" s="1"/>
  <c r="H24" i="4"/>
  <c r="G24" i="4"/>
  <c r="D24" i="4"/>
  <c r="E24" i="4" s="1"/>
  <c r="H23" i="4"/>
  <c r="G23" i="4"/>
  <c r="E23" i="4"/>
  <c r="D23" i="4"/>
  <c r="H22" i="4"/>
  <c r="G22" i="4"/>
  <c r="D22" i="4"/>
  <c r="E22" i="4" s="1"/>
  <c r="H21" i="4"/>
  <c r="G21" i="4"/>
  <c r="D21" i="4"/>
  <c r="E21" i="4" s="1"/>
  <c r="H20" i="4"/>
  <c r="G20" i="4"/>
  <c r="D20" i="4"/>
  <c r="E20" i="4" s="1"/>
  <c r="F24" i="1" s="1"/>
  <c r="H19" i="4"/>
  <c r="G19" i="4"/>
  <c r="E19" i="4"/>
  <c r="D19" i="4"/>
  <c r="H18" i="4"/>
  <c r="G18" i="4"/>
  <c r="D18" i="4"/>
  <c r="E18" i="4" s="1"/>
  <c r="H17" i="4"/>
  <c r="G17" i="4"/>
  <c r="D17" i="4"/>
  <c r="E17" i="4" s="1"/>
  <c r="H16" i="4"/>
  <c r="G16" i="4"/>
  <c r="D16" i="4"/>
  <c r="E16" i="4" s="1"/>
  <c r="H15" i="4"/>
  <c r="G15" i="4"/>
  <c r="F26" i="1" s="1"/>
  <c r="D15" i="4"/>
  <c r="E15" i="4" s="1"/>
  <c r="H14" i="4"/>
  <c r="G14" i="4"/>
  <c r="D14" i="4"/>
  <c r="E14" i="4" s="1"/>
  <c r="H13" i="4"/>
  <c r="G13" i="4"/>
  <c r="D13" i="4"/>
  <c r="E13" i="4" s="1"/>
  <c r="H12" i="4"/>
  <c r="G12" i="4"/>
  <c r="D12" i="4"/>
  <c r="E12" i="4" s="1"/>
  <c r="H11" i="4"/>
  <c r="G11" i="4"/>
  <c r="E11" i="4"/>
  <c r="D11" i="4"/>
  <c r="H10" i="4"/>
  <c r="G10" i="4"/>
  <c r="E10" i="4"/>
  <c r="D10" i="4"/>
  <c r="H9" i="4"/>
  <c r="G9" i="4"/>
  <c r="E9" i="4"/>
  <c r="D9" i="4"/>
  <c r="H8" i="4"/>
  <c r="G8" i="4"/>
  <c r="D8" i="4"/>
  <c r="E8" i="4" s="1"/>
  <c r="H7" i="4"/>
  <c r="G7" i="4"/>
  <c r="D7" i="4"/>
  <c r="E7" i="4" s="1"/>
  <c r="H6" i="4"/>
  <c r="G6" i="4"/>
  <c r="E6" i="4"/>
  <c r="E24" i="1" s="1"/>
  <c r="D6" i="4"/>
  <c r="H5" i="4"/>
  <c r="G5" i="4"/>
  <c r="D5" i="4"/>
  <c r="E5" i="4" s="1"/>
  <c r="H4" i="4"/>
  <c r="G4" i="4"/>
  <c r="D4" i="4"/>
  <c r="E4" i="4" s="1"/>
  <c r="G813" i="3"/>
  <c r="D813" i="3"/>
  <c r="F813" i="3" s="1"/>
  <c r="G812" i="3"/>
  <c r="D812" i="3"/>
  <c r="F812" i="3" s="1"/>
  <c r="G811" i="3"/>
  <c r="D811" i="3"/>
  <c r="E811" i="3" s="1"/>
  <c r="G810" i="3"/>
  <c r="D810" i="3"/>
  <c r="F810" i="3" s="1"/>
  <c r="G809" i="3"/>
  <c r="D809" i="3"/>
  <c r="F809" i="3" s="1"/>
  <c r="G808" i="3"/>
  <c r="D808" i="3"/>
  <c r="G807" i="3"/>
  <c r="D807" i="3"/>
  <c r="G806" i="3"/>
  <c r="D806" i="3"/>
  <c r="E806" i="3" s="1"/>
  <c r="G805" i="3"/>
  <c r="D805" i="3"/>
  <c r="F805" i="3" s="1"/>
  <c r="G804" i="3"/>
  <c r="D804" i="3"/>
  <c r="F804" i="3" s="1"/>
  <c r="G803" i="3"/>
  <c r="D803" i="3"/>
  <c r="F803" i="3" s="1"/>
  <c r="G802" i="3"/>
  <c r="D802" i="3"/>
  <c r="G801" i="3"/>
  <c r="D801" i="3"/>
  <c r="G800" i="3"/>
  <c r="D800" i="3"/>
  <c r="F800" i="3" s="1"/>
  <c r="G799" i="3"/>
  <c r="D799" i="3"/>
  <c r="F799" i="3" s="1"/>
  <c r="G798" i="3"/>
  <c r="F798" i="3"/>
  <c r="E798" i="3"/>
  <c r="D798" i="3"/>
  <c r="G797" i="3"/>
  <c r="D797" i="3"/>
  <c r="F797" i="3" s="1"/>
  <c r="G796" i="3"/>
  <c r="D796" i="3"/>
  <c r="F796" i="3" s="1"/>
  <c r="G795" i="3"/>
  <c r="D795" i="3"/>
  <c r="F795" i="3" s="1"/>
  <c r="G794" i="3"/>
  <c r="D794" i="3"/>
  <c r="F794" i="3" s="1"/>
  <c r="G793" i="3"/>
  <c r="D793" i="3"/>
  <c r="F793" i="3" s="1"/>
  <c r="G792" i="3"/>
  <c r="D792" i="3"/>
  <c r="F792" i="3" s="1"/>
  <c r="G791" i="3"/>
  <c r="D791" i="3"/>
  <c r="F791" i="3" s="1"/>
  <c r="G790" i="3"/>
  <c r="D790" i="3"/>
  <c r="F790" i="3" s="1"/>
  <c r="G789" i="3"/>
  <c r="D789" i="3"/>
  <c r="G788" i="3"/>
  <c r="D788" i="3"/>
  <c r="F788" i="3" s="1"/>
  <c r="G787" i="3"/>
  <c r="E787" i="3"/>
  <c r="D787" i="3"/>
  <c r="F787" i="3" s="1"/>
  <c r="G786" i="3"/>
  <c r="D786" i="3"/>
  <c r="F786" i="3" s="1"/>
  <c r="G785" i="3"/>
  <c r="D785" i="3"/>
  <c r="F785" i="3" s="1"/>
  <c r="G784" i="3"/>
  <c r="D784" i="3"/>
  <c r="G783" i="3"/>
  <c r="D783" i="3"/>
  <c r="G782" i="3"/>
  <c r="F782" i="3"/>
  <c r="D782" i="3"/>
  <c r="E782" i="3" s="1"/>
  <c r="G781" i="3"/>
  <c r="D781" i="3"/>
  <c r="F781" i="3" s="1"/>
  <c r="G780" i="3"/>
  <c r="D780" i="3"/>
  <c r="F780" i="3" s="1"/>
  <c r="G779" i="3"/>
  <c r="D779" i="3"/>
  <c r="F779" i="3" s="1"/>
  <c r="G778" i="3"/>
  <c r="D778" i="3"/>
  <c r="F778" i="3" s="1"/>
  <c r="G777" i="3"/>
  <c r="D777" i="3"/>
  <c r="F777" i="3" s="1"/>
  <c r="G776" i="3"/>
  <c r="D776" i="3"/>
  <c r="G775" i="3"/>
  <c r="F775" i="3"/>
  <c r="D775" i="3"/>
  <c r="E775" i="3" s="1"/>
  <c r="G774" i="3"/>
  <c r="D774" i="3"/>
  <c r="F774" i="3" s="1"/>
  <c r="G773" i="3"/>
  <c r="D773" i="3"/>
  <c r="F773" i="3" s="1"/>
  <c r="G772" i="3"/>
  <c r="D772" i="3"/>
  <c r="F772" i="3" s="1"/>
  <c r="G771" i="3"/>
  <c r="D771" i="3"/>
  <c r="F771" i="3" s="1"/>
  <c r="G770" i="3"/>
  <c r="D770" i="3"/>
  <c r="G769" i="3"/>
  <c r="D769" i="3"/>
  <c r="F769" i="3" s="1"/>
  <c r="G768" i="3"/>
  <c r="D768" i="3"/>
  <c r="F768" i="3" s="1"/>
  <c r="G767" i="3"/>
  <c r="D767" i="3"/>
  <c r="G766" i="3"/>
  <c r="D766" i="3"/>
  <c r="F766" i="3" s="1"/>
  <c r="G765" i="3"/>
  <c r="D765" i="3"/>
  <c r="F765" i="3" s="1"/>
  <c r="G764" i="3"/>
  <c r="D764" i="3"/>
  <c r="F764" i="3" s="1"/>
  <c r="G763" i="3"/>
  <c r="D763" i="3"/>
  <c r="F763" i="3" s="1"/>
  <c r="G762" i="3"/>
  <c r="D762" i="3"/>
  <c r="F762" i="3" s="1"/>
  <c r="G761" i="3"/>
  <c r="D761" i="3"/>
  <c r="F761" i="3" s="1"/>
  <c r="G760" i="3"/>
  <c r="D760" i="3"/>
  <c r="F760" i="3" s="1"/>
  <c r="G759" i="3"/>
  <c r="D759" i="3"/>
  <c r="G758" i="3"/>
  <c r="D758" i="3"/>
  <c r="F758" i="3" s="1"/>
  <c r="G757" i="3"/>
  <c r="D757" i="3"/>
  <c r="G756" i="3"/>
  <c r="D756" i="3"/>
  <c r="F756" i="3" s="1"/>
  <c r="G755" i="3"/>
  <c r="D755" i="3"/>
  <c r="F755" i="3" s="1"/>
  <c r="G754" i="3"/>
  <c r="E754" i="3"/>
  <c r="D754" i="3"/>
  <c r="F754" i="3" s="1"/>
  <c r="G753" i="3"/>
  <c r="D753" i="3"/>
  <c r="G752" i="3"/>
  <c r="F752" i="3"/>
  <c r="D752" i="3"/>
  <c r="E752" i="3" s="1"/>
  <c r="G751" i="3"/>
  <c r="D751" i="3"/>
  <c r="E751" i="3" s="1"/>
  <c r="G750" i="3"/>
  <c r="D750" i="3"/>
  <c r="G749" i="3"/>
  <c r="D749" i="3"/>
  <c r="F749" i="3" s="1"/>
  <c r="G748" i="3"/>
  <c r="D748" i="3"/>
  <c r="F748" i="3" s="1"/>
  <c r="G747" i="3"/>
  <c r="D747" i="3"/>
  <c r="E747" i="3" s="1"/>
  <c r="G746" i="3"/>
  <c r="D746" i="3"/>
  <c r="F746" i="3" s="1"/>
  <c r="G745" i="3"/>
  <c r="D745" i="3"/>
  <c r="F745" i="3" s="1"/>
  <c r="G744" i="3"/>
  <c r="D744" i="3"/>
  <c r="E744" i="3" s="1"/>
  <c r="G743" i="3"/>
  <c r="D743" i="3"/>
  <c r="G742" i="3"/>
  <c r="D742" i="3"/>
  <c r="E742" i="3" s="1"/>
  <c r="G741" i="3"/>
  <c r="D741" i="3"/>
  <c r="G740" i="3"/>
  <c r="D740" i="3"/>
  <c r="F740" i="3" s="1"/>
  <c r="G739" i="3"/>
  <c r="D739" i="3"/>
  <c r="G738" i="3"/>
  <c r="D738" i="3"/>
  <c r="E738" i="3" s="1"/>
  <c r="G737" i="3"/>
  <c r="D737" i="3"/>
  <c r="G736" i="3"/>
  <c r="D736" i="3"/>
  <c r="E736" i="3" s="1"/>
  <c r="G735" i="3"/>
  <c r="D735" i="3"/>
  <c r="G734" i="3"/>
  <c r="F734" i="3"/>
  <c r="E734" i="3"/>
  <c r="D734" i="3"/>
  <c r="G733" i="3"/>
  <c r="D733" i="3"/>
  <c r="F733" i="3" s="1"/>
  <c r="G732" i="3"/>
  <c r="D732" i="3"/>
  <c r="G731" i="3"/>
  <c r="D731" i="3"/>
  <c r="F731" i="3" s="1"/>
  <c r="G730" i="3"/>
  <c r="D730" i="3"/>
  <c r="G729" i="3"/>
  <c r="D729" i="3"/>
  <c r="F729" i="3" s="1"/>
  <c r="G728" i="3"/>
  <c r="D728" i="3"/>
  <c r="G727" i="3"/>
  <c r="D727" i="3"/>
  <c r="E727" i="3" s="1"/>
  <c r="G726" i="3"/>
  <c r="D726" i="3"/>
  <c r="E726" i="3" s="1"/>
  <c r="G725" i="3"/>
  <c r="E725" i="3"/>
  <c r="D725" i="3"/>
  <c r="F725" i="3" s="1"/>
  <c r="G724" i="3"/>
  <c r="D724" i="3"/>
  <c r="F724" i="3" s="1"/>
  <c r="G723" i="3"/>
  <c r="D723" i="3"/>
  <c r="G722" i="3"/>
  <c r="D722" i="3"/>
  <c r="F722" i="3" s="1"/>
  <c r="G721" i="3"/>
  <c r="D721" i="3"/>
  <c r="F721" i="3" s="1"/>
  <c r="G720" i="3"/>
  <c r="D720" i="3"/>
  <c r="G719" i="3"/>
  <c r="D719" i="3"/>
  <c r="E719" i="3" s="1"/>
  <c r="G718" i="3"/>
  <c r="D718" i="3"/>
  <c r="F718" i="3" s="1"/>
  <c r="G717" i="3"/>
  <c r="D717" i="3"/>
  <c r="G716" i="3"/>
  <c r="D716" i="3"/>
  <c r="F716" i="3" s="1"/>
  <c r="G715" i="3"/>
  <c r="D715" i="3"/>
  <c r="F715" i="3" s="1"/>
  <c r="G714" i="3"/>
  <c r="D714" i="3"/>
  <c r="G713" i="3"/>
  <c r="E713" i="3"/>
  <c r="D713" i="3"/>
  <c r="F713" i="3" s="1"/>
  <c r="G712" i="3"/>
  <c r="D712" i="3"/>
  <c r="E712" i="3" s="1"/>
  <c r="G711" i="3"/>
  <c r="D711" i="3"/>
  <c r="G710" i="3"/>
  <c r="D710" i="3"/>
  <c r="G709" i="3"/>
  <c r="D709" i="3"/>
  <c r="F709" i="3" s="1"/>
  <c r="G708" i="3"/>
  <c r="D708" i="3"/>
  <c r="G707" i="3"/>
  <c r="D707" i="3"/>
  <c r="F707" i="3" s="1"/>
  <c r="G706" i="3"/>
  <c r="D706" i="3"/>
  <c r="F706" i="3" s="1"/>
  <c r="G705" i="3"/>
  <c r="D705" i="3"/>
  <c r="G704" i="3"/>
  <c r="F704" i="3"/>
  <c r="E704" i="3"/>
  <c r="D704" i="3"/>
  <c r="G703" i="3"/>
  <c r="D703" i="3"/>
  <c r="G702" i="3"/>
  <c r="D702" i="3"/>
  <c r="F702" i="3" s="1"/>
  <c r="G701" i="3"/>
  <c r="D701" i="3"/>
  <c r="F701" i="3" s="1"/>
  <c r="G700" i="3"/>
  <c r="D700" i="3"/>
  <c r="G699" i="3"/>
  <c r="D699" i="3"/>
  <c r="F699" i="3" s="1"/>
  <c r="G698" i="3"/>
  <c r="D698" i="3"/>
  <c r="G697" i="3"/>
  <c r="D697" i="3"/>
  <c r="F697" i="3" s="1"/>
  <c r="G696" i="3"/>
  <c r="D696" i="3"/>
  <c r="G695" i="3"/>
  <c r="D695" i="3"/>
  <c r="G694" i="3"/>
  <c r="D694" i="3"/>
  <c r="E694" i="3" s="1"/>
  <c r="G693" i="3"/>
  <c r="E693" i="3"/>
  <c r="D693" i="3"/>
  <c r="F693" i="3" s="1"/>
  <c r="G692" i="3"/>
  <c r="D692" i="3"/>
  <c r="F692" i="3" s="1"/>
  <c r="G691" i="3"/>
  <c r="D691" i="3"/>
  <c r="E691" i="3" s="1"/>
  <c r="G690" i="3"/>
  <c r="D690" i="3"/>
  <c r="G689" i="3"/>
  <c r="D689" i="3"/>
  <c r="F689" i="3" s="1"/>
  <c r="G688" i="3"/>
  <c r="D688" i="3"/>
  <c r="F688" i="3" s="1"/>
  <c r="G687" i="3"/>
  <c r="D687" i="3"/>
  <c r="F687" i="3" s="1"/>
  <c r="G686" i="3"/>
  <c r="D686" i="3"/>
  <c r="G685" i="3"/>
  <c r="D685" i="3"/>
  <c r="G684" i="3"/>
  <c r="D684" i="3"/>
  <c r="G683" i="3"/>
  <c r="D683" i="3"/>
  <c r="G682" i="3"/>
  <c r="D682" i="3"/>
  <c r="F682" i="3" s="1"/>
  <c r="G681" i="3"/>
  <c r="D681" i="3"/>
  <c r="F681" i="3" s="1"/>
  <c r="G680" i="3"/>
  <c r="D680" i="3"/>
  <c r="G679" i="3"/>
  <c r="D679" i="3"/>
  <c r="F679" i="3" s="1"/>
  <c r="G678" i="3"/>
  <c r="D678" i="3"/>
  <c r="E678" i="3" s="1"/>
  <c r="G677" i="3"/>
  <c r="D677" i="3"/>
  <c r="G676" i="3"/>
  <c r="D676" i="3"/>
  <c r="F676" i="3" s="1"/>
  <c r="G675" i="3"/>
  <c r="D675" i="3"/>
  <c r="F675" i="3" s="1"/>
  <c r="G674" i="3"/>
  <c r="F674" i="3"/>
  <c r="E674" i="3"/>
  <c r="D674" i="3"/>
  <c r="G673" i="3"/>
  <c r="D673" i="3"/>
  <c r="G672" i="3"/>
  <c r="D672" i="3"/>
  <c r="G671" i="3"/>
  <c r="F671" i="3"/>
  <c r="E671" i="3"/>
  <c r="D671" i="3"/>
  <c r="G670" i="3"/>
  <c r="E670" i="3"/>
  <c r="D670" i="3"/>
  <c r="F670" i="3" s="1"/>
  <c r="G669" i="3"/>
  <c r="D669" i="3"/>
  <c r="F669" i="3" s="1"/>
  <c r="G668" i="3"/>
  <c r="F668" i="3"/>
  <c r="E668" i="3"/>
  <c r="D668" i="3"/>
  <c r="G667" i="3"/>
  <c r="D667" i="3"/>
  <c r="F667" i="3" s="1"/>
  <c r="G666" i="3"/>
  <c r="D666" i="3"/>
  <c r="F666" i="3" s="1"/>
  <c r="G665" i="3"/>
  <c r="D665" i="3"/>
  <c r="F665" i="3" s="1"/>
  <c r="G664" i="3"/>
  <c r="D664" i="3"/>
  <c r="F664" i="3" s="1"/>
  <c r="G663" i="3"/>
  <c r="D663" i="3"/>
  <c r="G662" i="3"/>
  <c r="F662" i="3"/>
  <c r="E662" i="3"/>
  <c r="D662" i="3"/>
  <c r="G661" i="3"/>
  <c r="D661" i="3"/>
  <c r="G660" i="3"/>
  <c r="D660" i="3"/>
  <c r="F660" i="3" s="1"/>
  <c r="G659" i="3"/>
  <c r="D659" i="3"/>
  <c r="G658" i="3"/>
  <c r="D658" i="3"/>
  <c r="F658" i="3" s="1"/>
  <c r="G657" i="3"/>
  <c r="D657" i="3"/>
  <c r="F657" i="3" s="1"/>
  <c r="G656" i="3"/>
  <c r="D656" i="3"/>
  <c r="G655" i="3"/>
  <c r="D655" i="3"/>
  <c r="G654" i="3"/>
  <c r="D654" i="3"/>
  <c r="F654" i="3" s="1"/>
  <c r="G653" i="3"/>
  <c r="D653" i="3"/>
  <c r="F653" i="3" s="1"/>
  <c r="G652" i="3"/>
  <c r="D652" i="3"/>
  <c r="F652" i="3" s="1"/>
  <c r="G651" i="3"/>
  <c r="D651" i="3"/>
  <c r="F651" i="3" s="1"/>
  <c r="G650" i="3"/>
  <c r="D650" i="3"/>
  <c r="F650" i="3" s="1"/>
  <c r="G649" i="3"/>
  <c r="D649" i="3"/>
  <c r="F649" i="3" s="1"/>
  <c r="G648" i="3"/>
  <c r="D648" i="3"/>
  <c r="G647" i="3"/>
  <c r="D647" i="3"/>
  <c r="F647" i="3" s="1"/>
  <c r="G646" i="3"/>
  <c r="D646" i="3"/>
  <c r="F646" i="3" s="1"/>
  <c r="G645" i="3"/>
  <c r="D645" i="3"/>
  <c r="F645" i="3" s="1"/>
  <c r="G644" i="3"/>
  <c r="D644" i="3"/>
  <c r="F644" i="3" s="1"/>
  <c r="G643" i="3"/>
  <c r="E643" i="3"/>
  <c r="D643" i="3"/>
  <c r="F643" i="3" s="1"/>
  <c r="G642" i="3"/>
  <c r="D642" i="3"/>
  <c r="F642" i="3" s="1"/>
  <c r="G641" i="3"/>
  <c r="D641" i="3"/>
  <c r="G640" i="3"/>
  <c r="D640" i="3"/>
  <c r="F640" i="3" s="1"/>
  <c r="G639" i="3"/>
  <c r="D639" i="3"/>
  <c r="G638" i="3"/>
  <c r="D638" i="3"/>
  <c r="E638" i="3" s="1"/>
  <c r="G637" i="3"/>
  <c r="D637" i="3"/>
  <c r="G636" i="3"/>
  <c r="D636" i="3"/>
  <c r="F636" i="3" s="1"/>
  <c r="G635" i="3"/>
  <c r="D635" i="3"/>
  <c r="F635" i="3" s="1"/>
  <c r="G634" i="3"/>
  <c r="D634" i="3"/>
  <c r="F634" i="3" s="1"/>
  <c r="G633" i="3"/>
  <c r="D633" i="3"/>
  <c r="F633" i="3" s="1"/>
  <c r="G632" i="3"/>
  <c r="D632" i="3"/>
  <c r="E632" i="3" s="1"/>
  <c r="G631" i="3"/>
  <c r="D631" i="3"/>
  <c r="G630" i="3"/>
  <c r="F630" i="3"/>
  <c r="E630" i="3"/>
  <c r="D630" i="3"/>
  <c r="G629" i="3"/>
  <c r="D629" i="3"/>
  <c r="F629" i="3" s="1"/>
  <c r="G628" i="3"/>
  <c r="D628" i="3"/>
  <c r="G627" i="3"/>
  <c r="D627" i="3"/>
  <c r="G626" i="3"/>
  <c r="D626" i="3"/>
  <c r="G625" i="3"/>
  <c r="D625" i="3"/>
  <c r="F625" i="3" s="1"/>
  <c r="G624" i="3"/>
  <c r="F624" i="3"/>
  <c r="D624" i="3"/>
  <c r="E624" i="3" s="1"/>
  <c r="G623" i="3"/>
  <c r="D623" i="3"/>
  <c r="F623" i="3" s="1"/>
  <c r="G622" i="3"/>
  <c r="D622" i="3"/>
  <c r="G621" i="3"/>
  <c r="D621" i="3"/>
  <c r="F621" i="3" s="1"/>
  <c r="G620" i="3"/>
  <c r="D620" i="3"/>
  <c r="G619" i="3"/>
  <c r="D619" i="3"/>
  <c r="F619" i="3" s="1"/>
  <c r="G618" i="3"/>
  <c r="D618" i="3"/>
  <c r="F618" i="3" s="1"/>
  <c r="G617" i="3"/>
  <c r="D617" i="3"/>
  <c r="G616" i="3"/>
  <c r="D616" i="3"/>
  <c r="E616" i="3" s="1"/>
  <c r="G615" i="3"/>
  <c r="D615" i="3"/>
  <c r="G614" i="3"/>
  <c r="D614" i="3"/>
  <c r="G613" i="3"/>
  <c r="D613" i="3"/>
  <c r="F613" i="3" s="1"/>
  <c r="G612" i="3"/>
  <c r="F612" i="3"/>
  <c r="E612" i="3"/>
  <c r="D612" i="3"/>
  <c r="G611" i="3"/>
  <c r="D611" i="3"/>
  <c r="F611" i="3" s="1"/>
  <c r="G610" i="3"/>
  <c r="D610" i="3"/>
  <c r="F610" i="3" s="1"/>
  <c r="G609" i="3"/>
  <c r="D609" i="3"/>
  <c r="G608" i="3"/>
  <c r="D608" i="3"/>
  <c r="G607" i="3"/>
  <c r="F607" i="3"/>
  <c r="D607" i="3"/>
  <c r="E607" i="3" s="1"/>
  <c r="G606" i="3"/>
  <c r="D606" i="3"/>
  <c r="F606" i="3" s="1"/>
  <c r="G605" i="3"/>
  <c r="D605" i="3"/>
  <c r="F605" i="3" s="1"/>
  <c r="G604" i="3"/>
  <c r="D604" i="3"/>
  <c r="E604" i="3" s="1"/>
  <c r="G603" i="3"/>
  <c r="D603" i="3"/>
  <c r="F603" i="3" s="1"/>
  <c r="G602" i="3"/>
  <c r="D602" i="3"/>
  <c r="E602" i="3" s="1"/>
  <c r="G601" i="3"/>
  <c r="D601" i="3"/>
  <c r="F601" i="3" s="1"/>
  <c r="G600" i="3"/>
  <c r="D600" i="3"/>
  <c r="G599" i="3"/>
  <c r="D599" i="3"/>
  <c r="G598" i="3"/>
  <c r="F598" i="3"/>
  <c r="D598" i="3"/>
  <c r="E598" i="3" s="1"/>
  <c r="G597" i="3"/>
  <c r="D597" i="3"/>
  <c r="F597" i="3" s="1"/>
  <c r="G596" i="3"/>
  <c r="D596" i="3"/>
  <c r="F596" i="3" s="1"/>
  <c r="G595" i="3"/>
  <c r="D595" i="3"/>
  <c r="E595" i="3" s="1"/>
  <c r="G594" i="3"/>
  <c r="D594" i="3"/>
  <c r="G593" i="3"/>
  <c r="E593" i="3"/>
  <c r="D593" i="3"/>
  <c r="F593" i="3" s="1"/>
  <c r="G592" i="3"/>
  <c r="D592" i="3"/>
  <c r="G591" i="3"/>
  <c r="D591" i="3"/>
  <c r="F591" i="3" s="1"/>
  <c r="G590" i="3"/>
  <c r="D590" i="3"/>
  <c r="G589" i="3"/>
  <c r="D589" i="3"/>
  <c r="F589" i="3" s="1"/>
  <c r="G588" i="3"/>
  <c r="D588" i="3"/>
  <c r="F588" i="3" s="1"/>
  <c r="G587" i="3"/>
  <c r="D587" i="3"/>
  <c r="G586" i="3"/>
  <c r="D586" i="3"/>
  <c r="G585" i="3"/>
  <c r="D585" i="3"/>
  <c r="G584" i="3"/>
  <c r="D584" i="3"/>
  <c r="E584" i="3" s="1"/>
  <c r="G583" i="3"/>
  <c r="D583" i="3"/>
  <c r="F583" i="3" s="1"/>
  <c r="G582" i="3"/>
  <c r="D582" i="3"/>
  <c r="E582" i="3" s="1"/>
  <c r="G581" i="3"/>
  <c r="E581" i="3"/>
  <c r="D581" i="3"/>
  <c r="F581" i="3" s="1"/>
  <c r="G580" i="3"/>
  <c r="D580" i="3"/>
  <c r="F580" i="3" s="1"/>
  <c r="G579" i="3"/>
  <c r="D579" i="3"/>
  <c r="F579" i="3" s="1"/>
  <c r="G578" i="3"/>
  <c r="D578" i="3"/>
  <c r="F578" i="3" s="1"/>
  <c r="G577" i="3"/>
  <c r="D577" i="3"/>
  <c r="F577" i="3" s="1"/>
  <c r="G576" i="3"/>
  <c r="D576" i="3"/>
  <c r="G575" i="3"/>
  <c r="D575" i="3"/>
  <c r="G574" i="3"/>
  <c r="D574" i="3"/>
  <c r="F574" i="3" s="1"/>
  <c r="G573" i="3"/>
  <c r="E573" i="3"/>
  <c r="D573" i="3"/>
  <c r="F573" i="3" s="1"/>
  <c r="G572" i="3"/>
  <c r="D572" i="3"/>
  <c r="G571" i="3"/>
  <c r="D571" i="3"/>
  <c r="F571" i="3" s="1"/>
  <c r="G570" i="3"/>
  <c r="F570" i="3"/>
  <c r="D570" i="3"/>
  <c r="E570" i="3" s="1"/>
  <c r="G569" i="3"/>
  <c r="E569" i="3"/>
  <c r="D569" i="3"/>
  <c r="F569" i="3" s="1"/>
  <c r="G568" i="3"/>
  <c r="D568" i="3"/>
  <c r="E568" i="3" s="1"/>
  <c r="G567" i="3"/>
  <c r="D567" i="3"/>
  <c r="E567" i="3" s="1"/>
  <c r="G566" i="3"/>
  <c r="D566" i="3"/>
  <c r="F566" i="3" s="1"/>
  <c r="G565" i="3"/>
  <c r="D565" i="3"/>
  <c r="F565" i="3" s="1"/>
  <c r="G564" i="3"/>
  <c r="D564" i="3"/>
  <c r="E564" i="3" s="1"/>
  <c r="G563" i="3"/>
  <c r="D563" i="3"/>
  <c r="E563" i="3" s="1"/>
  <c r="G562" i="3"/>
  <c r="D562" i="3"/>
  <c r="F562" i="3" s="1"/>
  <c r="G561" i="3"/>
  <c r="D561" i="3"/>
  <c r="F561" i="3" s="1"/>
  <c r="G560" i="3"/>
  <c r="F560" i="3"/>
  <c r="D560" i="3"/>
  <c r="E560" i="3" s="1"/>
  <c r="G559" i="3"/>
  <c r="F559" i="3"/>
  <c r="D559" i="3"/>
  <c r="E559" i="3" s="1"/>
  <c r="G558" i="3"/>
  <c r="D558" i="3"/>
  <c r="G557" i="3"/>
  <c r="D557" i="3"/>
  <c r="F557" i="3" s="1"/>
  <c r="G556" i="3"/>
  <c r="D556" i="3"/>
  <c r="G555" i="3"/>
  <c r="D555" i="3"/>
  <c r="E555" i="3" s="1"/>
  <c r="G554" i="3"/>
  <c r="D554" i="3"/>
  <c r="F554" i="3" s="1"/>
  <c r="G553" i="3"/>
  <c r="D553" i="3"/>
  <c r="F553" i="3" s="1"/>
  <c r="G552" i="3"/>
  <c r="D552" i="3"/>
  <c r="G551" i="3"/>
  <c r="D551" i="3"/>
  <c r="F551" i="3" s="1"/>
  <c r="G550" i="3"/>
  <c r="F550" i="3"/>
  <c r="D550" i="3"/>
  <c r="E550" i="3" s="1"/>
  <c r="G549" i="3"/>
  <c r="E549" i="3"/>
  <c r="D549" i="3"/>
  <c r="F549" i="3" s="1"/>
  <c r="G548" i="3"/>
  <c r="D548" i="3"/>
  <c r="F548" i="3" s="1"/>
  <c r="G547" i="3"/>
  <c r="D547" i="3"/>
  <c r="F547" i="3" s="1"/>
  <c r="G546" i="3"/>
  <c r="F546" i="3"/>
  <c r="E546" i="3"/>
  <c r="D546" i="3"/>
  <c r="G545" i="3"/>
  <c r="D545" i="3"/>
  <c r="G544" i="3"/>
  <c r="D544" i="3"/>
  <c r="F544" i="3" s="1"/>
  <c r="G543" i="3"/>
  <c r="D543" i="3"/>
  <c r="G542" i="3"/>
  <c r="E542" i="3"/>
  <c r="D542" i="3"/>
  <c r="F542" i="3" s="1"/>
  <c r="G541" i="3"/>
  <c r="D541" i="3"/>
  <c r="F541" i="3" s="1"/>
  <c r="G540" i="3"/>
  <c r="F540" i="3"/>
  <c r="E540" i="3"/>
  <c r="D540" i="3"/>
  <c r="G539" i="3"/>
  <c r="E539" i="3"/>
  <c r="D539" i="3"/>
  <c r="F539" i="3" s="1"/>
  <c r="G538" i="3"/>
  <c r="D538" i="3"/>
  <c r="F538" i="3" s="1"/>
  <c r="G537" i="3"/>
  <c r="D537" i="3"/>
  <c r="F537" i="3" s="1"/>
  <c r="G536" i="3"/>
  <c r="F536" i="3"/>
  <c r="D536" i="3"/>
  <c r="E536" i="3" s="1"/>
  <c r="G535" i="3"/>
  <c r="D535" i="3"/>
  <c r="F535" i="3" s="1"/>
  <c r="G534" i="3"/>
  <c r="D534" i="3"/>
  <c r="G533" i="3"/>
  <c r="D533" i="3"/>
  <c r="G532" i="3"/>
  <c r="F532" i="3"/>
  <c r="D532" i="3"/>
  <c r="E532" i="3" s="1"/>
  <c r="G531" i="3"/>
  <c r="D531" i="3"/>
  <c r="E531" i="3" s="1"/>
  <c r="G530" i="3"/>
  <c r="F530" i="3"/>
  <c r="D530" i="3"/>
  <c r="E530" i="3" s="1"/>
  <c r="G529" i="3"/>
  <c r="D529" i="3"/>
  <c r="G528" i="3"/>
  <c r="F528" i="3"/>
  <c r="D528" i="3"/>
  <c r="E528" i="3" s="1"/>
  <c r="G527" i="3"/>
  <c r="F527" i="3"/>
  <c r="D527" i="3"/>
  <c r="E527" i="3" s="1"/>
  <c r="G526" i="3"/>
  <c r="D526" i="3"/>
  <c r="F526" i="3" s="1"/>
  <c r="G525" i="3"/>
  <c r="F525" i="3"/>
  <c r="D525" i="3"/>
  <c r="E525" i="3" s="1"/>
  <c r="G524" i="3"/>
  <c r="D524" i="3"/>
  <c r="E524" i="3" s="1"/>
  <c r="G523" i="3"/>
  <c r="D523" i="3"/>
  <c r="F523" i="3" s="1"/>
  <c r="G522" i="3"/>
  <c r="D522" i="3"/>
  <c r="G521" i="3"/>
  <c r="F521" i="3"/>
  <c r="D521" i="3"/>
  <c r="E521" i="3" s="1"/>
  <c r="G520" i="3"/>
  <c r="D520" i="3"/>
  <c r="G519" i="3"/>
  <c r="E519" i="3"/>
  <c r="D519" i="3"/>
  <c r="F519" i="3" s="1"/>
  <c r="G518" i="3"/>
  <c r="D518" i="3"/>
  <c r="F518" i="3" s="1"/>
  <c r="G517" i="3"/>
  <c r="D517" i="3"/>
  <c r="E517" i="3" s="1"/>
  <c r="G516" i="3"/>
  <c r="D516" i="3"/>
  <c r="G515" i="3"/>
  <c r="D515" i="3"/>
  <c r="F515" i="3" s="1"/>
  <c r="G514" i="3"/>
  <c r="D514" i="3"/>
  <c r="E514" i="3" s="1"/>
  <c r="G513" i="3"/>
  <c r="F513" i="3"/>
  <c r="D513" i="3"/>
  <c r="E513" i="3" s="1"/>
  <c r="G512" i="3"/>
  <c r="D512" i="3"/>
  <c r="E512" i="3" s="1"/>
  <c r="G511" i="3"/>
  <c r="D511" i="3"/>
  <c r="F511" i="3" s="1"/>
  <c r="G510" i="3"/>
  <c r="D510" i="3"/>
  <c r="G509" i="3"/>
  <c r="D509" i="3"/>
  <c r="E509" i="3" s="1"/>
  <c r="G508" i="3"/>
  <c r="D508" i="3"/>
  <c r="F508" i="3" s="1"/>
  <c r="G507" i="3"/>
  <c r="F507" i="3"/>
  <c r="D507" i="3"/>
  <c r="E507" i="3" s="1"/>
  <c r="G506" i="3"/>
  <c r="D506" i="3"/>
  <c r="G505" i="3"/>
  <c r="D505" i="3"/>
  <c r="G504" i="3"/>
  <c r="D504" i="3"/>
  <c r="G503" i="3"/>
  <c r="D503" i="3"/>
  <c r="F503" i="3" s="1"/>
  <c r="G502" i="3"/>
  <c r="D502" i="3"/>
  <c r="F502" i="3" s="1"/>
  <c r="G501" i="3"/>
  <c r="D501" i="3"/>
  <c r="E501" i="3" s="1"/>
  <c r="G500" i="3"/>
  <c r="F500" i="3"/>
  <c r="D500" i="3"/>
  <c r="E500" i="3" s="1"/>
  <c r="G499" i="3"/>
  <c r="D499" i="3"/>
  <c r="E499" i="3" s="1"/>
  <c r="G498" i="3"/>
  <c r="F498" i="3"/>
  <c r="D498" i="3"/>
  <c r="E498" i="3" s="1"/>
  <c r="G497" i="3"/>
  <c r="D497" i="3"/>
  <c r="E497" i="3" s="1"/>
  <c r="G496" i="3"/>
  <c r="D496" i="3"/>
  <c r="F496" i="3" s="1"/>
  <c r="G495" i="3"/>
  <c r="D495" i="3"/>
  <c r="G494" i="3"/>
  <c r="E494" i="3"/>
  <c r="D494" i="3"/>
  <c r="F494" i="3" s="1"/>
  <c r="G493" i="3"/>
  <c r="F493" i="3"/>
  <c r="D493" i="3"/>
  <c r="E493" i="3" s="1"/>
  <c r="G492" i="3"/>
  <c r="D492" i="3"/>
  <c r="G491" i="3"/>
  <c r="E491" i="3"/>
  <c r="D491" i="3"/>
  <c r="F491" i="3" s="1"/>
  <c r="G490" i="3"/>
  <c r="D490" i="3"/>
  <c r="G489" i="3"/>
  <c r="D489" i="3"/>
  <c r="E489" i="3" s="1"/>
  <c r="G488" i="3"/>
  <c r="D488" i="3"/>
  <c r="F488" i="3" s="1"/>
  <c r="G487" i="3"/>
  <c r="D487" i="3"/>
  <c r="G486" i="3"/>
  <c r="D486" i="3"/>
  <c r="F486" i="3" s="1"/>
  <c r="G485" i="3"/>
  <c r="F485" i="3"/>
  <c r="D485" i="3"/>
  <c r="E485" i="3" s="1"/>
  <c r="G484" i="3"/>
  <c r="D484" i="3"/>
  <c r="G483" i="3"/>
  <c r="D483" i="3"/>
  <c r="E483" i="3" s="1"/>
  <c r="G482" i="3"/>
  <c r="D482" i="3"/>
  <c r="F482" i="3" s="1"/>
  <c r="G481" i="3"/>
  <c r="F481" i="3"/>
  <c r="D481" i="3"/>
  <c r="E481" i="3" s="1"/>
  <c r="G480" i="3"/>
  <c r="D480" i="3"/>
  <c r="F480" i="3" s="1"/>
  <c r="G479" i="3"/>
  <c r="E479" i="3"/>
  <c r="D479" i="3"/>
  <c r="F479" i="3" s="1"/>
  <c r="G478" i="3"/>
  <c r="D478" i="3"/>
  <c r="G477" i="3"/>
  <c r="D477" i="3"/>
  <c r="G476" i="3"/>
  <c r="F476" i="3"/>
  <c r="D476" i="3"/>
  <c r="E476" i="3" s="1"/>
  <c r="G475" i="3"/>
  <c r="D475" i="3"/>
  <c r="G474" i="3"/>
  <c r="D474" i="3"/>
  <c r="F474" i="3" s="1"/>
  <c r="G473" i="3"/>
  <c r="D473" i="3"/>
  <c r="G472" i="3"/>
  <c r="D472" i="3"/>
  <c r="F472" i="3" s="1"/>
  <c r="G471" i="3"/>
  <c r="D471" i="3"/>
  <c r="F471" i="3" s="1"/>
  <c r="G470" i="3"/>
  <c r="D470" i="3"/>
  <c r="G469" i="3"/>
  <c r="F469" i="3"/>
  <c r="D469" i="3"/>
  <c r="E469" i="3" s="1"/>
  <c r="G468" i="3"/>
  <c r="F468" i="3"/>
  <c r="D468" i="3"/>
  <c r="E468" i="3" s="1"/>
  <c r="G467" i="3"/>
  <c r="D467" i="3"/>
  <c r="E467" i="3" s="1"/>
  <c r="G466" i="3"/>
  <c r="F466" i="3"/>
  <c r="D466" i="3"/>
  <c r="E466" i="3" s="1"/>
  <c r="G465" i="3"/>
  <c r="F465" i="3"/>
  <c r="D465" i="3"/>
  <c r="E465" i="3" s="1"/>
  <c r="G464" i="3"/>
  <c r="D464" i="3"/>
  <c r="F464" i="3" s="1"/>
  <c r="G463" i="3"/>
  <c r="F463" i="3"/>
  <c r="E463" i="3"/>
  <c r="D463" i="3"/>
  <c r="G462" i="3"/>
  <c r="D462" i="3"/>
  <c r="G461" i="3"/>
  <c r="D461" i="3"/>
  <c r="G460" i="3"/>
  <c r="D460" i="3"/>
  <c r="G459" i="3"/>
  <c r="F459" i="3"/>
  <c r="E459" i="3"/>
  <c r="D459" i="3"/>
  <c r="G458" i="3"/>
  <c r="D458" i="3"/>
  <c r="G457" i="3"/>
  <c r="D457" i="3"/>
  <c r="E457" i="3" s="1"/>
  <c r="G456" i="3"/>
  <c r="D456" i="3"/>
  <c r="F456" i="3" s="1"/>
  <c r="G455" i="3"/>
  <c r="D455" i="3"/>
  <c r="G454" i="3"/>
  <c r="D454" i="3"/>
  <c r="F454" i="3" s="1"/>
  <c r="G453" i="3"/>
  <c r="D453" i="3"/>
  <c r="G452" i="3"/>
  <c r="D452" i="3"/>
  <c r="F452" i="3" s="1"/>
  <c r="G451" i="3"/>
  <c r="D451" i="3"/>
  <c r="F451" i="3" s="1"/>
  <c r="G450" i="3"/>
  <c r="F450" i="3"/>
  <c r="D450" i="3"/>
  <c r="E450" i="3" s="1"/>
  <c r="G449" i="3"/>
  <c r="D449" i="3"/>
  <c r="G448" i="3"/>
  <c r="D448" i="3"/>
  <c r="F448" i="3" s="1"/>
  <c r="G447" i="3"/>
  <c r="D447" i="3"/>
  <c r="G446" i="3"/>
  <c r="F446" i="3"/>
  <c r="E446" i="3"/>
  <c r="D446" i="3"/>
  <c r="G445" i="3"/>
  <c r="D445" i="3"/>
  <c r="G444" i="3"/>
  <c r="D444" i="3"/>
  <c r="G443" i="3"/>
  <c r="D443" i="3"/>
  <c r="F443" i="3" s="1"/>
  <c r="G442" i="3"/>
  <c r="D442" i="3"/>
  <c r="E442" i="3" s="1"/>
  <c r="G441" i="3"/>
  <c r="D441" i="3"/>
  <c r="E441" i="3" s="1"/>
  <c r="G440" i="3"/>
  <c r="D440" i="3"/>
  <c r="G439" i="3"/>
  <c r="F439" i="3"/>
  <c r="D439" i="3"/>
  <c r="E439" i="3" s="1"/>
  <c r="G438" i="3"/>
  <c r="D438" i="3"/>
  <c r="F438" i="3" s="1"/>
  <c r="G437" i="3"/>
  <c r="D437" i="3"/>
  <c r="E437" i="3" s="1"/>
  <c r="G436" i="3"/>
  <c r="D436" i="3"/>
  <c r="E436" i="3" s="1"/>
  <c r="G435" i="3"/>
  <c r="D435" i="3"/>
  <c r="G434" i="3"/>
  <c r="D434" i="3"/>
  <c r="F434" i="3" s="1"/>
  <c r="G433" i="3"/>
  <c r="F433" i="3"/>
  <c r="D433" i="3"/>
  <c r="E433" i="3" s="1"/>
  <c r="G432" i="3"/>
  <c r="D432" i="3"/>
  <c r="E432" i="3" s="1"/>
  <c r="G431" i="3"/>
  <c r="D431" i="3"/>
  <c r="F431" i="3" s="1"/>
  <c r="G430" i="3"/>
  <c r="D430" i="3"/>
  <c r="E430" i="3" s="1"/>
  <c r="G429" i="3"/>
  <c r="D429" i="3"/>
  <c r="E429" i="3" s="1"/>
  <c r="G428" i="3"/>
  <c r="D428" i="3"/>
  <c r="F428" i="3" s="1"/>
  <c r="G427" i="3"/>
  <c r="D427" i="3"/>
  <c r="E427" i="3" s="1"/>
  <c r="G426" i="3"/>
  <c r="F426" i="3"/>
  <c r="E426" i="3"/>
  <c r="D426" i="3"/>
  <c r="G425" i="3"/>
  <c r="F425" i="3"/>
  <c r="D425" i="3"/>
  <c r="E425" i="3" s="1"/>
  <c r="G424" i="3"/>
  <c r="D424" i="3"/>
  <c r="G423" i="3"/>
  <c r="F423" i="3"/>
  <c r="D423" i="3"/>
  <c r="E423" i="3" s="1"/>
  <c r="G422" i="3"/>
  <c r="D422" i="3"/>
  <c r="G421" i="3"/>
  <c r="F421" i="3"/>
  <c r="D421" i="3"/>
  <c r="E421" i="3" s="1"/>
  <c r="G420" i="3"/>
  <c r="F420" i="3"/>
  <c r="D420" i="3"/>
  <c r="E420" i="3" s="1"/>
  <c r="G419" i="3"/>
  <c r="D419" i="3"/>
  <c r="G418" i="3"/>
  <c r="D418" i="3"/>
  <c r="F418" i="3" s="1"/>
  <c r="G417" i="3"/>
  <c r="D417" i="3"/>
  <c r="E417" i="3" s="1"/>
  <c r="G416" i="3"/>
  <c r="F416" i="3"/>
  <c r="D416" i="3"/>
  <c r="E416" i="3" s="1"/>
  <c r="G415" i="3"/>
  <c r="D415" i="3"/>
  <c r="F415" i="3" s="1"/>
  <c r="G414" i="3"/>
  <c r="D414" i="3"/>
  <c r="F414" i="3" s="1"/>
  <c r="G413" i="3"/>
  <c r="D413" i="3"/>
  <c r="G412" i="3"/>
  <c r="D412" i="3"/>
  <c r="F412" i="3" s="1"/>
  <c r="G411" i="3"/>
  <c r="D411" i="3"/>
  <c r="F411" i="3" s="1"/>
  <c r="G410" i="3"/>
  <c r="D410" i="3"/>
  <c r="F410" i="3" s="1"/>
  <c r="G409" i="3"/>
  <c r="F409" i="3"/>
  <c r="D409" i="3"/>
  <c r="E409" i="3" s="1"/>
  <c r="G408" i="3"/>
  <c r="D408" i="3"/>
  <c r="F408" i="3" s="1"/>
  <c r="G407" i="3"/>
  <c r="D407" i="3"/>
  <c r="G406" i="3"/>
  <c r="D406" i="3"/>
  <c r="F406" i="3" s="1"/>
  <c r="G405" i="3"/>
  <c r="D405" i="3"/>
  <c r="E405" i="3" s="1"/>
  <c r="G404" i="3"/>
  <c r="D404" i="3"/>
  <c r="E404" i="3" s="1"/>
  <c r="G403" i="3"/>
  <c r="D403" i="3"/>
  <c r="E403" i="3" s="1"/>
  <c r="G402" i="3"/>
  <c r="D402" i="3"/>
  <c r="G401" i="3"/>
  <c r="D401" i="3"/>
  <c r="E401" i="3" s="1"/>
  <c r="G400" i="3"/>
  <c r="D400" i="3"/>
  <c r="F400" i="3" s="1"/>
  <c r="G399" i="3"/>
  <c r="D399" i="3"/>
  <c r="F399" i="3" s="1"/>
  <c r="G398" i="3"/>
  <c r="F398" i="3"/>
  <c r="D398" i="3"/>
  <c r="E398" i="3" s="1"/>
  <c r="G397" i="3"/>
  <c r="D397" i="3"/>
  <c r="E397" i="3" s="1"/>
  <c r="G396" i="3"/>
  <c r="F396" i="3"/>
  <c r="E396" i="3"/>
  <c r="D396" i="3"/>
  <c r="G395" i="3"/>
  <c r="D395" i="3"/>
  <c r="G394" i="3"/>
  <c r="E394" i="3"/>
  <c r="D394" i="3"/>
  <c r="F394" i="3" s="1"/>
  <c r="G393" i="3"/>
  <c r="F393" i="3"/>
  <c r="D393" i="3"/>
  <c r="E393" i="3" s="1"/>
  <c r="G392" i="3"/>
  <c r="D392" i="3"/>
  <c r="G391" i="3"/>
  <c r="F391" i="3"/>
  <c r="D391" i="3"/>
  <c r="E391" i="3" s="1"/>
  <c r="G390" i="3"/>
  <c r="D390" i="3"/>
  <c r="G389" i="3"/>
  <c r="D389" i="3"/>
  <c r="E389" i="3" s="1"/>
  <c r="G388" i="3"/>
  <c r="D388" i="3"/>
  <c r="E388" i="3" s="1"/>
  <c r="G387" i="3"/>
  <c r="D387" i="3"/>
  <c r="F387" i="3" s="1"/>
  <c r="G386" i="3"/>
  <c r="D386" i="3"/>
  <c r="E386" i="3" s="1"/>
  <c r="G385" i="3"/>
  <c r="D385" i="3"/>
  <c r="G384" i="3"/>
  <c r="D384" i="3"/>
  <c r="G383" i="3"/>
  <c r="D383" i="3"/>
  <c r="F383" i="3" s="1"/>
  <c r="G382" i="3"/>
  <c r="D382" i="3"/>
  <c r="F382" i="3" s="1"/>
  <c r="G381" i="3"/>
  <c r="D381" i="3"/>
  <c r="G380" i="3"/>
  <c r="D380" i="3"/>
  <c r="E380" i="3" s="1"/>
  <c r="G379" i="3"/>
  <c r="D379" i="3"/>
  <c r="F379" i="3" s="1"/>
  <c r="G378" i="3"/>
  <c r="F378" i="3"/>
  <c r="D378" i="3"/>
  <c r="E378" i="3" s="1"/>
  <c r="G377" i="3"/>
  <c r="D377" i="3"/>
  <c r="G376" i="3"/>
  <c r="D376" i="3"/>
  <c r="F376" i="3" s="1"/>
  <c r="G375" i="3"/>
  <c r="E375" i="3"/>
  <c r="D375" i="3"/>
  <c r="F375" i="3" s="1"/>
  <c r="G374" i="3"/>
  <c r="D374" i="3"/>
  <c r="G373" i="3"/>
  <c r="D373" i="3"/>
  <c r="E373" i="3" s="1"/>
  <c r="G372" i="3"/>
  <c r="D372" i="3"/>
  <c r="G371" i="3"/>
  <c r="F371" i="3"/>
  <c r="D371" i="3"/>
  <c r="E371" i="3" s="1"/>
  <c r="G370" i="3"/>
  <c r="D370" i="3"/>
  <c r="F370" i="3" s="1"/>
  <c r="G369" i="3"/>
  <c r="D369" i="3"/>
  <c r="E369" i="3" s="1"/>
  <c r="G368" i="3"/>
  <c r="D368" i="3"/>
  <c r="E368" i="3" s="1"/>
  <c r="G367" i="3"/>
  <c r="F367" i="3"/>
  <c r="E367" i="3"/>
  <c r="D367" i="3"/>
  <c r="G366" i="3"/>
  <c r="D366" i="3"/>
  <c r="E366" i="3" s="1"/>
  <c r="G365" i="3"/>
  <c r="D365" i="3"/>
  <c r="G364" i="3"/>
  <c r="D364" i="3"/>
  <c r="F364" i="3" s="1"/>
  <c r="G363" i="3"/>
  <c r="D363" i="3"/>
  <c r="F363" i="3" s="1"/>
  <c r="G362" i="3"/>
  <c r="D362" i="3"/>
  <c r="E362" i="3" s="1"/>
  <c r="G361" i="3"/>
  <c r="D361" i="3"/>
  <c r="E361" i="3" s="1"/>
  <c r="G360" i="3"/>
  <c r="D360" i="3"/>
  <c r="G359" i="3"/>
  <c r="F359" i="3"/>
  <c r="E359" i="3"/>
  <c r="D359" i="3"/>
  <c r="G358" i="3"/>
  <c r="F358" i="3"/>
  <c r="E358" i="3"/>
  <c r="D358" i="3"/>
  <c r="G357" i="3"/>
  <c r="D357" i="3"/>
  <c r="E357" i="3" s="1"/>
  <c r="G356" i="3"/>
  <c r="F356" i="3"/>
  <c r="D356" i="3"/>
  <c r="E356" i="3" s="1"/>
  <c r="G355" i="3"/>
  <c r="D355" i="3"/>
  <c r="F355" i="3" s="1"/>
  <c r="G354" i="3"/>
  <c r="D354" i="3"/>
  <c r="G353" i="3"/>
  <c r="F353" i="3"/>
  <c r="D353" i="3"/>
  <c r="E353" i="3" s="1"/>
  <c r="G352" i="3"/>
  <c r="F352" i="3"/>
  <c r="E352" i="3"/>
  <c r="D352" i="3"/>
  <c r="G351" i="3"/>
  <c r="D351" i="3"/>
  <c r="G350" i="3"/>
  <c r="F350" i="3"/>
  <c r="D350" i="3"/>
  <c r="E350" i="3" s="1"/>
  <c r="G349" i="3"/>
  <c r="D349" i="3"/>
  <c r="G348" i="3"/>
  <c r="F348" i="3"/>
  <c r="E348" i="3"/>
  <c r="D348" i="3"/>
  <c r="G347" i="3"/>
  <c r="D347" i="3"/>
  <c r="F347" i="3" s="1"/>
  <c r="G346" i="3"/>
  <c r="D346" i="3"/>
  <c r="G345" i="3"/>
  <c r="D345" i="3"/>
  <c r="G344" i="3"/>
  <c r="D344" i="3"/>
  <c r="E344" i="3" s="1"/>
  <c r="G343" i="3"/>
  <c r="D343" i="3"/>
  <c r="G342" i="3"/>
  <c r="D342" i="3"/>
  <c r="G341" i="3"/>
  <c r="F341" i="3"/>
  <c r="D341" i="3"/>
  <c r="E341" i="3" s="1"/>
  <c r="G340" i="3"/>
  <c r="D340" i="3"/>
  <c r="G339" i="3"/>
  <c r="D339" i="3"/>
  <c r="E339" i="3" s="1"/>
  <c r="G338" i="3"/>
  <c r="D338" i="3"/>
  <c r="F338" i="3" s="1"/>
  <c r="G337" i="3"/>
  <c r="D337" i="3"/>
  <c r="G336" i="3"/>
  <c r="F336" i="3"/>
  <c r="D336" i="3"/>
  <c r="E336" i="3" s="1"/>
  <c r="G335" i="3"/>
  <c r="F335" i="3"/>
  <c r="D335" i="3"/>
  <c r="E335" i="3" s="1"/>
  <c r="G334" i="3"/>
  <c r="D334" i="3"/>
  <c r="E334" i="3" s="1"/>
  <c r="G333" i="3"/>
  <c r="D333" i="3"/>
  <c r="G332" i="3"/>
  <c r="D332" i="3"/>
  <c r="F332" i="3" s="1"/>
  <c r="G331" i="3"/>
  <c r="D331" i="3"/>
  <c r="F331" i="3" s="1"/>
  <c r="G330" i="3"/>
  <c r="F330" i="3"/>
  <c r="E330" i="3"/>
  <c r="D330" i="3"/>
  <c r="G329" i="3"/>
  <c r="D329" i="3"/>
  <c r="E329" i="3" s="1"/>
  <c r="G328" i="3"/>
  <c r="D328" i="3"/>
  <c r="G327" i="3"/>
  <c r="D327" i="3"/>
  <c r="F327" i="3" s="1"/>
  <c r="G326" i="3"/>
  <c r="E326" i="3"/>
  <c r="D326" i="3"/>
  <c r="F326" i="3" s="1"/>
  <c r="G325" i="3"/>
  <c r="D325" i="3"/>
  <c r="E325" i="3" s="1"/>
  <c r="G324" i="3"/>
  <c r="D324" i="3"/>
  <c r="F324" i="3" s="1"/>
  <c r="G323" i="3"/>
  <c r="F323" i="3"/>
  <c r="D323" i="3"/>
  <c r="E323" i="3" s="1"/>
  <c r="G322" i="3"/>
  <c r="D322" i="3"/>
  <c r="E322" i="3" s="1"/>
  <c r="G321" i="3"/>
  <c r="D321" i="3"/>
  <c r="E321" i="3" s="1"/>
  <c r="G320" i="3"/>
  <c r="D320" i="3"/>
  <c r="F320" i="3" s="1"/>
  <c r="G319" i="3"/>
  <c r="D319" i="3"/>
  <c r="F319" i="3" s="1"/>
  <c r="G318" i="3"/>
  <c r="F318" i="3"/>
  <c r="D318" i="3"/>
  <c r="E318" i="3" s="1"/>
  <c r="G317" i="3"/>
  <c r="D317" i="3"/>
  <c r="E317" i="3" s="1"/>
  <c r="G316" i="3"/>
  <c r="D316" i="3"/>
  <c r="F316" i="3" s="1"/>
  <c r="G315" i="3"/>
  <c r="D315" i="3"/>
  <c r="F315" i="3" s="1"/>
  <c r="G314" i="3"/>
  <c r="D314" i="3"/>
  <c r="G313" i="3"/>
  <c r="D313" i="3"/>
  <c r="E313" i="3" s="1"/>
  <c r="G312" i="3"/>
  <c r="F312" i="3"/>
  <c r="D312" i="3"/>
  <c r="E312" i="3" s="1"/>
  <c r="G311" i="3"/>
  <c r="D311" i="3"/>
  <c r="F311" i="3" s="1"/>
  <c r="G310" i="3"/>
  <c r="F310" i="3"/>
  <c r="D310" i="3"/>
  <c r="E310" i="3" s="1"/>
  <c r="G309" i="3"/>
  <c r="D309" i="3"/>
  <c r="G308" i="3"/>
  <c r="D308" i="3"/>
  <c r="E308" i="3" s="1"/>
  <c r="G307" i="3"/>
  <c r="D307" i="3"/>
  <c r="F307" i="3" s="1"/>
  <c r="G306" i="3"/>
  <c r="D306" i="3"/>
  <c r="F306" i="3" s="1"/>
  <c r="G305" i="3"/>
  <c r="D305" i="3"/>
  <c r="E305" i="3" s="1"/>
  <c r="G304" i="3"/>
  <c r="D304" i="3"/>
  <c r="G303" i="3"/>
  <c r="D303" i="3"/>
  <c r="F303" i="3" s="1"/>
  <c r="G302" i="3"/>
  <c r="D302" i="3"/>
  <c r="F302" i="3" s="1"/>
  <c r="G301" i="3"/>
  <c r="D301" i="3"/>
  <c r="E301" i="3" s="1"/>
  <c r="G300" i="3"/>
  <c r="F300" i="3"/>
  <c r="E300" i="3"/>
  <c r="D300" i="3"/>
  <c r="G299" i="3"/>
  <c r="F299" i="3"/>
  <c r="D299" i="3"/>
  <c r="E299" i="3" s="1"/>
  <c r="G298" i="3"/>
  <c r="D298" i="3"/>
  <c r="F298" i="3" s="1"/>
  <c r="G297" i="3"/>
  <c r="D297" i="3"/>
  <c r="E297" i="3" s="1"/>
  <c r="G296" i="3"/>
  <c r="D296" i="3"/>
  <c r="F296" i="3" s="1"/>
  <c r="G295" i="3"/>
  <c r="D295" i="3"/>
  <c r="E295" i="3" s="1"/>
  <c r="G294" i="3"/>
  <c r="D294" i="3"/>
  <c r="F294" i="3" s="1"/>
  <c r="G293" i="3"/>
  <c r="D293" i="3"/>
  <c r="E293" i="3" s="1"/>
  <c r="G292" i="3"/>
  <c r="D292" i="3"/>
  <c r="E292" i="3" s="1"/>
  <c r="G291" i="3"/>
  <c r="D291" i="3"/>
  <c r="E291" i="3" s="1"/>
  <c r="G290" i="3"/>
  <c r="F290" i="3"/>
  <c r="D290" i="3"/>
  <c r="E290" i="3" s="1"/>
  <c r="G289" i="3"/>
  <c r="D289" i="3"/>
  <c r="G288" i="3"/>
  <c r="F288" i="3"/>
  <c r="D288" i="3"/>
  <c r="E288" i="3" s="1"/>
  <c r="G287" i="3"/>
  <c r="D287" i="3"/>
  <c r="F287" i="3" s="1"/>
  <c r="G286" i="3"/>
  <c r="D286" i="3"/>
  <c r="F286" i="3" s="1"/>
  <c r="G285" i="3"/>
  <c r="D285" i="3"/>
  <c r="E285" i="3" s="1"/>
  <c r="G284" i="3"/>
  <c r="D284" i="3"/>
  <c r="F284" i="3" s="1"/>
  <c r="G283" i="3"/>
  <c r="D283" i="3"/>
  <c r="F283" i="3" s="1"/>
  <c r="G282" i="3"/>
  <c r="F282" i="3"/>
  <c r="D282" i="3"/>
  <c r="E282" i="3" s="1"/>
  <c r="G281" i="3"/>
  <c r="D281" i="3"/>
  <c r="E281" i="3" s="1"/>
  <c r="G280" i="3"/>
  <c r="E280" i="3"/>
  <c r="D280" i="3"/>
  <c r="F280" i="3" s="1"/>
  <c r="G279" i="3"/>
  <c r="D279" i="3"/>
  <c r="F279" i="3" s="1"/>
  <c r="G278" i="3"/>
  <c r="F278" i="3"/>
  <c r="E278" i="3"/>
  <c r="D278" i="3"/>
  <c r="G277" i="3"/>
  <c r="D277" i="3"/>
  <c r="E277" i="3" s="1"/>
  <c r="G276" i="3"/>
  <c r="D276" i="3"/>
  <c r="G275" i="3"/>
  <c r="F275" i="3"/>
  <c r="D275" i="3"/>
  <c r="E275" i="3" s="1"/>
  <c r="G274" i="3"/>
  <c r="D274" i="3"/>
  <c r="G273" i="3"/>
  <c r="D273" i="3"/>
  <c r="E273" i="3" s="1"/>
  <c r="G272" i="3"/>
  <c r="D272" i="3"/>
  <c r="F272" i="3" s="1"/>
  <c r="G271" i="3"/>
  <c r="D271" i="3"/>
  <c r="G270" i="3"/>
  <c r="D270" i="3"/>
  <c r="F270" i="3" s="1"/>
  <c r="G269" i="3"/>
  <c r="D269" i="3"/>
  <c r="E269" i="3" s="1"/>
  <c r="G268" i="3"/>
  <c r="D268" i="3"/>
  <c r="F268" i="3" s="1"/>
  <c r="G267" i="3"/>
  <c r="D267" i="3"/>
  <c r="F267" i="3" s="1"/>
  <c r="G266" i="3"/>
  <c r="D266" i="3"/>
  <c r="G265" i="3"/>
  <c r="D265" i="3"/>
  <c r="E265" i="3" s="1"/>
  <c r="G264" i="3"/>
  <c r="F264" i="3"/>
  <c r="D264" i="3"/>
  <c r="E264" i="3" s="1"/>
  <c r="G263" i="3"/>
  <c r="D263" i="3"/>
  <c r="F263" i="3" s="1"/>
  <c r="G262" i="3"/>
  <c r="F262" i="3"/>
  <c r="D262" i="3"/>
  <c r="E262" i="3" s="1"/>
  <c r="G261" i="3"/>
  <c r="D261" i="3"/>
  <c r="E261" i="3" s="1"/>
  <c r="G260" i="3"/>
  <c r="F260" i="3"/>
  <c r="E260" i="3"/>
  <c r="D260" i="3"/>
  <c r="G259" i="3"/>
  <c r="D259" i="3"/>
  <c r="G258" i="3"/>
  <c r="F258" i="3"/>
  <c r="D258" i="3"/>
  <c r="E258" i="3" s="1"/>
  <c r="G257" i="3"/>
  <c r="D257" i="3"/>
  <c r="E257" i="3" s="1"/>
  <c r="G256" i="3"/>
  <c r="D256" i="3"/>
  <c r="E256" i="3" s="1"/>
  <c r="G255" i="3"/>
  <c r="D255" i="3"/>
  <c r="F255" i="3" s="1"/>
  <c r="G254" i="3"/>
  <c r="D254" i="3"/>
  <c r="F254" i="3" s="1"/>
  <c r="G253" i="3"/>
  <c r="E253" i="3"/>
  <c r="D253" i="3"/>
  <c r="F253" i="3" s="1"/>
  <c r="G252" i="3"/>
  <c r="F252" i="3"/>
  <c r="D252" i="3"/>
  <c r="E252" i="3" s="1"/>
  <c r="G251" i="3"/>
  <c r="D251" i="3"/>
  <c r="F251" i="3" s="1"/>
  <c r="G250" i="3"/>
  <c r="D250" i="3"/>
  <c r="F250" i="3" s="1"/>
  <c r="G249" i="3"/>
  <c r="D249" i="3"/>
  <c r="F249" i="3" s="1"/>
  <c r="G248" i="3"/>
  <c r="F248" i="3"/>
  <c r="D248" i="3"/>
  <c r="E248" i="3" s="1"/>
  <c r="G247" i="3"/>
  <c r="D247" i="3"/>
  <c r="F247" i="3" s="1"/>
  <c r="G246" i="3"/>
  <c r="F246" i="3"/>
  <c r="D246" i="3"/>
  <c r="E246" i="3" s="1"/>
  <c r="G245" i="3"/>
  <c r="D245" i="3"/>
  <c r="F245" i="3" s="1"/>
  <c r="G244" i="3"/>
  <c r="D244" i="3"/>
  <c r="E244" i="3" s="1"/>
  <c r="G243" i="3"/>
  <c r="D243" i="3"/>
  <c r="F243" i="3" s="1"/>
  <c r="G242" i="3"/>
  <c r="D242" i="3"/>
  <c r="F242" i="3" s="1"/>
  <c r="G241" i="3"/>
  <c r="D241" i="3"/>
  <c r="F241" i="3" s="1"/>
  <c r="G240" i="3"/>
  <c r="D240" i="3"/>
  <c r="E240" i="3" s="1"/>
  <c r="G239" i="3"/>
  <c r="D239" i="3"/>
  <c r="F239" i="3" s="1"/>
  <c r="G238" i="3"/>
  <c r="F238" i="3"/>
  <c r="D238" i="3"/>
  <c r="E238" i="3" s="1"/>
  <c r="G237" i="3"/>
  <c r="E237" i="3"/>
  <c r="D237" i="3"/>
  <c r="F237" i="3" s="1"/>
  <c r="G236" i="3"/>
  <c r="F236" i="3"/>
  <c r="D236" i="3"/>
  <c r="E236" i="3" s="1"/>
  <c r="G235" i="3"/>
  <c r="D235" i="3"/>
  <c r="F235" i="3" s="1"/>
  <c r="G234" i="3"/>
  <c r="D234" i="3"/>
  <c r="F234" i="3" s="1"/>
  <c r="G233" i="3"/>
  <c r="D233" i="3"/>
  <c r="F233" i="3" s="1"/>
  <c r="G232" i="3"/>
  <c r="F232" i="3"/>
  <c r="D232" i="3"/>
  <c r="E232" i="3" s="1"/>
  <c r="G231" i="3"/>
  <c r="D231" i="3"/>
  <c r="F231" i="3" s="1"/>
  <c r="G230" i="3"/>
  <c r="D230" i="3"/>
  <c r="E230" i="3" s="1"/>
  <c r="G229" i="3"/>
  <c r="E229" i="3"/>
  <c r="D229" i="3"/>
  <c r="F229" i="3" s="1"/>
  <c r="G228" i="3"/>
  <c r="D228" i="3"/>
  <c r="E228" i="3" s="1"/>
  <c r="G227" i="3"/>
  <c r="D227" i="3"/>
  <c r="F227" i="3" s="1"/>
  <c r="G226" i="3"/>
  <c r="D226" i="3"/>
  <c r="F226" i="3" s="1"/>
  <c r="G225" i="3"/>
  <c r="D225" i="3"/>
  <c r="F225" i="3" s="1"/>
  <c r="G224" i="3"/>
  <c r="D224" i="3"/>
  <c r="G223" i="3"/>
  <c r="D223" i="3"/>
  <c r="F223" i="3" s="1"/>
  <c r="G222" i="3"/>
  <c r="F222" i="3"/>
  <c r="E222" i="3"/>
  <c r="D222" i="3"/>
  <c r="G221" i="3"/>
  <c r="D221" i="3"/>
  <c r="F221" i="3" s="1"/>
  <c r="G220" i="3"/>
  <c r="D220" i="3"/>
  <c r="G219" i="3"/>
  <c r="D219" i="3"/>
  <c r="F219" i="3" s="1"/>
  <c r="G218" i="3"/>
  <c r="D218" i="3"/>
  <c r="E218" i="3" s="1"/>
  <c r="G217" i="3"/>
  <c r="D217" i="3"/>
  <c r="F217" i="3" s="1"/>
  <c r="G216" i="3"/>
  <c r="F216" i="3"/>
  <c r="D216" i="3"/>
  <c r="E216" i="3" s="1"/>
  <c r="G215" i="3"/>
  <c r="D215" i="3"/>
  <c r="G214" i="3"/>
  <c r="D214" i="3"/>
  <c r="F214" i="3" s="1"/>
  <c r="G213" i="3"/>
  <c r="D213" i="3"/>
  <c r="F213" i="3" s="1"/>
  <c r="G212" i="3"/>
  <c r="D212" i="3"/>
  <c r="G211" i="3"/>
  <c r="D211" i="3"/>
  <c r="G210" i="3"/>
  <c r="D210" i="3"/>
  <c r="F210" i="3" s="1"/>
  <c r="G209" i="3"/>
  <c r="E209" i="3"/>
  <c r="D209" i="3"/>
  <c r="F209" i="3" s="1"/>
  <c r="G208" i="3"/>
  <c r="D208" i="3"/>
  <c r="E208" i="3" s="1"/>
  <c r="G207" i="3"/>
  <c r="D207" i="3"/>
  <c r="G206" i="3"/>
  <c r="D206" i="3"/>
  <c r="E206" i="3" s="1"/>
  <c r="G205" i="3"/>
  <c r="E205" i="3"/>
  <c r="D205" i="3"/>
  <c r="F205" i="3" s="1"/>
  <c r="G204" i="3"/>
  <c r="D204" i="3"/>
  <c r="E204" i="3" s="1"/>
  <c r="G203" i="3"/>
  <c r="D203" i="3"/>
  <c r="G202" i="3"/>
  <c r="D202" i="3"/>
  <c r="F202" i="3" s="1"/>
  <c r="G201" i="3"/>
  <c r="D201" i="3"/>
  <c r="F201" i="3" s="1"/>
  <c r="G200" i="3"/>
  <c r="D200" i="3"/>
  <c r="E200" i="3" s="1"/>
  <c r="G199" i="3"/>
  <c r="D199" i="3"/>
  <c r="G198" i="3"/>
  <c r="D198" i="3"/>
  <c r="G197" i="3"/>
  <c r="D197" i="3"/>
  <c r="F197" i="3" s="1"/>
  <c r="G196" i="3"/>
  <c r="D196" i="3"/>
  <c r="E196" i="3" s="1"/>
  <c r="G195" i="3"/>
  <c r="D195" i="3"/>
  <c r="G194" i="3"/>
  <c r="D194" i="3"/>
  <c r="F194" i="3" s="1"/>
  <c r="G193" i="3"/>
  <c r="D193" i="3"/>
  <c r="G192" i="3"/>
  <c r="D192" i="3"/>
  <c r="E192" i="3" s="1"/>
  <c r="G191" i="3"/>
  <c r="D191" i="3"/>
  <c r="G190" i="3"/>
  <c r="F190" i="3"/>
  <c r="E190" i="3"/>
  <c r="D190" i="3"/>
  <c r="G189" i="3"/>
  <c r="D189" i="3"/>
  <c r="F189" i="3" s="1"/>
  <c r="G188" i="3"/>
  <c r="D188" i="3"/>
  <c r="G187" i="3"/>
  <c r="D187" i="3"/>
  <c r="G186" i="3"/>
  <c r="D186" i="3"/>
  <c r="F186" i="3" s="1"/>
  <c r="G185" i="3"/>
  <c r="D185" i="3"/>
  <c r="F185" i="3" s="1"/>
  <c r="G184" i="3"/>
  <c r="F184" i="3"/>
  <c r="D184" i="3"/>
  <c r="E184" i="3" s="1"/>
  <c r="G183" i="3"/>
  <c r="D183" i="3"/>
  <c r="G182" i="3"/>
  <c r="D182" i="3"/>
  <c r="G181" i="3"/>
  <c r="D181" i="3"/>
  <c r="G180" i="3"/>
  <c r="F180" i="3"/>
  <c r="D180" i="3"/>
  <c r="E180" i="3" s="1"/>
  <c r="G179" i="3"/>
  <c r="D179" i="3"/>
  <c r="G178" i="3"/>
  <c r="D178" i="3"/>
  <c r="F178" i="3" s="1"/>
  <c r="G177" i="3"/>
  <c r="D177" i="3"/>
  <c r="F177" i="3" s="1"/>
  <c r="G176" i="3"/>
  <c r="D176" i="3"/>
  <c r="E176" i="3" s="1"/>
  <c r="G175" i="3"/>
  <c r="D175" i="3"/>
  <c r="G174" i="3"/>
  <c r="E174" i="3"/>
  <c r="D174" i="3"/>
  <c r="F174" i="3" s="1"/>
  <c r="G173" i="3"/>
  <c r="E173" i="3"/>
  <c r="D173" i="3"/>
  <c r="F173" i="3" s="1"/>
  <c r="G172" i="3"/>
  <c r="D172" i="3"/>
  <c r="E172" i="3" s="1"/>
  <c r="G171" i="3"/>
  <c r="D171" i="3"/>
  <c r="G170" i="3"/>
  <c r="D170" i="3"/>
  <c r="E170" i="3" s="1"/>
  <c r="G169" i="3"/>
  <c r="D169" i="3"/>
  <c r="F169" i="3" s="1"/>
  <c r="G168" i="3"/>
  <c r="D168" i="3"/>
  <c r="E168" i="3" s="1"/>
  <c r="G167" i="3"/>
  <c r="D167" i="3"/>
  <c r="G166" i="3"/>
  <c r="D166" i="3"/>
  <c r="E166" i="3" s="1"/>
  <c r="G165" i="3"/>
  <c r="D165" i="3"/>
  <c r="G164" i="3"/>
  <c r="D164" i="3"/>
  <c r="E164" i="3" s="1"/>
  <c r="G163" i="3"/>
  <c r="D163" i="3"/>
  <c r="G162" i="3"/>
  <c r="D162" i="3"/>
  <c r="F162" i="3" s="1"/>
  <c r="G161" i="3"/>
  <c r="D161" i="3"/>
  <c r="E161" i="3" s="1"/>
  <c r="G160" i="3"/>
  <c r="F160" i="3"/>
  <c r="D160" i="3"/>
  <c r="E160" i="3" s="1"/>
  <c r="G159" i="3"/>
  <c r="D159" i="3"/>
  <c r="G158" i="3"/>
  <c r="F158" i="3"/>
  <c r="D158" i="3"/>
  <c r="E158" i="3" s="1"/>
  <c r="G157" i="3"/>
  <c r="D157" i="3"/>
  <c r="G156" i="3"/>
  <c r="F156" i="3"/>
  <c r="D156" i="3"/>
  <c r="E156" i="3" s="1"/>
  <c r="G155" i="3"/>
  <c r="D155" i="3"/>
  <c r="G154" i="3"/>
  <c r="F154" i="3"/>
  <c r="D154" i="3"/>
  <c r="E154" i="3" s="1"/>
  <c r="G153" i="3"/>
  <c r="D153" i="3"/>
  <c r="F153" i="3" s="1"/>
  <c r="G152" i="3"/>
  <c r="F152" i="3"/>
  <c r="D152" i="3"/>
  <c r="E152" i="3" s="1"/>
  <c r="G151" i="3"/>
  <c r="D151" i="3"/>
  <c r="G150" i="3"/>
  <c r="D150" i="3"/>
  <c r="E150" i="3" s="1"/>
  <c r="G149" i="3"/>
  <c r="D149" i="3"/>
  <c r="F149" i="3" s="1"/>
  <c r="G148" i="3"/>
  <c r="D148" i="3"/>
  <c r="E148" i="3" s="1"/>
  <c r="G147" i="3"/>
  <c r="D147" i="3"/>
  <c r="G146" i="3"/>
  <c r="D146" i="3"/>
  <c r="F146" i="3" s="1"/>
  <c r="G145" i="3"/>
  <c r="D145" i="3"/>
  <c r="F145" i="3" s="1"/>
  <c r="G144" i="3"/>
  <c r="F144" i="3"/>
  <c r="D144" i="3"/>
  <c r="E144" i="3" s="1"/>
  <c r="G143" i="3"/>
  <c r="D143" i="3"/>
  <c r="G142" i="3"/>
  <c r="D142" i="3"/>
  <c r="G141" i="3"/>
  <c r="D141" i="3"/>
  <c r="E141" i="3" s="1"/>
  <c r="G140" i="3"/>
  <c r="D140" i="3"/>
  <c r="E140" i="3" s="1"/>
  <c r="G139" i="3"/>
  <c r="D139" i="3"/>
  <c r="G138" i="3"/>
  <c r="E138" i="3"/>
  <c r="D138" i="3"/>
  <c r="F138" i="3" s="1"/>
  <c r="G137" i="3"/>
  <c r="D137" i="3"/>
  <c r="G136" i="3"/>
  <c r="F136" i="3"/>
  <c r="D136" i="3"/>
  <c r="E136" i="3" s="1"/>
  <c r="G135" i="3"/>
  <c r="D135" i="3"/>
  <c r="G134" i="3"/>
  <c r="D134" i="3"/>
  <c r="F134" i="3" s="1"/>
  <c r="G133" i="3"/>
  <c r="F133" i="3"/>
  <c r="D133" i="3"/>
  <c r="E133" i="3" s="1"/>
  <c r="G132" i="3"/>
  <c r="F132" i="3"/>
  <c r="D132" i="3"/>
  <c r="E132" i="3" s="1"/>
  <c r="G131" i="3"/>
  <c r="D131" i="3"/>
  <c r="G130" i="3"/>
  <c r="F130" i="3"/>
  <c r="E130" i="3"/>
  <c r="D130" i="3"/>
  <c r="G129" i="3"/>
  <c r="F129" i="3"/>
  <c r="E129" i="3"/>
  <c r="D129" i="3"/>
  <c r="G128" i="3"/>
  <c r="D128" i="3"/>
  <c r="E128" i="3" s="1"/>
  <c r="G127" i="3"/>
  <c r="D127" i="3"/>
  <c r="G126" i="3"/>
  <c r="E126" i="3"/>
  <c r="D126" i="3"/>
  <c r="F126" i="3" s="1"/>
  <c r="G125" i="3"/>
  <c r="F125" i="3"/>
  <c r="E125" i="3"/>
  <c r="D125" i="3"/>
  <c r="G124" i="3"/>
  <c r="F124" i="3"/>
  <c r="D124" i="3"/>
  <c r="E124" i="3" s="1"/>
  <c r="G123" i="3"/>
  <c r="D123" i="3"/>
  <c r="G122" i="3"/>
  <c r="D122" i="3"/>
  <c r="F122" i="3" s="1"/>
  <c r="G121" i="3"/>
  <c r="F121" i="3"/>
  <c r="D121" i="3"/>
  <c r="E121" i="3" s="1"/>
  <c r="G120" i="3"/>
  <c r="D120" i="3"/>
  <c r="E120" i="3" s="1"/>
  <c r="G119" i="3"/>
  <c r="D119" i="3"/>
  <c r="G118" i="3"/>
  <c r="E118" i="3"/>
  <c r="D118" i="3"/>
  <c r="F118" i="3" s="1"/>
  <c r="G117" i="3"/>
  <c r="D117" i="3"/>
  <c r="F117" i="3" s="1"/>
  <c r="G116" i="3"/>
  <c r="D116" i="3"/>
  <c r="E116" i="3" s="1"/>
  <c r="G115" i="3"/>
  <c r="D115" i="3"/>
  <c r="G114" i="3"/>
  <c r="F114" i="3"/>
  <c r="D114" i="3"/>
  <c r="E114" i="3" s="1"/>
  <c r="G113" i="3"/>
  <c r="D113" i="3"/>
  <c r="G112" i="3"/>
  <c r="D112" i="3"/>
  <c r="E112" i="3" s="1"/>
  <c r="G111" i="3"/>
  <c r="D111" i="3"/>
  <c r="G110" i="3"/>
  <c r="F110" i="3"/>
  <c r="E110" i="3"/>
  <c r="D110" i="3"/>
  <c r="G109" i="3"/>
  <c r="F109" i="3"/>
  <c r="D109" i="3"/>
  <c r="E109" i="3" s="1"/>
  <c r="G108" i="3"/>
  <c r="D108" i="3"/>
  <c r="G107" i="3"/>
  <c r="D107" i="3"/>
  <c r="G106" i="3"/>
  <c r="D106" i="3"/>
  <c r="F106" i="3" s="1"/>
  <c r="G105" i="3"/>
  <c r="D105" i="3"/>
  <c r="E105" i="3" s="1"/>
  <c r="G104" i="3"/>
  <c r="F104" i="3"/>
  <c r="D104" i="3"/>
  <c r="E104" i="3" s="1"/>
  <c r="G103" i="3"/>
  <c r="D103" i="3"/>
  <c r="G102" i="3"/>
  <c r="D102" i="3"/>
  <c r="E102" i="3" s="1"/>
  <c r="G101" i="3"/>
  <c r="D101" i="3"/>
  <c r="F101" i="3" s="1"/>
  <c r="G100" i="3"/>
  <c r="D100" i="3"/>
  <c r="E100" i="3" s="1"/>
  <c r="G99" i="3"/>
  <c r="D99" i="3"/>
  <c r="G98" i="3"/>
  <c r="D98" i="3"/>
  <c r="G97" i="3"/>
  <c r="D97" i="3"/>
  <c r="F97" i="3" s="1"/>
  <c r="G96" i="3"/>
  <c r="D96" i="3"/>
  <c r="G95" i="3"/>
  <c r="D95" i="3"/>
  <c r="G94" i="3"/>
  <c r="F94" i="3"/>
  <c r="D94" i="3"/>
  <c r="E94" i="3" s="1"/>
  <c r="G93" i="3"/>
  <c r="D93" i="3"/>
  <c r="F93" i="3" s="1"/>
  <c r="G92" i="3"/>
  <c r="F92" i="3"/>
  <c r="D92" i="3"/>
  <c r="E92" i="3" s="1"/>
  <c r="G91" i="3"/>
  <c r="D91" i="3"/>
  <c r="G90" i="3"/>
  <c r="F90" i="3"/>
  <c r="D90" i="3"/>
  <c r="E90" i="3" s="1"/>
  <c r="G89" i="3"/>
  <c r="D89" i="3"/>
  <c r="G88" i="3"/>
  <c r="F88" i="3"/>
  <c r="D88" i="3"/>
  <c r="E88" i="3" s="1"/>
  <c r="G87" i="3"/>
  <c r="D87" i="3"/>
  <c r="G86" i="3"/>
  <c r="D86" i="3"/>
  <c r="E86" i="3" s="1"/>
  <c r="G85" i="3"/>
  <c r="D85" i="3"/>
  <c r="F85" i="3" s="1"/>
  <c r="G84" i="3"/>
  <c r="F84" i="3"/>
  <c r="D84" i="3"/>
  <c r="E84" i="3" s="1"/>
  <c r="G83" i="3"/>
  <c r="D83" i="3"/>
  <c r="G82" i="3"/>
  <c r="F82" i="3"/>
  <c r="E82" i="3"/>
  <c r="D82" i="3"/>
  <c r="G81" i="3"/>
  <c r="D81" i="3"/>
  <c r="F81" i="3" s="1"/>
  <c r="G80" i="3"/>
  <c r="F80" i="3"/>
  <c r="D80" i="3"/>
  <c r="E80" i="3" s="1"/>
  <c r="G79" i="3"/>
  <c r="D79" i="3"/>
  <c r="G78" i="3"/>
  <c r="D78" i="3"/>
  <c r="G77" i="3"/>
  <c r="D77" i="3"/>
  <c r="F77" i="3" s="1"/>
  <c r="G76" i="3"/>
  <c r="F76" i="3"/>
  <c r="D76" i="3"/>
  <c r="E76" i="3" s="1"/>
  <c r="G75" i="3"/>
  <c r="D75" i="3"/>
  <c r="G74" i="3"/>
  <c r="D74" i="3"/>
  <c r="F74" i="3" s="1"/>
  <c r="G73" i="3"/>
  <c r="D73" i="3"/>
  <c r="G72" i="3"/>
  <c r="F72" i="3"/>
  <c r="D72" i="3"/>
  <c r="E72" i="3" s="1"/>
  <c r="G71" i="3"/>
  <c r="D71" i="3"/>
  <c r="G70" i="3"/>
  <c r="D70" i="3"/>
  <c r="F70" i="3" s="1"/>
  <c r="G69" i="3"/>
  <c r="F69" i="3"/>
  <c r="D69" i="3"/>
  <c r="E69" i="3" s="1"/>
  <c r="G68" i="3"/>
  <c r="D68" i="3"/>
  <c r="E68" i="3" s="1"/>
  <c r="G67" i="3"/>
  <c r="D67" i="3"/>
  <c r="G66" i="3"/>
  <c r="F66" i="3"/>
  <c r="E66" i="3"/>
  <c r="D66" i="3"/>
  <c r="G65" i="3"/>
  <c r="D65" i="3"/>
  <c r="F65" i="3" s="1"/>
  <c r="G64" i="3"/>
  <c r="D64" i="3"/>
  <c r="G63" i="3"/>
  <c r="D63" i="3"/>
  <c r="G62" i="3"/>
  <c r="D62" i="3"/>
  <c r="F62" i="3" s="1"/>
  <c r="G61" i="3"/>
  <c r="D61" i="3"/>
  <c r="G60" i="3"/>
  <c r="D60" i="3"/>
  <c r="E60" i="3" s="1"/>
  <c r="G59" i="3"/>
  <c r="D59" i="3"/>
  <c r="G58" i="3"/>
  <c r="D58" i="3"/>
  <c r="F58" i="3" s="1"/>
  <c r="G57" i="3"/>
  <c r="F57" i="3"/>
  <c r="D57" i="3"/>
  <c r="E57" i="3" s="1"/>
  <c r="G56" i="3"/>
  <c r="D56" i="3"/>
  <c r="E56" i="3" s="1"/>
  <c r="G55" i="3"/>
  <c r="D55" i="3"/>
  <c r="G54" i="3"/>
  <c r="E54" i="3"/>
  <c r="D54" i="3"/>
  <c r="F54" i="3" s="1"/>
  <c r="G53" i="3"/>
  <c r="D53" i="3"/>
  <c r="F53" i="3" s="1"/>
  <c r="G52" i="3"/>
  <c r="D52" i="3"/>
  <c r="E52" i="3" s="1"/>
  <c r="G51" i="3"/>
  <c r="D51" i="3"/>
  <c r="G50" i="3"/>
  <c r="F50" i="3"/>
  <c r="E50" i="3"/>
  <c r="D50" i="3"/>
  <c r="G49" i="3"/>
  <c r="D49" i="3"/>
  <c r="G48" i="3"/>
  <c r="F48" i="3"/>
  <c r="D48" i="3"/>
  <c r="E48" i="3" s="1"/>
  <c r="G47" i="3"/>
  <c r="D47" i="3"/>
  <c r="G46" i="3"/>
  <c r="D46" i="3"/>
  <c r="F46" i="3" s="1"/>
  <c r="G45" i="3"/>
  <c r="D45" i="3"/>
  <c r="E45" i="3" s="1"/>
  <c r="G44" i="3"/>
  <c r="F44" i="3"/>
  <c r="D44" i="3"/>
  <c r="E44" i="3" s="1"/>
  <c r="G43" i="3"/>
  <c r="D43" i="3"/>
  <c r="G42" i="3"/>
  <c r="D42" i="3"/>
  <c r="F42" i="3" s="1"/>
  <c r="G41" i="3"/>
  <c r="D41" i="3"/>
  <c r="G40" i="3"/>
  <c r="D40" i="3"/>
  <c r="E40" i="3" s="1"/>
  <c r="G39" i="3"/>
  <c r="D39" i="3"/>
  <c r="G38" i="3"/>
  <c r="D38" i="3"/>
  <c r="E38" i="3" s="1"/>
  <c r="G37" i="3"/>
  <c r="D37" i="3"/>
  <c r="F37" i="3" s="1"/>
  <c r="G36" i="3"/>
  <c r="D36" i="3"/>
  <c r="E36" i="3" s="1"/>
  <c r="G35" i="3"/>
  <c r="D35" i="3"/>
  <c r="G34" i="3"/>
  <c r="D34" i="3"/>
  <c r="G33" i="3"/>
  <c r="D33" i="3"/>
  <c r="F33" i="3" s="1"/>
  <c r="G32" i="3"/>
  <c r="D32" i="3"/>
  <c r="E32" i="3" s="1"/>
  <c r="G31" i="3"/>
  <c r="D31" i="3"/>
  <c r="G30" i="3"/>
  <c r="D30" i="3"/>
  <c r="G29" i="3"/>
  <c r="D29" i="3"/>
  <c r="F29" i="3" s="1"/>
  <c r="G28" i="3"/>
  <c r="F28" i="3"/>
  <c r="D28" i="3"/>
  <c r="E28" i="3" s="1"/>
  <c r="G27" i="3"/>
  <c r="D27" i="3"/>
  <c r="G26" i="3"/>
  <c r="F26" i="3"/>
  <c r="D26" i="3"/>
  <c r="E26" i="3" s="1"/>
  <c r="G25" i="3"/>
  <c r="D25" i="3"/>
  <c r="F25" i="3" s="1"/>
  <c r="G24" i="3"/>
  <c r="D24" i="3"/>
  <c r="G23" i="3"/>
  <c r="D23" i="3"/>
  <c r="G22" i="3"/>
  <c r="D22" i="3"/>
  <c r="E22" i="3" s="1"/>
  <c r="G21" i="3"/>
  <c r="D21" i="3"/>
  <c r="F21" i="3" s="1"/>
  <c r="G20" i="3"/>
  <c r="F20" i="3"/>
  <c r="D20" i="3"/>
  <c r="E20" i="3" s="1"/>
  <c r="G19" i="3"/>
  <c r="D19" i="3"/>
  <c r="G18" i="3"/>
  <c r="F18" i="3"/>
  <c r="E18" i="3"/>
  <c r="D18" i="3"/>
  <c r="G17" i="3"/>
  <c r="D17" i="3"/>
  <c r="F17" i="3" s="1"/>
  <c r="G16" i="3"/>
  <c r="D16" i="3"/>
  <c r="G15" i="3"/>
  <c r="D15" i="3"/>
  <c r="G14" i="3"/>
  <c r="D14" i="3"/>
  <c r="G13" i="3"/>
  <c r="D13" i="3"/>
  <c r="F13" i="3" s="1"/>
  <c r="G12" i="3"/>
  <c r="F12" i="3"/>
  <c r="D12" i="3"/>
  <c r="E12" i="3" s="1"/>
  <c r="G11" i="3"/>
  <c r="D11" i="3"/>
  <c r="G10" i="3"/>
  <c r="E10" i="3"/>
  <c r="D10" i="3"/>
  <c r="F10" i="3" s="1"/>
  <c r="G9" i="3"/>
  <c r="D9" i="3"/>
  <c r="G8" i="3"/>
  <c r="F8" i="3"/>
  <c r="D8" i="3"/>
  <c r="E8" i="3" s="1"/>
  <c r="G7" i="3"/>
  <c r="D7" i="3"/>
  <c r="G6" i="3"/>
  <c r="D6" i="3"/>
  <c r="F6" i="3" s="1"/>
  <c r="G5" i="3"/>
  <c r="D5" i="3"/>
  <c r="F5" i="3" s="1"/>
  <c r="G4" i="3"/>
  <c r="F4" i="3"/>
  <c r="D4" i="3"/>
  <c r="E4" i="3" s="1"/>
  <c r="L18" i="2"/>
  <c r="G17" i="2"/>
  <c r="L17" i="2" s="1"/>
  <c r="L16" i="2"/>
  <c r="L15" i="2"/>
  <c r="L14" i="2"/>
  <c r="L13" i="2"/>
  <c r="L12" i="2"/>
  <c r="K11" i="2"/>
  <c r="J11" i="2"/>
  <c r="I11" i="2"/>
  <c r="H11" i="2"/>
  <c r="G11" i="2"/>
  <c r="I12" i="1" s="1"/>
  <c r="F11" i="2"/>
  <c r="H12" i="1" s="1"/>
  <c r="E11" i="2"/>
  <c r="G12" i="1" s="1"/>
  <c r="D11" i="2"/>
  <c r="F12" i="1" s="1"/>
  <c r="C11" i="2"/>
  <c r="E12" i="1" s="1"/>
  <c r="L10" i="2"/>
  <c r="L9" i="2"/>
  <c r="L8" i="2"/>
  <c r="L7" i="2"/>
  <c r="L6" i="2"/>
  <c r="L5" i="2"/>
  <c r="L4" i="2"/>
  <c r="M43" i="1"/>
  <c r="L43" i="1"/>
  <c r="K43" i="1"/>
  <c r="J43" i="1"/>
  <c r="I43" i="1"/>
  <c r="H43" i="1"/>
  <c r="G43" i="1"/>
  <c r="F43" i="1"/>
  <c r="E43" i="1"/>
  <c r="M41" i="1"/>
  <c r="L41" i="1"/>
  <c r="K41" i="1"/>
  <c r="J41" i="1"/>
  <c r="I41" i="1"/>
  <c r="H41" i="1"/>
  <c r="G41" i="1"/>
  <c r="F41" i="1"/>
  <c r="E41" i="1"/>
  <c r="M40" i="1"/>
  <c r="L40" i="1"/>
  <c r="K40" i="1"/>
  <c r="J40" i="1"/>
  <c r="I40" i="1"/>
  <c r="H40" i="1"/>
  <c r="G40" i="1"/>
  <c r="F40" i="1"/>
  <c r="E40" i="1"/>
  <c r="M39" i="1"/>
  <c r="L39" i="1"/>
  <c r="K39" i="1"/>
  <c r="J39" i="1"/>
  <c r="I39" i="1"/>
  <c r="H39" i="1"/>
  <c r="G39" i="1"/>
  <c r="F39" i="1"/>
  <c r="E39" i="1"/>
  <c r="M38" i="1"/>
  <c r="L38" i="1"/>
  <c r="K38" i="1"/>
  <c r="J38" i="1"/>
  <c r="I38" i="1"/>
  <c r="H38" i="1"/>
  <c r="G38" i="1"/>
  <c r="F38" i="1"/>
  <c r="E38" i="1"/>
  <c r="M37" i="1"/>
  <c r="L37" i="1"/>
  <c r="K37" i="1"/>
  <c r="J37" i="1"/>
  <c r="I37" i="1"/>
  <c r="H37" i="1"/>
  <c r="G37" i="1"/>
  <c r="F37" i="1"/>
  <c r="E37" i="1"/>
  <c r="N37" i="1" s="1"/>
  <c r="O37" i="1" s="1"/>
  <c r="E34" i="1"/>
  <c r="E32" i="1"/>
  <c r="E30" i="1"/>
  <c r="E29" i="1"/>
  <c r="E28" i="1"/>
  <c r="M26" i="1"/>
  <c r="G25" i="1"/>
  <c r="G23" i="1"/>
  <c r="M22" i="1"/>
  <c r="L22" i="1"/>
  <c r="K22" i="1"/>
  <c r="J22" i="1"/>
  <c r="I22" i="1"/>
  <c r="H22" i="1"/>
  <c r="G22" i="1"/>
  <c r="F22" i="1"/>
  <c r="E22" i="1"/>
  <c r="M21" i="1"/>
  <c r="L21" i="1"/>
  <c r="K21" i="1"/>
  <c r="J21" i="1"/>
  <c r="I21" i="1"/>
  <c r="H21" i="1"/>
  <c r="G21" i="1"/>
  <c r="F21" i="1"/>
  <c r="E21" i="1"/>
  <c r="M19" i="1"/>
  <c r="L19" i="1"/>
  <c r="K19" i="1"/>
  <c r="J19" i="1"/>
  <c r="H19" i="1"/>
  <c r="G19" i="1"/>
  <c r="F19" i="1"/>
  <c r="E19" i="1"/>
  <c r="M15" i="1"/>
  <c r="L15" i="1"/>
  <c r="K15" i="1"/>
  <c r="J15" i="1"/>
  <c r="I15" i="1"/>
  <c r="H15" i="1"/>
  <c r="G15" i="1"/>
  <c r="F15" i="1"/>
  <c r="E15" i="1"/>
  <c r="M14" i="1"/>
  <c r="L14" i="1"/>
  <c r="K14" i="1"/>
  <c r="J14" i="1"/>
  <c r="I14" i="1"/>
  <c r="H14" i="1"/>
  <c r="G14" i="1"/>
  <c r="F14" i="1"/>
  <c r="E14" i="1"/>
  <c r="M12" i="1"/>
  <c r="L12" i="1"/>
  <c r="K12" i="1"/>
  <c r="J12" i="1"/>
  <c r="M11" i="1"/>
  <c r="L11" i="1"/>
  <c r="K11" i="1"/>
  <c r="J11" i="1"/>
  <c r="I11" i="1"/>
  <c r="G11" i="1"/>
  <c r="M10" i="1"/>
  <c r="L10" i="1"/>
  <c r="K10" i="1"/>
  <c r="J10" i="1"/>
  <c r="I10" i="1"/>
  <c r="H10" i="1"/>
  <c r="G10" i="1"/>
  <c r="F10" i="1"/>
  <c r="E10" i="1"/>
  <c r="M9" i="1"/>
  <c r="L9" i="1"/>
  <c r="K9" i="1"/>
  <c r="J9" i="1"/>
  <c r="I9" i="1"/>
  <c r="H9" i="1"/>
  <c r="G9" i="1"/>
  <c r="F9" i="1"/>
  <c r="E9" i="1"/>
  <c r="M8" i="1"/>
  <c r="L8" i="1"/>
  <c r="K8" i="1"/>
  <c r="J8" i="1"/>
  <c r="I8" i="1"/>
  <c r="H8" i="1"/>
  <c r="G8" i="1"/>
  <c r="F8" i="1"/>
  <c r="E8" i="1"/>
  <c r="M7" i="1"/>
  <c r="L7" i="1"/>
  <c r="K7" i="1"/>
  <c r="J7" i="1"/>
  <c r="I7" i="1"/>
  <c r="H7" i="1"/>
  <c r="G7" i="1"/>
  <c r="F7" i="1"/>
  <c r="E7" i="1"/>
  <c r="M6" i="1"/>
  <c r="L6" i="1"/>
  <c r="K6" i="1"/>
  <c r="J6" i="1"/>
  <c r="I6" i="1"/>
  <c r="H6" i="1"/>
  <c r="G6" i="1"/>
  <c r="F6" i="1"/>
  <c r="N6" i="1" s="1"/>
  <c r="O6" i="1" s="1"/>
  <c r="E6" i="1"/>
  <c r="M5" i="1"/>
  <c r="L5" i="1"/>
  <c r="N5" i="1" s="1"/>
  <c r="O5" i="1" s="1"/>
  <c r="K5" i="1"/>
  <c r="J5" i="1"/>
  <c r="I5" i="1"/>
  <c r="H5" i="1"/>
  <c r="G5" i="1"/>
  <c r="F5" i="1"/>
  <c r="E5" i="1"/>
  <c r="E529" i="3" l="1"/>
  <c r="F529" i="3"/>
  <c r="P118" i="6"/>
  <c r="O118" i="6"/>
  <c r="L64" i="6"/>
  <c r="E250" i="3"/>
  <c r="E695" i="3"/>
  <c r="F695" i="3"/>
  <c r="F339" i="3"/>
  <c r="E496" i="3"/>
  <c r="F661" i="3"/>
  <c r="E661" i="3"/>
  <c r="P72" i="6"/>
  <c r="O72" i="6"/>
  <c r="N72" i="6"/>
  <c r="M72" i="6"/>
  <c r="S72" i="6" s="1"/>
  <c r="E224" i="3"/>
  <c r="F224" i="3"/>
  <c r="N330" i="6"/>
  <c r="P330" i="6"/>
  <c r="Q330" i="6" s="1"/>
  <c r="O330" i="6"/>
  <c r="N43" i="1"/>
  <c r="O43" i="1" s="1"/>
  <c r="N12" i="1"/>
  <c r="O12" i="1" s="1"/>
  <c r="F100" i="3"/>
  <c r="F204" i="3"/>
  <c r="F328" i="3"/>
  <c r="E328" i="3"/>
  <c r="F632" i="3"/>
  <c r="F727" i="3"/>
  <c r="P46" i="6"/>
  <c r="O46" i="6"/>
  <c r="N46" i="6"/>
  <c r="M46" i="6"/>
  <c r="S46" i="6" s="1"/>
  <c r="E776" i="3"/>
  <c r="F776" i="3"/>
  <c r="F517" i="3"/>
  <c r="L37" i="6"/>
  <c r="L94" i="6"/>
  <c r="N154" i="6"/>
  <c r="P154" i="6"/>
  <c r="M342" i="6"/>
  <c r="S342" i="6" s="1"/>
  <c r="P342" i="6"/>
  <c r="Q342" i="6" s="1"/>
  <c r="N342" i="6"/>
  <c r="E74" i="3"/>
  <c r="M25" i="1"/>
  <c r="O154" i="6"/>
  <c r="E516" i="3"/>
  <c r="F516" i="3"/>
  <c r="E614" i="3"/>
  <c r="F614" i="3"/>
  <c r="N162" i="6"/>
  <c r="P162" i="6"/>
  <c r="O162" i="6"/>
  <c r="F36" i="3"/>
  <c r="F256" i="3"/>
  <c r="F346" i="3"/>
  <c r="E346" i="3"/>
  <c r="F510" i="3"/>
  <c r="E510" i="3"/>
  <c r="E770" i="3"/>
  <c r="F770" i="3"/>
  <c r="L386" i="6"/>
  <c r="O386" i="6" s="1"/>
  <c r="E16" i="3"/>
  <c r="F16" i="3"/>
  <c r="F402" i="3"/>
  <c r="E402" i="3"/>
  <c r="E533" i="3"/>
  <c r="F533" i="3"/>
  <c r="E648" i="3"/>
  <c r="F648" i="3"/>
  <c r="E212" i="3"/>
  <c r="F212" i="3"/>
  <c r="E721" i="3"/>
  <c r="F811" i="3"/>
  <c r="E11" i="1"/>
  <c r="N11" i="1" s="1"/>
  <c r="O11" i="1" s="1"/>
  <c r="F68" i="3"/>
  <c r="F627" i="3"/>
  <c r="E627" i="3"/>
  <c r="E714" i="3"/>
  <c r="F714" i="3"/>
  <c r="F789" i="3"/>
  <c r="E789" i="3"/>
  <c r="M243" i="6"/>
  <c r="S243" i="6" s="1"/>
  <c r="O243" i="6"/>
  <c r="E679" i="3"/>
  <c r="N146" i="6"/>
  <c r="O146" i="6"/>
  <c r="F435" i="3"/>
  <c r="E435" i="3"/>
  <c r="F483" i="3"/>
  <c r="F271" i="3"/>
  <c r="E271" i="3"/>
  <c r="E477" i="3"/>
  <c r="F477" i="3"/>
  <c r="E565" i="3"/>
  <c r="P146" i="6"/>
  <c r="O19" i="6"/>
  <c r="N19" i="6"/>
  <c r="N243" i="6"/>
  <c r="L340" i="6"/>
  <c r="O340" i="6" s="1"/>
  <c r="N170" i="6"/>
  <c r="P170" i="6"/>
  <c r="F366" i="3"/>
  <c r="F741" i="3"/>
  <c r="E741" i="3"/>
  <c r="E24" i="3"/>
  <c r="F24" i="3"/>
  <c r="F478" i="3"/>
  <c r="E478" i="3"/>
  <c r="L323" i="6"/>
  <c r="M323" i="6" s="1"/>
  <c r="S323" i="6" s="1"/>
  <c r="E108" i="3"/>
  <c r="F108" i="3"/>
  <c r="F11" i="1"/>
  <c r="E473" i="3"/>
  <c r="F473" i="3"/>
  <c r="F620" i="3"/>
  <c r="E620" i="3"/>
  <c r="L187" i="6"/>
  <c r="L244" i="6"/>
  <c r="E64" i="3"/>
  <c r="F64" i="3"/>
  <c r="O342" i="6"/>
  <c r="F244" i="3"/>
  <c r="F277" i="3"/>
  <c r="F313" i="3"/>
  <c r="L45" i="6"/>
  <c r="P45" i="6" s="1"/>
  <c r="F89" i="3"/>
  <c r="E89" i="3"/>
  <c r="E461" i="3"/>
  <c r="F461" i="3"/>
  <c r="F708" i="3"/>
  <c r="E708" i="3"/>
  <c r="Q13" i="6"/>
  <c r="R13" i="6"/>
  <c r="L296" i="6"/>
  <c r="N296" i="6" s="1"/>
  <c r="F340" i="3"/>
  <c r="E340" i="3"/>
  <c r="E384" i="3"/>
  <c r="F384" i="3"/>
  <c r="E484" i="3"/>
  <c r="F484" i="3"/>
  <c r="E735" i="3"/>
  <c r="F735" i="3"/>
  <c r="E783" i="3"/>
  <c r="F783" i="3"/>
  <c r="L106" i="6"/>
  <c r="H11" i="1"/>
  <c r="E30" i="3"/>
  <c r="F30" i="3"/>
  <c r="F120" i="3"/>
  <c r="F198" i="3"/>
  <c r="E198" i="3"/>
  <c r="F295" i="3"/>
  <c r="F308" i="3"/>
  <c r="F334" i="3"/>
  <c r="E460" i="3"/>
  <c r="F460" i="3"/>
  <c r="E547" i="3"/>
  <c r="E680" i="3"/>
  <c r="F680" i="3"/>
  <c r="E805" i="3"/>
  <c r="L27" i="6"/>
  <c r="O27" i="6" s="1"/>
  <c r="L95" i="6"/>
  <c r="P95" i="6" s="1"/>
  <c r="L232" i="6"/>
  <c r="L26" i="1"/>
  <c r="N38" i="1"/>
  <c r="O38" i="1" s="1"/>
  <c r="E642" i="3"/>
  <c r="E580" i="3"/>
  <c r="E709" i="3"/>
  <c r="F757" i="3"/>
  <c r="E757" i="3"/>
  <c r="E813" i="3"/>
  <c r="E46" i="3"/>
  <c r="F386" i="3"/>
  <c r="E448" i="3"/>
  <c r="E587" i="3"/>
  <c r="F587" i="3"/>
  <c r="F744" i="3"/>
  <c r="E772" i="3"/>
  <c r="M33" i="6"/>
  <c r="S33" i="6" s="1"/>
  <c r="O362" i="6"/>
  <c r="F200" i="3"/>
  <c r="F442" i="3"/>
  <c r="F499" i="3"/>
  <c r="F512" i="3"/>
  <c r="F568" i="3"/>
  <c r="E663" i="3"/>
  <c r="F663" i="3"/>
  <c r="F751" i="3"/>
  <c r="O153" i="6"/>
  <c r="P153" i="6"/>
  <c r="Q153" i="6" s="1"/>
  <c r="P338" i="6"/>
  <c r="Q338" i="6" s="1"/>
  <c r="F265" i="3"/>
  <c r="F304" i="3"/>
  <c r="E304" i="3"/>
  <c r="E418" i="3"/>
  <c r="L196" i="6"/>
  <c r="N15" i="1"/>
  <c r="O15" i="1" s="1"/>
  <c r="E153" i="3"/>
  <c r="F291" i="3"/>
  <c r="F380" i="3"/>
  <c r="F405" i="3"/>
  <c r="E412" i="3"/>
  <c r="F436" i="3"/>
  <c r="E449" i="3"/>
  <c r="F449" i="3"/>
  <c r="F563" i="3"/>
  <c r="F637" i="3"/>
  <c r="E637" i="3"/>
  <c r="E650" i="3"/>
  <c r="F691" i="3"/>
  <c r="F738" i="3"/>
  <c r="E759" i="3"/>
  <c r="F759" i="3"/>
  <c r="H26" i="1"/>
  <c r="L61" i="6"/>
  <c r="O320" i="6"/>
  <c r="L166" i="6"/>
  <c r="O166" i="6" s="1"/>
  <c r="L283" i="6"/>
  <c r="P283" i="6" s="1"/>
  <c r="E65" i="3"/>
  <c r="E96" i="3"/>
  <c r="F96" i="3"/>
  <c r="E220" i="3"/>
  <c r="F220" i="3"/>
  <c r="F467" i="3"/>
  <c r="L108" i="6"/>
  <c r="P108" i="6" s="1"/>
  <c r="Q108" i="6" s="1"/>
  <c r="L220" i="6"/>
  <c r="F52" i="3"/>
  <c r="E77" i="3"/>
  <c r="E146" i="3"/>
  <c r="F297" i="3"/>
  <c r="E349" i="3"/>
  <c r="F349" i="3"/>
  <c r="F462" i="3"/>
  <c r="E462" i="3"/>
  <c r="F710" i="3"/>
  <c r="E710" i="3"/>
  <c r="E41" i="3"/>
  <c r="F41" i="3"/>
  <c r="F705" i="3"/>
  <c r="E705" i="3"/>
  <c r="M18" i="1"/>
  <c r="H25" i="1"/>
  <c r="K23" i="1"/>
  <c r="L85" i="6"/>
  <c r="L104" i="6"/>
  <c r="L242" i="6"/>
  <c r="O242" i="6" s="1"/>
  <c r="L248" i="6"/>
  <c r="N248" i="6" s="1"/>
  <c r="L273" i="6"/>
  <c r="O273" i="6" s="1"/>
  <c r="L313" i="6"/>
  <c r="O313" i="6" s="1"/>
  <c r="J26" i="1"/>
  <c r="L124" i="6"/>
  <c r="I19" i="1"/>
  <c r="J25" i="1"/>
  <c r="E5" i="3"/>
  <c r="F206" i="3"/>
  <c r="I26" i="1"/>
  <c r="L356" i="6"/>
  <c r="N39" i="1"/>
  <c r="O39" i="1" s="1"/>
  <c r="F40" i="3"/>
  <c r="F166" i="3"/>
  <c r="E574" i="3"/>
  <c r="F602" i="3"/>
  <c r="E657" i="3"/>
  <c r="N22" i="1"/>
  <c r="O22" i="1" s="1"/>
  <c r="N41" i="1"/>
  <c r="O41" i="1" s="1"/>
  <c r="F60" i="3"/>
  <c r="F141" i="3"/>
  <c r="E188" i="3"/>
  <c r="F188" i="3"/>
  <c r="E254" i="3"/>
  <c r="E286" i="3"/>
  <c r="F344" i="3"/>
  <c r="F362" i="3"/>
  <c r="F368" i="3"/>
  <c r="E400" i="3"/>
  <c r="F444" i="3"/>
  <c r="E444" i="3"/>
  <c r="E644" i="3"/>
  <c r="F719" i="3"/>
  <c r="F802" i="3"/>
  <c r="E802" i="3"/>
  <c r="G26" i="1"/>
  <c r="N26" i="1" s="1"/>
  <c r="O26" i="1" s="1"/>
  <c r="K26" i="1"/>
  <c r="L204" i="6"/>
  <c r="L358" i="6"/>
  <c r="P358" i="6" s="1"/>
  <c r="F524" i="3"/>
  <c r="L208" i="6"/>
  <c r="O208" i="6" s="1"/>
  <c r="F172" i="3"/>
  <c r="F192" i="3"/>
  <c r="F595" i="3"/>
  <c r="L74" i="6"/>
  <c r="L369" i="6"/>
  <c r="N8" i="1"/>
  <c r="O8" i="1" s="1"/>
  <c r="N10" i="1"/>
  <c r="O10" i="1" s="1"/>
  <c r="F181" i="3"/>
  <c r="E181" i="3"/>
  <c r="F351" i="3"/>
  <c r="E351" i="3"/>
  <c r="F564" i="3"/>
  <c r="F582" i="3"/>
  <c r="E631" i="3"/>
  <c r="F631" i="3"/>
  <c r="F638" i="3"/>
  <c r="E692" i="3"/>
  <c r="F726" i="3"/>
  <c r="E781" i="3"/>
  <c r="G24" i="1"/>
  <c r="L128" i="6"/>
  <c r="O128" i="6" s="1"/>
  <c r="L163" i="6"/>
  <c r="P163" i="6" s="1"/>
  <c r="O378" i="6"/>
  <c r="M378" i="6"/>
  <c r="S378" i="6" s="1"/>
  <c r="L318" i="6"/>
  <c r="N318" i="6" s="1"/>
  <c r="M362" i="6"/>
  <c r="S362" i="6" s="1"/>
  <c r="N362" i="6"/>
  <c r="L11" i="2"/>
  <c r="E505" i="3"/>
  <c r="F505" i="3"/>
  <c r="F594" i="3"/>
  <c r="E594" i="3"/>
  <c r="F806" i="3"/>
  <c r="L381" i="6"/>
  <c r="E765" i="3"/>
  <c r="L227" i="6"/>
  <c r="L368" i="6"/>
  <c r="I23" i="1"/>
  <c r="L23" i="6"/>
  <c r="P23" i="6" s="1"/>
  <c r="F140" i="3"/>
  <c r="F430" i="3"/>
  <c r="L382" i="6"/>
  <c r="O382" i="6" s="1"/>
  <c r="N7" i="1"/>
  <c r="O7" i="1" s="1"/>
  <c r="N21" i="1"/>
  <c r="O21" i="1" s="1"/>
  <c r="E23" i="1"/>
  <c r="F61" i="3"/>
  <c r="E61" i="3"/>
  <c r="F112" i="3"/>
  <c r="F148" i="3"/>
  <c r="F168" i="3"/>
  <c r="E306" i="3"/>
  <c r="E332" i="3"/>
  <c r="F389" i="3"/>
  <c r="F432" i="3"/>
  <c r="F489" i="3"/>
  <c r="F501" i="3"/>
  <c r="F678" i="3"/>
  <c r="F747" i="3"/>
  <c r="E788" i="3"/>
  <c r="E26" i="1"/>
  <c r="F25" i="1"/>
  <c r="L9" i="6"/>
  <c r="P9" i="6" s="1"/>
  <c r="L43" i="6"/>
  <c r="P43" i="6" s="1"/>
  <c r="L50" i="6"/>
  <c r="P50" i="6" s="1"/>
  <c r="L174" i="6"/>
  <c r="L186" i="6"/>
  <c r="L230" i="6"/>
  <c r="L255" i="6"/>
  <c r="N255" i="6" s="1"/>
  <c r="L307" i="6"/>
  <c r="L8" i="6"/>
  <c r="L54" i="6"/>
  <c r="N54" i="6" s="1"/>
  <c r="L84" i="6"/>
  <c r="O84" i="6" s="1"/>
  <c r="L129" i="6"/>
  <c r="O129" i="6" s="1"/>
  <c r="L284" i="6"/>
  <c r="P284" i="6" s="1"/>
  <c r="L319" i="6"/>
  <c r="N319" i="6" s="1"/>
  <c r="L250" i="6"/>
  <c r="E651" i="3"/>
  <c r="E658" i="3"/>
  <c r="E687" i="3"/>
  <c r="E796" i="3"/>
  <c r="L67" i="6"/>
  <c r="L178" i="6"/>
  <c r="L268" i="6"/>
  <c r="L327" i="6"/>
  <c r="L332" i="6"/>
  <c r="L350" i="6"/>
  <c r="E33" i="1"/>
  <c r="L4" i="6"/>
  <c r="P4" i="6" s="1"/>
  <c r="L20" i="6"/>
  <c r="O20" i="6" s="1"/>
  <c r="L112" i="6"/>
  <c r="L194" i="6"/>
  <c r="P194" i="6" s="1"/>
  <c r="L211" i="6"/>
  <c r="L245" i="6"/>
  <c r="M245" i="6" s="1"/>
  <c r="S245" i="6" s="1"/>
  <c r="F257" i="3"/>
  <c r="F269" i="3"/>
  <c r="F317" i="3"/>
  <c r="F369" i="3"/>
  <c r="E387" i="3"/>
  <c r="F403" i="3"/>
  <c r="F427" i="3"/>
  <c r="E474" i="3"/>
  <c r="F497" i="3"/>
  <c r="E508" i="3"/>
  <c r="E597" i="3"/>
  <c r="E610" i="3"/>
  <c r="E634" i="3"/>
  <c r="E640" i="3"/>
  <c r="E706" i="3"/>
  <c r="F736" i="3"/>
  <c r="F742" i="3"/>
  <c r="E790" i="3"/>
  <c r="L25" i="6"/>
  <c r="P25" i="6" s="1"/>
  <c r="L51" i="6"/>
  <c r="L200" i="6"/>
  <c r="P200" i="6" s="1"/>
  <c r="N216" i="6"/>
  <c r="L263" i="6"/>
  <c r="O263" i="6" s="1"/>
  <c r="N321" i="6"/>
  <c r="L337" i="6"/>
  <c r="L384" i="6"/>
  <c r="O384" i="6" s="1"/>
  <c r="N14" i="1"/>
  <c r="O14" i="1" s="1"/>
  <c r="N19" i="1"/>
  <c r="O19" i="1" s="1"/>
  <c r="E25" i="3"/>
  <c r="F56" i="3"/>
  <c r="F116" i="3"/>
  <c r="F170" i="3"/>
  <c r="E189" i="3"/>
  <c r="E221" i="3"/>
  <c r="J18" i="1"/>
  <c r="E548" i="3"/>
  <c r="F584" i="3"/>
  <c r="F604" i="3"/>
  <c r="F616" i="3"/>
  <c r="E623" i="3"/>
  <c r="E676" i="3"/>
  <c r="E681" i="3"/>
  <c r="E718" i="3"/>
  <c r="E724" i="3"/>
  <c r="E749" i="3"/>
  <c r="E768" i="3"/>
  <c r="E779" i="3"/>
  <c r="E803" i="3"/>
  <c r="E35" i="1"/>
  <c r="L16" i="6"/>
  <c r="N16" i="6" s="1"/>
  <c r="L31" i="6"/>
  <c r="P31" i="6" s="1"/>
  <c r="L35" i="6"/>
  <c r="L68" i="6"/>
  <c r="M68" i="6" s="1"/>
  <c r="S68" i="6" s="1"/>
  <c r="L132" i="6"/>
  <c r="O216" i="6"/>
  <c r="L237" i="6"/>
  <c r="L257" i="6"/>
  <c r="L281" i="6"/>
  <c r="L309" i="6"/>
  <c r="P309" i="6" s="1"/>
  <c r="L346" i="6"/>
  <c r="M346" i="6" s="1"/>
  <c r="S346" i="6" s="1"/>
  <c r="L177" i="6"/>
  <c r="M177" i="6" s="1"/>
  <c r="S177" i="6" s="1"/>
  <c r="L302" i="6"/>
  <c r="P302" i="6" s="1"/>
  <c r="E13" i="3"/>
  <c r="F45" i="3"/>
  <c r="E62" i="3"/>
  <c r="F164" i="3"/>
  <c r="F176" i="3"/>
  <c r="F208" i="3"/>
  <c r="F240" i="3"/>
  <c r="F293" i="3"/>
  <c r="F305" i="3"/>
  <c r="E382" i="3"/>
  <c r="E399" i="3"/>
  <c r="E434" i="3"/>
  <c r="E480" i="3"/>
  <c r="E503" i="3"/>
  <c r="F514" i="3"/>
  <c r="J16" i="1"/>
  <c r="E526" i="3"/>
  <c r="F531" i="3"/>
  <c r="F555" i="3"/>
  <c r="F567" i="3"/>
  <c r="F694" i="3"/>
  <c r="E701" i="3"/>
  <c r="F712" i="3"/>
  <c r="E755" i="3"/>
  <c r="E774" i="3"/>
  <c r="E785" i="3"/>
  <c r="L42" i="6"/>
  <c r="N73" i="6"/>
  <c r="P216" i="6"/>
  <c r="Q216" i="6" s="1"/>
  <c r="L258" i="6"/>
  <c r="N258" i="6" s="1"/>
  <c r="L293" i="6"/>
  <c r="M293" i="6" s="1"/>
  <c r="S293" i="6" s="1"/>
  <c r="F32" i="3"/>
  <c r="F105" i="3"/>
  <c r="F128" i="3"/>
  <c r="F196" i="3"/>
  <c r="F228" i="3"/>
  <c r="E270" i="3"/>
  <c r="F388" i="3"/>
  <c r="F404" i="3"/>
  <c r="F509" i="3"/>
  <c r="L22" i="6"/>
  <c r="O73" i="6"/>
  <c r="L78" i="6"/>
  <c r="L133" i="6"/>
  <c r="L185" i="6"/>
  <c r="O185" i="6" s="1"/>
  <c r="L190" i="6"/>
  <c r="L217" i="6"/>
  <c r="M217" i="6" s="1"/>
  <c r="S217" i="6" s="1"/>
  <c r="L264" i="6"/>
  <c r="P264" i="6" s="1"/>
  <c r="L270" i="6"/>
  <c r="L294" i="6"/>
  <c r="O294" i="6" s="1"/>
  <c r="L347" i="6"/>
  <c r="N347" i="6" s="1"/>
  <c r="L357" i="6"/>
  <c r="M357" i="6" s="1"/>
  <c r="L385" i="6"/>
  <c r="O385" i="6" s="1"/>
  <c r="O52" i="6"/>
  <c r="P52" i="6"/>
  <c r="N52" i="6"/>
  <c r="M52" i="6"/>
  <c r="S52" i="6" s="1"/>
  <c r="F14" i="3"/>
  <c r="E14" i="3"/>
  <c r="H24" i="1"/>
  <c r="E9" i="3"/>
  <c r="E16" i="1"/>
  <c r="F9" i="3"/>
  <c r="P94" i="6"/>
  <c r="O94" i="6"/>
  <c r="N94" i="6"/>
  <c r="M94" i="6"/>
  <c r="S94" i="6" s="1"/>
  <c r="I24" i="1"/>
  <c r="P53" i="6"/>
  <c r="O53" i="6"/>
  <c r="N53" i="6"/>
  <c r="M53" i="6"/>
  <c r="S53" i="6" s="1"/>
  <c r="E385" i="3"/>
  <c r="F385" i="3"/>
  <c r="P105" i="6"/>
  <c r="O105" i="6"/>
  <c r="N105" i="6"/>
  <c r="M105" i="6"/>
  <c r="S105" i="6" s="1"/>
  <c r="F165" i="3"/>
  <c r="G16" i="1"/>
  <c r="E165" i="3"/>
  <c r="O12" i="6"/>
  <c r="P12" i="6"/>
  <c r="N12" i="6"/>
  <c r="M12" i="6"/>
  <c r="S12" i="6" s="1"/>
  <c r="F142" i="3"/>
  <c r="E142" i="3"/>
  <c r="F193" i="3"/>
  <c r="E193" i="3"/>
  <c r="N4" i="6"/>
  <c r="F83" i="3"/>
  <c r="E83" i="3"/>
  <c r="F16" i="1"/>
  <c r="E137" i="3"/>
  <c r="F137" i="3"/>
  <c r="F78" i="3"/>
  <c r="E78" i="3"/>
  <c r="E182" i="3"/>
  <c r="F182" i="3"/>
  <c r="P57" i="6"/>
  <c r="O57" i="6"/>
  <c r="N57" i="6"/>
  <c r="M57" i="6"/>
  <c r="S57" i="6" s="1"/>
  <c r="E18" i="1"/>
  <c r="F131" i="3"/>
  <c r="E131" i="3"/>
  <c r="O168" i="6"/>
  <c r="P168" i="6"/>
  <c r="N168" i="6"/>
  <c r="M168" i="6"/>
  <c r="S168" i="6" s="1"/>
  <c r="F19" i="3"/>
  <c r="E19" i="3"/>
  <c r="F67" i="3"/>
  <c r="E67" i="3"/>
  <c r="E73" i="3"/>
  <c r="F73" i="3"/>
  <c r="M16" i="6"/>
  <c r="S16" i="6" s="1"/>
  <c r="E37" i="3"/>
  <c r="E42" i="3"/>
  <c r="E53" i="3"/>
  <c r="E101" i="3"/>
  <c r="E106" i="3"/>
  <c r="E117" i="3"/>
  <c r="F171" i="3"/>
  <c r="E171" i="3"/>
  <c r="E245" i="3"/>
  <c r="F261" i="3"/>
  <c r="E267" i="3"/>
  <c r="E284" i="3"/>
  <c r="F374" i="3"/>
  <c r="E374" i="3"/>
  <c r="E566" i="3"/>
  <c r="E603" i="3"/>
  <c r="F615" i="3"/>
  <c r="E615" i="3"/>
  <c r="P17" i="6"/>
  <c r="O17" i="6"/>
  <c r="N17" i="6"/>
  <c r="M17" i="6"/>
  <c r="S17" i="6" s="1"/>
  <c r="M135" i="6"/>
  <c r="S135" i="6" s="1"/>
  <c r="P135" i="6"/>
  <c r="O135" i="6"/>
  <c r="N135" i="6"/>
  <c r="M195" i="6"/>
  <c r="N195" i="6"/>
  <c r="N9" i="1"/>
  <c r="O9" i="1" s="1"/>
  <c r="E58" i="3"/>
  <c r="F63" i="3"/>
  <c r="E63" i="3"/>
  <c r="E122" i="3"/>
  <c r="F127" i="3"/>
  <c r="E127" i="3"/>
  <c r="E234" i="3"/>
  <c r="F470" i="3"/>
  <c r="E470" i="3"/>
  <c r="F504" i="3"/>
  <c r="E504" i="3"/>
  <c r="E515" i="3"/>
  <c r="F543" i="3"/>
  <c r="E543" i="3"/>
  <c r="E561" i="3"/>
  <c r="E110" i="4"/>
  <c r="K24" i="1" s="1"/>
  <c r="E168" i="4"/>
  <c r="M24" i="1" s="1"/>
  <c r="M23" i="1"/>
  <c r="M103" i="6"/>
  <c r="S103" i="6" s="1"/>
  <c r="P103" i="6"/>
  <c r="O103" i="6"/>
  <c r="N103" i="6"/>
  <c r="R170" i="6"/>
  <c r="Q170" i="6"/>
  <c r="O195" i="6"/>
  <c r="G18" i="1"/>
  <c r="E177" i="3"/>
  <c r="E363" i="3"/>
  <c r="E408" i="3"/>
  <c r="E538" i="3"/>
  <c r="E94" i="4"/>
  <c r="J24" i="1" s="1"/>
  <c r="J23" i="1"/>
  <c r="E139" i="4"/>
  <c r="L24" i="1" s="1"/>
  <c r="L23" i="1"/>
  <c r="O48" i="6"/>
  <c r="P48" i="6"/>
  <c r="N48" i="6"/>
  <c r="M48" i="6"/>
  <c r="S48" i="6" s="1"/>
  <c r="P116" i="6"/>
  <c r="O116" i="6"/>
  <c r="N116" i="6"/>
  <c r="M116" i="6"/>
  <c r="S116" i="6" s="1"/>
  <c r="P186" i="6"/>
  <c r="O186" i="6"/>
  <c r="N186" i="6"/>
  <c r="M186" i="6"/>
  <c r="S186" i="6" s="1"/>
  <c r="P195" i="6"/>
  <c r="F274" i="3"/>
  <c r="E274" i="3"/>
  <c r="F556" i="3"/>
  <c r="E556" i="3"/>
  <c r="P35" i="6"/>
  <c r="M35" i="6"/>
  <c r="S35" i="6" s="1"/>
  <c r="P126" i="6"/>
  <c r="O126" i="6"/>
  <c r="M126" i="6"/>
  <c r="S126" i="6" s="1"/>
  <c r="N126" i="6"/>
  <c r="N35" i="6"/>
  <c r="O49" i="6"/>
  <c r="N49" i="6"/>
  <c r="M49" i="6"/>
  <c r="S49" i="6" s="1"/>
  <c r="P49" i="6"/>
  <c r="P121" i="6"/>
  <c r="O121" i="6"/>
  <c r="N121" i="6"/>
  <c r="M121" i="6"/>
  <c r="S121" i="6" s="1"/>
  <c r="E33" i="3"/>
  <c r="F38" i="3"/>
  <c r="E97" i="3"/>
  <c r="F161" i="3"/>
  <c r="F218" i="3"/>
  <c r="F342" i="3"/>
  <c r="E342" i="3"/>
  <c r="F723" i="3"/>
  <c r="E723" i="3"/>
  <c r="E76" i="4"/>
  <c r="O35" i="6"/>
  <c r="P54" i="6"/>
  <c r="O54" i="6"/>
  <c r="M54" i="6"/>
  <c r="S54" i="6" s="1"/>
  <c r="Q90" i="6"/>
  <c r="R90" i="6"/>
  <c r="K18" i="1"/>
  <c r="F641" i="3"/>
  <c r="E641" i="3"/>
  <c r="E653" i="3"/>
  <c r="E760" i="3"/>
  <c r="F807" i="3"/>
  <c r="E807" i="3"/>
  <c r="M16" i="1"/>
  <c r="O90" i="6"/>
  <c r="P177" i="6"/>
  <c r="O177" i="6"/>
  <c r="P281" i="6"/>
  <c r="M281" i="6"/>
  <c r="S281" i="6" s="1"/>
  <c r="N281" i="6"/>
  <c r="O281" i="6"/>
  <c r="F47" i="3"/>
  <c r="E47" i="3"/>
  <c r="F111" i="3"/>
  <c r="E111" i="3"/>
  <c r="E413" i="3"/>
  <c r="F413" i="3"/>
  <c r="P7" i="6"/>
  <c r="M7" i="6"/>
  <c r="S7" i="6" s="1"/>
  <c r="O7" i="6"/>
  <c r="N7" i="6"/>
  <c r="F49" i="3"/>
  <c r="E49" i="3"/>
  <c r="E319" i="3"/>
  <c r="E812" i="3"/>
  <c r="H23" i="1"/>
  <c r="L18" i="1"/>
  <c r="E766" i="3"/>
  <c r="O64" i="6"/>
  <c r="P64" i="6"/>
  <c r="N64" i="6"/>
  <c r="M64" i="6"/>
  <c r="S64" i="6" s="1"/>
  <c r="P275" i="6"/>
  <c r="O275" i="6"/>
  <c r="N275" i="6"/>
  <c r="F7" i="3"/>
  <c r="E7" i="3"/>
  <c r="F23" i="3"/>
  <c r="E23" i="3"/>
  <c r="F71" i="3"/>
  <c r="E71" i="3"/>
  <c r="F87" i="3"/>
  <c r="E87" i="3"/>
  <c r="F135" i="3"/>
  <c r="E135" i="3"/>
  <c r="F151" i="3"/>
  <c r="E151" i="3"/>
  <c r="F157" i="3"/>
  <c r="E157" i="3"/>
  <c r="F191" i="3"/>
  <c r="E191" i="3"/>
  <c r="E197" i="3"/>
  <c r="E214" i="3"/>
  <c r="E225" i="3"/>
  <c r="E287" i="3"/>
  <c r="E298" i="3"/>
  <c r="F737" i="3"/>
  <c r="E737" i="3"/>
  <c r="F743" i="3"/>
  <c r="E743" i="3"/>
  <c r="O60" i="6"/>
  <c r="P60" i="6"/>
  <c r="N60" i="6"/>
  <c r="M60" i="6"/>
  <c r="S60" i="6" s="1"/>
  <c r="P65" i="6"/>
  <c r="O65" i="6"/>
  <c r="N65" i="6"/>
  <c r="M65" i="6"/>
  <c r="N253" i="6"/>
  <c r="P253" i="6"/>
  <c r="O253" i="6"/>
  <c r="N373" i="6"/>
  <c r="M373" i="6"/>
  <c r="S373" i="6" s="1"/>
  <c r="P373" i="6"/>
  <c r="O373" i="6"/>
  <c r="F43" i="3"/>
  <c r="E43" i="3"/>
  <c r="F728" i="3"/>
  <c r="E728" i="3"/>
  <c r="M171" i="6"/>
  <c r="S171" i="6" s="1"/>
  <c r="O171" i="6"/>
  <c r="N171" i="6"/>
  <c r="P171" i="6"/>
  <c r="M181" i="6"/>
  <c r="S181" i="6" s="1"/>
  <c r="P181" i="6"/>
  <c r="O181" i="6"/>
  <c r="N181" i="6"/>
  <c r="P388" i="6"/>
  <c r="O388" i="6"/>
  <c r="N388" i="6"/>
  <c r="M388" i="6"/>
  <c r="S388" i="6" s="1"/>
  <c r="F113" i="3"/>
  <c r="E113" i="3"/>
  <c r="F314" i="3"/>
  <c r="E314" i="3"/>
  <c r="F102" i="3"/>
  <c r="E331" i="3"/>
  <c r="F495" i="3"/>
  <c r="E495" i="3"/>
  <c r="E771" i="3"/>
  <c r="E17" i="3"/>
  <c r="E81" i="3"/>
  <c r="E145" i="3"/>
  <c r="E202" i="3"/>
  <c r="F230" i="3"/>
  <c r="E315" i="3"/>
  <c r="F18" i="1"/>
  <c r="E29" i="3"/>
  <c r="F51" i="3"/>
  <c r="E51" i="3"/>
  <c r="E93" i="3"/>
  <c r="F115" i="3"/>
  <c r="E115" i="3"/>
  <c r="E186" i="3"/>
  <c r="F203" i="3"/>
  <c r="E203" i="3"/>
  <c r="F417" i="3"/>
  <c r="E445" i="3"/>
  <c r="F445" i="3"/>
  <c r="E636" i="3"/>
  <c r="F808" i="3"/>
  <c r="E808" i="3"/>
  <c r="P37" i="6"/>
  <c r="O37" i="6"/>
  <c r="N37" i="6"/>
  <c r="M37" i="6"/>
  <c r="S37" i="6" s="1"/>
  <c r="R73" i="6"/>
  <c r="Q73" i="6"/>
  <c r="P165" i="6"/>
  <c r="O165" i="6"/>
  <c r="M165" i="6"/>
  <c r="S165" i="6" s="1"/>
  <c r="N165" i="6"/>
  <c r="P214" i="6"/>
  <c r="O214" i="6"/>
  <c r="N214" i="6"/>
  <c r="M214" i="6"/>
  <c r="S214" i="6" s="1"/>
  <c r="M253" i="6"/>
  <c r="S253" i="6" s="1"/>
  <c r="F520" i="3"/>
  <c r="E520" i="3"/>
  <c r="F155" i="3"/>
  <c r="E155" i="3"/>
  <c r="F455" i="3"/>
  <c r="E455" i="3"/>
  <c r="F753" i="3"/>
  <c r="E753" i="3"/>
  <c r="O45" i="6"/>
  <c r="N45" i="6"/>
  <c r="M45" i="6"/>
  <c r="S45" i="6" s="1"/>
  <c r="K16" i="1"/>
  <c r="F22" i="3"/>
  <c r="F86" i="3"/>
  <c r="F150" i="3"/>
  <c r="E309" i="3"/>
  <c r="F309" i="3"/>
  <c r="E456" i="3"/>
  <c r="F659" i="3"/>
  <c r="E659" i="3"/>
  <c r="F34" i="3"/>
  <c r="E34" i="3"/>
  <c r="F98" i="3"/>
  <c r="E98" i="3"/>
  <c r="E327" i="3"/>
  <c r="F422" i="3"/>
  <c r="E422" i="3"/>
  <c r="F395" i="3"/>
  <c r="E395" i="3"/>
  <c r="E428" i="3"/>
  <c r="E625" i="3"/>
  <c r="F677" i="3"/>
  <c r="E677" i="3"/>
  <c r="M83" i="6"/>
  <c r="S83" i="6" s="1"/>
  <c r="N83" i="6"/>
  <c r="O86" i="6"/>
  <c r="P86" i="6"/>
  <c r="N86" i="6"/>
  <c r="M86" i="6"/>
  <c r="S86" i="6" s="1"/>
  <c r="P248" i="6"/>
  <c r="O248" i="6"/>
  <c r="I18" i="1"/>
  <c r="H16" i="1"/>
  <c r="F27" i="3"/>
  <c r="E27" i="3"/>
  <c r="F91" i="3"/>
  <c r="E91" i="3"/>
  <c r="F207" i="3"/>
  <c r="E207" i="3"/>
  <c r="I25" i="1"/>
  <c r="P100" i="6"/>
  <c r="N100" i="6"/>
  <c r="O100" i="6"/>
  <c r="M100" i="6"/>
  <c r="S100" i="6" s="1"/>
  <c r="N257" i="6"/>
  <c r="P257" i="6"/>
  <c r="O257" i="6"/>
  <c r="M257" i="6"/>
  <c r="S257" i="6" s="1"/>
  <c r="P263" i="6"/>
  <c r="N263" i="6"/>
  <c r="M263" i="6"/>
  <c r="S263" i="6" s="1"/>
  <c r="H18" i="1"/>
  <c r="E337" i="3"/>
  <c r="F337" i="3"/>
  <c r="N40" i="1"/>
  <c r="O40" i="1" s="1"/>
  <c r="F175" i="3"/>
  <c r="E175" i="3"/>
  <c r="F440" i="3"/>
  <c r="E440" i="3"/>
  <c r="F690" i="3"/>
  <c r="L16" i="1"/>
  <c r="E690" i="3"/>
  <c r="O24" i="6"/>
  <c r="P24" i="6"/>
  <c r="N24" i="6"/>
  <c r="M24" i="6"/>
  <c r="S24" i="6" s="1"/>
  <c r="N29" i="6"/>
  <c r="M29" i="6"/>
  <c r="S29" i="6" s="1"/>
  <c r="P29" i="6"/>
  <c r="O29" i="6"/>
  <c r="M79" i="6"/>
  <c r="S79" i="6" s="1"/>
  <c r="P79" i="6"/>
  <c r="O79" i="6"/>
  <c r="N79" i="6"/>
  <c r="P110" i="6"/>
  <c r="O110" i="6"/>
  <c r="M110" i="6"/>
  <c r="S110" i="6" s="1"/>
  <c r="N110" i="6"/>
  <c r="P124" i="6"/>
  <c r="N124" i="6"/>
  <c r="M124" i="6"/>
  <c r="S124" i="6" s="1"/>
  <c r="O244" i="6"/>
  <c r="N244" i="6"/>
  <c r="M244" i="6"/>
  <c r="S244" i="6" s="1"/>
  <c r="P244" i="6"/>
  <c r="P47" i="6"/>
  <c r="O47" i="6"/>
  <c r="M47" i="6"/>
  <c r="S47" i="6" s="1"/>
  <c r="N47" i="6"/>
  <c r="P144" i="6"/>
  <c r="M144" i="6"/>
  <c r="S144" i="6" s="1"/>
  <c r="O144" i="6"/>
  <c r="N144" i="6"/>
  <c r="F107" i="3"/>
  <c r="E107" i="3"/>
  <c r="F23" i="1"/>
  <c r="I16" i="1"/>
  <c r="E364" i="3"/>
  <c r="F717" i="3"/>
  <c r="E717" i="3"/>
  <c r="E213" i="3"/>
  <c r="E241" i="3"/>
  <c r="F506" i="3"/>
  <c r="E506" i="3"/>
  <c r="F700" i="3"/>
  <c r="E700" i="3"/>
  <c r="F711" i="3"/>
  <c r="E711" i="3"/>
  <c r="E748" i="3"/>
  <c r="M90" i="6"/>
  <c r="S90" i="6" s="1"/>
  <c r="E25" i="1"/>
  <c r="N90" i="6"/>
  <c r="F187" i="3"/>
  <c r="E187" i="3"/>
  <c r="F266" i="3"/>
  <c r="E266" i="3"/>
  <c r="E283" i="3"/>
  <c r="F390" i="3"/>
  <c r="E390" i="3"/>
  <c r="F576" i="3"/>
  <c r="E576" i="3"/>
  <c r="F608" i="3"/>
  <c r="E608" i="3"/>
  <c r="F626" i="3"/>
  <c r="E626" i="3"/>
  <c r="E667" i="3"/>
  <c r="P83" i="6"/>
  <c r="O124" i="6"/>
  <c r="F147" i="3"/>
  <c r="E147" i="3"/>
  <c r="F167" i="3"/>
  <c r="E167" i="3"/>
  <c r="F183" i="3"/>
  <c r="E183" i="3"/>
  <c r="F199" i="3"/>
  <c r="E199" i="3"/>
  <c r="F215" i="3"/>
  <c r="E215" i="3"/>
  <c r="E289" i="3"/>
  <c r="F289" i="3"/>
  <c r="E381" i="3"/>
  <c r="F381" i="3"/>
  <c r="F392" i="3"/>
  <c r="E392" i="3"/>
  <c r="F490" i="3"/>
  <c r="E490" i="3"/>
  <c r="F672" i="3"/>
  <c r="E672" i="3"/>
  <c r="F732" i="3"/>
  <c r="E732" i="3"/>
  <c r="M25" i="6"/>
  <c r="S25" i="6" s="1"/>
  <c r="P67" i="6"/>
  <c r="O67" i="6"/>
  <c r="M67" i="6"/>
  <c r="S67" i="6" s="1"/>
  <c r="N67" i="6"/>
  <c r="M87" i="6"/>
  <c r="S87" i="6" s="1"/>
  <c r="P87" i="6"/>
  <c r="N87" i="6"/>
  <c r="P211" i="6"/>
  <c r="O211" i="6"/>
  <c r="N211" i="6"/>
  <c r="M211" i="6"/>
  <c r="S211" i="6" s="1"/>
  <c r="F39" i="3"/>
  <c r="E39" i="3"/>
  <c r="F103" i="3"/>
  <c r="E103" i="3"/>
  <c r="E162" i="3"/>
  <c r="E178" i="3"/>
  <c r="E194" i="3"/>
  <c r="E210" i="3"/>
  <c r="E226" i="3"/>
  <c r="E242" i="3"/>
  <c r="E263" i="3"/>
  <c r="E311" i="3"/>
  <c r="F322" i="3"/>
  <c r="F354" i="3"/>
  <c r="E354" i="3"/>
  <c r="E365" i="3"/>
  <c r="F365" i="3"/>
  <c r="E376" i="3"/>
  <c r="E414" i="3"/>
  <c r="F419" i="3"/>
  <c r="E419" i="3"/>
  <c r="E451" i="3"/>
  <c r="E523" i="3"/>
  <c r="F545" i="3"/>
  <c r="E545" i="3"/>
  <c r="F684" i="3"/>
  <c r="E684" i="3"/>
  <c r="O87" i="6"/>
  <c r="P101" i="6"/>
  <c r="O101" i="6"/>
  <c r="N101" i="6"/>
  <c r="M101" i="6"/>
  <c r="S101" i="6" s="1"/>
  <c r="P140" i="6"/>
  <c r="M140" i="6"/>
  <c r="S140" i="6" s="1"/>
  <c r="N140" i="6"/>
  <c r="O140" i="6"/>
  <c r="P202" i="6"/>
  <c r="N202" i="6"/>
  <c r="M202" i="6"/>
  <c r="S202" i="6" s="1"/>
  <c r="O202" i="6"/>
  <c r="F59" i="3"/>
  <c r="E59" i="3"/>
  <c r="F123" i="3"/>
  <c r="E123" i="3"/>
  <c r="F585" i="3"/>
  <c r="E585" i="3"/>
  <c r="F592" i="3"/>
  <c r="E592" i="3"/>
  <c r="F673" i="3"/>
  <c r="E673" i="3"/>
  <c r="F696" i="3"/>
  <c r="E696" i="3"/>
  <c r="P21" i="6"/>
  <c r="O21" i="6"/>
  <c r="N21" i="6"/>
  <c r="M21" i="6"/>
  <c r="S21" i="6" s="1"/>
  <c r="P55" i="6"/>
  <c r="O55" i="6"/>
  <c r="M55" i="6"/>
  <c r="S55" i="6" s="1"/>
  <c r="N55" i="6"/>
  <c r="M75" i="6"/>
  <c r="S75" i="6" s="1"/>
  <c r="P75" i="6"/>
  <c r="N75" i="6"/>
  <c r="P148" i="6"/>
  <c r="M148" i="6"/>
  <c r="S148" i="6" s="1"/>
  <c r="O148" i="6"/>
  <c r="N148" i="6"/>
  <c r="N241" i="6"/>
  <c r="O241" i="6"/>
  <c r="M241" i="6"/>
  <c r="S241" i="6" s="1"/>
  <c r="P241" i="6"/>
  <c r="N249" i="6"/>
  <c r="O249" i="6"/>
  <c r="P249" i="6"/>
  <c r="M249" i="6"/>
  <c r="S249" i="6" s="1"/>
  <c r="F15" i="3"/>
  <c r="E15" i="3"/>
  <c r="F79" i="3"/>
  <c r="E79" i="3"/>
  <c r="F143" i="3"/>
  <c r="E143" i="3"/>
  <c r="E333" i="3"/>
  <c r="F333" i="3"/>
  <c r="F685" i="3"/>
  <c r="E685" i="3"/>
  <c r="F720" i="3"/>
  <c r="E720" i="3"/>
  <c r="P132" i="6"/>
  <c r="O132" i="6"/>
  <c r="N132" i="6"/>
  <c r="M132" i="6"/>
  <c r="S132" i="6" s="1"/>
  <c r="P197" i="6"/>
  <c r="O197" i="6"/>
  <c r="N197" i="6"/>
  <c r="M197" i="6"/>
  <c r="S197" i="6" s="1"/>
  <c r="O203" i="6"/>
  <c r="N203" i="6"/>
  <c r="M203" i="6"/>
  <c r="S203" i="6" s="1"/>
  <c r="P203" i="6"/>
  <c r="N265" i="6"/>
  <c r="P265" i="6"/>
  <c r="M265" i="6"/>
  <c r="S265" i="6" s="1"/>
  <c r="O265" i="6"/>
  <c r="N333" i="6"/>
  <c r="M333" i="6"/>
  <c r="S333" i="6" s="1"/>
  <c r="P333" i="6"/>
  <c r="O333" i="6"/>
  <c r="F35" i="3"/>
  <c r="E35" i="3"/>
  <c r="F99" i="3"/>
  <c r="E99" i="3"/>
  <c r="F163" i="3"/>
  <c r="E163" i="3"/>
  <c r="F179" i="3"/>
  <c r="E179" i="3"/>
  <c r="F195" i="3"/>
  <c r="E195" i="3"/>
  <c r="F211" i="3"/>
  <c r="E211" i="3"/>
  <c r="F259" i="3"/>
  <c r="E259" i="3"/>
  <c r="E296" i="3"/>
  <c r="E355" i="3"/>
  <c r="F360" i="3"/>
  <c r="E360" i="3"/>
  <c r="E431" i="3"/>
  <c r="F447" i="3"/>
  <c r="E447" i="3"/>
  <c r="F534" i="3"/>
  <c r="E534" i="3"/>
  <c r="F739" i="3"/>
  <c r="E739" i="3"/>
  <c r="O68" i="6"/>
  <c r="P68" i="6"/>
  <c r="N68" i="6"/>
  <c r="L89" i="6"/>
  <c r="O250" i="6"/>
  <c r="P250" i="6"/>
  <c r="N250" i="6"/>
  <c r="M250" i="6"/>
  <c r="S250" i="6" s="1"/>
  <c r="P272" i="6"/>
  <c r="O272" i="6"/>
  <c r="M272" i="6"/>
  <c r="S272" i="6" s="1"/>
  <c r="N272" i="6"/>
  <c r="L353" i="6"/>
  <c r="F55" i="3"/>
  <c r="E55" i="3"/>
  <c r="F119" i="3"/>
  <c r="E119" i="3"/>
  <c r="E345" i="3"/>
  <c r="F345" i="3"/>
  <c r="F599" i="3"/>
  <c r="E599" i="3"/>
  <c r="M179" i="6"/>
  <c r="S179" i="6" s="1"/>
  <c r="N179" i="6"/>
  <c r="P179" i="6"/>
  <c r="O179" i="6"/>
  <c r="O236" i="6"/>
  <c r="N236" i="6"/>
  <c r="M236" i="6"/>
  <c r="S236" i="6" s="1"/>
  <c r="P236" i="6"/>
  <c r="N273" i="6"/>
  <c r="E6" i="3"/>
  <c r="F11" i="3"/>
  <c r="E11" i="3"/>
  <c r="E21" i="3"/>
  <c r="E70" i="3"/>
  <c r="F75" i="3"/>
  <c r="E75" i="3"/>
  <c r="E85" i="3"/>
  <c r="E134" i="3"/>
  <c r="F139" i="3"/>
  <c r="E139" i="3"/>
  <c r="E149" i="3"/>
  <c r="E169" i="3"/>
  <c r="E185" i="3"/>
  <c r="E201" i="3"/>
  <c r="E217" i="3"/>
  <c r="E233" i="3"/>
  <c r="E249" i="3"/>
  <c r="E302" i="3"/>
  <c r="F372" i="3"/>
  <c r="E372" i="3"/>
  <c r="E410" i="3"/>
  <c r="E464" i="3"/>
  <c r="E629" i="3"/>
  <c r="E645" i="3"/>
  <c r="E715" i="3"/>
  <c r="P114" i="6"/>
  <c r="O114" i="6"/>
  <c r="N114" i="6"/>
  <c r="M114" i="6"/>
  <c r="S114" i="6" s="1"/>
  <c r="P137" i="6"/>
  <c r="O137" i="6"/>
  <c r="N137" i="6"/>
  <c r="O307" i="6"/>
  <c r="N307" i="6"/>
  <c r="M307" i="6"/>
  <c r="S307" i="6" s="1"/>
  <c r="P307" i="6"/>
  <c r="F31" i="3"/>
  <c r="E31" i="3"/>
  <c r="F95" i="3"/>
  <c r="E95" i="3"/>
  <c r="F159" i="3"/>
  <c r="E159" i="3"/>
  <c r="F276" i="3"/>
  <c r="E276" i="3"/>
  <c r="E324" i="3"/>
  <c r="E486" i="3"/>
  <c r="P11" i="6"/>
  <c r="M11" i="6"/>
  <c r="S11" i="6" s="1"/>
  <c r="N11" i="6"/>
  <c r="O11" i="6"/>
  <c r="P76" i="6"/>
  <c r="O76" i="6"/>
  <c r="N76" i="6"/>
  <c r="M76" i="6"/>
  <c r="S76" i="6" s="1"/>
  <c r="P129" i="6"/>
  <c r="M129" i="6"/>
  <c r="S129" i="6" s="1"/>
  <c r="N129" i="6"/>
  <c r="M137" i="6"/>
  <c r="S137" i="6" s="1"/>
  <c r="F475" i="3"/>
  <c r="E475" i="3"/>
  <c r="F575" i="3"/>
  <c r="E575" i="3"/>
  <c r="F586" i="3"/>
  <c r="E586" i="3"/>
  <c r="P27" i="6"/>
  <c r="M27" i="6"/>
  <c r="S27" i="6" s="1"/>
  <c r="L40" i="6"/>
  <c r="L117" i="6"/>
  <c r="P120" i="6"/>
  <c r="O120" i="6"/>
  <c r="N120" i="6"/>
  <c r="M120" i="6"/>
  <c r="S120" i="6" s="1"/>
  <c r="L172" i="6"/>
  <c r="L215" i="6"/>
  <c r="P235" i="6"/>
  <c r="O235" i="6"/>
  <c r="M235" i="6"/>
  <c r="S235" i="6" s="1"/>
  <c r="N235" i="6"/>
  <c r="P240" i="6"/>
  <c r="O240" i="6"/>
  <c r="N240" i="6"/>
  <c r="O254" i="6"/>
  <c r="M254" i="6"/>
  <c r="S254" i="6" s="1"/>
  <c r="P254" i="6"/>
  <c r="N254" i="6"/>
  <c r="E279" i="3"/>
  <c r="F292" i="3"/>
  <c r="F301" i="3"/>
  <c r="E377" i="3"/>
  <c r="F377" i="3"/>
  <c r="F609" i="3"/>
  <c r="E609" i="3"/>
  <c r="F683" i="3"/>
  <c r="E683" i="3"/>
  <c r="E786" i="3"/>
  <c r="N27" i="6"/>
  <c r="P33" i="6"/>
  <c r="O33" i="6"/>
  <c r="N80" i="6"/>
  <c r="M80" i="6"/>
  <c r="S80" i="6" s="1"/>
  <c r="P80" i="6"/>
  <c r="L113" i="6"/>
  <c r="N125" i="6"/>
  <c r="M125" i="6"/>
  <c r="S125" i="6" s="1"/>
  <c r="P125" i="6"/>
  <c r="O125" i="6"/>
  <c r="L193" i="6"/>
  <c r="O196" i="6"/>
  <c r="M196" i="6"/>
  <c r="S196" i="6" s="1"/>
  <c r="P196" i="6"/>
  <c r="N196" i="6"/>
  <c r="M240" i="6"/>
  <c r="S240" i="6" s="1"/>
  <c r="O290" i="6"/>
  <c r="P290" i="6"/>
  <c r="M290" i="6"/>
  <c r="S290" i="6" s="1"/>
  <c r="P300" i="6"/>
  <c r="O300" i="6"/>
  <c r="N300" i="6"/>
  <c r="M300" i="6"/>
  <c r="S300" i="6" s="1"/>
  <c r="N306" i="6"/>
  <c r="P306" i="6"/>
  <c r="M306" i="6"/>
  <c r="S306" i="6" s="1"/>
  <c r="F492" i="3"/>
  <c r="E492" i="3"/>
  <c r="F600" i="3"/>
  <c r="E600" i="3"/>
  <c r="L28" i="6"/>
  <c r="M111" i="6"/>
  <c r="S111" i="6" s="1"/>
  <c r="P111" i="6"/>
  <c r="O111" i="6"/>
  <c r="N111" i="6"/>
  <c r="P251" i="6"/>
  <c r="O251" i="6"/>
  <c r="N251" i="6"/>
  <c r="M251" i="6"/>
  <c r="S251" i="6" s="1"/>
  <c r="E219" i="3"/>
  <c r="E223" i="3"/>
  <c r="E227" i="3"/>
  <c r="E231" i="3"/>
  <c r="E235" i="3"/>
  <c r="E239" i="3"/>
  <c r="E243" i="3"/>
  <c r="E247" i="3"/>
  <c r="E251" i="3"/>
  <c r="E255" i="3"/>
  <c r="E272" i="3"/>
  <c r="F285" i="3"/>
  <c r="E294" i="3"/>
  <c r="E307" i="3"/>
  <c r="E320" i="3"/>
  <c r="F329" i="3"/>
  <c r="E347" i="3"/>
  <c r="E383" i="3"/>
  <c r="F401" i="3"/>
  <c r="E415" i="3"/>
  <c r="F424" i="3"/>
  <c r="E424" i="3"/>
  <c r="E438" i="3"/>
  <c r="E472" i="3"/>
  <c r="E511" i="3"/>
  <c r="E551" i="3"/>
  <c r="F572" i="3"/>
  <c r="E572" i="3"/>
  <c r="E578" i="3"/>
  <c r="E621" i="3"/>
  <c r="E654" i="3"/>
  <c r="E664" i="3"/>
  <c r="E794" i="3"/>
  <c r="E799" i="3"/>
  <c r="E804" i="3"/>
  <c r="P5" i="6"/>
  <c r="O5" i="6"/>
  <c r="N5" i="6"/>
  <c r="M5" i="6"/>
  <c r="S5" i="6" s="1"/>
  <c r="P41" i="6"/>
  <c r="O41" i="6"/>
  <c r="N41" i="6"/>
  <c r="M41" i="6"/>
  <c r="S41" i="6" s="1"/>
  <c r="N122" i="6"/>
  <c r="M122" i="6"/>
  <c r="S122" i="6" s="1"/>
  <c r="P122" i="6"/>
  <c r="E268" i="3"/>
  <c r="F281" i="3"/>
  <c r="E303" i="3"/>
  <c r="E316" i="3"/>
  <c r="E338" i="3"/>
  <c r="F361" i="3"/>
  <c r="E370" i="3"/>
  <c r="E379" i="3"/>
  <c r="F397" i="3"/>
  <c r="E406" i="3"/>
  <c r="F429" i="3"/>
  <c r="E443" i="3"/>
  <c r="E452" i="3"/>
  <c r="F457" i="3"/>
  <c r="E482" i="3"/>
  <c r="F487" i="3"/>
  <c r="E487" i="3"/>
  <c r="E502" i="3"/>
  <c r="E583" i="3"/>
  <c r="E606" i="3"/>
  <c r="E611" i="3"/>
  <c r="F686" i="3"/>
  <c r="E686" i="3"/>
  <c r="E756" i="3"/>
  <c r="E761" i="3"/>
  <c r="F767" i="3"/>
  <c r="E767" i="3"/>
  <c r="L6" i="6"/>
  <c r="P42" i="6"/>
  <c r="O42" i="6"/>
  <c r="N42" i="6"/>
  <c r="M42" i="6"/>
  <c r="S42" i="6" s="1"/>
  <c r="N88" i="6"/>
  <c r="M108" i="6"/>
  <c r="S108" i="6" s="1"/>
  <c r="O122" i="6"/>
  <c r="F325" i="3"/>
  <c r="F343" i="3"/>
  <c r="E343" i="3"/>
  <c r="E411" i="3"/>
  <c r="E589" i="3"/>
  <c r="F622" i="3"/>
  <c r="E622" i="3"/>
  <c r="E649" i="3"/>
  <c r="L10" i="6"/>
  <c r="O88" i="6"/>
  <c r="N108" i="6"/>
  <c r="L226" i="6"/>
  <c r="F458" i="3"/>
  <c r="E458" i="3"/>
  <c r="F552" i="3"/>
  <c r="E552" i="3"/>
  <c r="F655" i="3"/>
  <c r="E655" i="3"/>
  <c r="P51" i="6"/>
  <c r="O51" i="6"/>
  <c r="M51" i="6"/>
  <c r="S51" i="6" s="1"/>
  <c r="N51" i="6"/>
  <c r="L62" i="6"/>
  <c r="P88" i="6"/>
  <c r="M91" i="6"/>
  <c r="S91" i="6" s="1"/>
  <c r="P91" i="6"/>
  <c r="O91" i="6"/>
  <c r="N91" i="6"/>
  <c r="P98" i="6"/>
  <c r="N98" i="6"/>
  <c r="O98" i="6"/>
  <c r="M98" i="6"/>
  <c r="S98" i="6" s="1"/>
  <c r="O108" i="6"/>
  <c r="P128" i="6"/>
  <c r="N128" i="6"/>
  <c r="M128" i="6"/>
  <c r="S128" i="6" s="1"/>
  <c r="P134" i="6"/>
  <c r="N134" i="6"/>
  <c r="P208" i="6"/>
  <c r="P271" i="6"/>
  <c r="N271" i="6"/>
  <c r="O271" i="6"/>
  <c r="M271" i="6"/>
  <c r="S271" i="6" s="1"/>
  <c r="R320" i="6"/>
  <c r="Q320" i="6"/>
  <c r="R330" i="6"/>
  <c r="F273" i="3"/>
  <c r="F321" i="3"/>
  <c r="F357" i="3"/>
  <c r="F407" i="3"/>
  <c r="E407" i="3"/>
  <c r="E453" i="3"/>
  <c r="F453" i="3"/>
  <c r="E579" i="3"/>
  <c r="F590" i="3"/>
  <c r="E590" i="3"/>
  <c r="F698" i="3"/>
  <c r="E698" i="3"/>
  <c r="F730" i="3"/>
  <c r="E730" i="3"/>
  <c r="E762" i="3"/>
  <c r="F784" i="3"/>
  <c r="E784" i="3"/>
  <c r="E795" i="3"/>
  <c r="L14" i="6"/>
  <c r="P82" i="6"/>
  <c r="O82" i="6"/>
  <c r="M82" i="6"/>
  <c r="S82" i="6" s="1"/>
  <c r="N82" i="6"/>
  <c r="L99" i="6"/>
  <c r="R108" i="6"/>
  <c r="M134" i="6"/>
  <c r="S134" i="6" s="1"/>
  <c r="L157" i="6"/>
  <c r="M170" i="6"/>
  <c r="S170" i="6" s="1"/>
  <c r="M174" i="6"/>
  <c r="S174" i="6" s="1"/>
  <c r="P230" i="6"/>
  <c r="O230" i="6"/>
  <c r="N230" i="6"/>
  <c r="M230" i="6"/>
  <c r="S230" i="6" s="1"/>
  <c r="M309" i="6"/>
  <c r="S309" i="6" s="1"/>
  <c r="F522" i="3"/>
  <c r="E522" i="3"/>
  <c r="F617" i="3"/>
  <c r="E617" i="3"/>
  <c r="F628" i="3"/>
  <c r="E628" i="3"/>
  <c r="F639" i="3"/>
  <c r="E639" i="3"/>
  <c r="F656" i="3"/>
  <c r="E656" i="3"/>
  <c r="L26" i="6"/>
  <c r="P69" i="6"/>
  <c r="O69" i="6"/>
  <c r="N69" i="6"/>
  <c r="M69" i="6"/>
  <c r="S69" i="6" s="1"/>
  <c r="P85" i="6"/>
  <c r="O85" i="6"/>
  <c r="N85" i="6"/>
  <c r="M85" i="6"/>
  <c r="S85" i="6" s="1"/>
  <c r="P142" i="6"/>
  <c r="N142" i="6"/>
  <c r="O142" i="6"/>
  <c r="M142" i="6"/>
  <c r="S142" i="6" s="1"/>
  <c r="P161" i="6"/>
  <c r="O161" i="6"/>
  <c r="N161" i="6"/>
  <c r="M161" i="6"/>
  <c r="S161" i="6" s="1"/>
  <c r="M183" i="6"/>
  <c r="S183" i="6" s="1"/>
  <c r="O183" i="6"/>
  <c r="P183" i="6"/>
  <c r="N183" i="6"/>
  <c r="L218" i="6"/>
  <c r="L222" i="6"/>
  <c r="N304" i="6"/>
  <c r="P304" i="6"/>
  <c r="O304" i="6"/>
  <c r="M304" i="6"/>
  <c r="S304" i="6" s="1"/>
  <c r="M321" i="6"/>
  <c r="S321" i="6" s="1"/>
  <c r="P321" i="6"/>
  <c r="P344" i="6"/>
  <c r="O344" i="6"/>
  <c r="M344" i="6"/>
  <c r="S344" i="6" s="1"/>
  <c r="N66" i="6"/>
  <c r="M66" i="6"/>
  <c r="S66" i="6" s="1"/>
  <c r="M71" i="6"/>
  <c r="S71" i="6" s="1"/>
  <c r="P71" i="6"/>
  <c r="N71" i="6"/>
  <c r="O71" i="6"/>
  <c r="O163" i="6"/>
  <c r="N163" i="6"/>
  <c r="M163" i="6"/>
  <c r="S163" i="6" s="1"/>
  <c r="P336" i="6"/>
  <c r="O336" i="6"/>
  <c r="N336" i="6"/>
  <c r="M336" i="6"/>
  <c r="S336" i="6" s="1"/>
  <c r="O349" i="6"/>
  <c r="M349" i="6"/>
  <c r="S349" i="6" s="1"/>
  <c r="R362" i="6"/>
  <c r="Q362" i="6"/>
  <c r="E646" i="3"/>
  <c r="E660" i="3"/>
  <c r="E688" i="3"/>
  <c r="E697" i="3"/>
  <c r="E702" i="3"/>
  <c r="E758" i="3"/>
  <c r="E791" i="3"/>
  <c r="E800" i="3"/>
  <c r="E809" i="3"/>
  <c r="P15" i="6"/>
  <c r="M15" i="6"/>
  <c r="S15" i="6" s="1"/>
  <c r="N15" i="6"/>
  <c r="P63" i="6"/>
  <c r="O63" i="6"/>
  <c r="M63" i="6"/>
  <c r="S63" i="6" s="1"/>
  <c r="N63" i="6"/>
  <c r="L77" i="6"/>
  <c r="L147" i="6"/>
  <c r="P231" i="6"/>
  <c r="O231" i="6"/>
  <c r="N231" i="6"/>
  <c r="M231" i="6"/>
  <c r="S231" i="6" s="1"/>
  <c r="O246" i="6"/>
  <c r="P246" i="6"/>
  <c r="N246" i="6"/>
  <c r="M246" i="6"/>
  <c r="S246" i="6" s="1"/>
  <c r="M283" i="6"/>
  <c r="S283" i="6" s="1"/>
  <c r="Q288" i="6"/>
  <c r="O302" i="6"/>
  <c r="N302" i="6"/>
  <c r="M302" i="6"/>
  <c r="S302" i="6" s="1"/>
  <c r="N312" i="6"/>
  <c r="P312" i="6"/>
  <c r="O312" i="6"/>
  <c r="N349" i="6"/>
  <c r="P368" i="6"/>
  <c r="O368" i="6"/>
  <c r="N368" i="6"/>
  <c r="M368" i="6"/>
  <c r="S368" i="6" s="1"/>
  <c r="E557" i="3"/>
  <c r="E562" i="3"/>
  <c r="E613" i="3"/>
  <c r="E707" i="3"/>
  <c r="E777" i="3"/>
  <c r="L36" i="6"/>
  <c r="L56" i="6"/>
  <c r="P104" i="6"/>
  <c r="N104" i="6"/>
  <c r="M104" i="6"/>
  <c r="S104" i="6" s="1"/>
  <c r="O104" i="6"/>
  <c r="L205" i="6"/>
  <c r="N212" i="6"/>
  <c r="M212" i="6"/>
  <c r="S212" i="6" s="1"/>
  <c r="O278" i="6"/>
  <c r="P278" i="6"/>
  <c r="N278" i="6"/>
  <c r="M278" i="6"/>
  <c r="S278" i="6" s="1"/>
  <c r="P289" i="6"/>
  <c r="O289" i="6"/>
  <c r="M289" i="6"/>
  <c r="S289" i="6" s="1"/>
  <c r="N289" i="6"/>
  <c r="P297" i="6"/>
  <c r="O297" i="6"/>
  <c r="N297" i="6"/>
  <c r="M297" i="6"/>
  <c r="S297" i="6" s="1"/>
  <c r="M312" i="6"/>
  <c r="S312" i="6" s="1"/>
  <c r="P337" i="6"/>
  <c r="O337" i="6"/>
  <c r="N337" i="6"/>
  <c r="M337" i="6"/>
  <c r="S337" i="6" s="1"/>
  <c r="P349" i="6"/>
  <c r="P354" i="6"/>
  <c r="O354" i="6"/>
  <c r="N354" i="6"/>
  <c r="P390" i="6"/>
  <c r="O390" i="6"/>
  <c r="N390" i="6"/>
  <c r="M390" i="6"/>
  <c r="S390" i="6" s="1"/>
  <c r="P39" i="6"/>
  <c r="M39" i="6"/>
  <c r="O39" i="6"/>
  <c r="N39" i="6"/>
  <c r="L44" i="6"/>
  <c r="N74" i="6"/>
  <c r="M74" i="6"/>
  <c r="S74" i="6" s="1"/>
  <c r="P130" i="6"/>
  <c r="O130" i="6"/>
  <c r="N130" i="6"/>
  <c r="L155" i="6"/>
  <c r="P158" i="6"/>
  <c r="O158" i="6"/>
  <c r="N158" i="6"/>
  <c r="Q163" i="6"/>
  <c r="R163" i="6"/>
  <c r="O212" i="6"/>
  <c r="O279" i="6"/>
  <c r="N279" i="6"/>
  <c r="M279" i="6"/>
  <c r="S279" i="6" s="1"/>
  <c r="P279" i="6"/>
  <c r="O319" i="6"/>
  <c r="M319" i="6"/>
  <c r="S319" i="6" s="1"/>
  <c r="P319" i="6"/>
  <c r="R329" i="6"/>
  <c r="Q329" i="6"/>
  <c r="M354" i="6"/>
  <c r="S354" i="6" s="1"/>
  <c r="P369" i="6"/>
  <c r="N369" i="6"/>
  <c r="O369" i="6"/>
  <c r="M369" i="6"/>
  <c r="S369" i="6" s="1"/>
  <c r="F558" i="3"/>
  <c r="E558" i="3"/>
  <c r="F703" i="3"/>
  <c r="E703" i="3"/>
  <c r="E722" i="3"/>
  <c r="E731" i="3"/>
  <c r="E740" i="3"/>
  <c r="E773" i="3"/>
  <c r="F801" i="3"/>
  <c r="E801" i="3"/>
  <c r="O15" i="6"/>
  <c r="P34" i="6"/>
  <c r="O34" i="6"/>
  <c r="N34" i="6"/>
  <c r="M34" i="6"/>
  <c r="S34" i="6" s="1"/>
  <c r="P66" i="6"/>
  <c r="O74" i="6"/>
  <c r="M130" i="6"/>
  <c r="S130" i="6" s="1"/>
  <c r="M153" i="6"/>
  <c r="S153" i="6" s="1"/>
  <c r="M158" i="6"/>
  <c r="S158" i="6" s="1"/>
  <c r="L180" i="6"/>
  <c r="P198" i="6"/>
  <c r="N198" i="6"/>
  <c r="P212" i="6"/>
  <c r="O247" i="6"/>
  <c r="N247" i="6"/>
  <c r="M247" i="6"/>
  <c r="S247" i="6" s="1"/>
  <c r="P313" i="6"/>
  <c r="N313" i="6"/>
  <c r="M313" i="6"/>
  <c r="S313" i="6" s="1"/>
  <c r="O350" i="6"/>
  <c r="N350" i="6"/>
  <c r="F441" i="3"/>
  <c r="E454" i="3"/>
  <c r="E471" i="3"/>
  <c r="E488" i="3"/>
  <c r="E518" i="3"/>
  <c r="E535" i="3"/>
  <c r="E544" i="3"/>
  <c r="E553" i="3"/>
  <c r="E577" i="3"/>
  <c r="E591" i="3"/>
  <c r="E619" i="3"/>
  <c r="E647" i="3"/>
  <c r="E666" i="3"/>
  <c r="E675" i="3"/>
  <c r="E689" i="3"/>
  <c r="F750" i="3"/>
  <c r="E750" i="3"/>
  <c r="E764" i="3"/>
  <c r="E778" i="3"/>
  <c r="E792" i="3"/>
  <c r="M8" i="6"/>
  <c r="S8" i="6" s="1"/>
  <c r="N13" i="6"/>
  <c r="M13" i="6"/>
  <c r="S13" i="6" s="1"/>
  <c r="L18" i="6"/>
  <c r="M22" i="6"/>
  <c r="S22" i="6" s="1"/>
  <c r="P22" i="6"/>
  <c r="P74" i="6"/>
  <c r="L93" i="6"/>
  <c r="L107" i="6"/>
  <c r="N153" i="6"/>
  <c r="M198" i="6"/>
  <c r="S198" i="6" s="1"/>
  <c r="O224" i="6"/>
  <c r="P224" i="6"/>
  <c r="P247" i="6"/>
  <c r="M350" i="6"/>
  <c r="S350" i="6" s="1"/>
  <c r="P370" i="6"/>
  <c r="N370" i="6"/>
  <c r="M370" i="6"/>
  <c r="S370" i="6" s="1"/>
  <c r="O370" i="6"/>
  <c r="F373" i="3"/>
  <c r="F437" i="3"/>
  <c r="E596" i="3"/>
  <c r="E633" i="3"/>
  <c r="E745" i="3"/>
  <c r="E769" i="3"/>
  <c r="N8" i="6"/>
  <c r="O13" i="6"/>
  <c r="L32" i="6"/>
  <c r="L70" i="6"/>
  <c r="L96" i="6"/>
  <c r="N118" i="6"/>
  <c r="M118" i="6"/>
  <c r="S118" i="6" s="1"/>
  <c r="P145" i="6"/>
  <c r="O145" i="6"/>
  <c r="N145" i="6"/>
  <c r="M145" i="6"/>
  <c r="S145" i="6" s="1"/>
  <c r="O198" i="6"/>
  <c r="M224" i="6"/>
  <c r="S224" i="6" s="1"/>
  <c r="O228" i="6"/>
  <c r="N228" i="6"/>
  <c r="M228" i="6"/>
  <c r="S228" i="6" s="1"/>
  <c r="P228" i="6"/>
  <c r="N298" i="6"/>
  <c r="P298" i="6"/>
  <c r="O298" i="6"/>
  <c r="M298" i="6"/>
  <c r="S298" i="6" s="1"/>
  <c r="P350" i="6"/>
  <c r="L152" i="6"/>
  <c r="P156" i="6"/>
  <c r="M156" i="6"/>
  <c r="S156" i="6" s="1"/>
  <c r="O156" i="6"/>
  <c r="N156" i="6"/>
  <c r="M255" i="6"/>
  <c r="S255" i="6" s="1"/>
  <c r="O255" i="6"/>
  <c r="O286" i="6"/>
  <c r="N286" i="6"/>
  <c r="M286" i="6"/>
  <c r="S286" i="6" s="1"/>
  <c r="P286" i="6"/>
  <c r="O347" i="6"/>
  <c r="P78" i="6"/>
  <c r="O78" i="6"/>
  <c r="N78" i="6"/>
  <c r="M78" i="6"/>
  <c r="S78" i="6" s="1"/>
  <c r="L92" i="6"/>
  <c r="L97" i="6"/>
  <c r="L210" i="6"/>
  <c r="M213" i="6"/>
  <c r="S213" i="6" s="1"/>
  <c r="P213" i="6"/>
  <c r="O213" i="6"/>
  <c r="O227" i="6"/>
  <c r="N227" i="6"/>
  <c r="M227" i="6"/>
  <c r="S227" i="6" s="1"/>
  <c r="P255" i="6"/>
  <c r="N277" i="6"/>
  <c r="P277" i="6"/>
  <c r="O327" i="6"/>
  <c r="N327" i="6"/>
  <c r="M327" i="6"/>
  <c r="S327" i="6" s="1"/>
  <c r="P327" i="6"/>
  <c r="L365" i="6"/>
  <c r="E541" i="3"/>
  <c r="E554" i="3"/>
  <c r="E571" i="3"/>
  <c r="E588" i="3"/>
  <c r="E605" i="3"/>
  <c r="E618" i="3"/>
  <c r="E635" i="3"/>
  <c r="E652" i="3"/>
  <c r="E669" i="3"/>
  <c r="E682" i="3"/>
  <c r="E699" i="3"/>
  <c r="E716" i="3"/>
  <c r="E733" i="3"/>
  <c r="E746" i="3"/>
  <c r="E763" i="3"/>
  <c r="E780" i="3"/>
  <c r="E797" i="3"/>
  <c r="E810" i="3"/>
  <c r="L109" i="6"/>
  <c r="M123" i="6"/>
  <c r="S123" i="6" s="1"/>
  <c r="O123" i="6"/>
  <c r="N123" i="6"/>
  <c r="L173" i="6"/>
  <c r="Q175" i="6"/>
  <c r="L182" i="6"/>
  <c r="P227" i="6"/>
  <c r="M277" i="6"/>
  <c r="S277" i="6" s="1"/>
  <c r="E537" i="3"/>
  <c r="E601" i="3"/>
  <c r="E665" i="3"/>
  <c r="E729" i="3"/>
  <c r="E793" i="3"/>
  <c r="N61" i="6"/>
  <c r="N133" i="6"/>
  <c r="L192" i="6"/>
  <c r="N261" i="6"/>
  <c r="P261" i="6"/>
  <c r="O261" i="6"/>
  <c r="M261" i="6"/>
  <c r="S261" i="6" s="1"/>
  <c r="O277" i="6"/>
  <c r="P19" i="6"/>
  <c r="M19" i="6"/>
  <c r="S19" i="6" s="1"/>
  <c r="L59" i="6"/>
  <c r="L81" i="6"/>
  <c r="M95" i="6"/>
  <c r="S95" i="6" s="1"/>
  <c r="O95" i="6"/>
  <c r="N95" i="6"/>
  <c r="L102" i="6"/>
  <c r="R123" i="6"/>
  <c r="Q123" i="6"/>
  <c r="L136" i="6"/>
  <c r="P138" i="6"/>
  <c r="O138" i="6"/>
  <c r="N138" i="6"/>
  <c r="M138" i="6"/>
  <c r="S138" i="6" s="1"/>
  <c r="P150" i="6"/>
  <c r="O150" i="6"/>
  <c r="M150" i="6"/>
  <c r="S150" i="6" s="1"/>
  <c r="L160" i="6"/>
  <c r="O164" i="6"/>
  <c r="N164" i="6"/>
  <c r="P164" i="6"/>
  <c r="M164" i="6"/>
  <c r="S164" i="6" s="1"/>
  <c r="L176" i="6"/>
  <c r="L189" i="6"/>
  <c r="N213" i="6"/>
  <c r="L221" i="6"/>
  <c r="N245" i="6"/>
  <c r="N314" i="6"/>
  <c r="O314" i="6"/>
  <c r="M314" i="6"/>
  <c r="S314" i="6" s="1"/>
  <c r="P314" i="6"/>
  <c r="M119" i="6"/>
  <c r="S119" i="6" s="1"/>
  <c r="P119" i="6"/>
  <c r="O119" i="6"/>
  <c r="N119" i="6"/>
  <c r="L127" i="6"/>
  <c r="M178" i="6"/>
  <c r="S178" i="6" s="1"/>
  <c r="P178" i="6"/>
  <c r="N178" i="6"/>
  <c r="L191" i="6"/>
  <c r="R342" i="6"/>
  <c r="L376" i="6"/>
  <c r="M237" i="6"/>
  <c r="S237" i="6" s="1"/>
  <c r="P237" i="6"/>
  <c r="O237" i="6"/>
  <c r="P268" i="6"/>
  <c r="N268" i="6"/>
  <c r="O268" i="6"/>
  <c r="M268" i="6"/>
  <c r="S268" i="6" s="1"/>
  <c r="O299" i="6"/>
  <c r="N299" i="6"/>
  <c r="M299" i="6"/>
  <c r="S299" i="6" s="1"/>
  <c r="P299" i="6"/>
  <c r="N310" i="6"/>
  <c r="M310" i="6"/>
  <c r="S310" i="6" s="1"/>
  <c r="P310" i="6"/>
  <c r="O310" i="6"/>
  <c r="P380" i="6"/>
  <c r="N380" i="6"/>
  <c r="M380" i="6"/>
  <c r="S380" i="6" s="1"/>
  <c r="O380" i="6"/>
  <c r="L30" i="6"/>
  <c r="O178" i="6"/>
  <c r="P217" i="6"/>
  <c r="O217" i="6"/>
  <c r="P256" i="6"/>
  <c r="O256" i="6"/>
  <c r="M256" i="6"/>
  <c r="S256" i="6" s="1"/>
  <c r="N256" i="6"/>
  <c r="L139" i="6"/>
  <c r="L141" i="6"/>
  <c r="O184" i="6"/>
  <c r="P184" i="6"/>
  <c r="N184" i="6"/>
  <c r="P220" i="6"/>
  <c r="O220" i="6"/>
  <c r="N220" i="6"/>
  <c r="M220" i="6"/>
  <c r="S220" i="6" s="1"/>
  <c r="L229" i="6"/>
  <c r="N237" i="6"/>
  <c r="L38" i="6"/>
  <c r="L58" i="6"/>
  <c r="N106" i="6"/>
  <c r="M106" i="6"/>
  <c r="S106" i="6" s="1"/>
  <c r="L149" i="6"/>
  <c r="L167" i="6"/>
  <c r="N194" i="6"/>
  <c r="L207" i="6"/>
  <c r="N232" i="6"/>
  <c r="L269" i="6"/>
  <c r="L324" i="6"/>
  <c r="O329" i="6"/>
  <c r="N329" i="6"/>
  <c r="M329" i="6"/>
  <c r="S329" i="6" s="1"/>
  <c r="L169" i="6"/>
  <c r="L188" i="6"/>
  <c r="L260" i="6"/>
  <c r="L267" i="6"/>
  <c r="O270" i="6"/>
  <c r="M270" i="6"/>
  <c r="S270" i="6" s="1"/>
  <c r="P270" i="6"/>
  <c r="L311" i="6"/>
  <c r="L341" i="6"/>
  <c r="P366" i="6"/>
  <c r="O366" i="6"/>
  <c r="N366" i="6"/>
  <c r="M366" i="6"/>
  <c r="S366" i="6" s="1"/>
  <c r="N270" i="6"/>
  <c r="L280" i="6"/>
  <c r="N338" i="6"/>
  <c r="M338" i="6"/>
  <c r="S338" i="6" s="1"/>
  <c r="L115" i="6"/>
  <c r="L131" i="6"/>
  <c r="L143" i="6"/>
  <c r="L151" i="6"/>
  <c r="L159" i="6"/>
  <c r="L223" i="6"/>
  <c r="O274" i="6"/>
  <c r="N274" i="6"/>
  <c r="P274" i="6"/>
  <c r="M274" i="6"/>
  <c r="S274" i="6" s="1"/>
  <c r="L295" i="6"/>
  <c r="O331" i="6"/>
  <c r="N331" i="6"/>
  <c r="M331" i="6"/>
  <c r="S331" i="6" s="1"/>
  <c r="P331" i="6"/>
  <c r="L345" i="6"/>
  <c r="P348" i="6"/>
  <c r="N348" i="6"/>
  <c r="M348" i="6"/>
  <c r="S348" i="6" s="1"/>
  <c r="O348" i="6"/>
  <c r="L363" i="6"/>
  <c r="M146" i="6"/>
  <c r="S146" i="6" s="1"/>
  <c r="M154" i="6"/>
  <c r="S154" i="6" s="1"/>
  <c r="M162" i="6"/>
  <c r="S162" i="6" s="1"/>
  <c r="M175" i="6"/>
  <c r="S175" i="6" s="1"/>
  <c r="N175" i="6"/>
  <c r="N190" i="6"/>
  <c r="L239" i="6"/>
  <c r="O252" i="6"/>
  <c r="N252" i="6"/>
  <c r="M252" i="6"/>
  <c r="S252" i="6" s="1"/>
  <c r="O287" i="6"/>
  <c r="N287" i="6"/>
  <c r="M287" i="6"/>
  <c r="S287" i="6" s="1"/>
  <c r="P287" i="6"/>
  <c r="L316" i="6"/>
  <c r="P352" i="6"/>
  <c r="M352" i="6"/>
  <c r="S352" i="6" s="1"/>
  <c r="L206" i="6"/>
  <c r="P252" i="6"/>
  <c r="M258" i="6"/>
  <c r="S258" i="6" s="1"/>
  <c r="P258" i="6"/>
  <c r="N352" i="6"/>
  <c r="L219" i="6"/>
  <c r="L266" i="6"/>
  <c r="L276" i="6"/>
  <c r="L361" i="6"/>
  <c r="L371" i="6"/>
  <c r="O387" i="6"/>
  <c r="N387" i="6"/>
  <c r="M387" i="6"/>
  <c r="S387" i="6" s="1"/>
  <c r="P387" i="6"/>
  <c r="L391" i="6"/>
  <c r="N285" i="6"/>
  <c r="M285" i="6"/>
  <c r="S285" i="6" s="1"/>
  <c r="M288" i="6"/>
  <c r="S288" i="6" s="1"/>
  <c r="O291" i="6"/>
  <c r="N291" i="6"/>
  <c r="P291" i="6"/>
  <c r="M291" i="6"/>
  <c r="S291" i="6" s="1"/>
  <c r="P305" i="6"/>
  <c r="O305" i="6"/>
  <c r="M334" i="6"/>
  <c r="S334" i="6" s="1"/>
  <c r="P334" i="6"/>
  <c r="O334" i="6"/>
  <c r="N334" i="6"/>
  <c r="R364" i="6"/>
  <c r="Q364" i="6"/>
  <c r="L199" i="6"/>
  <c r="P243" i="6"/>
  <c r="L259" i="6"/>
  <c r="N288" i="6"/>
  <c r="M305" i="6"/>
  <c r="S305" i="6" s="1"/>
  <c r="N320" i="6"/>
  <c r="M320" i="6"/>
  <c r="S320" i="6" s="1"/>
  <c r="P340" i="6"/>
  <c r="M340" i="6"/>
  <c r="S340" i="6" s="1"/>
  <c r="O343" i="6"/>
  <c r="N343" i="6"/>
  <c r="M343" i="6"/>
  <c r="S343" i="6" s="1"/>
  <c r="P343" i="6"/>
  <c r="M364" i="6"/>
  <c r="S364" i="6" s="1"/>
  <c r="L234" i="6"/>
  <c r="O285" i="6"/>
  <c r="O288" i="6"/>
  <c r="N305" i="6"/>
  <c r="R308" i="6"/>
  <c r="Q308" i="6"/>
  <c r="L326" i="6"/>
  <c r="N340" i="6"/>
  <c r="N364" i="6"/>
  <c r="M381" i="6"/>
  <c r="S381" i="6" s="1"/>
  <c r="L201" i="6"/>
  <c r="L225" i="6"/>
  <c r="P282" i="6"/>
  <c r="N282" i="6"/>
  <c r="M282" i="6"/>
  <c r="S282" i="6" s="1"/>
  <c r="P285" i="6"/>
  <c r="P294" i="6"/>
  <c r="N294" i="6"/>
  <c r="M294" i="6"/>
  <c r="S294" i="6" s="1"/>
  <c r="L355" i="6"/>
  <c r="O364" i="6"/>
  <c r="P378" i="6"/>
  <c r="N378" i="6"/>
  <c r="O381" i="6"/>
  <c r="L303" i="6"/>
  <c r="L292" i="6"/>
  <c r="O308" i="6"/>
  <c r="N308" i="6"/>
  <c r="M308" i="6"/>
  <c r="S308" i="6" s="1"/>
  <c r="N322" i="6"/>
  <c r="O322" i="6"/>
  <c r="L339" i="6"/>
  <c r="L233" i="6"/>
  <c r="L238" i="6"/>
  <c r="L262" i="6"/>
  <c r="L315" i="6"/>
  <c r="M322" i="6"/>
  <c r="S322" i="6" s="1"/>
  <c r="L351" i="6"/>
  <c r="L209" i="6"/>
  <c r="L301" i="6"/>
  <c r="P322" i="6"/>
  <c r="M332" i="6"/>
  <c r="S332" i="6" s="1"/>
  <c r="L375" i="6"/>
  <c r="L389" i="6"/>
  <c r="L328" i="6"/>
  <c r="N332" i="6"/>
  <c r="L359" i="6"/>
  <c r="L317" i="6"/>
  <c r="L372" i="6"/>
  <c r="L392" i="6"/>
  <c r="M374" i="6"/>
  <c r="S374" i="6" s="1"/>
  <c r="M330" i="6"/>
  <c r="S330" i="6" s="1"/>
  <c r="N374" i="6"/>
  <c r="L377" i="6"/>
  <c r="L325" i="6"/>
  <c r="L360" i="6"/>
  <c r="O374" i="6"/>
  <c r="L383" i="6"/>
  <c r="L335" i="6"/>
  <c r="L367" i="6"/>
  <c r="L379" i="6"/>
  <c r="N385" i="6" l="1"/>
  <c r="O31" i="6"/>
  <c r="P16" i="6"/>
  <c r="M43" i="6"/>
  <c r="S43" i="6" s="1"/>
  <c r="M204" i="6"/>
  <c r="S204" i="6" s="1"/>
  <c r="P204" i="6"/>
  <c r="O204" i="6"/>
  <c r="N204" i="6"/>
  <c r="Q72" i="6"/>
  <c r="R72" i="6"/>
  <c r="N346" i="6"/>
  <c r="M385" i="6"/>
  <c r="S385" i="6" s="1"/>
  <c r="M31" i="6"/>
  <c r="S31" i="6" s="1"/>
  <c r="N177" i="6"/>
  <c r="O16" i="6"/>
  <c r="O43" i="6"/>
  <c r="N31" i="6"/>
  <c r="N43" i="6"/>
  <c r="R338" i="6"/>
  <c r="M386" i="6"/>
  <c r="S386" i="6" s="1"/>
  <c r="P385" i="6"/>
  <c r="P112" i="6"/>
  <c r="N112" i="6"/>
  <c r="M112" i="6"/>
  <c r="S112" i="6" s="1"/>
  <c r="O112" i="6"/>
  <c r="R153" i="6"/>
  <c r="N293" i="6"/>
  <c r="M318" i="6"/>
  <c r="S318" i="6" s="1"/>
  <c r="O309" i="6"/>
  <c r="N309" i="6"/>
  <c r="N323" i="6"/>
  <c r="P293" i="6"/>
  <c r="R293" i="6" s="1"/>
  <c r="M264" i="6"/>
  <c r="S264" i="6" s="1"/>
  <c r="P296" i="6"/>
  <c r="O323" i="6"/>
  <c r="N384" i="6"/>
  <c r="O293" i="6"/>
  <c r="O318" i="6"/>
  <c r="P242" i="6"/>
  <c r="M166" i="6"/>
  <c r="S166" i="6" s="1"/>
  <c r="M50" i="6"/>
  <c r="S50" i="6" s="1"/>
  <c r="M20" i="6"/>
  <c r="S20" i="6" s="1"/>
  <c r="N25" i="1"/>
  <c r="O25" i="1" s="1"/>
  <c r="M200" i="6"/>
  <c r="S200" i="6" s="1"/>
  <c r="M4" i="6"/>
  <c r="S4" i="6" s="1"/>
  <c r="O8" i="6"/>
  <c r="P8" i="6"/>
  <c r="M187" i="6"/>
  <c r="S187" i="6" s="1"/>
  <c r="P187" i="6"/>
  <c r="O187" i="6"/>
  <c r="N187" i="6"/>
  <c r="R146" i="6"/>
  <c r="Q146" i="6"/>
  <c r="O283" i="6"/>
  <c r="N23" i="1"/>
  <c r="O23" i="1" s="1"/>
  <c r="M296" i="6"/>
  <c r="S296" i="6" s="1"/>
  <c r="M382" i="6"/>
  <c r="S382" i="6" s="1"/>
  <c r="M358" i="6"/>
  <c r="S358" i="6" s="1"/>
  <c r="R216" i="6"/>
  <c r="M384" i="6"/>
  <c r="S384" i="6" s="1"/>
  <c r="N284" i="6"/>
  <c r="P318" i="6"/>
  <c r="Q318" i="6" s="1"/>
  <c r="N166" i="6"/>
  <c r="N50" i="6"/>
  <c r="N20" i="6"/>
  <c r="N23" i="6"/>
  <c r="N200" i="6"/>
  <c r="O4" i="6"/>
  <c r="P332" i="6"/>
  <c r="O332" i="6"/>
  <c r="N25" i="6"/>
  <c r="P323" i="6"/>
  <c r="R323" i="6" s="1"/>
  <c r="M194" i="6"/>
  <c r="S194" i="6" s="1"/>
  <c r="N283" i="6"/>
  <c r="O190" i="6"/>
  <c r="P190" i="6"/>
  <c r="M190" i="6"/>
  <c r="S190" i="6" s="1"/>
  <c r="O346" i="6"/>
  <c r="P346" i="6"/>
  <c r="N264" i="6"/>
  <c r="O258" i="6"/>
  <c r="P386" i="6"/>
  <c r="O194" i="6"/>
  <c r="P166" i="6"/>
  <c r="M61" i="6"/>
  <c r="S61" i="6" s="1"/>
  <c r="O61" i="6"/>
  <c r="P61" i="6"/>
  <c r="Q154" i="6"/>
  <c r="R154" i="6"/>
  <c r="O264" i="6"/>
  <c r="N386" i="6"/>
  <c r="N24" i="1"/>
  <c r="O24" i="1" s="1"/>
  <c r="O284" i="6"/>
  <c r="E17" i="1"/>
  <c r="M9" i="6"/>
  <c r="S9" i="6" s="1"/>
  <c r="O357" i="6"/>
  <c r="O50" i="6"/>
  <c r="P20" i="6"/>
  <c r="O23" i="6"/>
  <c r="O200" i="6"/>
  <c r="O22" i="6"/>
  <c r="N22" i="6"/>
  <c r="M232" i="6"/>
  <c r="S232" i="6" s="1"/>
  <c r="P232" i="6"/>
  <c r="O232" i="6"/>
  <c r="Q162" i="6"/>
  <c r="R162" i="6"/>
  <c r="P84" i="6"/>
  <c r="M84" i="6"/>
  <c r="S84" i="6" s="1"/>
  <c r="N84" i="6"/>
  <c r="M23" i="6"/>
  <c r="S23" i="6" s="1"/>
  <c r="R95" i="6"/>
  <c r="Q95" i="6"/>
  <c r="R118" i="6"/>
  <c r="Q118" i="6"/>
  <c r="Q46" i="6"/>
  <c r="R46" i="6"/>
  <c r="M133" i="6"/>
  <c r="S133" i="6" s="1"/>
  <c r="P133" i="6"/>
  <c r="O133" i="6"/>
  <c r="N358" i="6"/>
  <c r="O296" i="6"/>
  <c r="P382" i="6"/>
  <c r="Q382" i="6" s="1"/>
  <c r="O358" i="6"/>
  <c r="M284" i="6"/>
  <c r="M242" i="6"/>
  <c r="S242" i="6" s="1"/>
  <c r="M208" i="6"/>
  <c r="S208" i="6" s="1"/>
  <c r="N185" i="6"/>
  <c r="P273" i="6"/>
  <c r="N9" i="6"/>
  <c r="N357" i="6"/>
  <c r="N382" i="6"/>
  <c r="O245" i="6"/>
  <c r="M347" i="6"/>
  <c r="S347" i="6" s="1"/>
  <c r="N242" i="6"/>
  <c r="N208" i="6"/>
  <c r="M185" i="6"/>
  <c r="S185" i="6" s="1"/>
  <c r="M273" i="6"/>
  <c r="S273" i="6" s="1"/>
  <c r="O9" i="6"/>
  <c r="P357" i="6"/>
  <c r="O25" i="6"/>
  <c r="M248" i="6"/>
  <c r="S248" i="6" s="1"/>
  <c r="N381" i="6"/>
  <c r="P381" i="6"/>
  <c r="P356" i="6"/>
  <c r="O356" i="6"/>
  <c r="N356" i="6"/>
  <c r="M356" i="6"/>
  <c r="S356" i="6" s="1"/>
  <c r="P106" i="6"/>
  <c r="O106" i="6"/>
  <c r="R264" i="6"/>
  <c r="Q264" i="6"/>
  <c r="P384" i="6"/>
  <c r="P347" i="6"/>
  <c r="R347" i="6" s="1"/>
  <c r="N217" i="6"/>
  <c r="P245" i="6"/>
  <c r="P185" i="6"/>
  <c r="R185" i="6" s="1"/>
  <c r="O174" i="6"/>
  <c r="N174" i="6"/>
  <c r="P174" i="6"/>
  <c r="O351" i="6"/>
  <c r="N351" i="6"/>
  <c r="M351" i="6"/>
  <c r="S351" i="6" s="1"/>
  <c r="P351" i="6"/>
  <c r="R310" i="6"/>
  <c r="Q310" i="6"/>
  <c r="R78" i="6"/>
  <c r="Q78" i="6"/>
  <c r="Q76" i="6"/>
  <c r="R76" i="6"/>
  <c r="Q67" i="6"/>
  <c r="R67" i="6"/>
  <c r="R83" i="6"/>
  <c r="Q83" i="6"/>
  <c r="R296" i="6"/>
  <c r="Q296" i="6"/>
  <c r="P206" i="6"/>
  <c r="N206" i="6"/>
  <c r="O206" i="6"/>
  <c r="M206" i="6"/>
  <c r="S206" i="6" s="1"/>
  <c r="O295" i="6"/>
  <c r="N295" i="6"/>
  <c r="P295" i="6"/>
  <c r="M295" i="6"/>
  <c r="S295" i="6" s="1"/>
  <c r="P376" i="6"/>
  <c r="O376" i="6"/>
  <c r="N376" i="6"/>
  <c r="M376" i="6"/>
  <c r="S376" i="6" s="1"/>
  <c r="R314" i="6"/>
  <c r="Q314" i="6"/>
  <c r="R227" i="6"/>
  <c r="Q227" i="6"/>
  <c r="R277" i="6"/>
  <c r="Q277" i="6"/>
  <c r="R156" i="6"/>
  <c r="Q156" i="6"/>
  <c r="Q145" i="6"/>
  <c r="R145" i="6"/>
  <c r="S39" i="6"/>
  <c r="R242" i="6"/>
  <c r="Q242" i="6"/>
  <c r="R98" i="6"/>
  <c r="Q98" i="6"/>
  <c r="M225" i="6"/>
  <c r="S225" i="6" s="1"/>
  <c r="O225" i="6"/>
  <c r="N225" i="6"/>
  <c r="P225" i="6"/>
  <c r="R19" i="6"/>
  <c r="Q19" i="6"/>
  <c r="P152" i="6"/>
  <c r="M152" i="6"/>
  <c r="S152" i="6" s="1"/>
  <c r="O152" i="6"/>
  <c r="N152" i="6"/>
  <c r="Q370" i="6"/>
  <c r="R370" i="6"/>
  <c r="R39" i="6"/>
  <c r="Q39" i="6"/>
  <c r="R344" i="6"/>
  <c r="Q344" i="6"/>
  <c r="P157" i="6"/>
  <c r="O157" i="6"/>
  <c r="N157" i="6"/>
  <c r="M157" i="6"/>
  <c r="S157" i="6" s="1"/>
  <c r="R122" i="6"/>
  <c r="Q122" i="6"/>
  <c r="Q132" i="6"/>
  <c r="R132" i="6"/>
  <c r="F17" i="1"/>
  <c r="R368" i="6"/>
  <c r="Q368" i="6"/>
  <c r="R15" i="6"/>
  <c r="Q15" i="6"/>
  <c r="R321" i="6"/>
  <c r="Q321" i="6"/>
  <c r="R271" i="6"/>
  <c r="Q271" i="6"/>
  <c r="P215" i="6"/>
  <c r="M215" i="6"/>
  <c r="S215" i="6" s="1"/>
  <c r="O215" i="6"/>
  <c r="N215" i="6"/>
  <c r="Q60" i="6"/>
  <c r="R60" i="6"/>
  <c r="Q64" i="6"/>
  <c r="R64" i="6"/>
  <c r="Q7" i="6"/>
  <c r="R7" i="6"/>
  <c r="R186" i="6"/>
  <c r="Q186" i="6"/>
  <c r="R135" i="6"/>
  <c r="Q135" i="6"/>
  <c r="Q65" i="6"/>
  <c r="R65" i="6"/>
  <c r="Q275" i="6"/>
  <c r="R275" i="6"/>
  <c r="R177" i="6"/>
  <c r="Q177" i="6"/>
  <c r="R54" i="6"/>
  <c r="Q54" i="6"/>
  <c r="R49" i="6"/>
  <c r="Q49" i="6"/>
  <c r="S195" i="6"/>
  <c r="Q12" i="6"/>
  <c r="R12" i="6"/>
  <c r="K17" i="1"/>
  <c r="P89" i="6"/>
  <c r="O89" i="6"/>
  <c r="M89" i="6"/>
  <c r="S89" i="6" s="1"/>
  <c r="N89" i="6"/>
  <c r="R21" i="6"/>
  <c r="Q21" i="6"/>
  <c r="R202" i="6"/>
  <c r="Q202" i="6"/>
  <c r="Q24" i="6"/>
  <c r="R24" i="6"/>
  <c r="R43" i="6"/>
  <c r="Q43" i="6"/>
  <c r="R66" i="6"/>
  <c r="Q66" i="6"/>
  <c r="R246" i="6"/>
  <c r="Q246" i="6"/>
  <c r="Q161" i="6"/>
  <c r="R161" i="6"/>
  <c r="P226" i="6"/>
  <c r="O226" i="6"/>
  <c r="M226" i="6"/>
  <c r="S226" i="6" s="1"/>
  <c r="N226" i="6"/>
  <c r="P193" i="6"/>
  <c r="O193" i="6"/>
  <c r="N193" i="6"/>
  <c r="M193" i="6"/>
  <c r="S193" i="6" s="1"/>
  <c r="R235" i="6"/>
  <c r="Q235" i="6"/>
  <c r="Q124" i="6"/>
  <c r="R124" i="6"/>
  <c r="P392" i="6"/>
  <c r="O392" i="6"/>
  <c r="N392" i="6"/>
  <c r="M392" i="6"/>
  <c r="S392" i="6" s="1"/>
  <c r="O315" i="6"/>
  <c r="N315" i="6"/>
  <c r="M315" i="6"/>
  <c r="S315" i="6" s="1"/>
  <c r="P315" i="6"/>
  <c r="R378" i="6"/>
  <c r="Q378" i="6"/>
  <c r="P201" i="6"/>
  <c r="N201" i="6"/>
  <c r="O201" i="6"/>
  <c r="M201" i="6"/>
  <c r="S201" i="6" s="1"/>
  <c r="R305" i="6"/>
  <c r="Q305" i="6"/>
  <c r="R274" i="6"/>
  <c r="Q274" i="6"/>
  <c r="Q366" i="6"/>
  <c r="R366" i="6"/>
  <c r="R299" i="6"/>
  <c r="Q299" i="6"/>
  <c r="Q150" i="6"/>
  <c r="R150" i="6"/>
  <c r="P182" i="6"/>
  <c r="M182" i="6"/>
  <c r="S182" i="6" s="1"/>
  <c r="O182" i="6"/>
  <c r="N182" i="6"/>
  <c r="R255" i="6"/>
  <c r="Q255" i="6"/>
  <c r="R384" i="6"/>
  <c r="Q384" i="6"/>
  <c r="R350" i="6"/>
  <c r="Q350" i="6"/>
  <c r="J17" i="1"/>
  <c r="R37" i="6"/>
  <c r="Q37" i="6"/>
  <c r="P372" i="6"/>
  <c r="M372" i="6"/>
  <c r="S372" i="6" s="1"/>
  <c r="N372" i="6"/>
  <c r="O372" i="6"/>
  <c r="O262" i="6"/>
  <c r="P262" i="6"/>
  <c r="N262" i="6"/>
  <c r="M262" i="6"/>
  <c r="S262" i="6" s="1"/>
  <c r="R340" i="6"/>
  <c r="Q340" i="6"/>
  <c r="R352" i="6"/>
  <c r="Q352" i="6"/>
  <c r="R382" i="6"/>
  <c r="O341" i="6"/>
  <c r="P341" i="6"/>
  <c r="N341" i="6"/>
  <c r="M341" i="6"/>
  <c r="S341" i="6" s="1"/>
  <c r="P324" i="6"/>
  <c r="O324" i="6"/>
  <c r="N324" i="6"/>
  <c r="M324" i="6"/>
  <c r="S324" i="6" s="1"/>
  <c r="Q220" i="6"/>
  <c r="R220" i="6"/>
  <c r="P96" i="6"/>
  <c r="O96" i="6"/>
  <c r="N96" i="6"/>
  <c r="M96" i="6"/>
  <c r="S96" i="6" s="1"/>
  <c r="R247" i="6"/>
  <c r="Q247" i="6"/>
  <c r="S284" i="6"/>
  <c r="R302" i="6"/>
  <c r="Q302" i="6"/>
  <c r="P205" i="6"/>
  <c r="M205" i="6"/>
  <c r="S205" i="6" s="1"/>
  <c r="O205" i="6"/>
  <c r="N205" i="6"/>
  <c r="R336" i="6"/>
  <c r="Q336" i="6"/>
  <c r="Q91" i="6"/>
  <c r="R91" i="6"/>
  <c r="R306" i="6"/>
  <c r="Q306" i="6"/>
  <c r="R125" i="6"/>
  <c r="Q125" i="6"/>
  <c r="R11" i="6"/>
  <c r="Q11" i="6"/>
  <c r="R273" i="6"/>
  <c r="Q273" i="6"/>
  <c r="Q68" i="6"/>
  <c r="R68" i="6"/>
  <c r="R50" i="6"/>
  <c r="Q50" i="6"/>
  <c r="Q20" i="6"/>
  <c r="R20" i="6"/>
  <c r="R94" i="6"/>
  <c r="Q94" i="6"/>
  <c r="O303" i="6"/>
  <c r="N303" i="6"/>
  <c r="M303" i="6"/>
  <c r="S303" i="6" s="1"/>
  <c r="P303" i="6"/>
  <c r="O371" i="6"/>
  <c r="N371" i="6"/>
  <c r="M371" i="6"/>
  <c r="S371" i="6" s="1"/>
  <c r="P371" i="6"/>
  <c r="M229" i="6"/>
  <c r="S229" i="6" s="1"/>
  <c r="P229" i="6"/>
  <c r="O229" i="6"/>
  <c r="N229" i="6"/>
  <c r="P160" i="6"/>
  <c r="M160" i="6"/>
  <c r="S160" i="6" s="1"/>
  <c r="O160" i="6"/>
  <c r="N160" i="6"/>
  <c r="Q333" i="6"/>
  <c r="R333" i="6"/>
  <c r="P238" i="6"/>
  <c r="O238" i="6"/>
  <c r="M238" i="6"/>
  <c r="S238" i="6" s="1"/>
  <c r="N238" i="6"/>
  <c r="P361" i="6"/>
  <c r="N361" i="6"/>
  <c r="O361" i="6"/>
  <c r="M361" i="6"/>
  <c r="S361" i="6" s="1"/>
  <c r="N269" i="6"/>
  <c r="O269" i="6"/>
  <c r="M269" i="6"/>
  <c r="S269" i="6" s="1"/>
  <c r="P269" i="6"/>
  <c r="M99" i="6"/>
  <c r="S99" i="6" s="1"/>
  <c r="O99" i="6"/>
  <c r="N99" i="6"/>
  <c r="P99" i="6"/>
  <c r="R42" i="6"/>
  <c r="Q42" i="6"/>
  <c r="R265" i="6"/>
  <c r="Q265" i="6"/>
  <c r="N159" i="6"/>
  <c r="M159" i="6"/>
  <c r="S159" i="6" s="1"/>
  <c r="O159" i="6"/>
  <c r="P159" i="6"/>
  <c r="R138" i="6"/>
  <c r="Q138" i="6"/>
  <c r="R144" i="6"/>
  <c r="Q144" i="6"/>
  <c r="R373" i="6"/>
  <c r="Q373" i="6"/>
  <c r="N328" i="6"/>
  <c r="M328" i="6"/>
  <c r="S328" i="6" s="1"/>
  <c r="P328" i="6"/>
  <c r="O328" i="6"/>
  <c r="P219" i="6"/>
  <c r="O219" i="6"/>
  <c r="N219" i="6"/>
  <c r="M219" i="6"/>
  <c r="S219" i="6" s="1"/>
  <c r="M221" i="6"/>
  <c r="S221" i="6" s="1"/>
  <c r="O221" i="6"/>
  <c r="N221" i="6"/>
  <c r="P221" i="6"/>
  <c r="O192" i="6"/>
  <c r="M192" i="6"/>
  <c r="S192" i="6" s="1"/>
  <c r="P192" i="6"/>
  <c r="N192" i="6"/>
  <c r="R286" i="6"/>
  <c r="Q286" i="6"/>
  <c r="R228" i="6"/>
  <c r="Q228" i="6"/>
  <c r="R41" i="6"/>
  <c r="Q41" i="6"/>
  <c r="O367" i="6"/>
  <c r="N367" i="6"/>
  <c r="M367" i="6"/>
  <c r="S367" i="6" s="1"/>
  <c r="P367" i="6"/>
  <c r="M389" i="6"/>
  <c r="S389" i="6" s="1"/>
  <c r="P389" i="6"/>
  <c r="N389" i="6"/>
  <c r="O389" i="6"/>
  <c r="P259" i="6"/>
  <c r="O259" i="6"/>
  <c r="N259" i="6"/>
  <c r="M259" i="6"/>
  <c r="S259" i="6" s="1"/>
  <c r="N143" i="6"/>
  <c r="M143" i="6"/>
  <c r="S143" i="6" s="1"/>
  <c r="O143" i="6"/>
  <c r="P143" i="6"/>
  <c r="M167" i="6"/>
  <c r="S167" i="6" s="1"/>
  <c r="O167" i="6"/>
  <c r="P167" i="6"/>
  <c r="N167" i="6"/>
  <c r="N109" i="6"/>
  <c r="M109" i="6"/>
  <c r="S109" i="6" s="1"/>
  <c r="P109" i="6"/>
  <c r="O109" i="6"/>
  <c r="R212" i="6"/>
  <c r="Q212" i="6"/>
  <c r="R354" i="6"/>
  <c r="Q354" i="6"/>
  <c r="O56" i="6"/>
  <c r="P56" i="6"/>
  <c r="N56" i="6"/>
  <c r="M56" i="6"/>
  <c r="S56" i="6" s="1"/>
  <c r="R134" i="6"/>
  <c r="Q134" i="6"/>
  <c r="R254" i="6"/>
  <c r="Q254" i="6"/>
  <c r="R101" i="6"/>
  <c r="Q101" i="6"/>
  <c r="R214" i="6"/>
  <c r="Q214" i="6"/>
  <c r="Q181" i="6"/>
  <c r="R181" i="6"/>
  <c r="R35" i="6"/>
  <c r="Q35" i="6"/>
  <c r="Q48" i="6"/>
  <c r="R48" i="6"/>
  <c r="Q103" i="6"/>
  <c r="R103" i="6"/>
  <c r="Q200" i="6"/>
  <c r="R200" i="6"/>
  <c r="O383" i="6"/>
  <c r="N383" i="6"/>
  <c r="M383" i="6"/>
  <c r="S383" i="6" s="1"/>
  <c r="P383" i="6"/>
  <c r="R285" i="6"/>
  <c r="Q285" i="6"/>
  <c r="M199" i="6"/>
  <c r="S199" i="6" s="1"/>
  <c r="O199" i="6"/>
  <c r="P199" i="6"/>
  <c r="N199" i="6"/>
  <c r="J28" i="1"/>
  <c r="O391" i="6"/>
  <c r="N391" i="6"/>
  <c r="M391" i="6"/>
  <c r="S391" i="6" s="1"/>
  <c r="P391" i="6"/>
  <c r="R348" i="6"/>
  <c r="Q348" i="6"/>
  <c r="M115" i="6"/>
  <c r="S115" i="6" s="1"/>
  <c r="O115" i="6"/>
  <c r="P115" i="6"/>
  <c r="N115" i="6"/>
  <c r="O188" i="6"/>
  <c r="P188" i="6"/>
  <c r="N188" i="6"/>
  <c r="M188" i="6"/>
  <c r="S188" i="6" s="1"/>
  <c r="O176" i="6"/>
  <c r="M176" i="6"/>
  <c r="S176" i="6" s="1"/>
  <c r="N176" i="6"/>
  <c r="P176" i="6"/>
  <c r="P102" i="6"/>
  <c r="O102" i="6"/>
  <c r="N102" i="6"/>
  <c r="M102" i="6"/>
  <c r="S102" i="6" s="1"/>
  <c r="M97" i="6"/>
  <c r="S97" i="6" s="1"/>
  <c r="O97" i="6"/>
  <c r="N97" i="6"/>
  <c r="P97" i="6"/>
  <c r="M107" i="6"/>
  <c r="S107" i="6" s="1"/>
  <c r="O107" i="6"/>
  <c r="P107" i="6"/>
  <c r="N107" i="6"/>
  <c r="Q198" i="6"/>
  <c r="R198" i="6"/>
  <c r="Q130" i="6"/>
  <c r="R130" i="6"/>
  <c r="N147" i="6"/>
  <c r="M147" i="6"/>
  <c r="S147" i="6" s="1"/>
  <c r="P147" i="6"/>
  <c r="O147" i="6"/>
  <c r="Q309" i="6"/>
  <c r="R309" i="6"/>
  <c r="R51" i="6"/>
  <c r="Q51" i="6"/>
  <c r="I17" i="1"/>
  <c r="R290" i="6"/>
  <c r="Q290" i="6"/>
  <c r="Q120" i="6"/>
  <c r="R120" i="6"/>
  <c r="Q241" i="6"/>
  <c r="R241" i="6"/>
  <c r="R87" i="6"/>
  <c r="Q87" i="6"/>
  <c r="R47" i="6"/>
  <c r="Q47" i="6"/>
  <c r="R171" i="6"/>
  <c r="Q171" i="6"/>
  <c r="Q253" i="6"/>
  <c r="R253" i="6"/>
  <c r="R334" i="6"/>
  <c r="Q334" i="6"/>
  <c r="R252" i="6"/>
  <c r="Q252" i="6"/>
  <c r="Q194" i="6"/>
  <c r="R194" i="6"/>
  <c r="P59" i="6"/>
  <c r="O59" i="6"/>
  <c r="M59" i="6"/>
  <c r="S59" i="6" s="1"/>
  <c r="N59" i="6"/>
  <c r="P18" i="6"/>
  <c r="O18" i="6"/>
  <c r="N18" i="6"/>
  <c r="M18" i="6"/>
  <c r="S18" i="6" s="1"/>
  <c r="O355" i="6"/>
  <c r="N355" i="6"/>
  <c r="M355" i="6"/>
  <c r="S355" i="6" s="1"/>
  <c r="P355" i="6"/>
  <c r="P316" i="6"/>
  <c r="O316" i="6"/>
  <c r="N316" i="6"/>
  <c r="M316" i="6"/>
  <c r="S316" i="6" s="1"/>
  <c r="O311" i="6"/>
  <c r="L31" i="1" s="1"/>
  <c r="N311" i="6"/>
  <c r="M311" i="6"/>
  <c r="S311" i="6" s="1"/>
  <c r="P311" i="6"/>
  <c r="Q256" i="6"/>
  <c r="R256" i="6"/>
  <c r="N70" i="6"/>
  <c r="M70" i="6"/>
  <c r="S70" i="6" s="1"/>
  <c r="P70" i="6"/>
  <c r="O70" i="6"/>
  <c r="H28" i="1"/>
  <c r="R284" i="6"/>
  <c r="Q284" i="6"/>
  <c r="R369" i="6"/>
  <c r="Q369" i="6"/>
  <c r="R388" i="6"/>
  <c r="Q388" i="6"/>
  <c r="R57" i="6"/>
  <c r="Q57" i="6"/>
  <c r="O266" i="6"/>
  <c r="N266" i="6"/>
  <c r="M266" i="6"/>
  <c r="S266" i="6" s="1"/>
  <c r="P266" i="6"/>
  <c r="P113" i="6"/>
  <c r="O113" i="6"/>
  <c r="M113" i="6"/>
  <c r="S113" i="6" s="1"/>
  <c r="N113" i="6"/>
  <c r="Q203" i="6"/>
  <c r="R203" i="6"/>
  <c r="M267" i="6"/>
  <c r="S267" i="6" s="1"/>
  <c r="P267" i="6"/>
  <c r="O267" i="6"/>
  <c r="N267" i="6"/>
  <c r="M139" i="6"/>
  <c r="S139" i="6" s="1"/>
  <c r="P139" i="6"/>
  <c r="O139" i="6"/>
  <c r="N139" i="6"/>
  <c r="R319" i="6"/>
  <c r="Q319" i="6"/>
  <c r="P222" i="6"/>
  <c r="O222" i="6"/>
  <c r="N222" i="6"/>
  <c r="M222" i="6"/>
  <c r="S222" i="6" s="1"/>
  <c r="R82" i="6"/>
  <c r="Q82" i="6"/>
  <c r="R300" i="6"/>
  <c r="Q300" i="6"/>
  <c r="L17" i="1"/>
  <c r="P218" i="6"/>
  <c r="O218" i="6"/>
  <c r="M218" i="6"/>
  <c r="S218" i="6" s="1"/>
  <c r="N218" i="6"/>
  <c r="O14" i="6"/>
  <c r="N14" i="6"/>
  <c r="M14" i="6"/>
  <c r="S14" i="6" s="1"/>
  <c r="P14" i="6"/>
  <c r="R248" i="6"/>
  <c r="Q248" i="6"/>
  <c r="O345" i="6"/>
  <c r="P345" i="6"/>
  <c r="N345" i="6"/>
  <c r="M345" i="6"/>
  <c r="S345" i="6" s="1"/>
  <c r="R237" i="6"/>
  <c r="Q237" i="6"/>
  <c r="N365" i="6"/>
  <c r="M365" i="6"/>
  <c r="S365" i="6" s="1"/>
  <c r="P365" i="6"/>
  <c r="O365" i="6"/>
  <c r="O359" i="6"/>
  <c r="N359" i="6"/>
  <c r="M359" i="6"/>
  <c r="S359" i="6" s="1"/>
  <c r="P359" i="6"/>
  <c r="M28" i="1"/>
  <c r="M233" i="6"/>
  <c r="S233" i="6" s="1"/>
  <c r="P233" i="6"/>
  <c r="N233" i="6"/>
  <c r="O233" i="6"/>
  <c r="O276" i="6"/>
  <c r="N276" i="6"/>
  <c r="M276" i="6"/>
  <c r="S276" i="6" s="1"/>
  <c r="P276" i="6"/>
  <c r="R287" i="6"/>
  <c r="Q287" i="6"/>
  <c r="M223" i="6"/>
  <c r="S223" i="6" s="1"/>
  <c r="P223" i="6"/>
  <c r="O223" i="6"/>
  <c r="N223" i="6"/>
  <c r="R270" i="6"/>
  <c r="Q270" i="6"/>
  <c r="Q184" i="6"/>
  <c r="R184" i="6"/>
  <c r="R245" i="6"/>
  <c r="Q245" i="6"/>
  <c r="R261" i="6"/>
  <c r="Q261" i="6"/>
  <c r="R298" i="6"/>
  <c r="Q298" i="6"/>
  <c r="O32" i="6"/>
  <c r="P32" i="6"/>
  <c r="N32" i="6"/>
  <c r="M32" i="6"/>
  <c r="S32" i="6" s="1"/>
  <c r="R34" i="6"/>
  <c r="Q34" i="6"/>
  <c r="R390" i="6"/>
  <c r="Q390" i="6"/>
  <c r="R312" i="6"/>
  <c r="Q312" i="6"/>
  <c r="Q142" i="6"/>
  <c r="R142" i="6"/>
  <c r="Q88" i="6"/>
  <c r="R88" i="6"/>
  <c r="P6" i="6"/>
  <c r="O6" i="6"/>
  <c r="N6" i="6"/>
  <c r="M6" i="6"/>
  <c r="S6" i="6" s="1"/>
  <c r="R9" i="6"/>
  <c r="Q9" i="6"/>
  <c r="S357" i="6"/>
  <c r="R148" i="6"/>
  <c r="Q148" i="6"/>
  <c r="R25" i="6"/>
  <c r="Q25" i="6"/>
  <c r="R110" i="6"/>
  <c r="Q110" i="6"/>
  <c r="Q4" i="6"/>
  <c r="R4" i="6"/>
  <c r="O339" i="6"/>
  <c r="N339" i="6"/>
  <c r="M339" i="6"/>
  <c r="S339" i="6" s="1"/>
  <c r="P339" i="6"/>
  <c r="P207" i="6"/>
  <c r="O207" i="6"/>
  <c r="N207" i="6"/>
  <c r="M207" i="6"/>
  <c r="S207" i="6" s="1"/>
  <c r="Q158" i="6"/>
  <c r="R158" i="6"/>
  <c r="P62" i="6"/>
  <c r="O62" i="6"/>
  <c r="N62" i="6"/>
  <c r="M62" i="6"/>
  <c r="S62" i="6" s="1"/>
  <c r="O172" i="6"/>
  <c r="M172" i="6"/>
  <c r="S172" i="6" s="1"/>
  <c r="N172" i="6"/>
  <c r="P172" i="6"/>
  <c r="O379" i="6"/>
  <c r="N379" i="6"/>
  <c r="M379" i="6"/>
  <c r="S379" i="6" s="1"/>
  <c r="P379" i="6"/>
  <c r="N155" i="6"/>
  <c r="M155" i="6"/>
  <c r="S155" i="6" s="1"/>
  <c r="P155" i="6"/>
  <c r="O155" i="6"/>
  <c r="M131" i="6"/>
  <c r="N131" i="6"/>
  <c r="P131" i="6"/>
  <c r="O131" i="6"/>
  <c r="I28" i="1"/>
  <c r="M260" i="6"/>
  <c r="S260" i="6" s="1"/>
  <c r="P260" i="6"/>
  <c r="O260" i="6"/>
  <c r="N260" i="6"/>
  <c r="P149" i="6"/>
  <c r="O149" i="6"/>
  <c r="N149" i="6"/>
  <c r="M149" i="6"/>
  <c r="S149" i="6" s="1"/>
  <c r="P30" i="6"/>
  <c r="O30" i="6"/>
  <c r="N30" i="6"/>
  <c r="M30" i="6"/>
  <c r="S30" i="6" s="1"/>
  <c r="R268" i="6"/>
  <c r="Q268" i="6"/>
  <c r="R178" i="6"/>
  <c r="Q178" i="6"/>
  <c r="O189" i="6"/>
  <c r="N189" i="6"/>
  <c r="M189" i="6"/>
  <c r="S189" i="6" s="1"/>
  <c r="P189" i="6"/>
  <c r="P210" i="6"/>
  <c r="N210" i="6"/>
  <c r="M210" i="6"/>
  <c r="S210" i="6" s="1"/>
  <c r="O210" i="6"/>
  <c r="R349" i="6"/>
  <c r="Q349" i="6"/>
  <c r="O36" i="6"/>
  <c r="M36" i="6"/>
  <c r="S36" i="6" s="1"/>
  <c r="P36" i="6"/>
  <c r="N36" i="6"/>
  <c r="Q85" i="6"/>
  <c r="R85" i="6"/>
  <c r="R111" i="6"/>
  <c r="Q111" i="6"/>
  <c r="Q387" i="6"/>
  <c r="R387" i="6"/>
  <c r="N169" i="6"/>
  <c r="M169" i="6"/>
  <c r="S169" i="6" s="1"/>
  <c r="P169" i="6"/>
  <c r="O169" i="6"/>
  <c r="M127" i="6"/>
  <c r="S127" i="6" s="1"/>
  <c r="O127" i="6"/>
  <c r="N127" i="6"/>
  <c r="P127" i="6"/>
  <c r="R322" i="6"/>
  <c r="Q322" i="6"/>
  <c r="R179" i="6"/>
  <c r="Q179" i="6"/>
  <c r="R55" i="6"/>
  <c r="Q55" i="6"/>
  <c r="Q100" i="6"/>
  <c r="R100" i="6"/>
  <c r="R86" i="6"/>
  <c r="Q86" i="6"/>
  <c r="R165" i="6"/>
  <c r="Q165" i="6"/>
  <c r="S65" i="6"/>
  <c r="Q281" i="6"/>
  <c r="R281" i="6"/>
  <c r="N18" i="1"/>
  <c r="O18" i="1" s="1"/>
  <c r="Q63" i="6"/>
  <c r="R63" i="6"/>
  <c r="R5" i="6"/>
  <c r="Q5" i="6"/>
  <c r="Q291" i="6"/>
  <c r="R291" i="6"/>
  <c r="R358" i="6"/>
  <c r="Q358" i="6"/>
  <c r="N173" i="6"/>
  <c r="O173" i="6"/>
  <c r="P173" i="6"/>
  <c r="M173" i="6"/>
  <c r="S173" i="6" s="1"/>
  <c r="P10" i="6"/>
  <c r="O10" i="6"/>
  <c r="N10" i="6"/>
  <c r="M10" i="6"/>
  <c r="S10" i="6" s="1"/>
  <c r="Q137" i="6"/>
  <c r="R137" i="6"/>
  <c r="R357" i="6"/>
  <c r="Q357" i="6"/>
  <c r="Q140" i="6"/>
  <c r="R140" i="6"/>
  <c r="R263" i="6"/>
  <c r="Q263" i="6"/>
  <c r="Q116" i="6"/>
  <c r="R116" i="6"/>
  <c r="N151" i="6"/>
  <c r="M151" i="6"/>
  <c r="S151" i="6" s="1"/>
  <c r="P151" i="6"/>
  <c r="O151" i="6"/>
  <c r="P141" i="6"/>
  <c r="O141" i="6"/>
  <c r="N141" i="6"/>
  <c r="M141" i="6"/>
  <c r="S141" i="6" s="1"/>
  <c r="R217" i="6"/>
  <c r="Q217" i="6"/>
  <c r="M191" i="6"/>
  <c r="S191" i="6" s="1"/>
  <c r="P191" i="6"/>
  <c r="O191" i="6"/>
  <c r="N191" i="6"/>
  <c r="P136" i="6"/>
  <c r="M136" i="6"/>
  <c r="S136" i="6" s="1"/>
  <c r="O136" i="6"/>
  <c r="N136" i="6"/>
  <c r="R213" i="6"/>
  <c r="Q213" i="6"/>
  <c r="R297" i="6"/>
  <c r="Q297" i="6"/>
  <c r="Q104" i="6"/>
  <c r="R104" i="6"/>
  <c r="Q231" i="6"/>
  <c r="R231" i="6"/>
  <c r="Q80" i="6"/>
  <c r="R80" i="6"/>
  <c r="R236" i="6"/>
  <c r="Q236" i="6"/>
  <c r="P353" i="6"/>
  <c r="O353" i="6"/>
  <c r="M353" i="6"/>
  <c r="S353" i="6" s="1"/>
  <c r="N353" i="6"/>
  <c r="R249" i="6"/>
  <c r="Q249" i="6"/>
  <c r="R75" i="6"/>
  <c r="Q75" i="6"/>
  <c r="R257" i="6"/>
  <c r="Q257" i="6"/>
  <c r="R23" i="6"/>
  <c r="Q23" i="6"/>
  <c r="R126" i="6"/>
  <c r="Q126" i="6"/>
  <c r="R17" i="6"/>
  <c r="Q17" i="6"/>
  <c r="Q105" i="6"/>
  <c r="R105" i="6"/>
  <c r="G17" i="1"/>
  <c r="Q114" i="6"/>
  <c r="R114" i="6"/>
  <c r="R211" i="6"/>
  <c r="Q211" i="6"/>
  <c r="R79" i="6"/>
  <c r="Q79" i="6"/>
  <c r="Q168" i="6"/>
  <c r="R168" i="6"/>
  <c r="O335" i="6"/>
  <c r="N335" i="6"/>
  <c r="M335" i="6"/>
  <c r="S335" i="6" s="1"/>
  <c r="P335" i="6"/>
  <c r="O375" i="6"/>
  <c r="N375" i="6"/>
  <c r="M375" i="6"/>
  <c r="S375" i="6" s="1"/>
  <c r="P375" i="6"/>
  <c r="R294" i="6"/>
  <c r="Q294" i="6"/>
  <c r="R243" i="6"/>
  <c r="Q243" i="6"/>
  <c r="M17" i="1"/>
  <c r="O92" i="6"/>
  <c r="N92" i="6"/>
  <c r="M92" i="6"/>
  <c r="S92" i="6" s="1"/>
  <c r="P92" i="6"/>
  <c r="O93" i="6"/>
  <c r="P93" i="6"/>
  <c r="N93" i="6"/>
  <c r="M93" i="6"/>
  <c r="S93" i="6" s="1"/>
  <c r="O180" i="6"/>
  <c r="P180" i="6"/>
  <c r="N180" i="6"/>
  <c r="M180" i="6"/>
  <c r="S180" i="6" s="1"/>
  <c r="R289" i="6"/>
  <c r="Q289" i="6"/>
  <c r="O77" i="6"/>
  <c r="N77" i="6"/>
  <c r="M77" i="6"/>
  <c r="S77" i="6" s="1"/>
  <c r="P77" i="6"/>
  <c r="Q71" i="6"/>
  <c r="R71" i="6"/>
  <c r="R183" i="6"/>
  <c r="Q183" i="6"/>
  <c r="Q128" i="6"/>
  <c r="R128" i="6"/>
  <c r="R31" i="6"/>
  <c r="Q31" i="6"/>
  <c r="R33" i="6"/>
  <c r="Q33" i="6"/>
  <c r="P117" i="6"/>
  <c r="N117" i="6"/>
  <c r="O117" i="6"/>
  <c r="M117" i="6"/>
  <c r="S117" i="6" s="1"/>
  <c r="R129" i="6"/>
  <c r="Q129" i="6"/>
  <c r="Q272" i="6"/>
  <c r="R272" i="6"/>
  <c r="R244" i="6"/>
  <c r="Q244" i="6"/>
  <c r="R29" i="6"/>
  <c r="Q29" i="6"/>
  <c r="R45" i="6"/>
  <c r="Q45" i="6"/>
  <c r="P360" i="6"/>
  <c r="O360" i="6"/>
  <c r="N360" i="6"/>
  <c r="M360" i="6"/>
  <c r="S360" i="6" s="1"/>
  <c r="P292" i="6"/>
  <c r="O292" i="6"/>
  <c r="N292" i="6"/>
  <c r="M292" i="6"/>
  <c r="S292" i="6" s="1"/>
  <c r="L28" i="1"/>
  <c r="P234" i="6"/>
  <c r="O234" i="6"/>
  <c r="N234" i="6"/>
  <c r="M234" i="6"/>
  <c r="K28" i="1"/>
  <c r="R258" i="6"/>
  <c r="Q258" i="6"/>
  <c r="P239" i="6"/>
  <c r="O239" i="6"/>
  <c r="N239" i="6"/>
  <c r="M239" i="6"/>
  <c r="S239" i="6" s="1"/>
  <c r="R331" i="6"/>
  <c r="Q331" i="6"/>
  <c r="P58" i="6"/>
  <c r="O58" i="6"/>
  <c r="N58" i="6"/>
  <c r="M58" i="6"/>
  <c r="S58" i="6" s="1"/>
  <c r="R385" i="6"/>
  <c r="Q385" i="6"/>
  <c r="Q164" i="6"/>
  <c r="R164" i="6"/>
  <c r="R327" i="6"/>
  <c r="Q327" i="6"/>
  <c r="R74" i="6"/>
  <c r="Q74" i="6"/>
  <c r="R313" i="6"/>
  <c r="Q313" i="6"/>
  <c r="Q279" i="6"/>
  <c r="R279" i="6"/>
  <c r="Q283" i="6"/>
  <c r="R283" i="6"/>
  <c r="O40" i="6"/>
  <c r="P40" i="6"/>
  <c r="N40" i="6"/>
  <c r="M40" i="6"/>
  <c r="S40" i="6" s="1"/>
  <c r="G28" i="1"/>
  <c r="P325" i="6"/>
  <c r="M325" i="6"/>
  <c r="S325" i="6" s="1"/>
  <c r="N325" i="6"/>
  <c r="O325" i="6"/>
  <c r="P301" i="6"/>
  <c r="M301" i="6"/>
  <c r="S301" i="6" s="1"/>
  <c r="O301" i="6"/>
  <c r="N301" i="6"/>
  <c r="R282" i="6"/>
  <c r="Q282" i="6"/>
  <c r="P280" i="6"/>
  <c r="O280" i="6"/>
  <c r="N280" i="6"/>
  <c r="M280" i="6"/>
  <c r="S280" i="6" s="1"/>
  <c r="P38" i="6"/>
  <c r="O38" i="6"/>
  <c r="N38" i="6"/>
  <c r="M38" i="6"/>
  <c r="S38" i="6" s="1"/>
  <c r="R380" i="6"/>
  <c r="Q380" i="6"/>
  <c r="R22" i="6"/>
  <c r="Q22" i="6"/>
  <c r="O44" i="6"/>
  <c r="N44" i="6"/>
  <c r="M44" i="6"/>
  <c r="S44" i="6" s="1"/>
  <c r="P44" i="6"/>
  <c r="R337" i="6"/>
  <c r="Q337" i="6"/>
  <c r="Q69" i="6"/>
  <c r="R69" i="6"/>
  <c r="O28" i="6"/>
  <c r="P28" i="6"/>
  <c r="N28" i="6"/>
  <c r="M28" i="6"/>
  <c r="S28" i="6" s="1"/>
  <c r="R240" i="6"/>
  <c r="Q240" i="6"/>
  <c r="Q197" i="6"/>
  <c r="R197" i="6"/>
  <c r="Q16" i="6"/>
  <c r="R16" i="6"/>
  <c r="Q52" i="6"/>
  <c r="R52" i="6"/>
  <c r="P317" i="6"/>
  <c r="M317" i="6"/>
  <c r="S317" i="6" s="1"/>
  <c r="O317" i="6"/>
  <c r="N317" i="6"/>
  <c r="R224" i="6"/>
  <c r="Q224" i="6"/>
  <c r="N16" i="1"/>
  <c r="O16" i="1" s="1"/>
  <c r="P326" i="6"/>
  <c r="O326" i="6"/>
  <c r="N326" i="6"/>
  <c r="M326" i="6"/>
  <c r="S326" i="6" s="1"/>
  <c r="O363" i="6"/>
  <c r="N363" i="6"/>
  <c r="M363" i="6"/>
  <c r="S363" i="6" s="1"/>
  <c r="P363" i="6"/>
  <c r="R304" i="6"/>
  <c r="Q304" i="6"/>
  <c r="Q208" i="6"/>
  <c r="R208" i="6"/>
  <c r="R251" i="6"/>
  <c r="Q251" i="6"/>
  <c r="O377" i="6"/>
  <c r="N377" i="6"/>
  <c r="P377" i="6"/>
  <c r="M377" i="6"/>
  <c r="S377" i="6" s="1"/>
  <c r="P209" i="6"/>
  <c r="O209" i="6"/>
  <c r="N209" i="6"/>
  <c r="M209" i="6"/>
  <c r="S209" i="6" s="1"/>
  <c r="Q343" i="6"/>
  <c r="R343" i="6"/>
  <c r="R386" i="6"/>
  <c r="Q386" i="6"/>
  <c r="R119" i="6"/>
  <c r="Q119" i="6"/>
  <c r="N81" i="6"/>
  <c r="M81" i="6"/>
  <c r="S81" i="6" s="1"/>
  <c r="P81" i="6"/>
  <c r="O81" i="6"/>
  <c r="R278" i="6"/>
  <c r="Q278" i="6"/>
  <c r="P26" i="6"/>
  <c r="O26" i="6"/>
  <c r="N26" i="6"/>
  <c r="M26" i="6"/>
  <c r="S26" i="6" s="1"/>
  <c r="F28" i="1"/>
  <c r="Q230" i="6"/>
  <c r="R230" i="6"/>
  <c r="H17" i="1"/>
  <c r="Q196" i="6"/>
  <c r="R196" i="6"/>
  <c r="Q27" i="6"/>
  <c r="R27" i="6"/>
  <c r="R307" i="6"/>
  <c r="Q307" i="6"/>
  <c r="R250" i="6"/>
  <c r="Q250" i="6"/>
  <c r="R166" i="6"/>
  <c r="Q166" i="6"/>
  <c r="R121" i="6"/>
  <c r="Q121" i="6"/>
  <c r="R195" i="6"/>
  <c r="Q195" i="6"/>
  <c r="R53" i="6"/>
  <c r="Q53" i="6"/>
  <c r="R8" i="6" l="1"/>
  <c r="Q8" i="6"/>
  <c r="G31" i="1"/>
  <c r="J30" i="1"/>
  <c r="R84" i="6"/>
  <c r="Q84" i="6"/>
  <c r="R190" i="6"/>
  <c r="Q190" i="6"/>
  <c r="Q347" i="6"/>
  <c r="R232" i="6"/>
  <c r="Q232" i="6"/>
  <c r="F31" i="1"/>
  <c r="Q133" i="6"/>
  <c r="R133" i="6"/>
  <c r="R61" i="6"/>
  <c r="Q61" i="6"/>
  <c r="Q293" i="6"/>
  <c r="J29" i="1"/>
  <c r="Q112" i="6"/>
  <c r="R112" i="6"/>
  <c r="Q204" i="6"/>
  <c r="R204" i="6"/>
  <c r="M30" i="1"/>
  <c r="J35" i="1"/>
  <c r="Q106" i="6"/>
  <c r="R106" i="6"/>
  <c r="Q332" i="6"/>
  <c r="R332" i="6"/>
  <c r="Q174" i="6"/>
  <c r="R174" i="6"/>
  <c r="R381" i="6"/>
  <c r="Q381" i="6"/>
  <c r="G30" i="1"/>
  <c r="R318" i="6"/>
  <c r="F30" i="1"/>
  <c r="N17" i="1"/>
  <c r="O17" i="1" s="1"/>
  <c r="J32" i="1"/>
  <c r="I30" i="1"/>
  <c r="M31" i="1"/>
  <c r="Q323" i="6"/>
  <c r="Q185" i="6"/>
  <c r="G32" i="1"/>
  <c r="L30" i="1"/>
  <c r="J31" i="1"/>
  <c r="H31" i="1"/>
  <c r="Q346" i="6"/>
  <c r="R346" i="6"/>
  <c r="H30" i="1"/>
  <c r="Q356" i="6"/>
  <c r="R356" i="6"/>
  <c r="Q187" i="6"/>
  <c r="R187" i="6"/>
  <c r="L29" i="1"/>
  <c r="R182" i="6"/>
  <c r="Q182" i="6"/>
  <c r="R193" i="6"/>
  <c r="Q193" i="6"/>
  <c r="R376" i="6"/>
  <c r="Q376" i="6"/>
  <c r="R280" i="6"/>
  <c r="Q280" i="6"/>
  <c r="R260" i="6"/>
  <c r="Q260" i="6"/>
  <c r="Q172" i="6"/>
  <c r="R172" i="6"/>
  <c r="R367" i="6"/>
  <c r="Q367" i="6"/>
  <c r="R58" i="6"/>
  <c r="Q58" i="6"/>
  <c r="Q139" i="6"/>
  <c r="R139" i="6"/>
  <c r="R167" i="6"/>
  <c r="Q167" i="6"/>
  <c r="R26" i="6"/>
  <c r="Q26" i="6"/>
  <c r="R292" i="6"/>
  <c r="Q292" i="6"/>
  <c r="Q141" i="6"/>
  <c r="R141" i="6"/>
  <c r="I31" i="1"/>
  <c r="N31" i="1" s="1"/>
  <c r="O31" i="1" s="1"/>
  <c r="Q6" i="6"/>
  <c r="R6" i="6"/>
  <c r="R218" i="6"/>
  <c r="Q218" i="6"/>
  <c r="R18" i="6"/>
  <c r="Q18" i="6"/>
  <c r="R391" i="6"/>
  <c r="Q391" i="6"/>
  <c r="R361" i="6"/>
  <c r="Q361" i="6"/>
  <c r="R205" i="6"/>
  <c r="Q205" i="6"/>
  <c r="Q36" i="6"/>
  <c r="F33" i="1" s="1"/>
  <c r="R36" i="6"/>
  <c r="Q267" i="6"/>
  <c r="R267" i="6"/>
  <c r="Q176" i="6"/>
  <c r="R176" i="6"/>
  <c r="Q219" i="6"/>
  <c r="R219" i="6"/>
  <c r="R324" i="6"/>
  <c r="Q324" i="6"/>
  <c r="R377" i="6"/>
  <c r="Q377" i="6"/>
  <c r="Q56" i="6"/>
  <c r="R56" i="6"/>
  <c r="R303" i="6"/>
  <c r="Q303" i="6"/>
  <c r="R239" i="6"/>
  <c r="Q239" i="6"/>
  <c r="R77" i="6"/>
  <c r="H34" i="1" s="1"/>
  <c r="Q77" i="6"/>
  <c r="Q32" i="6"/>
  <c r="R32" i="6"/>
  <c r="R159" i="6"/>
  <c r="Q159" i="6"/>
  <c r="Q229" i="6"/>
  <c r="R229" i="6"/>
  <c r="H32" i="1"/>
  <c r="Q365" i="6"/>
  <c r="R365" i="6"/>
  <c r="R89" i="6"/>
  <c r="Q89" i="6"/>
  <c r="Q157" i="6"/>
  <c r="R157" i="6"/>
  <c r="R276" i="6"/>
  <c r="Q276" i="6"/>
  <c r="R311" i="6"/>
  <c r="Q311" i="6"/>
  <c r="R147" i="6"/>
  <c r="Q147" i="6"/>
  <c r="R371" i="6"/>
  <c r="Q371" i="6"/>
  <c r="R262" i="6"/>
  <c r="Q262" i="6"/>
  <c r="Q209" i="6"/>
  <c r="R209" i="6"/>
  <c r="Q131" i="6"/>
  <c r="R131" i="6"/>
  <c r="I32" i="1"/>
  <c r="R102" i="6"/>
  <c r="Q102" i="6"/>
  <c r="R143" i="6"/>
  <c r="Q143" i="6"/>
  <c r="R201" i="6"/>
  <c r="Q201" i="6"/>
  <c r="R10" i="6"/>
  <c r="Q10" i="6"/>
  <c r="R325" i="6"/>
  <c r="Q325" i="6"/>
  <c r="R107" i="6"/>
  <c r="Q107" i="6"/>
  <c r="S234" i="6"/>
  <c r="K35" i="1" s="1"/>
  <c r="K29" i="1"/>
  <c r="R335" i="6"/>
  <c r="Q335" i="6"/>
  <c r="R169" i="6"/>
  <c r="Q169" i="6"/>
  <c r="M35" i="1"/>
  <c r="R359" i="6"/>
  <c r="Q359" i="6"/>
  <c r="Q188" i="6"/>
  <c r="R188" i="6"/>
  <c r="Q259" i="6"/>
  <c r="R259" i="6"/>
  <c r="Q192" i="6"/>
  <c r="R192" i="6"/>
  <c r="R351" i="6"/>
  <c r="Q351" i="6"/>
  <c r="Q301" i="6"/>
  <c r="R301" i="6"/>
  <c r="Q238" i="6"/>
  <c r="R238" i="6"/>
  <c r="Q295" i="6"/>
  <c r="R295" i="6"/>
  <c r="Q226" i="6"/>
  <c r="R226" i="6"/>
  <c r="Q269" i="6"/>
  <c r="R269" i="6"/>
  <c r="F32" i="1"/>
  <c r="R152" i="6"/>
  <c r="Q152" i="6"/>
  <c r="Q117" i="6"/>
  <c r="R117" i="6"/>
  <c r="R151" i="6"/>
  <c r="Q151" i="6"/>
  <c r="R62" i="6"/>
  <c r="Q62" i="6"/>
  <c r="L32" i="1"/>
  <c r="F29" i="1"/>
  <c r="N29" i="1" s="1"/>
  <c r="O29" i="1" s="1"/>
  <c r="H35" i="1"/>
  <c r="R30" i="6"/>
  <c r="Q30" i="6"/>
  <c r="R155" i="6"/>
  <c r="Q155" i="6"/>
  <c r="R316" i="6"/>
  <c r="Q316" i="6"/>
  <c r="Q355" i="6"/>
  <c r="R355" i="6"/>
  <c r="K30" i="1"/>
  <c r="R379" i="6"/>
  <c r="Q379" i="6"/>
  <c r="R14" i="6"/>
  <c r="Q14" i="6"/>
  <c r="Q222" i="6"/>
  <c r="R222" i="6"/>
  <c r="K31" i="1"/>
  <c r="R210" i="6"/>
  <c r="Q210" i="6"/>
  <c r="Q149" i="6"/>
  <c r="R149" i="6"/>
  <c r="Q207" i="6"/>
  <c r="R207" i="6"/>
  <c r="R113" i="6"/>
  <c r="Q113" i="6"/>
  <c r="R70" i="6"/>
  <c r="Q70" i="6"/>
  <c r="Q97" i="6"/>
  <c r="R97" i="6"/>
  <c r="Q109" i="6"/>
  <c r="R109" i="6"/>
  <c r="R160" i="6"/>
  <c r="Q160" i="6"/>
  <c r="Q96" i="6"/>
  <c r="R96" i="6"/>
  <c r="R326" i="6"/>
  <c r="Q326" i="6"/>
  <c r="R127" i="6"/>
  <c r="Q127" i="6"/>
  <c r="I29" i="1"/>
  <c r="S131" i="6"/>
  <c r="I35" i="1" s="1"/>
  <c r="R59" i="6"/>
  <c r="Q59" i="6"/>
  <c r="R328" i="6"/>
  <c r="Q328" i="6"/>
  <c r="G35" i="1"/>
  <c r="R81" i="6"/>
  <c r="Q81" i="6"/>
  <c r="Q180" i="6"/>
  <c r="R180" i="6"/>
  <c r="R199" i="6"/>
  <c r="Q199" i="6"/>
  <c r="F35" i="1"/>
  <c r="M29" i="1"/>
  <c r="R38" i="6"/>
  <c r="Q38" i="6"/>
  <c r="R93" i="6"/>
  <c r="Q93" i="6"/>
  <c r="R191" i="6"/>
  <c r="Q191" i="6"/>
  <c r="R317" i="6"/>
  <c r="Q317" i="6"/>
  <c r="Q40" i="6"/>
  <c r="R40" i="6"/>
  <c r="G34" i="1" s="1"/>
  <c r="Q234" i="6"/>
  <c r="R234" i="6"/>
  <c r="K32" i="1"/>
  <c r="Q92" i="6"/>
  <c r="R92" i="6"/>
  <c r="R189" i="6"/>
  <c r="Q189" i="6"/>
  <c r="Q339" i="6"/>
  <c r="R339" i="6"/>
  <c r="R223" i="6"/>
  <c r="Q223" i="6"/>
  <c r="R266" i="6"/>
  <c r="Q266" i="6"/>
  <c r="R115" i="6"/>
  <c r="Q115" i="6"/>
  <c r="R383" i="6"/>
  <c r="Q383" i="6"/>
  <c r="R389" i="6"/>
  <c r="Q389" i="6"/>
  <c r="R221" i="6"/>
  <c r="Q221" i="6"/>
  <c r="R392" i="6"/>
  <c r="Q392" i="6"/>
  <c r="R206" i="6"/>
  <c r="Q206" i="6"/>
  <c r="R360" i="6"/>
  <c r="Q360" i="6"/>
  <c r="R375" i="6"/>
  <c r="Q375" i="6"/>
  <c r="L35" i="1"/>
  <c r="R372" i="6"/>
  <c r="Q372" i="6"/>
  <c r="R315" i="6"/>
  <c r="Q315" i="6"/>
  <c r="H29" i="1"/>
  <c r="R233" i="6"/>
  <c r="Q233" i="6"/>
  <c r="Q345" i="6"/>
  <c r="R345" i="6"/>
  <c r="R99" i="6"/>
  <c r="Q99" i="6"/>
  <c r="R341" i="6"/>
  <c r="Q341" i="6"/>
  <c r="G29" i="1"/>
  <c r="Q28" i="6"/>
  <c r="R28" i="6"/>
  <c r="R353" i="6"/>
  <c r="Q353" i="6"/>
  <c r="Q136" i="6"/>
  <c r="R136" i="6"/>
  <c r="R173" i="6"/>
  <c r="Q173" i="6"/>
  <c r="N28" i="1"/>
  <c r="O28" i="1" s="1"/>
  <c r="R363" i="6"/>
  <c r="Q363" i="6"/>
  <c r="Q44" i="6"/>
  <c r="R44" i="6"/>
  <c r="M32" i="1"/>
  <c r="R215" i="6"/>
  <c r="Q215" i="6"/>
  <c r="Q225" i="6"/>
  <c r="R225" i="6"/>
  <c r="G33" i="1" l="1"/>
  <c r="N30" i="1"/>
  <c r="O30" i="1" s="1"/>
  <c r="L33" i="1"/>
  <c r="L34" i="1"/>
  <c r="F34" i="1"/>
  <c r="H33" i="1"/>
  <c r="J34" i="1"/>
  <c r="I33" i="1"/>
  <c r="J33" i="1"/>
  <c r="I34" i="1"/>
  <c r="K34" i="1"/>
  <c r="K33" i="1"/>
  <c r="N32" i="1"/>
  <c r="O32" i="1" s="1"/>
  <c r="N35" i="1"/>
  <c r="O35" i="1" s="1"/>
  <c r="M33" i="1"/>
  <c r="M34" i="1"/>
  <c r="N34" i="1" l="1"/>
  <c r="O34" i="1" s="1"/>
  <c r="N33" i="1"/>
  <c r="O33" i="1" s="1"/>
</calcChain>
</file>

<file path=xl/sharedStrings.xml><?xml version="1.0" encoding="utf-8"?>
<sst xmlns="http://schemas.openxmlformats.org/spreadsheetml/2006/main" count="2518" uniqueCount="635">
  <si>
    <t>BẢNG TỔNG HỢP VẬT TƯ BÈ PIN — 9 BÈ HỒ HUỔI VANH (bản vẽ bè pin + kết cấu bè, HD lắp Mibet MRac G5)</t>
  </si>
  <si>
    <t>Nguồn: BV = lấy đúng bảng thống kê trên bản vẽ; ĐO = đo trên nét vẽ khung A101; ƯL = ước lượng theo thông số sheet GiaDinh (phải đối chiếu BOM nhà sản xuất)</t>
  </si>
  <si>
    <t>STT</t>
  </si>
  <si>
    <t>Hạng mục</t>
  </si>
  <si>
    <t>Hình minh họa (tài liệu Mibet)</t>
  </si>
  <si>
    <t>Đơn vị</t>
  </si>
  <si>
    <t>BÈ 1</t>
  </si>
  <si>
    <t>BÈ 2</t>
  </si>
  <si>
    <t>BÈ 3</t>
  </si>
  <si>
    <t>BÈ 3A</t>
  </si>
  <si>
    <t>BÈ 5A</t>
  </si>
  <si>
    <t>BÈ 6</t>
  </si>
  <si>
    <t>BÈ 7</t>
  </si>
  <si>
    <t>BÈ 8</t>
  </si>
  <si>
    <t>BÈ 9</t>
  </si>
  <si>
    <t>TỔNG</t>
  </si>
  <si>
    <t>Tổng có hao hụt</t>
  </si>
  <si>
    <t>Nguồn</t>
  </si>
  <si>
    <t>Ghi chú</t>
  </si>
  <si>
    <t>A. PIN, INVERTER, PHAO NỔI</t>
  </si>
  <si>
    <t>Tấm pin mặt trời</t>
  </si>
  <si>
    <t>tấm</t>
  </si>
  <si>
    <t>BV</t>
  </si>
  <si>
    <t>Tổng 18.354 tấm, khớp mặt bằng bố trí bè</t>
  </si>
  <si>
    <t>Inverter SG350HX</t>
  </si>
  <si>
    <t>(không có hình trong tài liệu)</t>
  </si>
  <si>
    <t>bộ</t>
  </si>
  <si>
    <t>Inverter SG-510HX</t>
  </si>
  <si>
    <t>Tổng 26 inverter</t>
  </si>
  <si>
    <t>Phao đỡ pin (Main Floater G5G)</t>
  </si>
  <si>
    <t>cái</t>
  </si>
  <si>
    <t>Phao đi lại (Walkway Floater) — nhóm 1</t>
  </si>
  <si>
    <t>Bản vẽ chia phao đi lại thành 2 dòng; cần nhà sản xuất xác nhận là 1 hay 2 loại phao</t>
  </si>
  <si>
    <t>Phao đi lại (Walkway Floater) — nhóm 2</t>
  </si>
  <si>
    <t>Tổng phao</t>
  </si>
  <si>
    <t>Bộ bulông nhựa nối phao</t>
  </si>
  <si>
    <t>ƯL</t>
  </si>
  <si>
    <t>= tổng phao × hệ số ở GiaDinh</t>
  </si>
  <si>
    <t>B. DẦM C52 (đặt trên rãnh phao)</t>
  </si>
  <si>
    <t>Dầm C52 — số thanh liên tục (bảng bản vẽ)</t>
  </si>
  <si>
    <t>thanh</t>
  </si>
  <si>
    <t>Đo lại được 79 thanh ở BÈ 1 và 35 ở BÈ 9 (một thanh vẽ đứt đoạn) — không đổi chiều dài</t>
  </si>
  <si>
    <t>Dầm C52 — chiều dài</t>
  </si>
  <si>
    <t>m</t>
  </si>
  <si>
    <t>ĐO</t>
  </si>
  <si>
    <t>Lệch bảng bản vẽ &lt; 0,1% (so ở sheet DuLieuBanVe)</t>
  </si>
  <si>
    <t>Dầm C52 — số cây cấp hàng</t>
  </si>
  <si>
    <t>cây</t>
  </si>
  <si>
    <t>Mỗi thanh cắt từ cây dài L_C52; thanh dài nhất 181 m (BÈ 8)</t>
  </si>
  <si>
    <t>Bộ nối dầm C52 (Splice for Beam-C)</t>
  </si>
  <si>
    <t>Nối đối đầu; mỗi bộ: 1 bản nối + 2 bulông M10×70 + 2 chốt M10×60 + đai ốc, long đen (tài liệu phụ kiện Mibet)</t>
  </si>
  <si>
    <t>Dầm C52 — khối lượng</t>
  </si>
  <si>
    <t>kg</t>
  </si>
  <si>
    <t>Theo tiết diện GIẢ ĐỊNH</t>
  </si>
  <si>
    <t>Bulông M8×35 bắt dầm C52 vào phao</t>
  </si>
  <si>
    <t>1 bộ tại mỗi chỗ dầm C52 vượt qua một hàng phao; BÈ 5A ước theo mật độ</t>
  </si>
  <si>
    <t>C. HỘP 40x60 KẾT CẤU (nằm ngang trên dầm C52, cách nhau 6 m)</t>
  </si>
  <si>
    <t>Hộp 40x60 — số thanh liên tục</t>
  </si>
  <si>
    <t>Khớp số thanh trên bảng bản vẽ</t>
  </si>
  <si>
    <t>Hộp 40x60 — chiều dài</t>
  </si>
  <si>
    <t>Thanh chạy suốt qua dải phao đi lại (bản vẽ che nét dưới dải phao)</t>
  </si>
  <si>
    <t>Hộp 40x60 — số cây cấp hàng</t>
  </si>
  <si>
    <t>Bộ nối hộp 40x60 (Splice for Square Steel)</t>
  </si>
  <si>
    <t>Nối đối đầu bằng bộ nối của nhà sản xuất (datasheet G5G); tài liệu Mibet không dùng nối chồng</t>
  </si>
  <si>
    <t>Hộp 40x60 — khối lượng</t>
  </si>
  <si>
    <t>Bulông M10×120 bắt hộp 40x60 vào dầm C52</t>
  </si>
  <si>
    <t>1 bộ tại mỗi giao điểm hộp – dầm C52 (HD lắp G5 bước 8)</t>
  </si>
  <si>
    <t>D. HỘP 40x60 GIA CƯỜNG TAI NEO (BÈ 1 theo bản vẽ; BÈ 2–9 ước tính theo cách bố trí của BÈ 1)</t>
  </si>
  <si>
    <t>Hộp 40x60 gia cường — số thanh</t>
  </si>
  <si>
    <t>BV/ƯL</t>
  </si>
  <si>
    <t>BÈ 1: bản vẽ A101. BÈ 2–9: sheet GiaCuong_UocTinh (từng cụm tai neo)</t>
  </si>
  <si>
    <t>Hộp 40x60 gia cường — chiều dài</t>
  </si>
  <si>
    <t>ĐO/ƯL</t>
  </si>
  <si>
    <t>BÈ 1: bảng bản vẽ ghi 134,51 m</t>
  </si>
  <si>
    <t>Hộp 40x60 gia cường — số cây cấp hàng</t>
  </si>
  <si>
    <t>Bộ nối hộp 40x60 (gia cường)</t>
  </si>
  <si>
    <t>Móc chữ "几" kẹp hộp vào dầm C52</t>
  </si>
  <si>
    <t>HD lắp G5 bước 8: hộp dùng làm điểm neo kẹp bằng móc "几" tại mọi giao điểm với C52</t>
  </si>
  <si>
    <t>Bộ đai ốc thoi M10×30 (cho móc "几")</t>
  </si>
  <si>
    <t>2 bộ mỗi móc</t>
  </si>
  <si>
    <t>Bulông M10×120 (hộp gia cường)</t>
  </si>
  <si>
    <t>1 bộ mỗi móc</t>
  </si>
  <si>
    <t>Hộp 40x60 gia cường — khối lượng</t>
  </si>
  <si>
    <t>E. GÁ ĐỠ VÀ KẸP TẤM PIN</t>
  </si>
  <si>
    <t>Gá trước (Front Support G5)</t>
  </si>
  <si>
    <t>Gá sau (Back Support G5)</t>
  </si>
  <si>
    <t>Bộ kẹp biên tấm pin (End Clamp Kit, bulông M8×30)</t>
  </si>
  <si>
    <t>Bộ kẹp tiếp địa tấm pin</t>
  </si>
  <si>
    <t>Bộ đai ốc thoi M8×25 + long đen lớn (gá vào C52)</t>
  </si>
  <si>
    <t>F. ĐIỂM NEO TRÊN BÈ</t>
  </si>
  <si>
    <t>Ma ní chữ U (U-Shaped Shackle) làm bích neo trên bè</t>
  </si>
  <si>
    <t>Cáp 2 nhánh chữ Y: 2 bích mỗi dây (590 cái), bắt vào hộp 40x60 gia cường; mắt nhánh cáp móc thẳng vào ma ní này</t>
  </si>
  <si>
    <t>SỐ LIỆU LẤY TỪ BẢN VẼ (bảng thống kê trên từng tờ) VÀ ĐO TRÊN BẢN VẼ KHUNG</t>
  </si>
  <si>
    <t>Mã</t>
  </si>
  <si>
    <t>PV</t>
  </si>
  <si>
    <t>Tấm pin (tấm)</t>
  </si>
  <si>
    <t>Bảng "SỐ TẤM PIN MẶT TRỜI THEO BÈ" (CT-BE..)</t>
  </si>
  <si>
    <t>DPV</t>
  </si>
  <si>
    <t>Dải pin (dải)</t>
  </si>
  <si>
    <t>Bảng "SỐ TẤM PIN MẶT TRỜI THEO BÈ"</t>
  </si>
  <si>
    <t>I350</t>
  </si>
  <si>
    <t>Inverter SG350HX (bộ)</t>
  </si>
  <si>
    <t>Bảng "INVESTER"</t>
  </si>
  <si>
    <t>I510</t>
  </si>
  <si>
    <t>Inverter SG-510HX (bộ)</t>
  </si>
  <si>
    <t>FS</t>
  </si>
  <si>
    <t>Phao đỡ pin — Main Floater (cái)</t>
  </si>
  <si>
    <t>Bảng "SỐ PHAO NỔI THEO BÈ", dòng "DẢI PHAO ĐỠ PIN"</t>
  </si>
  <si>
    <t>FWA</t>
  </si>
  <si>
    <t>Phao đi lại nhóm 1 (cái)</t>
  </si>
  <si>
    <t>Dòng "DẢI PHAO DI/ĐI LẠI" thứ nhất của bảng phao</t>
  </si>
  <si>
    <t>FWB</t>
  </si>
  <si>
    <t>Phao đi lại nhóm 2 (cái)</t>
  </si>
  <si>
    <t>Dòng "DẢI PHAO ĐI LẠI" thứ hai của bảng phao</t>
  </si>
  <si>
    <t>FT</t>
  </si>
  <si>
    <t>Tổng phao (cái)</t>
  </si>
  <si>
    <t>Khớp "Grand total" của bảng phao</t>
  </si>
  <si>
    <t>C52N_BV</t>
  </si>
  <si>
    <t>Dầm C52 — số thanh theo bảng bản vẽ</t>
  </si>
  <si>
    <t>Bảng "THỐNG KÊ KHUNG THÉP" (A101)</t>
  </si>
  <si>
    <t>C52L_BV</t>
  </si>
  <si>
    <t>Dầm C52 — chiều dài theo bảng bản vẽ (m)</t>
  </si>
  <si>
    <t>HN_BV</t>
  </si>
  <si>
    <t>Hộp 40x60 kết cấu — số thanh theo bảng bản vẽ</t>
  </si>
  <si>
    <t>HL_BV</t>
  </si>
  <si>
    <t>Hộp 40x60 kết cấu — chiều dài theo bảng bản vẽ (m)</t>
  </si>
  <si>
    <t>GL_BV</t>
  </si>
  <si>
    <t>Hộp 40x60 gia cường tai neo — chiều dài theo bảng bản vẽ (m)</t>
  </si>
  <si>
    <t>Chỉ BÈ 1 ("THANH GIA CƯỜNG 40X60")</t>
  </si>
  <si>
    <t>XF</t>
  </si>
  <si>
    <t>Giao dầm C52 × hàng phao (điểm)</t>
  </si>
  <si>
    <t>Đếm trên bản vẽ khung; BÈ 5A không vẽ lớp phao trên bản vẽ khung → ước theo mật độ trung bình (điểm/m dầm) của 8 bè còn lại</t>
  </si>
  <si>
    <t>LINE</t>
  </si>
  <si>
    <t>Số dây neo của bè (tuyến cáp)</t>
  </si>
  <si>
    <t>Mặt bằng neo 9 bè, phương án chốt (295 dây)</t>
  </si>
  <si>
    <t>DẦM C52 — TỪNG THANH (đo trên bản vẽ khung A101 của từng bè)</t>
  </si>
  <si>
    <t>Bè</t>
  </si>
  <si>
    <t>Thanh số</t>
  </si>
  <si>
    <t>Chiều dài thanh (m)</t>
  </si>
  <si>
    <t>Số cây cấp hàng</t>
  </si>
  <si>
    <t>Số mối nối (bộ nối C52)</t>
  </si>
  <si>
    <t>Phần thừa cây cuối (m)</t>
  </si>
  <si>
    <t>Khối lượng (kg)</t>
  </si>
  <si>
    <t>HỘP 40x60 KẾT CẤU — TỪNG THANH (đo trên bản vẽ khung A101)</t>
  </si>
  <si>
    <t>Số mối nối (bộ nối hộp)</t>
  </si>
  <si>
    <t>Giao với dầm C52 (điểm)</t>
  </si>
  <si>
    <t>Bulông M10×120 (bộ)</t>
  </si>
  <si>
    <t>BÈ 1 — HỘP 40x60 GIA CƯỜNG TAI NEO THEO BẢN VẼ A101 (đã thiết kế)</t>
  </si>
  <si>
    <t>Số mối nối</t>
  </si>
  <si>
    <t>Móc chữ "几" (cái)</t>
  </si>
  <si>
    <t>Bộ đai ốc thoi M10×30 (bộ)</t>
  </si>
  <si>
    <t>HỘP 40x60 GIA CƯỜNG TAI NEO — ƯỚC TÍNH CHO BÈ 2–9 THEO CÁCH BỐ TRÍ CỦA BÈ 1, CÁP 2 NHÁNH CHỮ Y (2 bích mỗi dây, cách nhau 3,5 m)</t>
  </si>
  <si>
    <t>Mỗi cụm tai neo một (hoặc vài) thanh hộp dài L_GC kẹp móc "几" vào mọi dầm C52 nó cắt qua. Số thanh = MAX(1; số dây × T × γ / (số giao C52 × P_KEP)). Các dòng "BÈ 1 (so sánh)" áp cùng quy tắc cho bè 1 để đối chiếu với bản vẽ, KHÔNG cộng vào tổng.</t>
  </si>
  <si>
    <t>Cụm</t>
  </si>
  <si>
    <t>Cách bố trí</t>
  </si>
  <si>
    <t>Bích trong cụm (mã dây + a/b)</t>
  </si>
  <si>
    <t>Số bích</t>
  </si>
  <si>
    <t>T dây (kN, gió 20 m/s, lực dây cân bằng 23/10/2026)</t>
  </si>
  <si>
    <t>Lực thiết kế cụm = số bích × K_Y × T × γ (kN)</t>
  </si>
  <si>
    <t>Khoảng cách dầm C52 (m)</t>
  </si>
  <si>
    <t>Dài 1 thanh (m)</t>
  </si>
  <si>
    <t>Giao C52 mỗi thanh</t>
  </si>
  <si>
    <t>Sức chịu 1 thanh (kN)</t>
  </si>
  <si>
    <t>Số thanh</t>
  </si>
  <si>
    <t>Tổng dài (m)</t>
  </si>
  <si>
    <t>Móc "几" (cái)</t>
  </si>
  <si>
    <t>Đai ốc thoi M10×30 (bộ)</t>
  </si>
  <si>
    <t>BÈ 1 (so sánh)</t>
  </si>
  <si>
    <t>Dọc cạnh (hộp song song mép bè, cách mép 1 hàng phao)</t>
  </si>
  <si>
    <t>B1-D12a, B1-D12b, B1-D11a, B1-D11b</t>
  </si>
  <si>
    <t>B1-D10a, B1-D10b, B1-D09a, B1-D09b</t>
  </si>
  <si>
    <t>B1-D08a, B1-D08b, B1-D07a, B1-D07b</t>
  </si>
  <si>
    <t>B1-D13a, B1-D13b</t>
  </si>
  <si>
    <t>Vuông góc cạnh (hộp chạy từ mép vào trong, cùng phương lực dây)</t>
  </si>
  <si>
    <t>B1-D15a</t>
  </si>
  <si>
    <t>B1-D15b</t>
  </si>
  <si>
    <t>B1-D19a</t>
  </si>
  <si>
    <t>B1-D19b</t>
  </si>
  <si>
    <t>B1-D18a, B1-D18b</t>
  </si>
  <si>
    <t>B1-D01a, B1-D01b, B1-D02a, B1-D03a, B1-D02b, B1-D03b</t>
  </si>
  <si>
    <t>B1-D17a, B1-D17b, B1-D04a</t>
  </si>
  <si>
    <t>B1-D04b, B1-D05a, B1-D05b, B1-D06a, B1-D06b</t>
  </si>
  <si>
    <t>B1-D14a</t>
  </si>
  <si>
    <t>B1-D14b</t>
  </si>
  <si>
    <t>B1-D16a</t>
  </si>
  <si>
    <t>B1-D16b</t>
  </si>
  <si>
    <t>B2-D11a, B2-D11b, B2-D16a</t>
  </si>
  <si>
    <t>B2-D16b, B2-D10a, B2-D10b</t>
  </si>
  <si>
    <t>B2-D09a, B2-D09b, B2-D08a, B2-D08b</t>
  </si>
  <si>
    <t>B2-D07a, B2-D07b, B2-D15a</t>
  </si>
  <si>
    <t>B2-D15b</t>
  </si>
  <si>
    <t>B2-D18a</t>
  </si>
  <si>
    <t>B2-D18b</t>
  </si>
  <si>
    <t>B2-D12a</t>
  </si>
  <si>
    <t>B2-D12b</t>
  </si>
  <si>
    <t>B2-D17a</t>
  </si>
  <si>
    <t>B2-D17b</t>
  </si>
  <si>
    <t>B2-D02a, B2-D02b, B2-D03a, B2-D03b</t>
  </si>
  <si>
    <t>B2-D19a, B2-D19b, B2-D04a, B2-D04b</t>
  </si>
  <si>
    <t>B2-D14a, B2-D14b, B2-D05a</t>
  </si>
  <si>
    <t>B2-D06a, B2-D05b, B2-D06b, B2-D01a, B2-D01b</t>
  </si>
  <si>
    <t>B2-D13a</t>
  </si>
  <si>
    <t>B2-D13b</t>
  </si>
  <si>
    <t>B2-D20a</t>
  </si>
  <si>
    <t>B2-D20b</t>
  </si>
  <si>
    <t>B3-D01a</t>
  </si>
  <si>
    <t>B3-D01b</t>
  </si>
  <si>
    <t>B3-D16a, B3-D16b</t>
  </si>
  <si>
    <t>B3-D17a</t>
  </si>
  <si>
    <t>B3-D22a</t>
  </si>
  <si>
    <t>B3-D17b</t>
  </si>
  <si>
    <t>B3-D22b</t>
  </si>
  <si>
    <t>B3-D13a</t>
  </si>
  <si>
    <t>B3-D13b</t>
  </si>
  <si>
    <t>B3-D07a, B3-D07b, B3-D18a, B3-D18b</t>
  </si>
  <si>
    <t>B3-D08a, B3-D08b, B3-D09a, B3-D09b, B3-D10a</t>
  </si>
  <si>
    <t>B3-D10b, B3-D11a</t>
  </si>
  <si>
    <t>B3-D11b</t>
  </si>
  <si>
    <t>B3-D15a</t>
  </si>
  <si>
    <t>B3-D15b</t>
  </si>
  <si>
    <t>B3-D21a</t>
  </si>
  <si>
    <t>B3-D21b</t>
  </si>
  <si>
    <t>B3-D12a</t>
  </si>
  <si>
    <t>B3-D12b</t>
  </si>
  <si>
    <t>B3-D20a</t>
  </si>
  <si>
    <t>B3-D20b</t>
  </si>
  <si>
    <t>B3-D14a</t>
  </si>
  <si>
    <t>B3-D14b</t>
  </si>
  <si>
    <t>B3-D05a, B3-D06a, B3-D05b, B3-D06b, B3-D04a, B3-D04b</t>
  </si>
  <si>
    <t>B3-D03a, B3-D03b, B3-D02a, B3-D02b</t>
  </si>
  <si>
    <t>B3-D19a, B3-D19b</t>
  </si>
  <si>
    <t>B3A-D16a</t>
  </si>
  <si>
    <t>B3A-D16b</t>
  </si>
  <si>
    <t>B3A-D17a</t>
  </si>
  <si>
    <t>B3A-D17b</t>
  </si>
  <si>
    <t>B3A-D18a</t>
  </si>
  <si>
    <t>B3A-D18b</t>
  </si>
  <si>
    <t>B3A-D19a, B3A-D19b, B3A-D20a, B3A-D20b</t>
  </si>
  <si>
    <t>B3A-D01a, B3A-D01b, B3A-D02a, B3A-D02b, B3A-D21a</t>
  </si>
  <si>
    <t>B3A-D21b, B3A-D22a, B3A-D22b</t>
  </si>
  <si>
    <t>B3A-D23a, B3A-D23b</t>
  </si>
  <si>
    <t>B3A-D24a</t>
  </si>
  <si>
    <t>B3A-D24b</t>
  </si>
  <si>
    <t>B3A-D25a</t>
  </si>
  <si>
    <t>B3A-D25b</t>
  </si>
  <si>
    <t>B3A-D26a</t>
  </si>
  <si>
    <t>B3A-D26b</t>
  </si>
  <si>
    <t>B3A-D27a</t>
  </si>
  <si>
    <t>B3A-D27b</t>
  </si>
  <si>
    <t>B3A-D03a</t>
  </si>
  <si>
    <t>B3A-D04a</t>
  </si>
  <si>
    <t>B3A-D06a</t>
  </si>
  <si>
    <t>B3A-D03b</t>
  </si>
  <si>
    <t>B3A-D04b</t>
  </si>
  <si>
    <t>B3A-D06b</t>
  </si>
  <si>
    <t>B3A-D28a, B3A-D28b</t>
  </si>
  <si>
    <t>B3A-D29a</t>
  </si>
  <si>
    <t>B3A-D29b</t>
  </si>
  <si>
    <t>B3A-D32a, B3A-D32b, B3A-D31a, B3A-D31b</t>
  </si>
  <si>
    <t>B3A-D30a, B3A-D30b</t>
  </si>
  <si>
    <t>B3A-D33a</t>
  </si>
  <si>
    <t>B3A-D33b</t>
  </si>
  <si>
    <t>B3A-D05a</t>
  </si>
  <si>
    <t>B3A-D05b</t>
  </si>
  <si>
    <t>B3A-D12a, B3A-D12b, B3A-D11a, B3A-D11b</t>
  </si>
  <si>
    <t>B3A-D10a, B3A-D10b, B3A-D09a, B3A-D09b</t>
  </si>
  <si>
    <t>B3A-D08a, B3A-D08b, B3A-D07a, B3A-D07b</t>
  </si>
  <si>
    <t>B3A-D35a, B3A-D35b, B3A-D34a, B3A-D34b</t>
  </si>
  <si>
    <t>B3A-D45a</t>
  </si>
  <si>
    <t>B3A-D45b</t>
  </si>
  <si>
    <t>B3A-D44a</t>
  </si>
  <si>
    <t>B3A-D44b</t>
  </si>
  <si>
    <t>B3A-D43a</t>
  </si>
  <si>
    <t>B3A-D43b</t>
  </si>
  <si>
    <t>B3A-D42a</t>
  </si>
  <si>
    <t>B3A-D42b</t>
  </si>
  <si>
    <t>B3A-D41a</t>
  </si>
  <si>
    <t>B3A-D41b</t>
  </si>
  <si>
    <t>B3A-D40a</t>
  </si>
  <si>
    <t>B3A-D40b</t>
  </si>
  <si>
    <t>B3A-D39a</t>
  </si>
  <si>
    <t>B3A-D39b</t>
  </si>
  <si>
    <t>B3A-D38a</t>
  </si>
  <si>
    <t>B3A-D38b</t>
  </si>
  <si>
    <t>B3A-D37a</t>
  </si>
  <si>
    <t>B3A-D37b</t>
  </si>
  <si>
    <t>B3A-D36a</t>
  </si>
  <si>
    <t>B3A-D36b</t>
  </si>
  <si>
    <t>B3A-D13a</t>
  </si>
  <si>
    <t>B3A-D14a</t>
  </si>
  <si>
    <t>B3A-D15a</t>
  </si>
  <si>
    <t>B3A-D13b</t>
  </si>
  <si>
    <t>B3A-D14b</t>
  </si>
  <si>
    <t>B3A-D15b</t>
  </si>
  <si>
    <t>B3A-D46a, B3A-D46b, B3A-D47a, B3A-D47b</t>
  </si>
  <si>
    <t>B3A-D48a, B3A-D48b, B3A-D49a, B3A-D49b</t>
  </si>
  <si>
    <t>B3A-D50a, B3A-D50b</t>
  </si>
  <si>
    <t>B5A-D10a</t>
  </si>
  <si>
    <t>B5A-D10b</t>
  </si>
  <si>
    <t>B5A-D07a</t>
  </si>
  <si>
    <t>B5A-D07b</t>
  </si>
  <si>
    <t>B5A-D06a</t>
  </si>
  <si>
    <t>B5A-D06b</t>
  </si>
  <si>
    <t>B5A-D08a</t>
  </si>
  <si>
    <t>B5A-D09a</t>
  </si>
  <si>
    <t>B5A-D08b</t>
  </si>
  <si>
    <t>B5A-D09b</t>
  </si>
  <si>
    <t>B5A-D11a, B5A-D11b, B5A-D12a, B5A-D12b</t>
  </si>
  <si>
    <t>B5A-D13a, B5A-D13b, B5A-D14a, B5A-D14b</t>
  </si>
  <si>
    <t>B5A-D15a, B5A-D15b, B5A-D16a, B5A-D16b</t>
  </si>
  <si>
    <t>B5A-D17a, B5A-D17b, B5A-D18a, B5A-D18b</t>
  </si>
  <si>
    <t>B5A-D19a, B5A-D19b, B5A-D20a, B5A-D20b</t>
  </si>
  <si>
    <t>B5A-D21a, B5A-D21b, B5A-D22a, B5A-D22b</t>
  </si>
  <si>
    <t>B5A-D23a</t>
  </si>
  <si>
    <t>B5A-D23b</t>
  </si>
  <si>
    <t>B5A-D24a</t>
  </si>
  <si>
    <t>B5A-D24b</t>
  </si>
  <si>
    <t>B5A-D25a</t>
  </si>
  <si>
    <t>B5A-D25b</t>
  </si>
  <si>
    <t>B5A-D26a</t>
  </si>
  <si>
    <t>B5A-D26b</t>
  </si>
  <si>
    <t>B5A-D27a</t>
  </si>
  <si>
    <t>B5A-D27b</t>
  </si>
  <si>
    <t>B5A-D28a</t>
  </si>
  <si>
    <t>B5A-D28b</t>
  </si>
  <si>
    <t>B5A-D29a</t>
  </si>
  <si>
    <t>B5A-D29b</t>
  </si>
  <si>
    <t>B5A-D30a</t>
  </si>
  <si>
    <t>B5A-D30b</t>
  </si>
  <si>
    <t>B5A-D31a</t>
  </si>
  <si>
    <t>B5A-D31b</t>
  </si>
  <si>
    <t>B5A-D32a</t>
  </si>
  <si>
    <t>B5A-D32b</t>
  </si>
  <si>
    <t>B5A-D01a</t>
  </si>
  <si>
    <t>B5A-D01b</t>
  </si>
  <si>
    <t>B5A-D41a, B5A-D41b, B5A-D40a, B5A-D40b</t>
  </si>
  <si>
    <t>B5A-D39a, B5A-D39b, B5A-D38a, B5A-D38b</t>
  </si>
  <si>
    <t>B5A-D37a, B5A-D37b, B5A-D36a, B5A-D36b</t>
  </si>
  <si>
    <t>B5A-D35a, B5A-D35b, B5A-D34a, B5A-D34b</t>
  </si>
  <si>
    <t>B5A-D33a, B5A-D33b</t>
  </si>
  <si>
    <t>B5A-D47a</t>
  </si>
  <si>
    <t>B5A-D47b</t>
  </si>
  <si>
    <t>B5A-D46a</t>
  </si>
  <si>
    <t>B5A-D46b</t>
  </si>
  <si>
    <t>B5A-D45a</t>
  </si>
  <si>
    <t>B5A-D45b</t>
  </si>
  <si>
    <t>B5A-D44a</t>
  </si>
  <si>
    <t>B5A-D44b</t>
  </si>
  <si>
    <t>B5A-D43a</t>
  </si>
  <si>
    <t>B5A-D43b</t>
  </si>
  <si>
    <t>B5A-D42a</t>
  </si>
  <si>
    <t>B5A-D42b</t>
  </si>
  <si>
    <t>B5A-D02a</t>
  </si>
  <si>
    <t>B5A-D02b</t>
  </si>
  <si>
    <t>B5A-D03a</t>
  </si>
  <si>
    <t>B5A-D04a</t>
  </si>
  <si>
    <t>B5A-D05a</t>
  </si>
  <si>
    <t>B5A-D03b</t>
  </si>
  <si>
    <t>B5A-D04b</t>
  </si>
  <si>
    <t>B5A-D05b</t>
  </si>
  <si>
    <t>B5A-D49a, B5A-D49b, B5A-D48a, B5A-D48b</t>
  </si>
  <si>
    <t>B6-D09a</t>
  </si>
  <si>
    <t>B6-D09b</t>
  </si>
  <si>
    <t>B6-D10a</t>
  </si>
  <si>
    <t>B6-D10b</t>
  </si>
  <si>
    <t>B6-D11a</t>
  </si>
  <si>
    <t>B6-D11b</t>
  </si>
  <si>
    <t>B6-D25a</t>
  </si>
  <si>
    <t>B6-D25b</t>
  </si>
  <si>
    <t>B6-D20a</t>
  </si>
  <si>
    <t>B6-D20b</t>
  </si>
  <si>
    <t>B6-D26a</t>
  </si>
  <si>
    <t>B6-D26b</t>
  </si>
  <si>
    <t>B6-D17a</t>
  </si>
  <si>
    <t>B6-D17b</t>
  </si>
  <si>
    <t>B6-D08a, B6-D08b, B6-D07a, B6-D07b</t>
  </si>
  <si>
    <t>B6-D06a, B6-D06b, B6-D24a</t>
  </si>
  <si>
    <t>B6-D24b, B6-D19a, B6-D19b</t>
  </si>
  <si>
    <t>B6-D27a, B6-D27b, B6-D31a, B6-D31b</t>
  </si>
  <si>
    <t>B6-D28a</t>
  </si>
  <si>
    <t>B6-D28b</t>
  </si>
  <si>
    <t>B6-D05a</t>
  </si>
  <si>
    <t>B6-D05b</t>
  </si>
  <si>
    <t>B6-D04a</t>
  </si>
  <si>
    <t>B6-D04b</t>
  </si>
  <si>
    <t>B6-D01a, B6-D16a, B6-D01b, B6-D16b</t>
  </si>
  <si>
    <t>B6-D22a, B6-D22b</t>
  </si>
  <si>
    <t>B6-D29a</t>
  </si>
  <si>
    <t>B6-D29b</t>
  </si>
  <si>
    <t>B6-D03a</t>
  </si>
  <si>
    <t>B6-D03b</t>
  </si>
  <si>
    <t>B6-D02a</t>
  </si>
  <si>
    <t>B6-D02b</t>
  </si>
  <si>
    <t>B6-D23a</t>
  </si>
  <si>
    <t>B6-D23b</t>
  </si>
  <si>
    <t>B6-D18a</t>
  </si>
  <si>
    <t>B6-D18b</t>
  </si>
  <si>
    <t>B6-D12a, B6-D12b, B6-D13a, B6-D13b</t>
  </si>
  <si>
    <t>B6-D14a, B6-D14b, B6-D15a, B6-D15b</t>
  </si>
  <si>
    <t>B6-D30a, B6-D30b, B6-D21a, B6-D21b</t>
  </si>
  <si>
    <t>B7-D01a, B7-D01b</t>
  </si>
  <si>
    <t>B7-D08a</t>
  </si>
  <si>
    <t>B7-D08b</t>
  </si>
  <si>
    <t>B7-D07a</t>
  </si>
  <si>
    <t>B7-D07b</t>
  </si>
  <si>
    <t>B7-D06a</t>
  </si>
  <si>
    <t>B7-D06b</t>
  </si>
  <si>
    <t>B7-D05a</t>
  </si>
  <si>
    <t>B7-D05b</t>
  </si>
  <si>
    <t>B7-D04a</t>
  </si>
  <si>
    <t>B7-D04b</t>
  </si>
  <si>
    <t>B7-D03a</t>
  </si>
  <si>
    <t>B7-D03b</t>
  </si>
  <si>
    <t>B7-D02a</t>
  </si>
  <si>
    <t>B7-D02b</t>
  </si>
  <si>
    <t>B7-D27a</t>
  </si>
  <si>
    <t>B7-D27b</t>
  </si>
  <si>
    <t>B7-D21a</t>
  </si>
  <si>
    <t>B7-D21b</t>
  </si>
  <si>
    <t>B7-D26a</t>
  </si>
  <si>
    <t>B7-D26b</t>
  </si>
  <si>
    <t>B7-D24a, B7-D24b</t>
  </si>
  <si>
    <t>B7-D20a, B7-D20b, B7-D33a</t>
  </si>
  <si>
    <t>B7-D33b, B7-D25a, B7-D25b</t>
  </si>
  <si>
    <t>B7-D10a</t>
  </si>
  <si>
    <t>B7-D10b</t>
  </si>
  <si>
    <t>B7-D11a</t>
  </si>
  <si>
    <t>B7-D12a</t>
  </si>
  <si>
    <t>B7-D11b</t>
  </si>
  <si>
    <t>B7-D12b</t>
  </si>
  <si>
    <t>B7-D13a</t>
  </si>
  <si>
    <t>B7-D13b</t>
  </si>
  <si>
    <t>B7-D29a</t>
  </si>
  <si>
    <t>B7-D29b</t>
  </si>
  <si>
    <t>B7-D14a</t>
  </si>
  <si>
    <t>B7-D14b</t>
  </si>
  <si>
    <t>B7-D15a</t>
  </si>
  <si>
    <t>B7-D15b</t>
  </si>
  <si>
    <t>B7-D16a</t>
  </si>
  <si>
    <t>B7-D16b</t>
  </si>
  <si>
    <t>B7-D17a</t>
  </si>
  <si>
    <t>B7-D17b</t>
  </si>
  <si>
    <t>B7-D18a</t>
  </si>
  <si>
    <t>B7-D18b</t>
  </si>
  <si>
    <t>B7-D23a, B7-D23b, B7-D32a, B7-D32b</t>
  </si>
  <si>
    <t>B7-D19a, B7-D19b, B7-D31a, B7-D31b</t>
  </si>
  <si>
    <t>B7-D22a, B7-D22b, B7-D30a, B7-D30b</t>
  </si>
  <si>
    <t>B7-D09a, B7-D09b</t>
  </si>
  <si>
    <t>B7-D28a</t>
  </si>
  <si>
    <t>B7-D28b</t>
  </si>
  <si>
    <t>B8-D11a</t>
  </si>
  <si>
    <t>B8-D10a</t>
  </si>
  <si>
    <t>B8-D11b</t>
  </si>
  <si>
    <t>B8-D10b</t>
  </si>
  <si>
    <t>B8-D27a</t>
  </si>
  <si>
    <t>B8-D27b</t>
  </si>
  <si>
    <t>B8-D09a</t>
  </si>
  <si>
    <t>B8-D09b</t>
  </si>
  <si>
    <t>B8-D08a</t>
  </si>
  <si>
    <t>B8-D08b</t>
  </si>
  <si>
    <t>B8-D07a</t>
  </si>
  <si>
    <t>B8-D07b</t>
  </si>
  <si>
    <t>B8-D26a</t>
  </si>
  <si>
    <t>B8-D26b</t>
  </si>
  <si>
    <t>B8-D06a</t>
  </si>
  <si>
    <t>B8-D06b</t>
  </si>
  <si>
    <t>B8-D05a</t>
  </si>
  <si>
    <t>B8-D05b</t>
  </si>
  <si>
    <t>B8-D25a</t>
  </si>
  <si>
    <t>B8-D25b</t>
  </si>
  <si>
    <t>B8-D24a</t>
  </si>
  <si>
    <t>B8-D24b</t>
  </si>
  <si>
    <t>B8-D23a</t>
  </si>
  <si>
    <t>B8-D23b</t>
  </si>
  <si>
    <t>B8-D17a</t>
  </si>
  <si>
    <t>B8-D17b</t>
  </si>
  <si>
    <t>B8-D22a</t>
  </si>
  <si>
    <t>B8-D22b</t>
  </si>
  <si>
    <t>B8-D16a</t>
  </si>
  <si>
    <t>B8-D16b</t>
  </si>
  <si>
    <t>B8-D21a</t>
  </si>
  <si>
    <t>B8-D21b</t>
  </si>
  <si>
    <t>B8-D18a</t>
  </si>
  <si>
    <t>B8-D19a</t>
  </si>
  <si>
    <t>B8-D20a</t>
  </si>
  <si>
    <t>B8-D18b</t>
  </si>
  <si>
    <t>B8-D19b</t>
  </si>
  <si>
    <t>B8-D20b</t>
  </si>
  <si>
    <t>B8-D28a, B8-D28b, B8-D29a, B8-D29b</t>
  </si>
  <si>
    <t>B8-D30a, B8-D30b, B8-D31a, B8-D31b</t>
  </si>
  <si>
    <t>B8-D32a, B8-D32b</t>
  </si>
  <si>
    <t>B8-D33a</t>
  </si>
  <si>
    <t>B8-D33b</t>
  </si>
  <si>
    <t>B8-D34a</t>
  </si>
  <si>
    <t>B8-D34b</t>
  </si>
  <si>
    <t>B8-D35a</t>
  </si>
  <si>
    <t>B8-D35b</t>
  </si>
  <si>
    <t>B8-D36a</t>
  </si>
  <si>
    <t>B8-D36b</t>
  </si>
  <si>
    <t>B8-D37a</t>
  </si>
  <si>
    <t>B8-D37b</t>
  </si>
  <si>
    <t>B8-D38a, B8-D38b, B8-D39a, B8-D39b</t>
  </si>
  <si>
    <t>B8-D01a, B8-D02a, B8-D03a, B8-D04a, B8-D01b, B8-D02b, B8-D03b, B8-D04b</t>
  </si>
  <si>
    <t>B8-D40a</t>
  </si>
  <si>
    <t>B8-D40b</t>
  </si>
  <si>
    <t>B8-D41a</t>
  </si>
  <si>
    <t>B8-D41b</t>
  </si>
  <si>
    <t>B8-D42a</t>
  </si>
  <si>
    <t>B8-D42b</t>
  </si>
  <si>
    <t>B8-D45a, B8-D45b, B8-D44a, B8-D44b</t>
  </si>
  <si>
    <t>B8-D43a, B8-D43b</t>
  </si>
  <si>
    <t>B8-D46a</t>
  </si>
  <si>
    <t>B8-D46b</t>
  </si>
  <si>
    <t>B8-D14a</t>
  </si>
  <si>
    <t>B8-D14b</t>
  </si>
  <si>
    <t>B8-D47a</t>
  </si>
  <si>
    <t>B8-D47b</t>
  </si>
  <si>
    <t>B8-D15a</t>
  </si>
  <si>
    <t>B8-D15b</t>
  </si>
  <si>
    <t>B8-D12a, B8-D12b, B8-D51a, B8-D51b</t>
  </si>
  <si>
    <t>B8-D50a, B8-D50b, B8-D49a, B8-D49b</t>
  </si>
  <si>
    <t>B8-D48a, B8-D48b, B8-D13a, B8-D13b</t>
  </si>
  <si>
    <t>B9-D18a</t>
  </si>
  <si>
    <t>B9-D18b</t>
  </si>
  <si>
    <t>B9-D08a</t>
  </si>
  <si>
    <t>B9-D08b</t>
  </si>
  <si>
    <t>B9-D20a</t>
  </si>
  <si>
    <t>B9-D20b</t>
  </si>
  <si>
    <t>B9-D10a</t>
  </si>
  <si>
    <t>B9-D09a</t>
  </si>
  <si>
    <t>B9-D10b</t>
  </si>
  <si>
    <t>B9-D09b</t>
  </si>
  <si>
    <t>B9-D19a</t>
  </si>
  <si>
    <t>B9-D19b</t>
  </si>
  <si>
    <t>B9-D11a</t>
  </si>
  <si>
    <t>B9-D11b</t>
  </si>
  <si>
    <t>B9-D12a</t>
  </si>
  <si>
    <t>B9-D12b</t>
  </si>
  <si>
    <t>B9-D13a</t>
  </si>
  <si>
    <t>B9-D13b</t>
  </si>
  <si>
    <t>B9-D14a</t>
  </si>
  <si>
    <t>B9-D14b</t>
  </si>
  <si>
    <t>B9-D16a, B9-D16b</t>
  </si>
  <si>
    <t>B9-D07a</t>
  </si>
  <si>
    <t>B9-D07b</t>
  </si>
  <si>
    <t>B9-D06a</t>
  </si>
  <si>
    <t>B9-D06b</t>
  </si>
  <si>
    <t>B9-D05a</t>
  </si>
  <si>
    <t>B9-D05b</t>
  </si>
  <si>
    <t>B9-D04a</t>
  </si>
  <si>
    <t>B9-D04b</t>
  </si>
  <si>
    <t>B9-D03a</t>
  </si>
  <si>
    <t>B9-D03b</t>
  </si>
  <si>
    <t>B9-D02a</t>
  </si>
  <si>
    <t>B9-D02b</t>
  </si>
  <si>
    <t>B9-D01a</t>
  </si>
  <si>
    <t>B9-D01b</t>
  </si>
  <si>
    <t>B9-D17a, B9-D17b, B9-D15a</t>
  </si>
  <si>
    <t>B9-D15b</t>
  </si>
  <si>
    <t>THÔNG SỐ GIẢ ĐỊNH — ô tô vàng là ô NHẬP, sửa là cả file tự tính lại</t>
  </si>
  <si>
    <t>Thông số</t>
  </si>
  <si>
    <t>Giá trị</t>
  </si>
  <si>
    <t>L_C52</t>
  </si>
  <si>
    <t>Chiều dài cây dầm C52 khi cấp hàng</t>
  </si>
  <si>
    <t>GIẢ ĐỊNH. HD lắp Mibet G5 (viết cho dự án khác, bước phao 3 m) dùng đoạn L2990 / L3750 — nếu cấp đoạn ~3 m thì số mối nối gần gấp đôi</t>
  </si>
  <si>
    <t>L_H</t>
  </si>
  <si>
    <t>Chiều dài cây hộp 40x60</t>
  </si>
  <si>
    <t>GIẢ ĐỊNH, cây thép hộp thương mại 6 m</t>
  </si>
  <si>
    <t>M_C52</t>
  </si>
  <si>
    <t>Khối lượng dầm C52</t>
  </si>
  <si>
    <t>kg/m</t>
  </si>
  <si>
    <t>GIẢ ĐỊNH tiết diện C 52×41×12×2,0 (chưa có catalogue nhà sản xuất)</t>
  </si>
  <si>
    <t>M_H</t>
  </si>
  <si>
    <t>Khối lượng hộp 40x60</t>
  </si>
  <si>
    <t>GIẢ ĐỊNH 40×60×2,0 (datasheet G5G: thép mạ Zn-Al-Mg S355, không ghi chiều dày)</t>
  </si>
  <si>
    <t>K_FS</t>
  </si>
  <si>
    <t>Gá trước (Front Support) mỗi tấm pin</t>
  </si>
  <si>
    <t>cái/tấm</t>
  </si>
  <si>
    <t>ƯỚC LƯỢNG theo HD lắp G5: tấm pin kẹp vào miệng gá trước và gá sau trên 2 dầm C52</t>
  </si>
  <si>
    <t>K_BS</t>
  </si>
  <si>
    <t>Gá sau (Back Support) mỗi tấm pin</t>
  </si>
  <si>
    <t>ƯỚC LƯỢNG</t>
  </si>
  <si>
    <t>K_EC</t>
  </si>
  <si>
    <t>Bộ kẹp biên tấm pin (End Clamp Kit) mỗi tấm</t>
  </si>
  <si>
    <t>bộ/tấm</t>
  </si>
  <si>
    <t>K_GC</t>
  </si>
  <si>
    <t>Bộ kẹp tiếp địa mỗi tấm</t>
  </si>
  <si>
    <t>ƯỚC LƯỢNG; HD: kẹp tiếp địa đặt theo đường chéo tấm</t>
  </si>
  <si>
    <t>K_RN8</t>
  </si>
  <si>
    <t>Bộ đai ốc thoi M8×25 bắt gá vào C52</t>
  </si>
  <si>
    <t>ƯỚC LƯỢNG = 1 bộ mỗi gá</t>
  </si>
  <si>
    <t>K_FB</t>
  </si>
  <si>
    <t>bộ/phao</t>
  </si>
  <si>
    <t>ƯỚC LƯỢNG (HD: các phao nối với nhau bằng bulông + đai ốc nhựa)</t>
  </si>
  <si>
    <t>HH</t>
  </si>
  <si>
    <t>Hao hụt phụ kiện, bulông</t>
  </si>
  <si>
    <t>%</t>
  </si>
  <si>
    <t>GIẢ ĐỊNH, chỉ cộng ở cột "Tổng có hao hụt"</t>
  </si>
  <si>
    <t>L_GC</t>
  </si>
  <si>
    <t>Chiều dài 1 thanh hộp 40x60 gia cường tai neo (bè 2–9)</t>
  </si>
  <si>
    <t>Theo BÈ 1: các thanh gia cường dài 13,4–15,5 m (bản vẽ A101 bè 1)</t>
  </si>
  <si>
    <t>P_KEP</t>
  </si>
  <si>
    <t>Sức chịu 1 móc "几" (2 đai ốc thoi M10×30 trong rãnh C52)</t>
  </si>
  <si>
    <t>kN</t>
  </si>
  <si>
    <t>GIẢ ĐỊNH — chưa có số liệu nhà sản xuất; quyết định số thanh xếp song song ở cụm chịu lực lớn</t>
  </si>
  <si>
    <t>GAMMA</t>
  </si>
  <si>
    <t>Hệ số tải trọng cho lực dây</t>
  </si>
  <si>
    <t>Như kiểm tra cọc (pileBendingLoadFactor)</t>
  </si>
  <si>
    <t>K_Y</t>
  </si>
  <si>
    <t>Phần lực dây vào MỘT bích (cáp 2 nhánh chữ Y)</t>
  </si>
  <si>
    <t>× T</t>
  </si>
  <si>
    <t>Chia đều ở góc 60°: 0,58 T; lấy 0,7 T vì 2 nhánh có thể dài lệch nhau (cùng giả định với bảng order neo)</t>
  </si>
  <si>
    <t>GHI CHÚ, NGUỒN SỐ LIỆU VÀ CÁC ĐIỂM CẦN XÁC NHẬN</t>
  </si>
  <si>
    <t>1</t>
  </si>
  <si>
    <t>Nguồn: "HỒ SƠ BÈ PIN VÀ KẾT CẤU BÈ.pdf" (18 tờ: CT-BE01…CT-BE09 bố trí pin/phao, A101 khung kết cấu từng bè), "Mibet Installation Guide – MRac Floating System – Main Floater G5", tài liệu phụ kiện Mibet và datasheet G5G.</t>
  </si>
  <si>
    <t>2</t>
  </si>
  <si>
    <t>Số tấm pin, phao, inverter lấy NGUYÊN bảng thống kê trên bản vẽ. Chiều dài từng thanh dầm C52 và hộp 40x60 đo lại trên nét vẽ khung A101 theo tỷ lệ in trên tờ: tổng khớp bảng "THỐNG KÊ KHUNG THÉP" với sai lệch dưới 0,1% ở cả 9 bè.</t>
  </si>
  <si>
    <t>3</t>
  </si>
  <si>
    <t>Bản vẽ chỉ có thanh LIÊN TỤC (BÈ 8 có dầm C52 dài 181 m). Theo tài liệu Mibet, thép chỉ nối ĐỐI ĐẦU bằng phụ kiện của nhà sản xuất (C52: Splice for Beam-C, HD lắp G5 bước 5 và 10; hộp 40x60: Splice for Square Steel, datasheet G5G), không nối chồng. Bảng giả định cấp cây 6 m; đổi chiều dài cây ở sheet GiaDinh.</t>
  </si>
  <si>
    <t>4</t>
  </si>
  <si>
    <t>HD lắp Mibet G5 (viết cho dự án khác) dùng đoạn C52 L2990 và L3750. Nếu nhà sản xuất cấp C52 theo đoạn ~3 m thì nhập L_C52 = 3 ở GiaDinh: số bộ nối C52 tăng gần gấp đôi.</t>
  </si>
  <si>
    <t>5</t>
  </si>
  <si>
    <t>Khối lượng thép theo tiết diện GIẢ ĐỊNH (C52 ≈ 2,36 kg/m; hộp 40×60×2,0 ≈ 3,01 kg/m) vì chưa có catalogue tiết diện của nhà sản xuất.</t>
  </si>
  <si>
    <t>6</t>
  </si>
  <si>
    <t>Bulông M8×35 (C52 – phao): đếm mỗi chỗ dầm C52 vượt qua một hàng phao trên bản vẽ khung. Bản vẽ khung BÈ 5A không vẽ lớp phao nên ước theo mật độ trung bình (điểm/m dầm) của 8 bè còn lại.</t>
  </si>
  <si>
    <t>7</t>
  </si>
  <si>
    <t>Bulông M10×120 (hộp – C52): một bộ mỗi giao điểm hộp 40x60 với dầm C52, đếm trên bản vẽ. Hộp gia cường tai neo của BÈ 1 dùng móc "几" + 2 đai ốc thoi M10×30 tại mọi giao điểm (HD bước 8).</t>
  </si>
  <si>
    <t>8</t>
  </si>
  <si>
    <t>Gá đỡ, kẹp tấm pin, bulông nối phao là ƯỚC LƯỢNG theo hệ số mỗi tấm / mỗi phao (sheet GiaDinh) — phải thay bằng BOM của nhà sản xuất khi có.</t>
  </si>
  <si>
    <t>9</t>
  </si>
  <si>
    <t>Chỉ BÈ 1 đã có bản vẽ hộp 40x60 gia cường tai neo (9 thanh, 134,51 m, vẽ cho dây đơn theo bố trí dây cũ). BÈ 2–9 ƯỚC TÍNH (sheet GiaCuong_UocTinh) cho phương án cáp 2 NHÁNH CHỮ Y (Chủ đầu tư chọn 16/10/2026): mỗi dây 2 bích cách nhau 3,5 m dọc mép bè, mỗi bích chịu K_Y × T = 0,7 T. Bích trên cạnh song song với hộp 40x60 → các bích trong đoạn 20 m dùng chung 1 thanh dọc cạnh; bích trên cạnh vuông góc → mỗi bích 1 thanh chạy từ mép vào trong theo phương lực. Số thanh xếp song song tăng khi lực cụm (số bích × 0,7 T × 1,2) vượt sức chịu các móc "几" (P_KEP GIẢ ĐỊNH 7 kN/móc). Dòng "BÈ 1 (so sánh)" áp cùng quy tắc cho bè 1, không cộng vào tổng — bản vẽ bè 1 cần vẽ lại cho 2 bích mỗi dây.</t>
  </si>
  <si>
    <t>10</t>
  </si>
  <si>
    <t>Chưa gồm: cáp neo, phụ kiện đầu cáp, cọc khoan nhồi và đế neo (xem bảng tính phương án chốt), cáp điện DC/AC, máng cáp, tủ điện, tấm lối đi (Walkway Board) nếu có, vận chuyển.</t>
  </si>
  <si>
    <t>Hình minh họa ở cột C của TongHop cắt từ tài liệu nhà sản xuất: Mibet Installation Guide MRac G5 (trang 3, 7, 9, 11, 14, 16), Mibet Detail Accessories Assembly Instructions (trang 1, 3) và datasheet G5G. Hình chỉ để nhận dạng loại vật tư, không phải bản vẽ chế tạo; inverter và tổng phao không có hình trong tài liệu.</t>
  </si>
  <si>
    <t>Cập nhật 23/10/2026: lực dây T ở sheet GiaCuong_UocTinh lấy theo lực dây mới của bảng tính phương án chốt (cân bằng tĩnh của bè trên từng dây theo mực nước, chỉnh dây mỗi khi mực nước đổi 1 m): BÈ 1 64,0, BÈ 2 67,5, BÈ 3 70,5, BÈ 3A 150,3, BÈ 5A 87,3, BÈ 6 86,0, BÈ 7 69,0, BÈ 8 65,6, BÈ 9 100,3 kN. Số thanh hộp gia cường, móc "几", bulông tính lại theo lực này; phần bè pin khác không đổi.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</si>
</sst>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b/>
      <sz val="12"/>
      <color theme="1"/>
      <name val="Calibri"/>
      <family val="2"/>
      <scheme val="minor"/>
    </font>
    <font>
      <b/>
      <sz val="13"/>
      <color theme="1"/>
      <name val="Calibri"/>
      <family val="2"/>
      <scheme val="minor"/>
    </font>
    <font>
      <i/>
      <sz val="8"/>
      <color theme="1"/>
      <name val="Calibri"/>
      <family val="2"/>
      <scheme val="minor"/>
    </font>
  </fonts>
  <fills count="5">
    <fill>
      <patternFill patternType="none"/>
    </fill>
    <fill>
      <patternFill patternType="gray125"/>
    </fill>
    <fill>
      <patternFill patternType="solid">
        <fgColor rgb="FFF2F2F2"/>
        <bgColor indexed="64"/>
      </patternFill>
    </fill>
    <fill>
      <patternFill patternType="solid">
        <fgColor rgb="FFFFFF99"/>
        <bgColor indexed="64"/>
      </patternFill>
    </fill>
    <fill>
      <patternFill patternType="solid">
        <fgColor rgb="FFD9D9D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0">
    <xf numFmtId="0" fontId="0" fillId="0" borderId="0" xfId="0"/>
    <xf numFmtId="0" fontId="2" fillId="0" borderId="0" xfId="0" applyFont="1"/>
    <xf numFmtId="0" fontId="1" fillId="0" borderId="0" xfId="0" applyFont="1"/>
    <xf numFmtId="0" fontId="1" fillId="2" borderId="0" xfId="0" applyFont="1" applyFill="1" applyAlignment="1">
      <alignment wrapText="1"/>
    </xf>
    <xf numFmtId="0" fontId="0" fillId="3" borderId="0" xfId="0" applyFill="1"/>
    <xf numFmtId="4" fontId="0" fillId="0" borderId="0" xfId="0" applyNumberFormat="1"/>
    <xf numFmtId="0" fontId="1" fillId="2" borderId="1" xfId="0" applyFont="1" applyFill="1" applyBorder="1" applyAlignment="1">
      <alignment wrapText="1"/>
    </xf>
    <xf numFmtId="0" fontId="0" fillId="0" borderId="0" xfId="0" applyAlignment="1">
      <alignment wrapText="1"/>
    </xf>
    <xf numFmtId="0" fontId="1" fillId="4" borderId="1" xfId="0" applyFont="1" applyFill="1" applyBorder="1" applyAlignment="1">
      <alignment vertical="center"/>
    </xf>
    <xf numFmtId="3" fontId="1" fillId="4" borderId="1" xfId="0" applyNumberFormat="1" applyFont="1" applyFill="1" applyBorder="1" applyAlignment="1">
      <alignment vertical="center"/>
    </xf>
    <xf numFmtId="0" fontId="1" fillId="4" borderId="1" xfId="0" applyFont="1" applyFill="1" applyBorder="1" applyAlignment="1">
      <alignment vertical="center" wrapText="1"/>
    </xf>
    <xf numFmtId="0" fontId="0" fillId="0" borderId="1" xfId="0" applyBorder="1" applyAlignment="1">
      <alignment vertical="center"/>
    </xf>
    <xf numFmtId="3" fontId="0" fillId="0" borderId="1" xfId="0" applyNumberFormat="1" applyBorder="1" applyAlignment="1">
      <alignment vertical="center"/>
    </xf>
    <xf numFmtId="0" fontId="0" fillId="0" borderId="1" xfId="0" applyBorder="1" applyAlignment="1">
      <alignment vertical="center" wrapText="1"/>
    </xf>
    <xf numFmtId="0" fontId="3" fillId="0" borderId="1" xfId="0" applyFont="1" applyBorder="1" applyAlignment="1">
      <alignment vertical="center"/>
    </xf>
    <xf numFmtId="4" fontId="0" fillId="0" borderId="1" xfId="0" applyNumberFormat="1" applyBorder="1" applyAlignment="1">
      <alignment vertical="center"/>
    </xf>
    <xf numFmtId="0" fontId="0" fillId="0" borderId="0" xfId="0" applyAlignment="1">
      <alignment vertical="center"/>
    </xf>
    <xf numFmtId="0" fontId="0" fillId="0" borderId="0" xfId="0" applyAlignment="1">
      <alignment vertical="center" wrapText="1"/>
    </xf>
    <xf numFmtId="0" fontId="0" fillId="0" borderId="0" xfId="0"/>
    <xf numFmtId="0" fontId="2" fillId="0" borderId="0" xfId="0"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jpe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2</xdr:col>
      <xdr:colOff>224763</xdr:colOff>
      <xdr:row>7</xdr:row>
      <xdr:rowOff>25400</xdr:rowOff>
    </xdr:from>
    <xdr:to>
      <xdr:col>2</xdr:col>
      <xdr:colOff>1496088</xdr:colOff>
      <xdr:row>7</xdr:row>
      <xdr:rowOff>965200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1" cstate="print"/>
        <a:stretch>
          <a:fillRect/>
        </a:stretch>
      </xdr:blipFill>
      <xdr:spPr>
        <a:xfrm>
          <a:off x="5304763" y="2781300"/>
          <a:ext cx="1271325" cy="939800"/>
        </a:xfrm>
        <a:prstGeom prst="rect">
          <a:avLst/>
        </a:prstGeom>
        <a:ln>
          <a:prstDash val="solid"/>
        </a:ln>
      </xdr:spPr>
    </xdr:pic>
    <xdr:clientData/>
  </xdr:twoCellAnchor>
  <xdr:twoCellAnchor>
    <xdr:from>
      <xdr:col>2</xdr:col>
      <xdr:colOff>190169</xdr:colOff>
      <xdr:row>8</xdr:row>
      <xdr:rowOff>25400</xdr:rowOff>
    </xdr:from>
    <xdr:to>
      <xdr:col>2</xdr:col>
      <xdr:colOff>1530682</xdr:colOff>
      <xdr:row>8</xdr:row>
      <xdr:rowOff>965200</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cstate="print"/>
        <a:stretch>
          <a:fillRect/>
        </a:stretch>
      </xdr:blipFill>
      <xdr:spPr>
        <a:xfrm>
          <a:off x="5270169" y="3771900"/>
          <a:ext cx="1340513" cy="939800"/>
        </a:xfrm>
        <a:prstGeom prst="rect">
          <a:avLst/>
        </a:prstGeom>
        <a:ln>
          <a:prstDash val="solid"/>
        </a:ln>
      </xdr:spPr>
    </xdr:pic>
    <xdr:clientData/>
  </xdr:twoCellAnchor>
  <xdr:twoCellAnchor>
    <xdr:from>
      <xdr:col>2</xdr:col>
      <xdr:colOff>289554</xdr:colOff>
      <xdr:row>11</xdr:row>
      <xdr:rowOff>25400</xdr:rowOff>
    </xdr:from>
    <xdr:to>
      <xdr:col>2</xdr:col>
      <xdr:colOff>1431295</xdr:colOff>
      <xdr:row>11</xdr:row>
      <xdr:rowOff>965200</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3" cstate="print"/>
        <a:stretch>
          <a:fillRect/>
        </a:stretch>
      </xdr:blipFill>
      <xdr:spPr>
        <a:xfrm>
          <a:off x="5369554" y="6134100"/>
          <a:ext cx="1141741" cy="939800"/>
        </a:xfrm>
        <a:prstGeom prst="rect">
          <a:avLst/>
        </a:prstGeom>
        <a:ln>
          <a:prstDash val="solid"/>
        </a:ln>
      </xdr:spPr>
    </xdr:pic>
    <xdr:clientData/>
  </xdr:twoCellAnchor>
  <xdr:twoCellAnchor>
    <xdr:from>
      <xdr:col>2</xdr:col>
      <xdr:colOff>253471</xdr:colOff>
      <xdr:row>13</xdr:row>
      <xdr:rowOff>25400</xdr:rowOff>
    </xdr:from>
    <xdr:to>
      <xdr:col>2</xdr:col>
      <xdr:colOff>1467380</xdr:colOff>
      <xdr:row>13</xdr:row>
      <xdr:rowOff>965200</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4" cstate="print"/>
        <a:stretch>
          <a:fillRect/>
        </a:stretch>
      </xdr:blipFill>
      <xdr:spPr>
        <a:xfrm>
          <a:off x="5333471" y="7321550"/>
          <a:ext cx="1213909" cy="939800"/>
        </a:xfrm>
        <a:prstGeom prst="rect">
          <a:avLst/>
        </a:prstGeom>
        <a:ln>
          <a:prstDash val="solid"/>
        </a:ln>
      </xdr:spPr>
    </xdr:pic>
    <xdr:clientData/>
  </xdr:twoCellAnchor>
  <xdr:twoCellAnchor>
    <xdr:from>
      <xdr:col>2</xdr:col>
      <xdr:colOff>253471</xdr:colOff>
      <xdr:row>14</xdr:row>
      <xdr:rowOff>25400</xdr:rowOff>
    </xdr:from>
    <xdr:to>
      <xdr:col>2</xdr:col>
      <xdr:colOff>1467380</xdr:colOff>
      <xdr:row>14</xdr:row>
      <xdr:rowOff>965200</xdr:rowOff>
    </xdr:to>
    <xdr:pic>
      <xdr:nvPicPr>
        <xdr:cNvPr id="15" name="Picture 14">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4" cstate="print"/>
        <a:stretch>
          <a:fillRect/>
        </a:stretch>
      </xdr:blipFill>
      <xdr:spPr>
        <a:xfrm>
          <a:off x="5333471" y="8312150"/>
          <a:ext cx="1213909" cy="939800"/>
        </a:xfrm>
        <a:prstGeom prst="rect">
          <a:avLst/>
        </a:prstGeom>
        <a:ln>
          <a:prstDash val="solid"/>
        </a:ln>
      </xdr:spPr>
    </xdr:pic>
    <xdr:clientData/>
  </xdr:twoCellAnchor>
  <xdr:twoCellAnchor>
    <xdr:from>
      <xdr:col>2</xdr:col>
      <xdr:colOff>253471</xdr:colOff>
      <xdr:row>15</xdr:row>
      <xdr:rowOff>25400</xdr:rowOff>
    </xdr:from>
    <xdr:to>
      <xdr:col>2</xdr:col>
      <xdr:colOff>1467380</xdr:colOff>
      <xdr:row>15</xdr:row>
      <xdr:rowOff>965200</xdr:rowOff>
    </xdr:to>
    <xdr:pic>
      <xdr:nvPicPr>
        <xdr:cNvPr id="17" name="Picture 16">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4" cstate="print"/>
        <a:stretch>
          <a:fillRect/>
        </a:stretch>
      </xdr:blipFill>
      <xdr:spPr>
        <a:xfrm>
          <a:off x="5333471" y="9302750"/>
          <a:ext cx="1213909" cy="939800"/>
        </a:xfrm>
        <a:prstGeom prst="rect">
          <a:avLst/>
        </a:prstGeom>
        <a:ln>
          <a:prstDash val="solid"/>
        </a:ln>
      </xdr:spPr>
    </xdr:pic>
    <xdr:clientData/>
  </xdr:twoCellAnchor>
  <xdr:twoCellAnchor>
    <xdr:from>
      <xdr:col>2</xdr:col>
      <xdr:colOff>283492</xdr:colOff>
      <xdr:row>16</xdr:row>
      <xdr:rowOff>25400</xdr:rowOff>
    </xdr:from>
    <xdr:to>
      <xdr:col>2</xdr:col>
      <xdr:colOff>1437358</xdr:colOff>
      <xdr:row>16</xdr:row>
      <xdr:rowOff>965200</xdr:rowOff>
    </xdr:to>
    <xdr:pic>
      <xdr:nvPicPr>
        <xdr:cNvPr id="19" name="Picture 18">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5" cstate="print"/>
        <a:stretch>
          <a:fillRect/>
        </a:stretch>
      </xdr:blipFill>
      <xdr:spPr>
        <a:xfrm>
          <a:off x="5363492" y="10293350"/>
          <a:ext cx="1153866" cy="939800"/>
        </a:xfrm>
        <a:prstGeom prst="rect">
          <a:avLst/>
        </a:prstGeom>
        <a:ln>
          <a:prstDash val="solid"/>
        </a:ln>
      </xdr:spPr>
    </xdr:pic>
    <xdr:clientData/>
  </xdr:twoCellAnchor>
  <xdr:twoCellAnchor>
    <xdr:from>
      <xdr:col>2</xdr:col>
      <xdr:colOff>253471</xdr:colOff>
      <xdr:row>17</xdr:row>
      <xdr:rowOff>25400</xdr:rowOff>
    </xdr:from>
    <xdr:to>
      <xdr:col>2</xdr:col>
      <xdr:colOff>1467380</xdr:colOff>
      <xdr:row>17</xdr:row>
      <xdr:rowOff>965200</xdr:rowOff>
    </xdr:to>
    <xdr:pic>
      <xdr:nvPicPr>
        <xdr:cNvPr id="21" name="Picture 20">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4" cstate="print"/>
        <a:stretch>
          <a:fillRect/>
        </a:stretch>
      </xdr:blipFill>
      <xdr:spPr>
        <a:xfrm>
          <a:off x="5333471" y="11283950"/>
          <a:ext cx="1213909" cy="939800"/>
        </a:xfrm>
        <a:prstGeom prst="rect">
          <a:avLst/>
        </a:prstGeom>
        <a:ln>
          <a:prstDash val="solid"/>
        </a:ln>
      </xdr:spPr>
    </xdr:pic>
    <xdr:clientData/>
  </xdr:twoCellAnchor>
  <xdr:twoCellAnchor>
    <xdr:from>
      <xdr:col>2</xdr:col>
      <xdr:colOff>352444</xdr:colOff>
      <xdr:row>18</xdr:row>
      <xdr:rowOff>25400</xdr:rowOff>
    </xdr:from>
    <xdr:to>
      <xdr:col>2</xdr:col>
      <xdr:colOff>1368405</xdr:colOff>
      <xdr:row>18</xdr:row>
      <xdr:rowOff>965200</xdr:rowOff>
    </xdr:to>
    <xdr:pic>
      <xdr:nvPicPr>
        <xdr:cNvPr id="23" name="Picture 22">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6" cstate="print"/>
        <a:stretch>
          <a:fillRect/>
        </a:stretch>
      </xdr:blipFill>
      <xdr:spPr>
        <a:xfrm>
          <a:off x="5432444" y="12274550"/>
          <a:ext cx="1015961" cy="939800"/>
        </a:xfrm>
        <a:prstGeom prst="rect">
          <a:avLst/>
        </a:prstGeom>
        <a:ln>
          <a:prstDash val="solid"/>
        </a:ln>
      </xdr:spPr>
    </xdr:pic>
    <xdr:clientData/>
  </xdr:twoCellAnchor>
  <xdr:twoCellAnchor>
    <xdr:from>
      <xdr:col>2</xdr:col>
      <xdr:colOff>223322</xdr:colOff>
      <xdr:row>20</xdr:row>
      <xdr:rowOff>25400</xdr:rowOff>
    </xdr:from>
    <xdr:to>
      <xdr:col>2</xdr:col>
      <xdr:colOff>1497529</xdr:colOff>
      <xdr:row>20</xdr:row>
      <xdr:rowOff>965200</xdr:rowOff>
    </xdr:to>
    <xdr:pic>
      <xdr:nvPicPr>
        <xdr:cNvPr id="25" name="Picture 24">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7" cstate="print"/>
        <a:stretch>
          <a:fillRect/>
        </a:stretch>
      </xdr:blipFill>
      <xdr:spPr>
        <a:xfrm>
          <a:off x="5303322" y="13462000"/>
          <a:ext cx="1274207" cy="939800"/>
        </a:xfrm>
        <a:prstGeom prst="rect">
          <a:avLst/>
        </a:prstGeom>
        <a:ln>
          <a:prstDash val="solid"/>
        </a:ln>
      </xdr:spPr>
    </xdr:pic>
    <xdr:clientData/>
  </xdr:twoCellAnchor>
  <xdr:twoCellAnchor>
    <xdr:from>
      <xdr:col>2</xdr:col>
      <xdr:colOff>223322</xdr:colOff>
      <xdr:row>21</xdr:row>
      <xdr:rowOff>25400</xdr:rowOff>
    </xdr:from>
    <xdr:to>
      <xdr:col>2</xdr:col>
      <xdr:colOff>1497529</xdr:colOff>
      <xdr:row>21</xdr:row>
      <xdr:rowOff>965200</xdr:rowOff>
    </xdr:to>
    <xdr:pic>
      <xdr:nvPicPr>
        <xdr:cNvPr id="27" name="Picture 26">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7" cstate="print"/>
        <a:stretch>
          <a:fillRect/>
        </a:stretch>
      </xdr:blipFill>
      <xdr:spPr>
        <a:xfrm>
          <a:off x="5303322" y="14452600"/>
          <a:ext cx="1274207" cy="939800"/>
        </a:xfrm>
        <a:prstGeom prst="rect">
          <a:avLst/>
        </a:prstGeom>
        <a:ln>
          <a:prstDash val="solid"/>
        </a:ln>
      </xdr:spPr>
    </xdr:pic>
    <xdr:clientData/>
  </xdr:twoCellAnchor>
  <xdr:twoCellAnchor>
    <xdr:from>
      <xdr:col>2</xdr:col>
      <xdr:colOff>223322</xdr:colOff>
      <xdr:row>22</xdr:row>
      <xdr:rowOff>25400</xdr:rowOff>
    </xdr:from>
    <xdr:to>
      <xdr:col>2</xdr:col>
      <xdr:colOff>1497529</xdr:colOff>
      <xdr:row>22</xdr:row>
      <xdr:rowOff>965200</xdr:rowOff>
    </xdr:to>
    <xdr:pic>
      <xdr:nvPicPr>
        <xdr:cNvPr id="29" name="Picture 28">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7" cstate="print"/>
        <a:stretch>
          <a:fillRect/>
        </a:stretch>
      </xdr:blipFill>
      <xdr:spPr>
        <a:xfrm>
          <a:off x="5303322" y="15443200"/>
          <a:ext cx="1274207" cy="939800"/>
        </a:xfrm>
        <a:prstGeom prst="rect">
          <a:avLst/>
        </a:prstGeom>
        <a:ln>
          <a:prstDash val="solid"/>
        </a:ln>
      </xdr:spPr>
    </xdr:pic>
    <xdr:clientData/>
  </xdr:twoCellAnchor>
  <xdr:twoCellAnchor>
    <xdr:from>
      <xdr:col>2</xdr:col>
      <xdr:colOff>348523</xdr:colOff>
      <xdr:row>23</xdr:row>
      <xdr:rowOff>25400</xdr:rowOff>
    </xdr:from>
    <xdr:to>
      <xdr:col>2</xdr:col>
      <xdr:colOff>1372328</xdr:colOff>
      <xdr:row>23</xdr:row>
      <xdr:rowOff>965200</xdr:rowOff>
    </xdr:to>
    <xdr:pic>
      <xdr:nvPicPr>
        <xdr:cNvPr id="31" name="Picture 30">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8"/>
        <a:stretch>
          <a:fillRect/>
        </a:stretch>
      </xdr:blipFill>
      <xdr:spPr>
        <a:xfrm>
          <a:off x="5428523" y="16433800"/>
          <a:ext cx="1023805" cy="939800"/>
        </a:xfrm>
        <a:prstGeom prst="rect">
          <a:avLst/>
        </a:prstGeom>
        <a:ln>
          <a:prstDash val="solid"/>
        </a:ln>
      </xdr:spPr>
    </xdr:pic>
    <xdr:clientData/>
  </xdr:twoCellAnchor>
  <xdr:twoCellAnchor>
    <xdr:from>
      <xdr:col>2</xdr:col>
      <xdr:colOff>223322</xdr:colOff>
      <xdr:row>24</xdr:row>
      <xdr:rowOff>25400</xdr:rowOff>
    </xdr:from>
    <xdr:to>
      <xdr:col>2</xdr:col>
      <xdr:colOff>1497529</xdr:colOff>
      <xdr:row>24</xdr:row>
      <xdr:rowOff>965200</xdr:rowOff>
    </xdr:to>
    <xdr:pic>
      <xdr:nvPicPr>
        <xdr:cNvPr id="33" name="Picture 32">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7" cstate="print"/>
        <a:stretch>
          <a:fillRect/>
        </a:stretch>
      </xdr:blipFill>
      <xdr:spPr>
        <a:xfrm>
          <a:off x="5303322" y="17424400"/>
          <a:ext cx="1274207" cy="939800"/>
        </a:xfrm>
        <a:prstGeom prst="rect">
          <a:avLst/>
        </a:prstGeom>
        <a:ln>
          <a:prstDash val="solid"/>
        </a:ln>
      </xdr:spPr>
    </xdr:pic>
    <xdr:clientData/>
  </xdr:twoCellAnchor>
  <xdr:twoCellAnchor>
    <xdr:from>
      <xdr:col>2</xdr:col>
      <xdr:colOff>521363</xdr:colOff>
      <xdr:row>25</xdr:row>
      <xdr:rowOff>25400</xdr:rowOff>
    </xdr:from>
    <xdr:to>
      <xdr:col>2</xdr:col>
      <xdr:colOff>1199487</xdr:colOff>
      <xdr:row>25</xdr:row>
      <xdr:rowOff>965200</xdr:rowOff>
    </xdr:to>
    <xdr:pic>
      <xdr:nvPicPr>
        <xdr:cNvPr id="35" name="Picture 34">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9" cstate="print"/>
        <a:stretch>
          <a:fillRect/>
        </a:stretch>
      </xdr:blipFill>
      <xdr:spPr>
        <a:xfrm>
          <a:off x="5601363" y="18415000"/>
          <a:ext cx="678124" cy="939800"/>
        </a:xfrm>
        <a:prstGeom prst="rect">
          <a:avLst/>
        </a:prstGeom>
        <a:ln>
          <a:prstDash val="solid"/>
        </a:ln>
      </xdr:spPr>
    </xdr:pic>
    <xdr:clientData/>
  </xdr:twoCellAnchor>
  <xdr:twoCellAnchor>
    <xdr:from>
      <xdr:col>2</xdr:col>
      <xdr:colOff>307389</xdr:colOff>
      <xdr:row>27</xdr:row>
      <xdr:rowOff>25400</xdr:rowOff>
    </xdr:from>
    <xdr:to>
      <xdr:col>2</xdr:col>
      <xdr:colOff>1413461</xdr:colOff>
      <xdr:row>27</xdr:row>
      <xdr:rowOff>965200</xdr:rowOff>
    </xdr:to>
    <xdr:pic>
      <xdr:nvPicPr>
        <xdr:cNvPr id="37" name="Picture 3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 cstate="print"/>
        <a:stretch>
          <a:fillRect/>
        </a:stretch>
      </xdr:blipFill>
      <xdr:spPr>
        <a:xfrm>
          <a:off x="5387389" y="19602450"/>
          <a:ext cx="1106072" cy="939800"/>
        </a:xfrm>
        <a:prstGeom prst="rect">
          <a:avLst/>
        </a:prstGeom>
        <a:ln>
          <a:prstDash val="solid"/>
        </a:ln>
      </xdr:spPr>
    </xdr:pic>
    <xdr:clientData/>
  </xdr:twoCellAnchor>
  <xdr:twoCellAnchor>
    <xdr:from>
      <xdr:col>2</xdr:col>
      <xdr:colOff>307389</xdr:colOff>
      <xdr:row>28</xdr:row>
      <xdr:rowOff>25400</xdr:rowOff>
    </xdr:from>
    <xdr:to>
      <xdr:col>2</xdr:col>
      <xdr:colOff>1413461</xdr:colOff>
      <xdr:row>28</xdr:row>
      <xdr:rowOff>965200</xdr:rowOff>
    </xdr:to>
    <xdr:pic>
      <xdr:nvPicPr>
        <xdr:cNvPr id="39" name="Picture 38">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10" cstate="print"/>
        <a:stretch>
          <a:fillRect/>
        </a:stretch>
      </xdr:blipFill>
      <xdr:spPr>
        <a:xfrm>
          <a:off x="5387389" y="20593050"/>
          <a:ext cx="1106072" cy="939800"/>
        </a:xfrm>
        <a:prstGeom prst="rect">
          <a:avLst/>
        </a:prstGeom>
        <a:ln>
          <a:prstDash val="solid"/>
        </a:ln>
      </xdr:spPr>
    </xdr:pic>
    <xdr:clientData/>
  </xdr:twoCellAnchor>
  <xdr:twoCellAnchor>
    <xdr:from>
      <xdr:col>2</xdr:col>
      <xdr:colOff>307389</xdr:colOff>
      <xdr:row>29</xdr:row>
      <xdr:rowOff>25400</xdr:rowOff>
    </xdr:from>
    <xdr:to>
      <xdr:col>2</xdr:col>
      <xdr:colOff>1413461</xdr:colOff>
      <xdr:row>29</xdr:row>
      <xdr:rowOff>965200</xdr:rowOff>
    </xdr:to>
    <xdr:pic>
      <xdr:nvPicPr>
        <xdr:cNvPr id="41" name="Picture 40">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 cstate="print"/>
        <a:stretch>
          <a:fillRect/>
        </a:stretch>
      </xdr:blipFill>
      <xdr:spPr>
        <a:xfrm>
          <a:off x="5387389" y="21583650"/>
          <a:ext cx="1106072" cy="939800"/>
        </a:xfrm>
        <a:prstGeom prst="rect">
          <a:avLst/>
        </a:prstGeom>
        <a:ln>
          <a:prstDash val="solid"/>
        </a:ln>
      </xdr:spPr>
    </xdr:pic>
    <xdr:clientData/>
  </xdr:twoCellAnchor>
  <xdr:twoCellAnchor>
    <xdr:from>
      <xdr:col>2</xdr:col>
      <xdr:colOff>348523</xdr:colOff>
      <xdr:row>30</xdr:row>
      <xdr:rowOff>25400</xdr:rowOff>
    </xdr:from>
    <xdr:to>
      <xdr:col>2</xdr:col>
      <xdr:colOff>1372328</xdr:colOff>
      <xdr:row>30</xdr:row>
      <xdr:rowOff>965200</xdr:rowOff>
    </xdr:to>
    <xdr:pic>
      <xdr:nvPicPr>
        <xdr:cNvPr id="43" name="Picture 42">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8"/>
        <a:stretch>
          <a:fillRect/>
        </a:stretch>
      </xdr:blipFill>
      <xdr:spPr>
        <a:xfrm>
          <a:off x="5428523" y="22574250"/>
          <a:ext cx="1023805" cy="939800"/>
        </a:xfrm>
        <a:prstGeom prst="rect">
          <a:avLst/>
        </a:prstGeom>
        <a:ln>
          <a:prstDash val="solid"/>
        </a:ln>
      </xdr:spPr>
    </xdr:pic>
    <xdr:clientData/>
  </xdr:twoCellAnchor>
  <xdr:twoCellAnchor>
    <xdr:from>
      <xdr:col>2</xdr:col>
      <xdr:colOff>219347</xdr:colOff>
      <xdr:row>31</xdr:row>
      <xdr:rowOff>25400</xdr:rowOff>
    </xdr:from>
    <xdr:to>
      <xdr:col>2</xdr:col>
      <xdr:colOff>1501503</xdr:colOff>
      <xdr:row>31</xdr:row>
      <xdr:rowOff>965200</xdr:rowOff>
    </xdr:to>
    <xdr:pic>
      <xdr:nvPicPr>
        <xdr:cNvPr id="45" name="Picture 44">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1" cstate="print"/>
        <a:stretch>
          <a:fillRect/>
        </a:stretch>
      </xdr:blipFill>
      <xdr:spPr>
        <a:xfrm>
          <a:off x="5299347" y="23564850"/>
          <a:ext cx="1282156" cy="939800"/>
        </a:xfrm>
        <a:prstGeom prst="rect">
          <a:avLst/>
        </a:prstGeom>
        <a:ln>
          <a:prstDash val="solid"/>
        </a:ln>
      </xdr:spPr>
    </xdr:pic>
    <xdr:clientData/>
  </xdr:twoCellAnchor>
  <xdr:twoCellAnchor>
    <xdr:from>
      <xdr:col>2</xdr:col>
      <xdr:colOff>219347</xdr:colOff>
      <xdr:row>32</xdr:row>
      <xdr:rowOff>25400</xdr:rowOff>
    </xdr:from>
    <xdr:to>
      <xdr:col>2</xdr:col>
      <xdr:colOff>1501503</xdr:colOff>
      <xdr:row>32</xdr:row>
      <xdr:rowOff>965200</xdr:rowOff>
    </xdr:to>
    <xdr:pic>
      <xdr:nvPicPr>
        <xdr:cNvPr id="47" name="Picture 46">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11" cstate="print"/>
        <a:stretch>
          <a:fillRect/>
        </a:stretch>
      </xdr:blipFill>
      <xdr:spPr>
        <a:xfrm>
          <a:off x="5299347" y="24555450"/>
          <a:ext cx="1282156" cy="939800"/>
        </a:xfrm>
        <a:prstGeom prst="rect">
          <a:avLst/>
        </a:prstGeom>
        <a:ln>
          <a:prstDash val="solid"/>
        </a:ln>
      </xdr:spPr>
    </xdr:pic>
    <xdr:clientData/>
  </xdr:twoCellAnchor>
  <xdr:twoCellAnchor>
    <xdr:from>
      <xdr:col>2</xdr:col>
      <xdr:colOff>521363</xdr:colOff>
      <xdr:row>33</xdr:row>
      <xdr:rowOff>25400</xdr:rowOff>
    </xdr:from>
    <xdr:to>
      <xdr:col>2</xdr:col>
      <xdr:colOff>1199487</xdr:colOff>
      <xdr:row>33</xdr:row>
      <xdr:rowOff>965200</xdr:rowOff>
    </xdr:to>
    <xdr:pic>
      <xdr:nvPicPr>
        <xdr:cNvPr id="49" name="Picture 48">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9" cstate="print"/>
        <a:stretch>
          <a:fillRect/>
        </a:stretch>
      </xdr:blipFill>
      <xdr:spPr>
        <a:xfrm>
          <a:off x="5601363" y="25546050"/>
          <a:ext cx="678124" cy="939800"/>
        </a:xfrm>
        <a:prstGeom prst="rect">
          <a:avLst/>
        </a:prstGeom>
        <a:ln>
          <a:prstDash val="solid"/>
        </a:ln>
      </xdr:spPr>
    </xdr:pic>
    <xdr:clientData/>
  </xdr:twoCellAnchor>
  <xdr:twoCellAnchor>
    <xdr:from>
      <xdr:col>2</xdr:col>
      <xdr:colOff>307389</xdr:colOff>
      <xdr:row>34</xdr:row>
      <xdr:rowOff>25400</xdr:rowOff>
    </xdr:from>
    <xdr:to>
      <xdr:col>2</xdr:col>
      <xdr:colOff>1413461</xdr:colOff>
      <xdr:row>34</xdr:row>
      <xdr:rowOff>965200</xdr:rowOff>
    </xdr:to>
    <xdr:pic>
      <xdr:nvPicPr>
        <xdr:cNvPr id="51" name="Picture 50">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10" cstate="print"/>
        <a:stretch>
          <a:fillRect/>
        </a:stretch>
      </xdr:blipFill>
      <xdr:spPr>
        <a:xfrm>
          <a:off x="5387389" y="26536650"/>
          <a:ext cx="1106072" cy="939800"/>
        </a:xfrm>
        <a:prstGeom prst="rect">
          <a:avLst/>
        </a:prstGeom>
        <a:ln>
          <a:prstDash val="solid"/>
        </a:ln>
      </xdr:spPr>
    </xdr:pic>
    <xdr:clientData/>
  </xdr:twoCellAnchor>
  <xdr:twoCellAnchor>
    <xdr:from>
      <xdr:col>2</xdr:col>
      <xdr:colOff>180079</xdr:colOff>
      <xdr:row>36</xdr:row>
      <xdr:rowOff>25400</xdr:rowOff>
    </xdr:from>
    <xdr:to>
      <xdr:col>2</xdr:col>
      <xdr:colOff>1540771</xdr:colOff>
      <xdr:row>36</xdr:row>
      <xdr:rowOff>965200</xdr:rowOff>
    </xdr:to>
    <xdr:pic>
      <xdr:nvPicPr>
        <xdr:cNvPr id="53" name="Picture 52">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12" cstate="print"/>
        <a:stretch>
          <a:fillRect/>
        </a:stretch>
      </xdr:blipFill>
      <xdr:spPr>
        <a:xfrm>
          <a:off x="5260079" y="27724100"/>
          <a:ext cx="1360692" cy="939800"/>
        </a:xfrm>
        <a:prstGeom prst="rect">
          <a:avLst/>
        </a:prstGeom>
        <a:ln>
          <a:prstDash val="solid"/>
        </a:ln>
      </xdr:spPr>
    </xdr:pic>
    <xdr:clientData/>
  </xdr:twoCellAnchor>
  <xdr:twoCellAnchor>
    <xdr:from>
      <xdr:col>2</xdr:col>
      <xdr:colOff>284797</xdr:colOff>
      <xdr:row>37</xdr:row>
      <xdr:rowOff>25400</xdr:rowOff>
    </xdr:from>
    <xdr:to>
      <xdr:col>2</xdr:col>
      <xdr:colOff>1436052</xdr:colOff>
      <xdr:row>37</xdr:row>
      <xdr:rowOff>965200</xdr:rowOff>
    </xdr:to>
    <xdr:pic>
      <xdr:nvPicPr>
        <xdr:cNvPr id="55" name="Picture 54">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3" cstate="print"/>
        <a:stretch>
          <a:fillRect/>
        </a:stretch>
      </xdr:blipFill>
      <xdr:spPr>
        <a:xfrm>
          <a:off x="5364797" y="28714700"/>
          <a:ext cx="1151255" cy="939800"/>
        </a:xfrm>
        <a:prstGeom prst="rect">
          <a:avLst/>
        </a:prstGeom>
        <a:ln>
          <a:prstDash val="solid"/>
        </a:ln>
      </xdr:spPr>
    </xdr:pic>
    <xdr:clientData/>
  </xdr:twoCellAnchor>
  <xdr:twoCellAnchor>
    <xdr:from>
      <xdr:col>2</xdr:col>
      <xdr:colOff>244334</xdr:colOff>
      <xdr:row>38</xdr:row>
      <xdr:rowOff>25400</xdr:rowOff>
    </xdr:from>
    <xdr:to>
      <xdr:col>2</xdr:col>
      <xdr:colOff>1476516</xdr:colOff>
      <xdr:row>38</xdr:row>
      <xdr:rowOff>965200</xdr:rowOff>
    </xdr:to>
    <xdr:pic>
      <xdr:nvPicPr>
        <xdr:cNvPr id="57" name="Picture 56">
          <a:extLst>
            <a:ext uri="{FF2B5EF4-FFF2-40B4-BE49-F238E27FC236}">
              <a16:creationId xmlns:a16="http://schemas.microsoft.com/office/drawing/2014/main" id="{00000000-0008-0000-0000-000039000000}"/>
            </a:ext>
          </a:extLst>
        </xdr:cNvPr>
        <xdr:cNvPicPr>
          <a:picLocks noChangeAspect="1"/>
        </xdr:cNvPicPr>
      </xdr:nvPicPr>
      <xdr:blipFill>
        <a:blip xmlns:r="http://schemas.openxmlformats.org/officeDocument/2006/relationships" r:embed="rId14" cstate="print"/>
        <a:stretch>
          <a:fillRect/>
        </a:stretch>
      </xdr:blipFill>
      <xdr:spPr>
        <a:xfrm>
          <a:off x="5324334" y="29705300"/>
          <a:ext cx="1232182" cy="939800"/>
        </a:xfrm>
        <a:prstGeom prst="rect">
          <a:avLst/>
        </a:prstGeom>
        <a:ln>
          <a:prstDash val="solid"/>
        </a:ln>
      </xdr:spPr>
    </xdr:pic>
    <xdr:clientData/>
  </xdr:twoCellAnchor>
  <xdr:twoCellAnchor>
    <xdr:from>
      <xdr:col>2</xdr:col>
      <xdr:colOff>160274</xdr:colOff>
      <xdr:row>4</xdr:row>
      <xdr:rowOff>25400</xdr:rowOff>
    </xdr:from>
    <xdr:to>
      <xdr:col>2</xdr:col>
      <xdr:colOff>1560576</xdr:colOff>
      <xdr:row>4</xdr:row>
      <xdr:rowOff>965200</xdr:rowOff>
    </xdr:to>
    <xdr:pic>
      <xdr:nvPicPr>
        <xdr:cNvPr id="59" name="Picture 58">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15" cstate="print"/>
        <a:stretch>
          <a:fillRect/>
        </a:stretch>
      </xdr:blipFill>
      <xdr:spPr>
        <a:xfrm>
          <a:off x="5240274" y="30695900"/>
          <a:ext cx="1400302" cy="939800"/>
        </a:xfrm>
        <a:prstGeom prst="rect">
          <a:avLst/>
        </a:prstGeom>
        <a:ln>
          <a:prstDash val="solid"/>
        </a:ln>
      </xdr:spPr>
    </xdr:pic>
    <xdr:clientData/>
  </xdr:twoCellAnchor>
  <xdr:twoCellAnchor>
    <xdr:from>
      <xdr:col>2</xdr:col>
      <xdr:colOff>326782</xdr:colOff>
      <xdr:row>40</xdr:row>
      <xdr:rowOff>25400</xdr:rowOff>
    </xdr:from>
    <xdr:to>
      <xdr:col>2</xdr:col>
      <xdr:colOff>1394068</xdr:colOff>
      <xdr:row>40</xdr:row>
      <xdr:rowOff>965200</xdr:rowOff>
    </xdr:to>
    <xdr:pic>
      <xdr:nvPicPr>
        <xdr:cNvPr id="61" name="Picture 60">
          <a:extLst>
            <a:ext uri="{FF2B5EF4-FFF2-40B4-BE49-F238E27FC236}">
              <a16:creationId xmlns:a16="http://schemas.microsoft.com/office/drawing/2014/main" id="{00000000-0008-0000-0000-00003D000000}"/>
            </a:ext>
          </a:extLst>
        </xdr:cNvPr>
        <xdr:cNvPicPr>
          <a:picLocks noChangeAspect="1"/>
        </xdr:cNvPicPr>
      </xdr:nvPicPr>
      <xdr:blipFill>
        <a:blip xmlns:r="http://schemas.openxmlformats.org/officeDocument/2006/relationships" r:embed="rId16" cstate="print"/>
        <a:stretch>
          <a:fillRect/>
        </a:stretch>
      </xdr:blipFill>
      <xdr:spPr>
        <a:xfrm>
          <a:off x="5406782" y="31686500"/>
          <a:ext cx="1067286" cy="939800"/>
        </a:xfrm>
        <a:prstGeom prst="rect">
          <a:avLst/>
        </a:prstGeom>
        <a:ln>
          <a:prstDash val="solid"/>
        </a:ln>
      </xdr:spPr>
    </xdr:pic>
    <xdr:clientData/>
  </xdr:twoCellAnchor>
  <xdr:twoCellAnchor>
    <xdr:from>
      <xdr:col>2</xdr:col>
      <xdr:colOff>296361</xdr:colOff>
      <xdr:row>42</xdr:row>
      <xdr:rowOff>25400</xdr:rowOff>
    </xdr:from>
    <xdr:to>
      <xdr:col>2</xdr:col>
      <xdr:colOff>1424490</xdr:colOff>
      <xdr:row>42</xdr:row>
      <xdr:rowOff>965200</xdr:rowOff>
    </xdr:to>
    <xdr:pic>
      <xdr:nvPicPr>
        <xdr:cNvPr id="63" name="Picture 62">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17" cstate="print"/>
        <a:stretch>
          <a:fillRect/>
        </a:stretch>
      </xdr:blipFill>
      <xdr:spPr>
        <a:xfrm>
          <a:off x="5376361" y="32873950"/>
          <a:ext cx="1128129" cy="939800"/>
        </a:xfrm>
        <a:prstGeom prst="rect">
          <a:avLst/>
        </a:prstGeom>
        <a:ln>
          <a:prstDash val="solid"/>
        </a:ln>
      </xdr:spPr>
    </xdr:pic>
    <xdr:clientData/>
  </xdr:twoCellAnchor>
  <xdr:twoCellAnchor>
    <xdr:from>
      <xdr:col>2</xdr:col>
      <xdr:colOff>224763</xdr:colOff>
      <xdr:row>9</xdr:row>
      <xdr:rowOff>25400</xdr:rowOff>
    </xdr:from>
    <xdr:to>
      <xdr:col>2</xdr:col>
      <xdr:colOff>1496088</xdr:colOff>
      <xdr:row>9</xdr:row>
      <xdr:rowOff>965200</xdr:rowOff>
    </xdr:to>
    <xdr:pic>
      <xdr:nvPicPr>
        <xdr:cNvPr id="34" name="Picture 33">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1" cstate="print"/>
        <a:stretch>
          <a:fillRect/>
        </a:stretch>
      </xdr:blipFill>
      <xdr:spPr>
        <a:xfrm>
          <a:off x="5304763" y="2781300"/>
          <a:ext cx="1271325" cy="939800"/>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45"/>
  <sheetViews>
    <sheetView topLeftCell="A25" workbookViewId="0">
      <selection activeCell="C5" sqref="C5"/>
    </sheetView>
  </sheetViews>
  <sheetFormatPr defaultRowHeight="15.5" x14ac:dyDescent="0.35"/>
  <cols>
    <col min="1" max="1" width="5.83203125" customWidth="1"/>
    <col min="2" max="2" width="60.83203125" customWidth="1"/>
    <col min="3" max="3" width="22.58203125" customWidth="1"/>
    <col min="4" max="4" width="7.83203125" customWidth="1"/>
    <col min="5" max="13" width="10.83203125" customWidth="1"/>
    <col min="14" max="14" width="11.83203125" customWidth="1"/>
    <col min="15" max="15" width="12.83203125" customWidth="1"/>
    <col min="16" max="16" width="7.83203125" customWidth="1"/>
    <col min="17" max="17" width="95.83203125" customWidth="1"/>
  </cols>
  <sheetData>
    <row r="1" spans="1:17" ht="17" customHeight="1" x14ac:dyDescent="0.4">
      <c r="A1" s="19" t="s">
        <v>0</v>
      </c>
      <c r="B1" s="18"/>
      <c r="C1" s="18"/>
      <c r="D1" s="18"/>
      <c r="E1" s="18"/>
      <c r="F1" s="18"/>
      <c r="G1" s="18"/>
      <c r="H1" s="18"/>
      <c r="I1" s="18"/>
      <c r="J1" s="18"/>
      <c r="K1" s="18"/>
      <c r="L1" s="18"/>
      <c r="M1" s="18"/>
      <c r="N1" s="18"/>
      <c r="O1" s="18"/>
      <c r="P1" s="18"/>
      <c r="Q1" s="18"/>
    </row>
    <row r="2" spans="1:17" x14ac:dyDescent="0.35">
      <c r="A2" s="18" t="s">
        <v>1</v>
      </c>
      <c r="B2" s="18"/>
      <c r="C2" s="18"/>
      <c r="D2" s="18"/>
      <c r="E2" s="18"/>
      <c r="F2" s="18"/>
      <c r="G2" s="18"/>
      <c r="H2" s="18"/>
      <c r="I2" s="18"/>
      <c r="J2" s="18"/>
      <c r="K2" s="18"/>
      <c r="L2" s="18"/>
      <c r="M2" s="18"/>
      <c r="N2" s="18"/>
      <c r="O2" s="18"/>
      <c r="P2" s="18"/>
      <c r="Q2" s="18"/>
    </row>
    <row r="3" spans="1:17" s="3" customFormat="1" ht="31" customHeight="1" x14ac:dyDescent="0.35">
      <c r="A3" s="6" t="s">
        <v>2</v>
      </c>
      <c r="B3" s="6" t="s">
        <v>3</v>
      </c>
      <c r="C3" s="6" t="s">
        <v>4</v>
      </c>
      <c r="D3" s="6" t="s">
        <v>5</v>
      </c>
      <c r="E3" s="6" t="s">
        <v>6</v>
      </c>
      <c r="F3" s="6" t="s">
        <v>7</v>
      </c>
      <c r="G3" s="6" t="s">
        <v>8</v>
      </c>
      <c r="H3" s="6" t="s">
        <v>9</v>
      </c>
      <c r="I3" s="6" t="s">
        <v>10</v>
      </c>
      <c r="J3" s="6" t="s">
        <v>11</v>
      </c>
      <c r="K3" s="6" t="s">
        <v>12</v>
      </c>
      <c r="L3" s="6" t="s">
        <v>13</v>
      </c>
      <c r="M3" s="6" t="s">
        <v>14</v>
      </c>
      <c r="N3" s="6" t="s">
        <v>15</v>
      </c>
      <c r="O3" s="6" t="s">
        <v>16</v>
      </c>
      <c r="P3" s="6" t="s">
        <v>17</v>
      </c>
      <c r="Q3" s="6" t="s">
        <v>18</v>
      </c>
    </row>
    <row r="4" spans="1:17" s="2" customFormat="1" x14ac:dyDescent="0.35">
      <c r="A4" s="8"/>
      <c r="B4" s="10" t="s">
        <v>19</v>
      </c>
      <c r="C4" s="8"/>
      <c r="D4" s="8"/>
      <c r="E4" s="9"/>
      <c r="F4" s="9"/>
      <c r="G4" s="9"/>
      <c r="H4" s="9"/>
      <c r="I4" s="9"/>
      <c r="J4" s="9"/>
      <c r="K4" s="9"/>
      <c r="L4" s="9"/>
      <c r="M4" s="9"/>
      <c r="N4" s="9"/>
      <c r="O4" s="9"/>
      <c r="P4" s="10"/>
      <c r="Q4" s="10"/>
    </row>
    <row r="5" spans="1:17" ht="78" customHeight="1" x14ac:dyDescent="0.35">
      <c r="A5" s="11">
        <v>1</v>
      </c>
      <c r="B5" s="13" t="s">
        <v>20</v>
      </c>
      <c r="C5" s="11"/>
      <c r="D5" s="11" t="s">
        <v>21</v>
      </c>
      <c r="E5" s="12">
        <f>DuLieuBanVe!C4</f>
        <v>784</v>
      </c>
      <c r="F5" s="12">
        <f>DuLieuBanVe!D4</f>
        <v>784</v>
      </c>
      <c r="G5" s="12">
        <f>DuLieuBanVe!E4</f>
        <v>1064</v>
      </c>
      <c r="H5" s="12">
        <f>DuLieuBanVe!F4</f>
        <v>3668</v>
      </c>
      <c r="I5" s="12">
        <f>DuLieuBanVe!G4</f>
        <v>4452</v>
      </c>
      <c r="J5" s="12">
        <f>DuLieuBanVe!H4</f>
        <v>1848</v>
      </c>
      <c r="K5" s="12">
        <f>DuLieuBanVe!I4</f>
        <v>2100</v>
      </c>
      <c r="L5" s="12">
        <f>DuLieuBanVe!J4</f>
        <v>2884</v>
      </c>
      <c r="M5" s="12">
        <f>DuLieuBanVe!K4</f>
        <v>770</v>
      </c>
      <c r="N5" s="12">
        <f t="shared" ref="N5:N12" si="0">SUM(E5:M5)</f>
        <v>18354</v>
      </c>
      <c r="O5" s="12">
        <f t="shared" ref="O5:O11" si="1">N5</f>
        <v>18354</v>
      </c>
      <c r="P5" s="13" t="s">
        <v>22</v>
      </c>
      <c r="Q5" s="13" t="s">
        <v>23</v>
      </c>
    </row>
    <row r="6" spans="1:17" ht="30" customHeight="1" x14ac:dyDescent="0.35">
      <c r="A6" s="11">
        <v>2</v>
      </c>
      <c r="B6" s="13" t="s">
        <v>24</v>
      </c>
      <c r="C6" s="14" t="s">
        <v>25</v>
      </c>
      <c r="D6" s="11" t="s">
        <v>26</v>
      </c>
      <c r="E6" s="12">
        <f>DuLieuBanVe!C6</f>
        <v>0</v>
      </c>
      <c r="F6" s="12">
        <f>DuLieuBanVe!D6</f>
        <v>0</v>
      </c>
      <c r="G6" s="12">
        <f>DuLieuBanVe!E6</f>
        <v>0</v>
      </c>
      <c r="H6" s="12">
        <f>DuLieuBanVe!F6</f>
        <v>1</v>
      </c>
      <c r="I6" s="12">
        <f>DuLieuBanVe!G6</f>
        <v>1</v>
      </c>
      <c r="J6" s="12">
        <f>DuLieuBanVe!H6</f>
        <v>1</v>
      </c>
      <c r="K6" s="12">
        <f>DuLieuBanVe!I6</f>
        <v>1</v>
      </c>
      <c r="L6" s="12">
        <f>DuLieuBanVe!J6</f>
        <v>1</v>
      </c>
      <c r="M6" s="12">
        <f>DuLieuBanVe!K6</f>
        <v>0</v>
      </c>
      <c r="N6" s="12">
        <f t="shared" si="0"/>
        <v>5</v>
      </c>
      <c r="O6" s="12">
        <f t="shared" si="1"/>
        <v>5</v>
      </c>
      <c r="P6" s="13" t="s">
        <v>22</v>
      </c>
      <c r="Q6" s="13"/>
    </row>
    <row r="7" spans="1:17" ht="30" customHeight="1" x14ac:dyDescent="0.35">
      <c r="A7" s="11">
        <v>3</v>
      </c>
      <c r="B7" s="13" t="s">
        <v>27</v>
      </c>
      <c r="C7" s="14" t="s">
        <v>25</v>
      </c>
      <c r="D7" s="11" t="s">
        <v>26</v>
      </c>
      <c r="E7" s="12">
        <f>DuLieuBanVe!C7</f>
        <v>1</v>
      </c>
      <c r="F7" s="12">
        <f>DuLieuBanVe!D7</f>
        <v>1</v>
      </c>
      <c r="G7" s="12">
        <f>DuLieuBanVe!E7</f>
        <v>2</v>
      </c>
      <c r="H7" s="12">
        <f>DuLieuBanVe!F7</f>
        <v>4</v>
      </c>
      <c r="I7" s="12">
        <f>DuLieuBanVe!G7</f>
        <v>5</v>
      </c>
      <c r="J7" s="12">
        <f>DuLieuBanVe!H7</f>
        <v>2</v>
      </c>
      <c r="K7" s="12">
        <f>DuLieuBanVe!I7</f>
        <v>2</v>
      </c>
      <c r="L7" s="12">
        <f>DuLieuBanVe!J7</f>
        <v>3</v>
      </c>
      <c r="M7" s="12">
        <f>DuLieuBanVe!K7</f>
        <v>1</v>
      </c>
      <c r="N7" s="12">
        <f t="shared" si="0"/>
        <v>21</v>
      </c>
      <c r="O7" s="12">
        <f t="shared" si="1"/>
        <v>21</v>
      </c>
      <c r="P7" s="13" t="s">
        <v>22</v>
      </c>
      <c r="Q7" s="13" t="s">
        <v>28</v>
      </c>
    </row>
    <row r="8" spans="1:17" ht="78" customHeight="1" x14ac:dyDescent="0.35">
      <c r="A8" s="11">
        <v>4</v>
      </c>
      <c r="B8" s="13" t="s">
        <v>29</v>
      </c>
      <c r="C8" s="11"/>
      <c r="D8" s="11" t="s">
        <v>30</v>
      </c>
      <c r="E8" s="12">
        <f>DuLieuBanVe!C8</f>
        <v>819</v>
      </c>
      <c r="F8" s="12">
        <f>DuLieuBanVe!D8</f>
        <v>819</v>
      </c>
      <c r="G8" s="12">
        <f>DuLieuBanVe!E8</f>
        <v>1099</v>
      </c>
      <c r="H8" s="12">
        <f>DuLieuBanVe!F8</f>
        <v>3730</v>
      </c>
      <c r="I8" s="12">
        <f>DuLieuBanVe!G8</f>
        <v>4522</v>
      </c>
      <c r="J8" s="12">
        <f>DuLieuBanVe!H8</f>
        <v>1890</v>
      </c>
      <c r="K8" s="12">
        <f>DuLieuBanVe!I8</f>
        <v>2135</v>
      </c>
      <c r="L8" s="12">
        <f>DuLieuBanVe!J8</f>
        <v>2925</v>
      </c>
      <c r="M8" s="12">
        <f>DuLieuBanVe!K8</f>
        <v>784</v>
      </c>
      <c r="N8" s="12">
        <f t="shared" si="0"/>
        <v>18723</v>
      </c>
      <c r="O8" s="12">
        <f t="shared" si="1"/>
        <v>18723</v>
      </c>
      <c r="P8" s="13" t="s">
        <v>22</v>
      </c>
      <c r="Q8" s="13"/>
    </row>
    <row r="9" spans="1:17" ht="78" customHeight="1" x14ac:dyDescent="0.35">
      <c r="A9" s="11">
        <v>5</v>
      </c>
      <c r="B9" s="13" t="s">
        <v>31</v>
      </c>
      <c r="C9" s="11"/>
      <c r="D9" s="11" t="s">
        <v>30</v>
      </c>
      <c r="E9" s="12">
        <f>DuLieuBanVe!C9</f>
        <v>174</v>
      </c>
      <c r="F9" s="12">
        <f>DuLieuBanVe!D9</f>
        <v>186</v>
      </c>
      <c r="G9" s="12">
        <f>DuLieuBanVe!E9</f>
        <v>307</v>
      </c>
      <c r="H9" s="12">
        <f>DuLieuBanVe!F9</f>
        <v>426</v>
      </c>
      <c r="I9" s="12">
        <f>DuLieuBanVe!G9</f>
        <v>591</v>
      </c>
      <c r="J9" s="12">
        <f>DuLieuBanVe!H9</f>
        <v>450</v>
      </c>
      <c r="K9" s="12">
        <f>DuLieuBanVe!I9</f>
        <v>627</v>
      </c>
      <c r="L9" s="12">
        <f>DuLieuBanVe!J9</f>
        <v>486</v>
      </c>
      <c r="M9" s="12">
        <f>DuLieuBanVe!K9</f>
        <v>451</v>
      </c>
      <c r="N9" s="12">
        <f t="shared" si="0"/>
        <v>3698</v>
      </c>
      <c r="O9" s="12">
        <f t="shared" si="1"/>
        <v>3698</v>
      </c>
      <c r="P9" s="13" t="s">
        <v>22</v>
      </c>
      <c r="Q9" s="13" t="s">
        <v>32</v>
      </c>
    </row>
    <row r="10" spans="1:17" ht="78" customHeight="1" x14ac:dyDescent="0.35">
      <c r="A10" s="11">
        <v>6</v>
      </c>
      <c r="B10" s="13" t="s">
        <v>33</v>
      </c>
      <c r="C10" s="11"/>
      <c r="D10" s="11" t="s">
        <v>30</v>
      </c>
      <c r="E10" s="12">
        <f>DuLieuBanVe!C10</f>
        <v>186</v>
      </c>
      <c r="F10" s="12">
        <f>DuLieuBanVe!D10</f>
        <v>105</v>
      </c>
      <c r="G10" s="12">
        <f>DuLieuBanVe!E10</f>
        <v>129</v>
      </c>
      <c r="H10" s="12">
        <f>DuLieuBanVe!F10</f>
        <v>519</v>
      </c>
      <c r="I10" s="12">
        <f>DuLieuBanVe!G10</f>
        <v>389</v>
      </c>
      <c r="J10" s="12">
        <f>DuLieuBanVe!H10</f>
        <v>225</v>
      </c>
      <c r="K10" s="12">
        <f>DuLieuBanVe!I10</f>
        <v>289</v>
      </c>
      <c r="L10" s="12">
        <f>DuLieuBanVe!J10</f>
        <v>361</v>
      </c>
      <c r="M10" s="12">
        <f>DuLieuBanVe!K10</f>
        <v>0</v>
      </c>
      <c r="N10" s="12">
        <f t="shared" si="0"/>
        <v>2203</v>
      </c>
      <c r="O10" s="12">
        <f t="shared" si="1"/>
        <v>2203</v>
      </c>
      <c r="P10" s="13" t="s">
        <v>22</v>
      </c>
      <c r="Q10" s="13"/>
    </row>
    <row r="11" spans="1:17" ht="30" customHeight="1" x14ac:dyDescent="0.35">
      <c r="A11" s="11">
        <v>7</v>
      </c>
      <c r="B11" s="13" t="s">
        <v>34</v>
      </c>
      <c r="C11" s="14" t="s">
        <v>25</v>
      </c>
      <c r="D11" s="11" t="s">
        <v>30</v>
      </c>
      <c r="E11" s="12">
        <f>DuLieuBanVe!C11</f>
        <v>1179</v>
      </c>
      <c r="F11" s="12">
        <f>DuLieuBanVe!D11</f>
        <v>1110</v>
      </c>
      <c r="G11" s="12">
        <f>DuLieuBanVe!E11</f>
        <v>1535</v>
      </c>
      <c r="H11" s="12">
        <f>DuLieuBanVe!F11</f>
        <v>4675</v>
      </c>
      <c r="I11" s="12">
        <f>DuLieuBanVe!G11</f>
        <v>5502</v>
      </c>
      <c r="J11" s="12">
        <f>DuLieuBanVe!H11</f>
        <v>2565</v>
      </c>
      <c r="K11" s="12">
        <f>DuLieuBanVe!I11</f>
        <v>3051</v>
      </c>
      <c r="L11" s="12">
        <f>DuLieuBanVe!J11</f>
        <v>3772</v>
      </c>
      <c r="M11" s="12">
        <f>DuLieuBanVe!K11</f>
        <v>1235</v>
      </c>
      <c r="N11" s="12">
        <f t="shared" si="0"/>
        <v>24624</v>
      </c>
      <c r="O11" s="12">
        <f t="shared" si="1"/>
        <v>24624</v>
      </c>
      <c r="P11" s="13" t="s">
        <v>22</v>
      </c>
      <c r="Q11" s="13"/>
    </row>
    <row r="12" spans="1:17" ht="78" customHeight="1" x14ac:dyDescent="0.35">
      <c r="A12" s="11">
        <v>8</v>
      </c>
      <c r="B12" s="13" t="s">
        <v>35</v>
      </c>
      <c r="C12" s="11"/>
      <c r="D12" s="11" t="s">
        <v>26</v>
      </c>
      <c r="E12" s="12">
        <f>ROUNDUP(DuLieuBanVe!C11*GiaDinh!$C$13,0)</f>
        <v>2358</v>
      </c>
      <c r="F12" s="12">
        <f>ROUNDUP(DuLieuBanVe!D11*GiaDinh!$C$13,0)</f>
        <v>2220</v>
      </c>
      <c r="G12" s="12">
        <f>ROUNDUP(DuLieuBanVe!E11*GiaDinh!$C$13,0)</f>
        <v>3070</v>
      </c>
      <c r="H12" s="12">
        <f>ROUNDUP(DuLieuBanVe!F11*GiaDinh!$C$13,0)</f>
        <v>9350</v>
      </c>
      <c r="I12" s="12">
        <f>ROUNDUP(DuLieuBanVe!G11*GiaDinh!$C$13,0)</f>
        <v>11004</v>
      </c>
      <c r="J12" s="12">
        <f>ROUNDUP(DuLieuBanVe!H11*GiaDinh!$C$13,0)</f>
        <v>5130</v>
      </c>
      <c r="K12" s="12">
        <f>ROUNDUP(DuLieuBanVe!I11*GiaDinh!$C$13,0)</f>
        <v>6102</v>
      </c>
      <c r="L12" s="12">
        <f>ROUNDUP(DuLieuBanVe!J11*GiaDinh!$C$13,0)</f>
        <v>7544</v>
      </c>
      <c r="M12" s="12">
        <f>ROUNDUP(DuLieuBanVe!K11*GiaDinh!$C$13,0)</f>
        <v>2470</v>
      </c>
      <c r="N12" s="12">
        <f t="shared" si="0"/>
        <v>49248</v>
      </c>
      <c r="O12" s="12">
        <f>ROUNDUP(N12*(1+GiaDinh!$C$14/100),0)</f>
        <v>50726</v>
      </c>
      <c r="P12" s="13" t="s">
        <v>36</v>
      </c>
      <c r="Q12" s="13" t="s">
        <v>37</v>
      </c>
    </row>
    <row r="13" spans="1:17" s="2" customFormat="1" x14ac:dyDescent="0.35">
      <c r="A13" s="8"/>
      <c r="B13" s="10" t="s">
        <v>38</v>
      </c>
      <c r="C13" s="8"/>
      <c r="D13" s="8"/>
      <c r="E13" s="9"/>
      <c r="F13" s="9"/>
      <c r="G13" s="9"/>
      <c r="H13" s="9"/>
      <c r="I13" s="9"/>
      <c r="J13" s="9"/>
      <c r="K13" s="9"/>
      <c r="L13" s="9"/>
      <c r="M13" s="9"/>
      <c r="N13" s="9"/>
      <c r="O13" s="9"/>
      <c r="P13" s="10"/>
      <c r="Q13" s="10"/>
    </row>
    <row r="14" spans="1:17" ht="78" customHeight="1" x14ac:dyDescent="0.35">
      <c r="A14" s="11">
        <v>9</v>
      </c>
      <c r="B14" s="13" t="s">
        <v>39</v>
      </c>
      <c r="C14" s="11"/>
      <c r="D14" s="11" t="s">
        <v>40</v>
      </c>
      <c r="E14" s="12">
        <f>DuLieuBanVe!C12</f>
        <v>78</v>
      </c>
      <c r="F14" s="12">
        <f>DuLieuBanVe!D12</f>
        <v>76</v>
      </c>
      <c r="G14" s="12">
        <f>DuLieuBanVe!E12</f>
        <v>76</v>
      </c>
      <c r="H14" s="12">
        <f>DuLieuBanVe!F12</f>
        <v>134</v>
      </c>
      <c r="I14" s="12">
        <f>DuLieuBanVe!G12</f>
        <v>150</v>
      </c>
      <c r="J14" s="12">
        <f>DuLieuBanVe!H12</f>
        <v>90</v>
      </c>
      <c r="K14" s="12">
        <f>DuLieuBanVe!I12</f>
        <v>78</v>
      </c>
      <c r="L14" s="12">
        <f>DuLieuBanVe!J12</f>
        <v>92</v>
      </c>
      <c r="M14" s="12">
        <f>DuLieuBanVe!K12</f>
        <v>34</v>
      </c>
      <c r="N14" s="12">
        <f t="shared" ref="N14:N19" si="2">SUM(E14:M14)</f>
        <v>808</v>
      </c>
      <c r="O14" s="12">
        <f>N14</f>
        <v>808</v>
      </c>
      <c r="P14" s="13" t="s">
        <v>22</v>
      </c>
      <c r="Q14" s="13" t="s">
        <v>41</v>
      </c>
    </row>
    <row r="15" spans="1:17" ht="78" customHeight="1" x14ac:dyDescent="0.35">
      <c r="A15" s="11">
        <v>10</v>
      </c>
      <c r="B15" s="13" t="s">
        <v>42</v>
      </c>
      <c r="C15" s="11"/>
      <c r="D15" s="11" t="s">
        <v>43</v>
      </c>
      <c r="E15" s="15">
        <f>SUMIF('C52_TungThanh'!$A$4:$A$813,"BÈ 1",'C52_TungThanh'!$C$4:$C$813)</f>
        <v>3551.4779999999942</v>
      </c>
      <c r="F15" s="15">
        <f>SUMIF('C52_TungThanh'!$A$4:$A$813,"BÈ 2",'C52_TungThanh'!$C$4:$C$813)</f>
        <v>3481.0219999999949</v>
      </c>
      <c r="G15" s="15">
        <f>SUMIF('C52_TungThanh'!$A$4:$A$813,"BÈ 3",'C52_TungThanh'!$C$4:$C$813)</f>
        <v>4680.3200000000015</v>
      </c>
      <c r="H15" s="15">
        <f>SUMIF('C52_TungThanh'!$A$4:$A$813,"BÈ 3A",'C52_TungThanh'!$C$4:$C$813)</f>
        <v>15784.321999999984</v>
      </c>
      <c r="I15" s="15">
        <f>SUMIF('C52_TungThanh'!$A$4:$A$813,"BÈ 5A",'C52_TungThanh'!$C$4:$C$813)</f>
        <v>18950.849000000027</v>
      </c>
      <c r="J15" s="15">
        <f>SUMIF('C52_TungThanh'!$A$4:$A$813,"BÈ 6",'C52_TungThanh'!$C$4:$C$813)</f>
        <v>8013.4580000000005</v>
      </c>
      <c r="K15" s="15">
        <f>SUMIF('C52_TungThanh'!$A$4:$A$813,"BÈ 7",'C52_TungThanh'!$C$4:$C$813)</f>
        <v>9403.3330000000024</v>
      </c>
      <c r="L15" s="15">
        <f>SUMIF('C52_TungThanh'!$A$4:$A$813,"BÈ 8",'C52_TungThanh'!$C$4:$C$813)</f>
        <v>12475.860000000013</v>
      </c>
      <c r="M15" s="15">
        <f>SUMIF('C52_TungThanh'!$A$4:$A$813,"BÈ 9",'C52_TungThanh'!$C$4:$C$813)</f>
        <v>3568.4660000000013</v>
      </c>
      <c r="N15" s="15">
        <f t="shared" si="2"/>
        <v>79909.108000000022</v>
      </c>
      <c r="O15" s="15">
        <f>N15</f>
        <v>79909.108000000022</v>
      </c>
      <c r="P15" s="13" t="s">
        <v>44</v>
      </c>
      <c r="Q15" s="13" t="s">
        <v>45</v>
      </c>
    </row>
    <row r="16" spans="1:17" ht="78" customHeight="1" x14ac:dyDescent="0.35">
      <c r="A16" s="11">
        <v>11</v>
      </c>
      <c r="B16" s="13" t="s">
        <v>46</v>
      </c>
      <c r="C16" s="11"/>
      <c r="D16" s="11" t="s">
        <v>47</v>
      </c>
      <c r="E16" s="12">
        <f>SUMIF('C52_TungThanh'!$A$4:$A$813,"BÈ 1",'C52_TungThanh'!$D$4:$D$813)</f>
        <v>608</v>
      </c>
      <c r="F16" s="12">
        <f>SUMIF('C52_TungThanh'!$A$4:$A$813,"BÈ 2",'C52_TungThanh'!$D$4:$D$813)</f>
        <v>594</v>
      </c>
      <c r="G16" s="12">
        <f>SUMIF('C52_TungThanh'!$A$4:$A$813,"BÈ 3",'C52_TungThanh'!$D$4:$D$813)</f>
        <v>804</v>
      </c>
      <c r="H16" s="12">
        <f>SUMIF('C52_TungThanh'!$A$4:$A$813,"BÈ 3A",'C52_TungThanh'!$D$4:$D$813)</f>
        <v>2666</v>
      </c>
      <c r="I16" s="12">
        <f>SUMIF('C52_TungThanh'!$A$4:$A$813,"BÈ 5A",'C52_TungThanh'!$D$4:$D$813)</f>
        <v>3192</v>
      </c>
      <c r="J16" s="12">
        <f>SUMIF('C52_TungThanh'!$A$4:$A$813,"BÈ 6",'C52_TungThanh'!$D$4:$D$813)</f>
        <v>1350</v>
      </c>
      <c r="K16" s="12">
        <f>SUMIF('C52_TungThanh'!$A$4:$A$813,"BÈ 7",'C52_TungThanh'!$D$4:$D$813)</f>
        <v>1630</v>
      </c>
      <c r="L16" s="12">
        <f>SUMIF('C52_TungThanh'!$A$4:$A$813,"BÈ 8",'C52_TungThanh'!$D$4:$D$813)</f>
        <v>2144</v>
      </c>
      <c r="M16" s="12">
        <f>SUMIF('C52_TungThanh'!$A$4:$A$813,"BÈ 9",'C52_TungThanh'!$D$4:$D$813)</f>
        <v>611</v>
      </c>
      <c r="N16" s="12">
        <f t="shared" si="2"/>
        <v>13599</v>
      </c>
      <c r="O16" s="12">
        <f>N16</f>
        <v>13599</v>
      </c>
      <c r="P16" s="13" t="s">
        <v>36</v>
      </c>
      <c r="Q16" s="13" t="s">
        <v>48</v>
      </c>
    </row>
    <row r="17" spans="1:17" ht="78" customHeight="1" x14ac:dyDescent="0.35">
      <c r="A17" s="11">
        <v>12</v>
      </c>
      <c r="B17" s="13" t="s">
        <v>49</v>
      </c>
      <c r="C17" s="11"/>
      <c r="D17" s="11" t="s">
        <v>26</v>
      </c>
      <c r="E17" s="12">
        <f>SUMIF('C52_TungThanh'!$A$4:$A$813,"BÈ 1",'C52_TungThanh'!$E$4:$E$813)</f>
        <v>529</v>
      </c>
      <c r="F17" s="12">
        <f>SUMIF('C52_TungThanh'!$A$4:$A$813,"BÈ 2",'C52_TungThanh'!$E$4:$E$813)</f>
        <v>518</v>
      </c>
      <c r="G17" s="12">
        <f>SUMIF('C52_TungThanh'!$A$4:$A$813,"BÈ 3",'C52_TungThanh'!$E$4:$E$813)</f>
        <v>728</v>
      </c>
      <c r="H17" s="12">
        <f>SUMIF('C52_TungThanh'!$A$4:$A$813,"BÈ 3A",'C52_TungThanh'!$E$4:$E$813)</f>
        <v>2532</v>
      </c>
      <c r="I17" s="12">
        <f>SUMIF('C52_TungThanh'!$A$4:$A$813,"BÈ 5A",'C52_TungThanh'!$E$4:$E$813)</f>
        <v>3042</v>
      </c>
      <c r="J17" s="12">
        <f>SUMIF('C52_TungThanh'!$A$4:$A$813,"BÈ 6",'C52_TungThanh'!$E$4:$E$813)</f>
        <v>1260</v>
      </c>
      <c r="K17" s="12">
        <f>SUMIF('C52_TungThanh'!$A$4:$A$813,"BÈ 7",'C52_TungThanh'!$E$4:$E$813)</f>
        <v>1552</v>
      </c>
      <c r="L17" s="12">
        <f>SUMIF('C52_TungThanh'!$A$4:$A$813,"BÈ 8",'C52_TungThanh'!$E$4:$E$813)</f>
        <v>2052</v>
      </c>
      <c r="M17" s="12">
        <f>SUMIF('C52_TungThanh'!$A$4:$A$813,"BÈ 9",'C52_TungThanh'!$E$4:$E$813)</f>
        <v>576</v>
      </c>
      <c r="N17" s="12">
        <f t="shared" si="2"/>
        <v>12789</v>
      </c>
      <c r="O17" s="12">
        <f>ROUNDUP(N17*(1+GiaDinh!$C$14/100),0)</f>
        <v>13173</v>
      </c>
      <c r="P17" s="13" t="s">
        <v>36</v>
      </c>
      <c r="Q17" s="13" t="s">
        <v>50</v>
      </c>
    </row>
    <row r="18" spans="1:17" ht="78" customHeight="1" x14ac:dyDescent="0.35">
      <c r="A18" s="11">
        <v>13</v>
      </c>
      <c r="B18" s="13" t="s">
        <v>51</v>
      </c>
      <c r="C18" s="11"/>
      <c r="D18" s="11" t="s">
        <v>52</v>
      </c>
      <c r="E18" s="15">
        <f>SUMIF('C52_TungThanh'!$A$4:$A$813,"BÈ 1",'C52_TungThanh'!$G$4:$G$813)</f>
        <v>8381.4880799999937</v>
      </c>
      <c r="F18" s="15">
        <f>SUMIF('C52_TungThanh'!$A$4:$A$813,"BÈ 2",'C52_TungThanh'!$G$4:$G$813)</f>
        <v>8215.2119199999961</v>
      </c>
      <c r="G18" s="15">
        <f>SUMIF('C52_TungThanh'!$A$4:$A$813,"BÈ 3",'C52_TungThanh'!$G$4:$G$813)</f>
        <v>11045.555199999988</v>
      </c>
      <c r="H18" s="15">
        <f>SUMIF('C52_TungThanh'!$A$4:$A$813,"BÈ 3A",'C52_TungThanh'!$G$4:$G$813)</f>
        <v>37250.999920000024</v>
      </c>
      <c r="I18" s="15">
        <f>SUMIF('C52_TungThanh'!$A$4:$A$813,"BÈ 5A",'C52_TungThanh'!$G$4:$G$813)</f>
        <v>44724.003639999995</v>
      </c>
      <c r="J18" s="15">
        <f>SUMIF('C52_TungThanh'!$A$4:$A$813,"BÈ 6",'C52_TungThanh'!$G$4:$G$813)</f>
        <v>18911.760880000023</v>
      </c>
      <c r="K18" s="15">
        <f>SUMIF('C52_TungThanh'!$A$4:$A$813,"BÈ 7",'C52_TungThanh'!$G$4:$G$813)</f>
        <v>22191.865879999983</v>
      </c>
      <c r="L18" s="15">
        <f>SUMIF('C52_TungThanh'!$A$4:$A$813,"BÈ 8",'C52_TungThanh'!$G$4:$G$813)</f>
        <v>29443.029600000034</v>
      </c>
      <c r="M18" s="15">
        <f>SUMIF('C52_TungThanh'!$A$4:$A$813,"BÈ 9",'C52_TungThanh'!$G$4:$G$813)</f>
        <v>8421.5797599999969</v>
      </c>
      <c r="N18" s="15">
        <f t="shared" si="2"/>
        <v>188585.49488000004</v>
      </c>
      <c r="O18" s="15">
        <f>N18</f>
        <v>188585.49488000004</v>
      </c>
      <c r="P18" s="13" t="s">
        <v>36</v>
      </c>
      <c r="Q18" s="13" t="s">
        <v>53</v>
      </c>
    </row>
    <row r="19" spans="1:17" ht="78" customHeight="1" x14ac:dyDescent="0.35">
      <c r="A19" s="11">
        <v>14</v>
      </c>
      <c r="B19" s="13" t="s">
        <v>54</v>
      </c>
      <c r="C19" s="11"/>
      <c r="D19" s="11" t="s">
        <v>26</v>
      </c>
      <c r="E19" s="12">
        <f>DuLieuBanVe!C17</f>
        <v>2038</v>
      </c>
      <c r="F19" s="12">
        <f>DuLieuBanVe!D17</f>
        <v>2120</v>
      </c>
      <c r="G19" s="12">
        <f>DuLieuBanVe!E17</f>
        <v>2600</v>
      </c>
      <c r="H19" s="12">
        <f>DuLieuBanVe!F17</f>
        <v>8669</v>
      </c>
      <c r="I19" s="12">
        <f>DuLieuBanVe!G17</f>
        <v>10571</v>
      </c>
      <c r="J19" s="12">
        <f>DuLieuBanVe!H17</f>
        <v>4384</v>
      </c>
      <c r="K19" s="12">
        <f>DuLieuBanVe!I17</f>
        <v>5290</v>
      </c>
      <c r="L19" s="12">
        <f>DuLieuBanVe!J17</f>
        <v>6834</v>
      </c>
      <c r="M19" s="12">
        <f>DuLieuBanVe!K17</f>
        <v>2069</v>
      </c>
      <c r="N19" s="12">
        <f t="shared" si="2"/>
        <v>44575</v>
      </c>
      <c r="O19" s="12">
        <f>ROUNDUP(N19*(1+GiaDinh!$C$14/100),0)</f>
        <v>45913</v>
      </c>
      <c r="P19" s="13" t="s">
        <v>44</v>
      </c>
      <c r="Q19" s="13" t="s">
        <v>55</v>
      </c>
    </row>
    <row r="20" spans="1:17" s="2" customFormat="1" x14ac:dyDescent="0.35">
      <c r="A20" s="8"/>
      <c r="B20" s="10" t="s">
        <v>56</v>
      </c>
      <c r="C20" s="8"/>
      <c r="D20" s="8"/>
      <c r="E20" s="9"/>
      <c r="F20" s="9"/>
      <c r="G20" s="9"/>
      <c r="H20" s="9"/>
      <c r="I20" s="9"/>
      <c r="J20" s="9"/>
      <c r="K20" s="9"/>
      <c r="L20" s="9"/>
      <c r="M20" s="9"/>
      <c r="N20" s="9"/>
      <c r="O20" s="9"/>
      <c r="P20" s="10"/>
      <c r="Q20" s="10"/>
    </row>
    <row r="21" spans="1:17" ht="78" customHeight="1" x14ac:dyDescent="0.35">
      <c r="A21" s="11">
        <v>15</v>
      </c>
      <c r="B21" s="13" t="s">
        <v>57</v>
      </c>
      <c r="C21" s="11"/>
      <c r="D21" s="11" t="s">
        <v>40</v>
      </c>
      <c r="E21" s="12">
        <f>COUNTIF(Hop40x60_TungThanh!$A$4:$A$187,"BÈ 1")</f>
        <v>9</v>
      </c>
      <c r="F21" s="12">
        <f>COUNTIF(Hop40x60_TungThanh!$A$4:$A$187,"BÈ 2")</f>
        <v>10</v>
      </c>
      <c r="G21" s="12">
        <f>COUNTIF(Hop40x60_TungThanh!$A$4:$A$187,"BÈ 3")</f>
        <v>13</v>
      </c>
      <c r="H21" s="12">
        <f>COUNTIF(Hop40x60_TungThanh!$A$4:$A$187,"BÈ 3A")</f>
        <v>27</v>
      </c>
      <c r="I21" s="12">
        <f>COUNTIF(Hop40x60_TungThanh!$A$4:$A$187,"BÈ 5A")</f>
        <v>27</v>
      </c>
      <c r="J21" s="12">
        <f>COUNTIF(Hop40x60_TungThanh!$A$4:$A$187,"BÈ 6")</f>
        <v>20</v>
      </c>
      <c r="K21" s="12">
        <f>COUNTIF(Hop40x60_TungThanh!$A$4:$A$187,"BÈ 7")</f>
        <v>25</v>
      </c>
      <c r="L21" s="12">
        <f>COUNTIF(Hop40x60_TungThanh!$A$4:$A$187,"BÈ 8")</f>
        <v>33</v>
      </c>
      <c r="M21" s="12">
        <f>COUNTIF(Hop40x60_TungThanh!$A$4:$A$187,"BÈ 9")</f>
        <v>20</v>
      </c>
      <c r="N21" s="12">
        <f t="shared" ref="N21:N26" si="3">SUM(E21:M21)</f>
        <v>184</v>
      </c>
      <c r="O21" s="12">
        <f>N21</f>
        <v>184</v>
      </c>
      <c r="P21" s="13" t="s">
        <v>44</v>
      </c>
      <c r="Q21" s="13" t="s">
        <v>58</v>
      </c>
    </row>
    <row r="22" spans="1:17" ht="78" customHeight="1" x14ac:dyDescent="0.35">
      <c r="A22" s="11">
        <v>16</v>
      </c>
      <c r="B22" s="13" t="s">
        <v>59</v>
      </c>
      <c r="C22" s="11"/>
      <c r="D22" s="11" t="s">
        <v>43</v>
      </c>
      <c r="E22" s="15">
        <f>SUMIF(Hop40x60_TungThanh!$A$4:$A$187,"BÈ 1",Hop40x60_TungThanh!$C$4:$C$187)</f>
        <v>843.03</v>
      </c>
      <c r="F22" s="15">
        <f>SUMIF(Hop40x60_TungThanh!$A$4:$A$187,"BÈ 2",Hop40x60_TungThanh!$C$4:$C$187)</f>
        <v>824.32999999999981</v>
      </c>
      <c r="G22" s="15">
        <f>SUMIF(Hop40x60_TungThanh!$A$4:$A$187,"BÈ 3",Hop40x60_TungThanh!$C$4:$C$187)</f>
        <v>1080.9939999999999</v>
      </c>
      <c r="H22" s="15">
        <f>SUMIF(Hop40x60_TungThanh!$A$4:$A$187,"BÈ 3A",Hop40x60_TungThanh!$C$4:$C$187)</f>
        <v>3548.4490000000014</v>
      </c>
      <c r="I22" s="15">
        <f>SUMIF(Hop40x60_TungThanh!$A$4:$A$187,"BÈ 5A",Hop40x60_TungThanh!$C$4:$C$187)</f>
        <v>4132.9040000000005</v>
      </c>
      <c r="J22" s="15">
        <f>SUMIF(Hop40x60_TungThanh!$A$4:$A$187,"BÈ 6",Hop40x60_TungThanh!$C$4:$C$187)</f>
        <v>1794.5160000000005</v>
      </c>
      <c r="K22" s="15">
        <f>SUMIF(Hop40x60_TungThanh!$A$4:$A$187,"BÈ 7",Hop40x60_TungThanh!$C$4:$C$187)</f>
        <v>1987.7599999999993</v>
      </c>
      <c r="L22" s="15">
        <f>SUMIF(Hop40x60_TungThanh!$A$4:$A$187,"BÈ 8",Hop40x60_TungThanh!$C$4:$C$187)</f>
        <v>2754.0500000000011</v>
      </c>
      <c r="M22" s="15">
        <f>SUMIF(Hop40x60_TungThanh!$A$4:$A$187,"BÈ 9",Hop40x60_TungThanh!$C$4:$C$187)</f>
        <v>760.29999999999984</v>
      </c>
      <c r="N22" s="15">
        <f t="shared" si="3"/>
        <v>17726.333000000002</v>
      </c>
      <c r="O22" s="15">
        <f>N22</f>
        <v>17726.333000000002</v>
      </c>
      <c r="P22" s="13" t="s">
        <v>44</v>
      </c>
      <c r="Q22" s="13" t="s">
        <v>60</v>
      </c>
    </row>
    <row r="23" spans="1:17" ht="78" customHeight="1" x14ac:dyDescent="0.35">
      <c r="A23" s="11">
        <v>17</v>
      </c>
      <c r="B23" s="13" t="s">
        <v>61</v>
      </c>
      <c r="C23" s="11"/>
      <c r="D23" s="11" t="s">
        <v>47</v>
      </c>
      <c r="E23" s="12">
        <f>SUMIF(Hop40x60_TungThanh!$A$4:$A$187,"BÈ 1",Hop40x60_TungThanh!$D$4:$D$187)</f>
        <v>141</v>
      </c>
      <c r="F23" s="12">
        <f>SUMIF(Hop40x60_TungThanh!$A$4:$A$187,"BÈ 2",Hop40x60_TungThanh!$D$4:$D$187)</f>
        <v>142</v>
      </c>
      <c r="G23" s="12">
        <f>SUMIF(Hop40x60_TungThanh!$A$4:$A$187,"BÈ 3",Hop40x60_TungThanh!$D$4:$D$187)</f>
        <v>187</v>
      </c>
      <c r="H23" s="12">
        <f>SUMIF(Hop40x60_TungThanh!$A$4:$A$187,"BÈ 3A",Hop40x60_TungThanh!$D$4:$D$187)</f>
        <v>603</v>
      </c>
      <c r="I23" s="12">
        <f>SUMIF(Hop40x60_TungThanh!$A$4:$A$187,"BÈ 5A",Hop40x60_TungThanh!$D$4:$D$187)</f>
        <v>705</v>
      </c>
      <c r="J23" s="12">
        <f>SUMIF(Hop40x60_TungThanh!$A$4:$A$187,"BÈ 6",Hop40x60_TungThanh!$D$4:$D$187)</f>
        <v>308</v>
      </c>
      <c r="K23" s="12">
        <f>SUMIF(Hop40x60_TungThanh!$A$4:$A$187,"BÈ 7",Hop40x60_TungThanh!$D$4:$D$187)</f>
        <v>340</v>
      </c>
      <c r="L23" s="12">
        <f>SUMIF(Hop40x60_TungThanh!$A$4:$A$187,"BÈ 8",Hop40x60_TungThanh!$D$4:$D$187)</f>
        <v>483</v>
      </c>
      <c r="M23" s="12">
        <f>SUMIF(Hop40x60_TungThanh!$A$4:$A$187,"BÈ 9",Hop40x60_TungThanh!$D$4:$D$187)</f>
        <v>140</v>
      </c>
      <c r="N23" s="12">
        <f t="shared" si="3"/>
        <v>3049</v>
      </c>
      <c r="O23" s="12">
        <f>N23</f>
        <v>3049</v>
      </c>
      <c r="P23" s="13" t="s">
        <v>36</v>
      </c>
      <c r="Q23" s="13"/>
    </row>
    <row r="24" spans="1:17" ht="78" customHeight="1" x14ac:dyDescent="0.35">
      <c r="A24" s="11">
        <v>18</v>
      </c>
      <c r="B24" s="13" t="s">
        <v>62</v>
      </c>
      <c r="C24" s="11"/>
      <c r="D24" s="11" t="s">
        <v>26</v>
      </c>
      <c r="E24" s="12">
        <f>SUMIF(Hop40x60_TungThanh!$A$4:$A$187,"BÈ 1",Hop40x60_TungThanh!$E$4:$E$187)</f>
        <v>132</v>
      </c>
      <c r="F24" s="12">
        <f>SUMIF(Hop40x60_TungThanh!$A$4:$A$187,"BÈ 2",Hop40x60_TungThanh!$E$4:$E$187)</f>
        <v>132</v>
      </c>
      <c r="G24" s="12">
        <f>SUMIF(Hop40x60_TungThanh!$A$4:$A$187,"BÈ 3",Hop40x60_TungThanh!$E$4:$E$187)</f>
        <v>174</v>
      </c>
      <c r="H24" s="12">
        <f>SUMIF(Hop40x60_TungThanh!$A$4:$A$187,"BÈ 3A",Hop40x60_TungThanh!$E$4:$E$187)</f>
        <v>576</v>
      </c>
      <c r="I24" s="12">
        <f>SUMIF(Hop40x60_TungThanh!$A$4:$A$187,"BÈ 5A",Hop40x60_TungThanh!$E$4:$E$187)</f>
        <v>678</v>
      </c>
      <c r="J24" s="12">
        <f>SUMIF(Hop40x60_TungThanh!$A$4:$A$187,"BÈ 6",Hop40x60_TungThanh!$E$4:$E$187)</f>
        <v>288</v>
      </c>
      <c r="K24" s="12">
        <f>SUMIF(Hop40x60_TungThanh!$A$4:$A$187,"BÈ 7",Hop40x60_TungThanh!$E$4:$E$187)</f>
        <v>315</v>
      </c>
      <c r="L24" s="12">
        <f>SUMIF(Hop40x60_TungThanh!$A$4:$A$187,"BÈ 8",Hop40x60_TungThanh!$E$4:$E$187)</f>
        <v>450</v>
      </c>
      <c r="M24" s="12">
        <f>SUMIF(Hop40x60_TungThanh!$A$4:$A$187,"BÈ 9",Hop40x60_TungThanh!$E$4:$E$187)</f>
        <v>120</v>
      </c>
      <c r="N24" s="12">
        <f t="shared" si="3"/>
        <v>2865</v>
      </c>
      <c r="O24" s="12">
        <f>ROUNDUP(N24*(1+GiaDinh!$C$14/100),0)</f>
        <v>2951</v>
      </c>
      <c r="P24" s="13" t="s">
        <v>36</v>
      </c>
      <c r="Q24" s="13" t="s">
        <v>63</v>
      </c>
    </row>
    <row r="25" spans="1:17" ht="78" customHeight="1" x14ac:dyDescent="0.35">
      <c r="A25" s="11">
        <v>19</v>
      </c>
      <c r="B25" s="13" t="s">
        <v>64</v>
      </c>
      <c r="C25" s="11"/>
      <c r="D25" s="11" t="s">
        <v>52</v>
      </c>
      <c r="E25" s="15">
        <f>SUMIF(Hop40x60_TungThanh!$A$4:$A$187,"BÈ 1",Hop40x60_TungThanh!$H$4:$H$187)</f>
        <v>2537.5202999999992</v>
      </c>
      <c r="F25" s="15">
        <f>SUMIF(Hop40x60_TungThanh!$A$4:$A$187,"BÈ 2",Hop40x60_TungThanh!$H$4:$H$187)</f>
        <v>2481.2332999999999</v>
      </c>
      <c r="G25" s="15">
        <f>SUMIF(Hop40x60_TungThanh!$A$4:$A$187,"BÈ 3",Hop40x60_TungThanh!$H$4:$H$187)</f>
        <v>3253.7919399999996</v>
      </c>
      <c r="H25" s="15">
        <f>SUMIF(Hop40x60_TungThanh!$A$4:$A$187,"BÈ 3A",Hop40x60_TungThanh!$H$4:$H$187)</f>
        <v>10680.831490000002</v>
      </c>
      <c r="I25" s="15">
        <f>SUMIF(Hop40x60_TungThanh!$A$4:$A$187,"BÈ 5A",Hop40x60_TungThanh!$H$4:$H$187)</f>
        <v>12440.041039999995</v>
      </c>
      <c r="J25" s="15">
        <f>SUMIF(Hop40x60_TungThanh!$A$4:$A$187,"BÈ 6",Hop40x60_TungThanh!$H$4:$H$187)</f>
        <v>5401.4931599999982</v>
      </c>
      <c r="K25" s="15">
        <f>SUMIF(Hop40x60_TungThanh!$A$4:$A$187,"BÈ 7",Hop40x60_TungThanh!$H$4:$H$187)</f>
        <v>5983.1576000000014</v>
      </c>
      <c r="L25" s="15">
        <f>SUMIF(Hop40x60_TungThanh!$A$4:$A$187,"BÈ 8",Hop40x60_TungThanh!$H$4:$H$187)</f>
        <v>8289.6904999999988</v>
      </c>
      <c r="M25" s="15">
        <f>SUMIF(Hop40x60_TungThanh!$A$4:$A$187,"BÈ 9",Hop40x60_TungThanh!$H$4:$H$187)</f>
        <v>2288.5030000000002</v>
      </c>
      <c r="N25" s="15">
        <f t="shared" si="3"/>
        <v>53356.26232999999</v>
      </c>
      <c r="O25" s="15">
        <f>N25</f>
        <v>53356.26232999999</v>
      </c>
      <c r="P25" s="13" t="s">
        <v>36</v>
      </c>
      <c r="Q25" s="13" t="s">
        <v>53</v>
      </c>
    </row>
    <row r="26" spans="1:17" ht="78" customHeight="1" x14ac:dyDescent="0.35">
      <c r="A26" s="11">
        <v>20</v>
      </c>
      <c r="B26" s="13" t="s">
        <v>65</v>
      </c>
      <c r="C26" s="11"/>
      <c r="D26" s="11" t="s">
        <v>26</v>
      </c>
      <c r="E26" s="12">
        <f>SUMIF(Hop40x60_TungThanh!$A$4:$A$187,"BÈ 1",Hop40x60_TungThanh!$G$4:$G$187)</f>
        <v>685</v>
      </c>
      <c r="F26" s="12">
        <f>SUMIF(Hop40x60_TungThanh!$A$4:$A$187,"BÈ 2",Hop40x60_TungThanh!$G$4:$G$187)</f>
        <v>668</v>
      </c>
      <c r="G26" s="12">
        <f>SUMIF(Hop40x60_TungThanh!$A$4:$A$187,"BÈ 3",Hop40x60_TungThanh!$G$4:$G$187)</f>
        <v>880</v>
      </c>
      <c r="H26" s="12">
        <f>SUMIF(Hop40x60_TungThanh!$A$4:$A$187,"BÈ 3A",Hop40x60_TungThanh!$G$4:$G$187)</f>
        <v>2860</v>
      </c>
      <c r="I26" s="12">
        <f>SUMIF(Hop40x60_TungThanh!$A$4:$A$187,"BÈ 5A",Hop40x60_TungThanh!$G$4:$G$187)</f>
        <v>3338</v>
      </c>
      <c r="J26" s="12">
        <f>SUMIF(Hop40x60_TungThanh!$A$4:$A$187,"BÈ 6",Hop40x60_TungThanh!$G$4:$G$187)</f>
        <v>1439</v>
      </c>
      <c r="K26" s="12">
        <f>SUMIF(Hop40x60_TungThanh!$A$4:$A$187,"BÈ 7",Hop40x60_TungThanh!$G$4:$G$187)</f>
        <v>1630</v>
      </c>
      <c r="L26" s="12">
        <f>SUMIF(Hop40x60_TungThanh!$A$4:$A$187,"BÈ 8",Hop40x60_TungThanh!$G$4:$G$187)</f>
        <v>2230</v>
      </c>
      <c r="M26" s="12">
        <f>SUMIF(Hop40x60_TungThanh!$A$4:$A$187,"BÈ 9",Hop40x60_TungThanh!$G$4:$G$187)</f>
        <v>640</v>
      </c>
      <c r="N26" s="12">
        <f t="shared" si="3"/>
        <v>14370</v>
      </c>
      <c r="O26" s="12">
        <f>ROUNDUP(N26*(1+GiaDinh!$C$14/100),0)</f>
        <v>14802</v>
      </c>
      <c r="P26" s="13" t="s">
        <v>44</v>
      </c>
      <c r="Q26" s="13" t="s">
        <v>66</v>
      </c>
    </row>
    <row r="27" spans="1:17" s="2" customFormat="1" ht="31" customHeight="1" x14ac:dyDescent="0.35">
      <c r="A27" s="8"/>
      <c r="B27" s="10" t="s">
        <v>67</v>
      </c>
      <c r="C27" s="8"/>
      <c r="D27" s="8"/>
      <c r="E27" s="9"/>
      <c r="F27" s="9"/>
      <c r="G27" s="9"/>
      <c r="H27" s="9"/>
      <c r="I27" s="9"/>
      <c r="J27" s="9"/>
      <c r="K27" s="9"/>
      <c r="L27" s="9"/>
      <c r="M27" s="9"/>
      <c r="N27" s="9"/>
      <c r="O27" s="9"/>
      <c r="P27" s="10"/>
      <c r="Q27" s="10"/>
    </row>
    <row r="28" spans="1:17" ht="78" customHeight="1" x14ac:dyDescent="0.35">
      <c r="A28" s="11">
        <v>21</v>
      </c>
      <c r="B28" s="13" t="s">
        <v>68</v>
      </c>
      <c r="C28" s="11"/>
      <c r="D28" s="11" t="s">
        <v>40</v>
      </c>
      <c r="E28" s="12">
        <f>COUNTIF(GiaCuong_Be1!$A$4:$A$12,"BÈ 1")+SUMIF(GiaCuong_UocTinh!$A$4:$A$392,"BÈ 1",GiaCuong_UocTinh!$L$4:$L$392)</f>
        <v>9</v>
      </c>
      <c r="F28" s="12">
        <f>COUNTIF(GiaCuong_Be1!$A$4:$A$12,"BÈ 2")+SUMIF(GiaCuong_UocTinh!$A$4:$A$392,"BÈ 2",GiaCuong_UocTinh!$L$4:$L$392)</f>
        <v>32</v>
      </c>
      <c r="G28" s="12">
        <f>COUNTIF(GiaCuong_Be1!$A$4:$A$12,"BÈ 3")+SUMIF(GiaCuong_UocTinh!$A$4:$A$392,"BÈ 3",GiaCuong_UocTinh!$L$4:$L$392)</f>
        <v>39</v>
      </c>
      <c r="H28" s="12">
        <f>COUNTIF(GiaCuong_Be1!$A$4:$A$12,"BÈ 3A")+SUMIF(GiaCuong_UocTinh!$A$4:$A$392,"BÈ 3A",GiaCuong_UocTinh!$L$4:$L$392)</f>
        <v>176</v>
      </c>
      <c r="I28" s="12">
        <f>COUNTIF(GiaCuong_Be1!$A$4:$A$12,"BÈ 5A")+SUMIF(GiaCuong_UocTinh!$A$4:$A$392,"BÈ 5A",GiaCuong_UocTinh!$L$4:$L$392)</f>
        <v>98</v>
      </c>
      <c r="J28" s="12">
        <f>COUNTIF(GiaCuong_Be1!$A$4:$A$12,"BÈ 6")+SUMIF(GiaCuong_UocTinh!$A$4:$A$392,"BÈ 6",GiaCuong_UocTinh!$L$4:$L$392)</f>
        <v>62</v>
      </c>
      <c r="K28" s="12">
        <f>COUNTIF(GiaCuong_Be1!$A$4:$A$12,"BÈ 7")+SUMIF(GiaCuong_UocTinh!$A$4:$A$392,"BÈ 7",GiaCuong_UocTinh!$L$4:$L$392)</f>
        <v>61</v>
      </c>
      <c r="L28" s="12">
        <f>COUNTIF(GiaCuong_Be1!$A$4:$A$12,"BÈ 8")+SUMIF(GiaCuong_UocTinh!$A$4:$A$392,"BÈ 8",GiaCuong_UocTinh!$L$4:$L$392)</f>
        <v>92</v>
      </c>
      <c r="M28" s="12">
        <f>COUNTIF(GiaCuong_Be1!$A$4:$A$12,"BÈ 9")+SUMIF(GiaCuong_UocTinh!$A$4:$A$392,"BÈ 9",GiaCuong_UocTinh!$L$4:$L$392)</f>
        <v>40</v>
      </c>
      <c r="N28" s="12">
        <f t="shared" ref="N28:N35" si="4">SUM(E28:M28)</f>
        <v>609</v>
      </c>
      <c r="O28" s="12">
        <f>N28</f>
        <v>609</v>
      </c>
      <c r="P28" s="13" t="s">
        <v>69</v>
      </c>
      <c r="Q28" s="13" t="s">
        <v>70</v>
      </c>
    </row>
    <row r="29" spans="1:17" ht="78" customHeight="1" x14ac:dyDescent="0.35">
      <c r="A29" s="11">
        <v>22</v>
      </c>
      <c r="B29" s="13" t="s">
        <v>71</v>
      </c>
      <c r="C29" s="11"/>
      <c r="D29" s="11" t="s">
        <v>43</v>
      </c>
      <c r="E29" s="15">
        <f>SUMIF(GiaCuong_Be1!$A$4:$A$12,"BÈ 1",GiaCuong_Be1!$C$4:$C$12)+SUMIF(GiaCuong_UocTinh!$A$4:$A$392,"BÈ 1",GiaCuong_UocTinh!$M$4:$M$392)</f>
        <v>132.398</v>
      </c>
      <c r="F29" s="15">
        <f>SUMIF(GiaCuong_Be1!$A$4:$A$12,"BÈ 2",GiaCuong_Be1!$C$4:$C$12)+SUMIF(GiaCuong_UocTinh!$A$4:$A$392,"BÈ 2",GiaCuong_UocTinh!$M$4:$M$392)</f>
        <v>480</v>
      </c>
      <c r="G29" s="15">
        <f>SUMIF(GiaCuong_Be1!$A$4:$A$12,"BÈ 3",GiaCuong_Be1!$C$4:$C$12)+SUMIF(GiaCuong_UocTinh!$A$4:$A$392,"BÈ 3",GiaCuong_UocTinh!$M$4:$M$392)</f>
        <v>585</v>
      </c>
      <c r="H29" s="15">
        <f>SUMIF(GiaCuong_Be1!$A$4:$A$12,"BÈ 3A",GiaCuong_Be1!$C$4:$C$12)+SUMIF(GiaCuong_UocTinh!$A$4:$A$392,"BÈ 3A",GiaCuong_UocTinh!$M$4:$M$392)</f>
        <v>2640</v>
      </c>
      <c r="I29" s="15">
        <f>SUMIF(GiaCuong_Be1!$A$4:$A$12,"BÈ 5A",GiaCuong_Be1!$C$4:$C$12)+SUMIF(GiaCuong_UocTinh!$A$4:$A$392,"BÈ 5A",GiaCuong_UocTinh!$M$4:$M$392)</f>
        <v>1470</v>
      </c>
      <c r="J29" s="15">
        <f>SUMIF(GiaCuong_Be1!$A$4:$A$12,"BÈ 6",GiaCuong_Be1!$C$4:$C$12)+SUMIF(GiaCuong_UocTinh!$A$4:$A$392,"BÈ 6",GiaCuong_UocTinh!$M$4:$M$392)</f>
        <v>930</v>
      </c>
      <c r="K29" s="15">
        <f>SUMIF(GiaCuong_Be1!$A$4:$A$12,"BÈ 7",GiaCuong_Be1!$C$4:$C$12)+SUMIF(GiaCuong_UocTinh!$A$4:$A$392,"BÈ 7",GiaCuong_UocTinh!$M$4:$M$392)</f>
        <v>915</v>
      </c>
      <c r="L29" s="15">
        <f>SUMIF(GiaCuong_Be1!$A$4:$A$12,"BÈ 8",GiaCuong_Be1!$C$4:$C$12)+SUMIF(GiaCuong_UocTinh!$A$4:$A$392,"BÈ 8",GiaCuong_UocTinh!$M$4:$M$392)</f>
        <v>1380</v>
      </c>
      <c r="M29" s="15">
        <f>SUMIF(GiaCuong_Be1!$A$4:$A$12,"BÈ 9",GiaCuong_Be1!$C$4:$C$12)+SUMIF(GiaCuong_UocTinh!$A$4:$A$392,"BÈ 9",GiaCuong_UocTinh!$M$4:$M$392)</f>
        <v>600</v>
      </c>
      <c r="N29" s="15">
        <f t="shared" si="4"/>
        <v>9132.398000000001</v>
      </c>
      <c r="O29" s="15">
        <f>N29</f>
        <v>9132.398000000001</v>
      </c>
      <c r="P29" s="13" t="s">
        <v>72</v>
      </c>
      <c r="Q29" s="13" t="s">
        <v>73</v>
      </c>
    </row>
    <row r="30" spans="1:17" ht="78" customHeight="1" x14ac:dyDescent="0.35">
      <c r="A30" s="11">
        <v>23</v>
      </c>
      <c r="B30" s="13" t="s">
        <v>74</v>
      </c>
      <c r="C30" s="11"/>
      <c r="D30" s="11" t="s">
        <v>47</v>
      </c>
      <c r="E30" s="12">
        <f>SUMIF(GiaCuong_Be1!$A$4:$A$12,"BÈ 1",GiaCuong_Be1!$D$4:$D$12)+SUMIF(GiaCuong_UocTinh!$A$4:$A$392,"BÈ 1",GiaCuong_UocTinh!$N$4:$N$392)</f>
        <v>27</v>
      </c>
      <c r="F30" s="12">
        <f>SUMIF(GiaCuong_Be1!$A$4:$A$12,"BÈ 2",GiaCuong_Be1!$D$4:$D$12)+SUMIF(GiaCuong_UocTinh!$A$4:$A$392,"BÈ 2",GiaCuong_UocTinh!$N$4:$N$392)</f>
        <v>96</v>
      </c>
      <c r="G30" s="12">
        <f>SUMIF(GiaCuong_Be1!$A$4:$A$12,"BÈ 3",GiaCuong_Be1!$D$4:$D$12)+SUMIF(GiaCuong_UocTinh!$A$4:$A$392,"BÈ 3",GiaCuong_UocTinh!$N$4:$N$392)</f>
        <v>117</v>
      </c>
      <c r="H30" s="12">
        <f>SUMIF(GiaCuong_Be1!$A$4:$A$12,"BÈ 3A",GiaCuong_Be1!$D$4:$D$12)+SUMIF(GiaCuong_UocTinh!$A$4:$A$392,"BÈ 3A",GiaCuong_UocTinh!$N$4:$N$392)</f>
        <v>528</v>
      </c>
      <c r="I30" s="12">
        <f>SUMIF(GiaCuong_Be1!$A$4:$A$12,"BÈ 5A",GiaCuong_Be1!$D$4:$D$12)+SUMIF(GiaCuong_UocTinh!$A$4:$A$392,"BÈ 5A",GiaCuong_UocTinh!$N$4:$N$392)</f>
        <v>294</v>
      </c>
      <c r="J30" s="12">
        <f>SUMIF(GiaCuong_Be1!$A$4:$A$12,"BÈ 6",GiaCuong_Be1!$D$4:$D$12)+SUMIF(GiaCuong_UocTinh!$A$4:$A$392,"BÈ 6",GiaCuong_UocTinh!$N$4:$N$392)</f>
        <v>186</v>
      </c>
      <c r="K30" s="12">
        <f>SUMIF(GiaCuong_Be1!$A$4:$A$12,"BÈ 7",GiaCuong_Be1!$D$4:$D$12)+SUMIF(GiaCuong_UocTinh!$A$4:$A$392,"BÈ 7",GiaCuong_UocTinh!$N$4:$N$392)</f>
        <v>183</v>
      </c>
      <c r="L30" s="12">
        <f>SUMIF(GiaCuong_Be1!$A$4:$A$12,"BÈ 8",GiaCuong_Be1!$D$4:$D$12)+SUMIF(GiaCuong_UocTinh!$A$4:$A$392,"BÈ 8",GiaCuong_UocTinh!$N$4:$N$392)</f>
        <v>276</v>
      </c>
      <c r="M30" s="12">
        <f>SUMIF(GiaCuong_Be1!$A$4:$A$12,"BÈ 9",GiaCuong_Be1!$D$4:$D$12)+SUMIF(GiaCuong_UocTinh!$A$4:$A$392,"BÈ 9",GiaCuong_UocTinh!$N$4:$N$392)</f>
        <v>120</v>
      </c>
      <c r="N30" s="12">
        <f t="shared" si="4"/>
        <v>1827</v>
      </c>
      <c r="O30" s="12">
        <f>N30</f>
        <v>1827</v>
      </c>
      <c r="P30" s="13" t="s">
        <v>36</v>
      </c>
      <c r="Q30" s="13"/>
    </row>
    <row r="31" spans="1:17" ht="78" customHeight="1" x14ac:dyDescent="0.35">
      <c r="A31" s="11">
        <v>24</v>
      </c>
      <c r="B31" s="13" t="s">
        <v>75</v>
      </c>
      <c r="C31" s="11"/>
      <c r="D31" s="11" t="s">
        <v>26</v>
      </c>
      <c r="E31" s="12">
        <f>SUMIF(GiaCuong_Be1!$A$4:$A$12,"BÈ 1",GiaCuong_Be1!$E$4:$E$12)+SUMIF(GiaCuong_UocTinh!$A$4:$A$392,"BÈ 1",GiaCuong_UocTinh!$O$4:$O$392)</f>
        <v>18</v>
      </c>
      <c r="F31" s="12">
        <f>SUMIF(GiaCuong_Be1!$A$4:$A$12,"BÈ 2",GiaCuong_Be1!$E$4:$E$12)+SUMIF(GiaCuong_UocTinh!$A$4:$A$392,"BÈ 2",GiaCuong_UocTinh!$O$4:$O$392)</f>
        <v>64</v>
      </c>
      <c r="G31" s="12">
        <f>SUMIF(GiaCuong_Be1!$A$4:$A$12,"BÈ 3",GiaCuong_Be1!$E$4:$E$12)+SUMIF(GiaCuong_UocTinh!$A$4:$A$392,"BÈ 3",GiaCuong_UocTinh!$O$4:$O$392)</f>
        <v>78</v>
      </c>
      <c r="H31" s="12">
        <f>SUMIF(GiaCuong_Be1!$A$4:$A$12,"BÈ 3A",GiaCuong_Be1!$E$4:$E$12)+SUMIF(GiaCuong_UocTinh!$A$4:$A$392,"BÈ 3A",GiaCuong_UocTinh!$O$4:$O$392)</f>
        <v>352</v>
      </c>
      <c r="I31" s="12">
        <f>SUMIF(GiaCuong_Be1!$A$4:$A$12,"BÈ 5A",GiaCuong_Be1!$E$4:$E$12)+SUMIF(GiaCuong_UocTinh!$A$4:$A$392,"BÈ 5A",GiaCuong_UocTinh!$O$4:$O$392)</f>
        <v>196</v>
      </c>
      <c r="J31" s="12">
        <f>SUMIF(GiaCuong_Be1!$A$4:$A$12,"BÈ 6",GiaCuong_Be1!$E$4:$E$12)+SUMIF(GiaCuong_UocTinh!$A$4:$A$392,"BÈ 6",GiaCuong_UocTinh!$O$4:$O$392)</f>
        <v>124</v>
      </c>
      <c r="K31" s="12">
        <f>SUMIF(GiaCuong_Be1!$A$4:$A$12,"BÈ 7",GiaCuong_Be1!$E$4:$E$12)+SUMIF(GiaCuong_UocTinh!$A$4:$A$392,"BÈ 7",GiaCuong_UocTinh!$O$4:$O$392)</f>
        <v>122</v>
      </c>
      <c r="L31" s="12">
        <f>SUMIF(GiaCuong_Be1!$A$4:$A$12,"BÈ 8",GiaCuong_Be1!$E$4:$E$12)+SUMIF(GiaCuong_UocTinh!$A$4:$A$392,"BÈ 8",GiaCuong_UocTinh!$O$4:$O$392)</f>
        <v>184</v>
      </c>
      <c r="M31" s="12">
        <f>SUMIF(GiaCuong_Be1!$A$4:$A$12,"BÈ 9",GiaCuong_Be1!$E$4:$E$12)+SUMIF(GiaCuong_UocTinh!$A$4:$A$392,"BÈ 9",GiaCuong_UocTinh!$O$4:$O$392)</f>
        <v>80</v>
      </c>
      <c r="N31" s="12">
        <f t="shared" si="4"/>
        <v>1218</v>
      </c>
      <c r="O31" s="12">
        <f>ROUNDUP(N31*(1+GiaDinh!$C$14/100),0)</f>
        <v>1255</v>
      </c>
      <c r="P31" s="13" t="s">
        <v>36</v>
      </c>
      <c r="Q31" s="13"/>
    </row>
    <row r="32" spans="1:17" ht="78" customHeight="1" x14ac:dyDescent="0.35">
      <c r="A32" s="11">
        <v>25</v>
      </c>
      <c r="B32" s="13" t="s">
        <v>76</v>
      </c>
      <c r="C32" s="11"/>
      <c r="D32" s="11" t="s">
        <v>30</v>
      </c>
      <c r="E32" s="12">
        <f>SUMIF(GiaCuong_Be1!$A$4:$A$12,"BÈ 1",GiaCuong_Be1!$G$4:$G$12)+SUMIF(GiaCuong_UocTinh!$A$4:$A$392,"BÈ 1",GiaCuong_UocTinh!$P$4:$P$392)</f>
        <v>112</v>
      </c>
      <c r="F32" s="12">
        <f>SUMIF(GiaCuong_Be1!$A$4:$A$12,"BÈ 2",GiaCuong_Be1!$G$4:$G$12)+SUMIF(GiaCuong_UocTinh!$A$4:$A$392,"BÈ 2",GiaCuong_UocTinh!$P$4:$P$392)</f>
        <v>416</v>
      </c>
      <c r="G32" s="12">
        <f>SUMIF(GiaCuong_Be1!$A$4:$A$12,"BÈ 3",GiaCuong_Be1!$G$4:$G$12)+SUMIF(GiaCuong_UocTinh!$A$4:$A$392,"BÈ 3",GiaCuong_UocTinh!$P$4:$P$392)</f>
        <v>507</v>
      </c>
      <c r="H32" s="12">
        <f>SUMIF(GiaCuong_Be1!$A$4:$A$12,"BÈ 3A",GiaCuong_Be1!$G$4:$G$12)+SUMIF(GiaCuong_UocTinh!$A$4:$A$392,"BÈ 3A",GiaCuong_UocTinh!$P$4:$P$392)</f>
        <v>2288</v>
      </c>
      <c r="I32" s="12">
        <f>SUMIF(GiaCuong_Be1!$A$4:$A$12,"BÈ 5A",GiaCuong_Be1!$G$4:$G$12)+SUMIF(GiaCuong_UocTinh!$A$4:$A$392,"BÈ 5A",GiaCuong_UocTinh!$P$4:$P$392)</f>
        <v>1274</v>
      </c>
      <c r="J32" s="12">
        <f>SUMIF(GiaCuong_Be1!$A$4:$A$12,"BÈ 6",GiaCuong_Be1!$G$4:$G$12)+SUMIF(GiaCuong_UocTinh!$A$4:$A$392,"BÈ 6",GiaCuong_UocTinh!$P$4:$P$392)</f>
        <v>806</v>
      </c>
      <c r="K32" s="12">
        <f>SUMIF(GiaCuong_Be1!$A$4:$A$12,"BÈ 7",GiaCuong_Be1!$G$4:$G$12)+SUMIF(GiaCuong_UocTinh!$A$4:$A$392,"BÈ 7",GiaCuong_UocTinh!$P$4:$P$392)</f>
        <v>793</v>
      </c>
      <c r="L32" s="12">
        <f>SUMIF(GiaCuong_Be1!$A$4:$A$12,"BÈ 8",GiaCuong_Be1!$G$4:$G$12)+SUMIF(GiaCuong_UocTinh!$A$4:$A$392,"BÈ 8",GiaCuong_UocTinh!$P$4:$P$392)</f>
        <v>1196</v>
      </c>
      <c r="M32" s="12">
        <f>SUMIF(GiaCuong_Be1!$A$4:$A$12,"BÈ 9",GiaCuong_Be1!$G$4:$G$12)+SUMIF(GiaCuong_UocTinh!$A$4:$A$392,"BÈ 9",GiaCuong_UocTinh!$P$4:$P$392)</f>
        <v>520</v>
      </c>
      <c r="N32" s="12">
        <f t="shared" si="4"/>
        <v>7912</v>
      </c>
      <c r="O32" s="12">
        <f>ROUNDUP(N32*(1+GiaDinh!$C$14/100),0)</f>
        <v>8150</v>
      </c>
      <c r="P32" s="13" t="s">
        <v>72</v>
      </c>
      <c r="Q32" s="13" t="s">
        <v>77</v>
      </c>
    </row>
    <row r="33" spans="1:17" ht="78" customHeight="1" x14ac:dyDescent="0.35">
      <c r="A33" s="11">
        <v>26</v>
      </c>
      <c r="B33" s="13" t="s">
        <v>78</v>
      </c>
      <c r="C33" s="11"/>
      <c r="D33" s="11" t="s">
        <v>26</v>
      </c>
      <c r="E33" s="12">
        <f>SUMIF(GiaCuong_Be1!$A$4:$A$12,"BÈ 1",GiaCuong_Be1!$H$4:$H$12)+SUMIF(GiaCuong_UocTinh!$A$4:$A$392,"BÈ 1",GiaCuong_UocTinh!$Q$4:$Q$392)</f>
        <v>224</v>
      </c>
      <c r="F33" s="12">
        <f>SUMIF(GiaCuong_Be1!$A$4:$A$12,"BÈ 2",GiaCuong_Be1!$H$4:$H$12)+SUMIF(GiaCuong_UocTinh!$A$4:$A$392,"BÈ 2",GiaCuong_UocTinh!$Q$4:$Q$392)</f>
        <v>832</v>
      </c>
      <c r="G33" s="12">
        <f>SUMIF(GiaCuong_Be1!$A$4:$A$12,"BÈ 3",GiaCuong_Be1!$H$4:$H$12)+SUMIF(GiaCuong_UocTinh!$A$4:$A$392,"BÈ 3",GiaCuong_UocTinh!$Q$4:$Q$392)</f>
        <v>1014</v>
      </c>
      <c r="H33" s="12">
        <f>SUMIF(GiaCuong_Be1!$A$4:$A$12,"BÈ 3A",GiaCuong_Be1!$H$4:$H$12)+SUMIF(GiaCuong_UocTinh!$A$4:$A$392,"BÈ 3A",GiaCuong_UocTinh!$Q$4:$Q$392)</f>
        <v>4576</v>
      </c>
      <c r="I33" s="12">
        <f>SUMIF(GiaCuong_Be1!$A$4:$A$12,"BÈ 5A",GiaCuong_Be1!$H$4:$H$12)+SUMIF(GiaCuong_UocTinh!$A$4:$A$392,"BÈ 5A",GiaCuong_UocTinh!$Q$4:$Q$392)</f>
        <v>2548</v>
      </c>
      <c r="J33" s="12">
        <f>SUMIF(GiaCuong_Be1!$A$4:$A$12,"BÈ 6",GiaCuong_Be1!$H$4:$H$12)+SUMIF(GiaCuong_UocTinh!$A$4:$A$392,"BÈ 6",GiaCuong_UocTinh!$Q$4:$Q$392)</f>
        <v>1612</v>
      </c>
      <c r="K33" s="12">
        <f>SUMIF(GiaCuong_Be1!$A$4:$A$12,"BÈ 7",GiaCuong_Be1!$H$4:$H$12)+SUMIF(GiaCuong_UocTinh!$A$4:$A$392,"BÈ 7",GiaCuong_UocTinh!$Q$4:$Q$392)</f>
        <v>1586</v>
      </c>
      <c r="L33" s="12">
        <f>SUMIF(GiaCuong_Be1!$A$4:$A$12,"BÈ 8",GiaCuong_Be1!$H$4:$H$12)+SUMIF(GiaCuong_UocTinh!$A$4:$A$392,"BÈ 8",GiaCuong_UocTinh!$Q$4:$Q$392)</f>
        <v>2392</v>
      </c>
      <c r="M33" s="12">
        <f>SUMIF(GiaCuong_Be1!$A$4:$A$12,"BÈ 9",GiaCuong_Be1!$H$4:$H$12)+SUMIF(GiaCuong_UocTinh!$A$4:$A$392,"BÈ 9",GiaCuong_UocTinh!$Q$4:$Q$392)</f>
        <v>1040</v>
      </c>
      <c r="N33" s="12">
        <f t="shared" si="4"/>
        <v>15824</v>
      </c>
      <c r="O33" s="12">
        <f>ROUNDUP(N33*(1+GiaDinh!$C$14/100),0)</f>
        <v>16299</v>
      </c>
      <c r="P33" s="13" t="s">
        <v>72</v>
      </c>
      <c r="Q33" s="13" t="s">
        <v>79</v>
      </c>
    </row>
    <row r="34" spans="1:17" ht="78" customHeight="1" x14ac:dyDescent="0.35">
      <c r="A34" s="11">
        <v>27</v>
      </c>
      <c r="B34" s="13" t="s">
        <v>80</v>
      </c>
      <c r="C34" s="11"/>
      <c r="D34" s="11" t="s">
        <v>26</v>
      </c>
      <c r="E34" s="12">
        <f>SUMIF(GiaCuong_Be1!$A$4:$A$12,"BÈ 1",GiaCuong_Be1!$I$4:$I$12)+SUMIF(GiaCuong_UocTinh!$A$4:$A$392,"BÈ 1",GiaCuong_UocTinh!$R$4:$R$392)</f>
        <v>112</v>
      </c>
      <c r="F34" s="12">
        <f>SUMIF(GiaCuong_Be1!$A$4:$A$12,"BÈ 2",GiaCuong_Be1!$I$4:$I$12)+SUMIF(GiaCuong_UocTinh!$A$4:$A$392,"BÈ 2",GiaCuong_UocTinh!$R$4:$R$392)</f>
        <v>416</v>
      </c>
      <c r="G34" s="12">
        <f>SUMIF(GiaCuong_Be1!$A$4:$A$12,"BÈ 3",GiaCuong_Be1!$I$4:$I$12)+SUMIF(GiaCuong_UocTinh!$A$4:$A$392,"BÈ 3",GiaCuong_UocTinh!$R$4:$R$392)</f>
        <v>507</v>
      </c>
      <c r="H34" s="12">
        <f>SUMIF(GiaCuong_Be1!$A$4:$A$12,"BÈ 3A",GiaCuong_Be1!$I$4:$I$12)+SUMIF(GiaCuong_UocTinh!$A$4:$A$392,"BÈ 3A",GiaCuong_UocTinh!$R$4:$R$392)</f>
        <v>2288</v>
      </c>
      <c r="I34" s="12">
        <f>SUMIF(GiaCuong_Be1!$A$4:$A$12,"BÈ 5A",GiaCuong_Be1!$I$4:$I$12)+SUMIF(GiaCuong_UocTinh!$A$4:$A$392,"BÈ 5A",GiaCuong_UocTinh!$R$4:$R$392)</f>
        <v>1274</v>
      </c>
      <c r="J34" s="12">
        <f>SUMIF(GiaCuong_Be1!$A$4:$A$12,"BÈ 6",GiaCuong_Be1!$I$4:$I$12)+SUMIF(GiaCuong_UocTinh!$A$4:$A$392,"BÈ 6",GiaCuong_UocTinh!$R$4:$R$392)</f>
        <v>806</v>
      </c>
      <c r="K34" s="12">
        <f>SUMIF(GiaCuong_Be1!$A$4:$A$12,"BÈ 7",GiaCuong_Be1!$I$4:$I$12)+SUMIF(GiaCuong_UocTinh!$A$4:$A$392,"BÈ 7",GiaCuong_UocTinh!$R$4:$R$392)</f>
        <v>793</v>
      </c>
      <c r="L34" s="12">
        <f>SUMIF(GiaCuong_Be1!$A$4:$A$12,"BÈ 8",GiaCuong_Be1!$I$4:$I$12)+SUMIF(GiaCuong_UocTinh!$A$4:$A$392,"BÈ 8",GiaCuong_UocTinh!$R$4:$R$392)</f>
        <v>1196</v>
      </c>
      <c r="M34" s="12">
        <f>SUMIF(GiaCuong_Be1!$A$4:$A$12,"BÈ 9",GiaCuong_Be1!$I$4:$I$12)+SUMIF(GiaCuong_UocTinh!$A$4:$A$392,"BÈ 9",GiaCuong_UocTinh!$R$4:$R$392)</f>
        <v>520</v>
      </c>
      <c r="N34" s="12">
        <f t="shared" si="4"/>
        <v>7912</v>
      </c>
      <c r="O34" s="12">
        <f>ROUNDUP(N34*(1+GiaDinh!$C$14/100),0)</f>
        <v>8150</v>
      </c>
      <c r="P34" s="13" t="s">
        <v>72</v>
      </c>
      <c r="Q34" s="13" t="s">
        <v>81</v>
      </c>
    </row>
    <row r="35" spans="1:17" ht="78" customHeight="1" x14ac:dyDescent="0.35">
      <c r="A35" s="11">
        <v>28</v>
      </c>
      <c r="B35" s="13" t="s">
        <v>82</v>
      </c>
      <c r="C35" s="11"/>
      <c r="D35" s="11" t="s">
        <v>52</v>
      </c>
      <c r="E35" s="15">
        <f>SUMIF(GiaCuong_Be1!$A$4:$A$12,"BÈ 1",GiaCuong_Be1!$J$4:$J$12)+SUMIF(GiaCuong_UocTinh!$A$4:$A$392,"BÈ 1",GiaCuong_UocTinh!$S$4:$S$392)</f>
        <v>398.51798000000008</v>
      </c>
      <c r="F35" s="15">
        <f>SUMIF(GiaCuong_Be1!$A$4:$A$12,"BÈ 2",GiaCuong_Be1!$J$4:$J$12)+SUMIF(GiaCuong_UocTinh!$A$4:$A$392,"BÈ 2",GiaCuong_UocTinh!$S$4:$S$392)</f>
        <v>1444.8000000000002</v>
      </c>
      <c r="G35" s="15">
        <f>SUMIF(GiaCuong_Be1!$A$4:$A$12,"BÈ 3",GiaCuong_Be1!$J$4:$J$12)+SUMIF(GiaCuong_UocTinh!$A$4:$A$392,"BÈ 3",GiaCuong_UocTinh!$S$4:$S$392)</f>
        <v>1760.8500000000004</v>
      </c>
      <c r="H35" s="15">
        <f>SUMIF(GiaCuong_Be1!$A$4:$A$12,"BÈ 3A",GiaCuong_Be1!$J$4:$J$12)+SUMIF(GiaCuong_UocTinh!$A$4:$A$392,"BÈ 3A",GiaCuong_UocTinh!$S$4:$S$392)</f>
        <v>7946.4000000000042</v>
      </c>
      <c r="I35" s="15">
        <f>SUMIF(GiaCuong_Be1!$A$4:$A$12,"BÈ 5A",GiaCuong_Be1!$J$4:$J$12)+SUMIF(GiaCuong_UocTinh!$A$4:$A$392,"BÈ 5A",GiaCuong_UocTinh!$S$4:$S$392)</f>
        <v>4424.7000000000016</v>
      </c>
      <c r="J35" s="15">
        <f>SUMIF(GiaCuong_Be1!$A$4:$A$12,"BÈ 6",GiaCuong_Be1!$J$4:$J$12)+SUMIF(GiaCuong_UocTinh!$A$4:$A$392,"BÈ 6",GiaCuong_UocTinh!$S$4:$S$392)</f>
        <v>2799.3000000000006</v>
      </c>
      <c r="K35" s="15">
        <f>SUMIF(GiaCuong_Be1!$A$4:$A$12,"BÈ 7",GiaCuong_Be1!$J$4:$J$12)+SUMIF(GiaCuong_UocTinh!$A$4:$A$392,"BÈ 7",GiaCuong_UocTinh!$S$4:$S$392)</f>
        <v>2754.150000000001</v>
      </c>
      <c r="L35" s="15">
        <f>SUMIF(GiaCuong_Be1!$A$4:$A$12,"BÈ 8",GiaCuong_Be1!$J$4:$J$12)+SUMIF(GiaCuong_UocTinh!$A$4:$A$392,"BÈ 8",GiaCuong_UocTinh!$S$4:$S$392)</f>
        <v>4153.8000000000029</v>
      </c>
      <c r="M35" s="15">
        <f>SUMIF(GiaCuong_Be1!$A$4:$A$12,"BÈ 9",GiaCuong_Be1!$J$4:$J$12)+SUMIF(GiaCuong_UocTinh!$A$4:$A$392,"BÈ 9",GiaCuong_UocTinh!$S$4:$S$392)</f>
        <v>1806.0000000000009</v>
      </c>
      <c r="N35" s="15">
        <f t="shared" si="4"/>
        <v>27488.517980000011</v>
      </c>
      <c r="O35" s="15">
        <f>N35</f>
        <v>27488.517980000011</v>
      </c>
      <c r="P35" s="13" t="s">
        <v>36</v>
      </c>
      <c r="Q35" s="13" t="s">
        <v>53</v>
      </c>
    </row>
    <row r="36" spans="1:17" s="2" customFormat="1" x14ac:dyDescent="0.35">
      <c r="A36" s="8"/>
      <c r="B36" s="10" t="s">
        <v>83</v>
      </c>
      <c r="C36" s="8"/>
      <c r="D36" s="8"/>
      <c r="E36" s="9"/>
      <c r="F36" s="9"/>
      <c r="G36" s="9"/>
      <c r="H36" s="9"/>
      <c r="I36" s="9"/>
      <c r="J36" s="9"/>
      <c r="K36" s="9"/>
      <c r="L36" s="9"/>
      <c r="M36" s="9"/>
      <c r="N36" s="9"/>
      <c r="O36" s="9"/>
      <c r="P36" s="10"/>
      <c r="Q36" s="10"/>
    </row>
    <row r="37" spans="1:17" ht="78" customHeight="1" x14ac:dyDescent="0.35">
      <c r="A37" s="11">
        <v>29</v>
      </c>
      <c r="B37" s="13" t="s">
        <v>84</v>
      </c>
      <c r="C37" s="11"/>
      <c r="D37" s="11" t="s">
        <v>30</v>
      </c>
      <c r="E37" s="12">
        <f>DuLieuBanVe!C4*GiaDinh!$C$8</f>
        <v>1568</v>
      </c>
      <c r="F37" s="12">
        <f>DuLieuBanVe!D4*GiaDinh!$C$8</f>
        <v>1568</v>
      </c>
      <c r="G37" s="12">
        <f>DuLieuBanVe!E4*GiaDinh!$C$8</f>
        <v>2128</v>
      </c>
      <c r="H37" s="12">
        <f>DuLieuBanVe!F4*GiaDinh!$C$8</f>
        <v>7336</v>
      </c>
      <c r="I37" s="12">
        <f>DuLieuBanVe!G4*GiaDinh!$C$8</f>
        <v>8904</v>
      </c>
      <c r="J37" s="12">
        <f>DuLieuBanVe!H4*GiaDinh!$C$8</f>
        <v>3696</v>
      </c>
      <c r="K37" s="12">
        <f>DuLieuBanVe!I4*GiaDinh!$C$8</f>
        <v>4200</v>
      </c>
      <c r="L37" s="12">
        <f>DuLieuBanVe!J4*GiaDinh!$C$8</f>
        <v>5768</v>
      </c>
      <c r="M37" s="12">
        <f>DuLieuBanVe!K4*GiaDinh!$C$8</f>
        <v>1540</v>
      </c>
      <c r="N37" s="12">
        <f>SUM(E37:M37)</f>
        <v>36708</v>
      </c>
      <c r="O37" s="12">
        <f>ROUNDUP(N37*(1+GiaDinh!$C$14/100),0)</f>
        <v>37810</v>
      </c>
      <c r="P37" s="13" t="s">
        <v>36</v>
      </c>
      <c r="Q37" s="13"/>
    </row>
    <row r="38" spans="1:17" ht="78" customHeight="1" x14ac:dyDescent="0.35">
      <c r="A38" s="11">
        <v>30</v>
      </c>
      <c r="B38" s="13" t="s">
        <v>85</v>
      </c>
      <c r="C38" s="11"/>
      <c r="D38" s="11" t="s">
        <v>30</v>
      </c>
      <c r="E38" s="12">
        <f>DuLieuBanVe!C4*GiaDinh!$C$9</f>
        <v>1568</v>
      </c>
      <c r="F38" s="12">
        <f>DuLieuBanVe!D4*GiaDinh!$C$9</f>
        <v>1568</v>
      </c>
      <c r="G38" s="12">
        <f>DuLieuBanVe!E4*GiaDinh!$C$9</f>
        <v>2128</v>
      </c>
      <c r="H38" s="12">
        <f>DuLieuBanVe!F4*GiaDinh!$C$9</f>
        <v>7336</v>
      </c>
      <c r="I38" s="12">
        <f>DuLieuBanVe!G4*GiaDinh!$C$9</f>
        <v>8904</v>
      </c>
      <c r="J38" s="12">
        <f>DuLieuBanVe!H4*GiaDinh!$C$9</f>
        <v>3696</v>
      </c>
      <c r="K38" s="12">
        <f>DuLieuBanVe!I4*GiaDinh!$C$9</f>
        <v>4200</v>
      </c>
      <c r="L38" s="12">
        <f>DuLieuBanVe!J4*GiaDinh!$C$9</f>
        <v>5768</v>
      </c>
      <c r="M38" s="12">
        <f>DuLieuBanVe!K4*GiaDinh!$C$9</f>
        <v>1540</v>
      </c>
      <c r="N38" s="12">
        <f>SUM(E38:M38)</f>
        <v>36708</v>
      </c>
      <c r="O38" s="12">
        <f>ROUNDUP(N38*(1+GiaDinh!$C$14/100),0)</f>
        <v>37810</v>
      </c>
      <c r="P38" s="13" t="s">
        <v>36</v>
      </c>
      <c r="Q38" s="13"/>
    </row>
    <row r="39" spans="1:17" ht="78" customHeight="1" x14ac:dyDescent="0.35">
      <c r="A39" s="11">
        <v>31</v>
      </c>
      <c r="B39" s="13" t="s">
        <v>86</v>
      </c>
      <c r="C39" s="11"/>
      <c r="D39" s="11" t="s">
        <v>26</v>
      </c>
      <c r="E39" s="12">
        <f>DuLieuBanVe!C4*GiaDinh!$C$10</f>
        <v>1568</v>
      </c>
      <c r="F39" s="12">
        <f>DuLieuBanVe!D4*GiaDinh!$C$10</f>
        <v>1568</v>
      </c>
      <c r="G39" s="12">
        <f>DuLieuBanVe!E4*GiaDinh!$C$10</f>
        <v>2128</v>
      </c>
      <c r="H39" s="12">
        <f>DuLieuBanVe!F4*GiaDinh!$C$10</f>
        <v>7336</v>
      </c>
      <c r="I39" s="12">
        <f>DuLieuBanVe!G4*GiaDinh!$C$10</f>
        <v>8904</v>
      </c>
      <c r="J39" s="12">
        <f>DuLieuBanVe!H4*GiaDinh!$C$10</f>
        <v>3696</v>
      </c>
      <c r="K39" s="12">
        <f>DuLieuBanVe!I4*GiaDinh!$C$10</f>
        <v>4200</v>
      </c>
      <c r="L39" s="12">
        <f>DuLieuBanVe!J4*GiaDinh!$C$10</f>
        <v>5768</v>
      </c>
      <c r="M39" s="12">
        <f>DuLieuBanVe!K4*GiaDinh!$C$10</f>
        <v>1540</v>
      </c>
      <c r="N39" s="12">
        <f>SUM(E39:M39)</f>
        <v>36708</v>
      </c>
      <c r="O39" s="12">
        <f>ROUNDUP(N39*(1+GiaDinh!$C$14/100),0)</f>
        <v>37810</v>
      </c>
      <c r="P39" s="13" t="s">
        <v>36</v>
      </c>
      <c r="Q39" s="13"/>
    </row>
    <row r="40" spans="1:17" ht="78" customHeight="1" x14ac:dyDescent="0.35">
      <c r="A40" s="11">
        <v>32</v>
      </c>
      <c r="B40" s="13" t="s">
        <v>87</v>
      </c>
      <c r="D40" s="11" t="s">
        <v>26</v>
      </c>
      <c r="E40" s="12">
        <f>DuLieuBanVe!C4*GiaDinh!$C$11</f>
        <v>1568</v>
      </c>
      <c r="F40" s="12">
        <f>DuLieuBanVe!D4*GiaDinh!$C$11</f>
        <v>1568</v>
      </c>
      <c r="G40" s="12">
        <f>DuLieuBanVe!E4*GiaDinh!$C$11</f>
        <v>2128</v>
      </c>
      <c r="H40" s="12">
        <f>DuLieuBanVe!F4*GiaDinh!$C$11</f>
        <v>7336</v>
      </c>
      <c r="I40" s="12">
        <f>DuLieuBanVe!G4*GiaDinh!$C$11</f>
        <v>8904</v>
      </c>
      <c r="J40" s="12">
        <f>DuLieuBanVe!H4*GiaDinh!$C$11</f>
        <v>3696</v>
      </c>
      <c r="K40" s="12">
        <f>DuLieuBanVe!I4*GiaDinh!$C$11</f>
        <v>4200</v>
      </c>
      <c r="L40" s="12">
        <f>DuLieuBanVe!J4*GiaDinh!$C$11</f>
        <v>5768</v>
      </c>
      <c r="M40" s="12">
        <f>DuLieuBanVe!K4*GiaDinh!$C$11</f>
        <v>1540</v>
      </c>
      <c r="N40" s="12">
        <f>SUM(E40:M40)</f>
        <v>36708</v>
      </c>
      <c r="O40" s="12">
        <f>ROUNDUP(N40*(1+GiaDinh!$C$14/100),0)</f>
        <v>37810</v>
      </c>
      <c r="P40" s="13" t="s">
        <v>36</v>
      </c>
      <c r="Q40" s="13"/>
    </row>
    <row r="41" spans="1:17" ht="78" customHeight="1" x14ac:dyDescent="0.35">
      <c r="A41" s="11">
        <v>33</v>
      </c>
      <c r="B41" s="13" t="s">
        <v>88</v>
      </c>
      <c r="C41" s="11"/>
      <c r="D41" s="11" t="s">
        <v>26</v>
      </c>
      <c r="E41" s="12">
        <f>DuLieuBanVe!C4*GiaDinh!$C$12</f>
        <v>3136</v>
      </c>
      <c r="F41" s="12">
        <f>DuLieuBanVe!D4*GiaDinh!$C$12</f>
        <v>3136</v>
      </c>
      <c r="G41" s="12">
        <f>DuLieuBanVe!E4*GiaDinh!$C$12</f>
        <v>4256</v>
      </c>
      <c r="H41" s="12">
        <f>DuLieuBanVe!F4*GiaDinh!$C$12</f>
        <v>14672</v>
      </c>
      <c r="I41" s="12">
        <f>DuLieuBanVe!G4*GiaDinh!$C$12</f>
        <v>17808</v>
      </c>
      <c r="J41" s="12">
        <f>DuLieuBanVe!H4*GiaDinh!$C$12</f>
        <v>7392</v>
      </c>
      <c r="K41" s="12">
        <f>DuLieuBanVe!I4*GiaDinh!$C$12</f>
        <v>8400</v>
      </c>
      <c r="L41" s="12">
        <f>DuLieuBanVe!J4*GiaDinh!$C$12</f>
        <v>11536</v>
      </c>
      <c r="M41" s="12">
        <f>DuLieuBanVe!K4*GiaDinh!$C$12</f>
        <v>3080</v>
      </c>
      <c r="N41" s="12">
        <f>SUM(E41:M41)</f>
        <v>73416</v>
      </c>
      <c r="O41" s="12">
        <f>ROUNDUP(N41*(1+GiaDinh!$C$14/100),0)</f>
        <v>75619</v>
      </c>
      <c r="P41" s="13" t="s">
        <v>36</v>
      </c>
      <c r="Q41" s="13"/>
    </row>
    <row r="42" spans="1:17" s="2" customFormat="1" x14ac:dyDescent="0.35">
      <c r="A42" s="8"/>
      <c r="B42" s="10" t="s">
        <v>89</v>
      </c>
      <c r="C42" s="8"/>
      <c r="D42" s="8"/>
      <c r="E42" s="9"/>
      <c r="F42" s="9"/>
      <c r="G42" s="9"/>
      <c r="H42" s="9"/>
      <c r="I42" s="9"/>
      <c r="J42" s="9"/>
      <c r="K42" s="9"/>
      <c r="L42" s="9"/>
      <c r="M42" s="9"/>
      <c r="N42" s="9"/>
      <c r="O42" s="9"/>
      <c r="P42" s="10"/>
      <c r="Q42" s="10"/>
    </row>
    <row r="43" spans="1:17" ht="78" customHeight="1" x14ac:dyDescent="0.35">
      <c r="A43" s="11">
        <v>34</v>
      </c>
      <c r="B43" s="13" t="s">
        <v>90</v>
      </c>
      <c r="C43" s="11"/>
      <c r="D43" s="11" t="s">
        <v>30</v>
      </c>
      <c r="E43" s="12">
        <f>2*DuLieuBanVe!C18</f>
        <v>38</v>
      </c>
      <c r="F43" s="12">
        <f>2*DuLieuBanVe!D18</f>
        <v>40</v>
      </c>
      <c r="G43" s="12">
        <f>2*DuLieuBanVe!E18</f>
        <v>44</v>
      </c>
      <c r="H43" s="12">
        <f>2*DuLieuBanVe!F18</f>
        <v>100</v>
      </c>
      <c r="I43" s="12">
        <f>2*DuLieuBanVe!G18</f>
        <v>98</v>
      </c>
      <c r="J43" s="12">
        <f>2*DuLieuBanVe!H18</f>
        <v>62</v>
      </c>
      <c r="K43" s="12">
        <f>2*DuLieuBanVe!I18</f>
        <v>66</v>
      </c>
      <c r="L43" s="12">
        <f>2*DuLieuBanVe!J18</f>
        <v>102</v>
      </c>
      <c r="M43" s="12">
        <f>2*DuLieuBanVe!K18</f>
        <v>40</v>
      </c>
      <c r="N43" s="12">
        <f>SUM(E43:M43)</f>
        <v>590</v>
      </c>
      <c r="O43" s="12">
        <f>ROUNDUP(N43*(1+GiaDinh!$C$14/100),0)</f>
        <v>608</v>
      </c>
      <c r="P43" s="13" t="s">
        <v>22</v>
      </c>
      <c r="Q43" s="13" t="s">
        <v>91</v>
      </c>
    </row>
    <row r="44" spans="1:17" x14ac:dyDescent="0.35">
      <c r="A44" s="16"/>
      <c r="B44" s="17"/>
      <c r="C44" s="16"/>
      <c r="D44" s="16"/>
      <c r="E44" s="16"/>
      <c r="F44" s="16"/>
      <c r="G44" s="16"/>
      <c r="H44" s="16"/>
      <c r="I44" s="16"/>
      <c r="J44" s="16"/>
      <c r="K44" s="16"/>
      <c r="L44" s="16"/>
      <c r="M44" s="16"/>
      <c r="N44" s="16"/>
      <c r="O44" s="16"/>
      <c r="P44" s="16"/>
      <c r="Q44" s="17"/>
    </row>
    <row r="45" spans="1:17" x14ac:dyDescent="0.35">
      <c r="A45" s="16"/>
      <c r="B45" s="17"/>
      <c r="C45" s="16"/>
      <c r="D45" s="16"/>
      <c r="E45" s="16"/>
      <c r="F45" s="16"/>
      <c r="G45" s="16"/>
      <c r="H45" s="16"/>
      <c r="I45" s="16"/>
      <c r="J45" s="16"/>
      <c r="K45" s="16"/>
      <c r="L45" s="16"/>
      <c r="M45" s="16"/>
      <c r="N45" s="16"/>
      <c r="O45" s="16"/>
      <c r="P45" s="16"/>
      <c r="Q45" s="17"/>
    </row>
  </sheetData>
  <mergeCells count="2">
    <mergeCell ref="A2:Q2"/>
    <mergeCell ref="A1:Q1"/>
  </mergeCells>
  <pageMargins left="0.7" right="0.7" top="0.75" bottom="0.75" header="0.3" footer="0.3"/>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0"/>
  <sheetViews>
    <sheetView workbookViewId="0"/>
  </sheetViews>
  <sheetFormatPr defaultRowHeight="15.5" x14ac:dyDescent="0.35"/>
  <cols>
    <col min="1" max="1" width="9.83203125" customWidth="1"/>
    <col min="2" max="2" width="52.83203125" customWidth="1"/>
    <col min="3" max="11" width="9.83203125" customWidth="1"/>
    <col min="12" max="12" width="10.83203125" customWidth="1"/>
    <col min="13" max="13" width="90.83203125" customWidth="1"/>
  </cols>
  <sheetData>
    <row r="1" spans="1:13" ht="17" customHeight="1" x14ac:dyDescent="0.4">
      <c r="A1" s="1" t="s">
        <v>92</v>
      </c>
    </row>
    <row r="3" spans="1:13" s="3" customFormat="1" x14ac:dyDescent="0.35">
      <c r="A3" s="3" t="s">
        <v>93</v>
      </c>
      <c r="B3" s="3" t="s">
        <v>3</v>
      </c>
      <c r="C3" s="3" t="s">
        <v>6</v>
      </c>
      <c r="D3" s="3" t="s">
        <v>7</v>
      </c>
      <c r="E3" s="3" t="s">
        <v>8</v>
      </c>
      <c r="F3" s="3" t="s">
        <v>9</v>
      </c>
      <c r="G3" s="3" t="s">
        <v>10</v>
      </c>
      <c r="H3" s="3" t="s">
        <v>11</v>
      </c>
      <c r="I3" s="3" t="s">
        <v>12</v>
      </c>
      <c r="J3" s="3" t="s">
        <v>13</v>
      </c>
      <c r="K3" s="3" t="s">
        <v>14</v>
      </c>
      <c r="L3" s="3" t="s">
        <v>15</v>
      </c>
      <c r="M3" s="3" t="s">
        <v>17</v>
      </c>
    </row>
    <row r="4" spans="1:13" x14ac:dyDescent="0.35">
      <c r="A4" t="s">
        <v>94</v>
      </c>
      <c r="B4" t="s">
        <v>95</v>
      </c>
      <c r="C4" s="5">
        <v>784</v>
      </c>
      <c r="D4" s="5">
        <v>784</v>
      </c>
      <c r="E4" s="5">
        <v>1064</v>
      </c>
      <c r="F4" s="5">
        <v>3668</v>
      </c>
      <c r="G4" s="5">
        <v>4452</v>
      </c>
      <c r="H4" s="5">
        <v>1848</v>
      </c>
      <c r="I4" s="5">
        <v>2100</v>
      </c>
      <c r="J4" s="5">
        <v>2884</v>
      </c>
      <c r="K4" s="5">
        <v>770</v>
      </c>
      <c r="L4" s="5">
        <f t="shared" ref="L4:L18" si="0">SUM(C4:K4)</f>
        <v>18354</v>
      </c>
      <c r="M4" t="s">
        <v>96</v>
      </c>
    </row>
    <row r="5" spans="1:13" x14ac:dyDescent="0.35">
      <c r="A5" t="s">
        <v>97</v>
      </c>
      <c r="B5" t="s">
        <v>98</v>
      </c>
      <c r="C5" s="5">
        <v>66</v>
      </c>
      <c r="D5" s="5">
        <v>46</v>
      </c>
      <c r="E5" s="5">
        <v>56</v>
      </c>
      <c r="F5" s="5">
        <v>161</v>
      </c>
      <c r="G5" s="5">
        <v>170</v>
      </c>
      <c r="H5" s="5">
        <v>112</v>
      </c>
      <c r="I5" s="5">
        <v>156</v>
      </c>
      <c r="J5" s="5">
        <v>118</v>
      </c>
      <c r="K5" s="5">
        <v>55</v>
      </c>
      <c r="L5" s="5">
        <f t="shared" si="0"/>
        <v>940</v>
      </c>
      <c r="M5" t="s">
        <v>99</v>
      </c>
    </row>
    <row r="6" spans="1:13" x14ac:dyDescent="0.35">
      <c r="A6" t="s">
        <v>100</v>
      </c>
      <c r="B6" t="s">
        <v>101</v>
      </c>
      <c r="C6" s="5">
        <v>0</v>
      </c>
      <c r="D6" s="5">
        <v>0</v>
      </c>
      <c r="E6" s="5">
        <v>0</v>
      </c>
      <c r="F6" s="5">
        <v>1</v>
      </c>
      <c r="G6" s="5">
        <v>1</v>
      </c>
      <c r="H6" s="5">
        <v>1</v>
      </c>
      <c r="I6" s="5">
        <v>1</v>
      </c>
      <c r="J6" s="5">
        <v>1</v>
      </c>
      <c r="K6" s="5">
        <v>0</v>
      </c>
      <c r="L6" s="5">
        <f t="shared" si="0"/>
        <v>5</v>
      </c>
      <c r="M6" t="s">
        <v>102</v>
      </c>
    </row>
    <row r="7" spans="1:13" x14ac:dyDescent="0.35">
      <c r="A7" t="s">
        <v>103</v>
      </c>
      <c r="B7" t="s">
        <v>104</v>
      </c>
      <c r="C7" s="5">
        <v>1</v>
      </c>
      <c r="D7" s="5">
        <v>1</v>
      </c>
      <c r="E7" s="5">
        <v>2</v>
      </c>
      <c r="F7" s="5">
        <v>4</v>
      </c>
      <c r="G7" s="5">
        <v>5</v>
      </c>
      <c r="H7" s="5">
        <v>2</v>
      </c>
      <c r="I7" s="5">
        <v>2</v>
      </c>
      <c r="J7" s="5">
        <v>3</v>
      </c>
      <c r="K7" s="5">
        <v>1</v>
      </c>
      <c r="L7" s="5">
        <f t="shared" si="0"/>
        <v>21</v>
      </c>
      <c r="M7" t="s">
        <v>102</v>
      </c>
    </row>
    <row r="8" spans="1:13" x14ac:dyDescent="0.35">
      <c r="A8" t="s">
        <v>105</v>
      </c>
      <c r="B8" t="s">
        <v>106</v>
      </c>
      <c r="C8" s="5">
        <v>819</v>
      </c>
      <c r="D8" s="5">
        <v>819</v>
      </c>
      <c r="E8" s="5">
        <v>1099</v>
      </c>
      <c r="F8" s="5">
        <v>3730</v>
      </c>
      <c r="G8" s="5">
        <v>4522</v>
      </c>
      <c r="H8" s="5">
        <v>1890</v>
      </c>
      <c r="I8" s="5">
        <v>2135</v>
      </c>
      <c r="J8" s="5">
        <v>2925</v>
      </c>
      <c r="K8" s="5">
        <v>784</v>
      </c>
      <c r="L8" s="5">
        <f t="shared" si="0"/>
        <v>18723</v>
      </c>
      <c r="M8" t="s">
        <v>107</v>
      </c>
    </row>
    <row r="9" spans="1:13" x14ac:dyDescent="0.35">
      <c r="A9" t="s">
        <v>108</v>
      </c>
      <c r="B9" t="s">
        <v>109</v>
      </c>
      <c r="C9" s="5">
        <v>174</v>
      </c>
      <c r="D9" s="5">
        <v>186</v>
      </c>
      <c r="E9" s="5">
        <v>307</v>
      </c>
      <c r="F9" s="5">
        <v>426</v>
      </c>
      <c r="G9" s="5">
        <v>591</v>
      </c>
      <c r="H9" s="5">
        <v>450</v>
      </c>
      <c r="I9" s="5">
        <v>627</v>
      </c>
      <c r="J9" s="5">
        <v>486</v>
      </c>
      <c r="K9" s="5">
        <v>451</v>
      </c>
      <c r="L9" s="5">
        <f t="shared" si="0"/>
        <v>3698</v>
      </c>
      <c r="M9" t="s">
        <v>110</v>
      </c>
    </row>
    <row r="10" spans="1:13" x14ac:dyDescent="0.35">
      <c r="A10" t="s">
        <v>111</v>
      </c>
      <c r="B10" t="s">
        <v>112</v>
      </c>
      <c r="C10" s="5">
        <v>186</v>
      </c>
      <c r="D10" s="5">
        <v>105</v>
      </c>
      <c r="E10" s="5">
        <v>129</v>
      </c>
      <c r="F10" s="5">
        <v>519</v>
      </c>
      <c r="G10" s="5">
        <v>389</v>
      </c>
      <c r="H10" s="5">
        <v>225</v>
      </c>
      <c r="I10" s="5">
        <v>289</v>
      </c>
      <c r="J10" s="5">
        <v>361</v>
      </c>
      <c r="K10" s="5">
        <v>0</v>
      </c>
      <c r="L10" s="5">
        <f t="shared" si="0"/>
        <v>2203</v>
      </c>
      <c r="M10" t="s">
        <v>113</v>
      </c>
    </row>
    <row r="11" spans="1:13" x14ac:dyDescent="0.35">
      <c r="A11" t="s">
        <v>114</v>
      </c>
      <c r="B11" t="s">
        <v>115</v>
      </c>
      <c r="C11" s="5">
        <f t="shared" ref="C11:K11" si="1">C8+C9+C10</f>
        <v>1179</v>
      </c>
      <c r="D11" s="5">
        <f t="shared" si="1"/>
        <v>1110</v>
      </c>
      <c r="E11" s="5">
        <f t="shared" si="1"/>
        <v>1535</v>
      </c>
      <c r="F11" s="5">
        <f t="shared" si="1"/>
        <v>4675</v>
      </c>
      <c r="G11" s="5">
        <f t="shared" si="1"/>
        <v>5502</v>
      </c>
      <c r="H11" s="5">
        <f t="shared" si="1"/>
        <v>2565</v>
      </c>
      <c r="I11" s="5">
        <f t="shared" si="1"/>
        <v>3051</v>
      </c>
      <c r="J11" s="5">
        <f t="shared" si="1"/>
        <v>3772</v>
      </c>
      <c r="K11" s="5">
        <f t="shared" si="1"/>
        <v>1235</v>
      </c>
      <c r="L11" s="5">
        <f t="shared" si="0"/>
        <v>24624</v>
      </c>
      <c r="M11" t="s">
        <v>116</v>
      </c>
    </row>
    <row r="12" spans="1:13" x14ac:dyDescent="0.35">
      <c r="A12" t="s">
        <v>117</v>
      </c>
      <c r="B12" t="s">
        <v>118</v>
      </c>
      <c r="C12" s="5">
        <v>78</v>
      </c>
      <c r="D12" s="5">
        <v>76</v>
      </c>
      <c r="E12" s="5">
        <v>76</v>
      </c>
      <c r="F12" s="5">
        <v>134</v>
      </c>
      <c r="G12" s="5">
        <v>150</v>
      </c>
      <c r="H12" s="5">
        <v>90</v>
      </c>
      <c r="I12" s="5">
        <v>78</v>
      </c>
      <c r="J12" s="5">
        <v>92</v>
      </c>
      <c r="K12" s="5">
        <v>34</v>
      </c>
      <c r="L12" s="5">
        <f t="shared" si="0"/>
        <v>808</v>
      </c>
      <c r="M12" t="s">
        <v>119</v>
      </c>
    </row>
    <row r="13" spans="1:13" x14ac:dyDescent="0.35">
      <c r="A13" t="s">
        <v>120</v>
      </c>
      <c r="B13" t="s">
        <v>121</v>
      </c>
      <c r="C13" s="5">
        <v>3554.9</v>
      </c>
      <c r="D13" s="5">
        <v>3480.87</v>
      </c>
      <c r="E13" s="5">
        <v>4682.66</v>
      </c>
      <c r="F13" s="5">
        <v>15782.68</v>
      </c>
      <c r="G13" s="5">
        <v>18954.86</v>
      </c>
      <c r="H13" s="5">
        <v>8013.65</v>
      </c>
      <c r="I13" s="5">
        <v>9404.7900000000009</v>
      </c>
      <c r="J13" s="5">
        <v>12474.78</v>
      </c>
      <c r="K13" s="5">
        <v>3570.49</v>
      </c>
      <c r="L13" s="5">
        <f t="shared" si="0"/>
        <v>79919.680000000008</v>
      </c>
      <c r="M13" t="s">
        <v>119</v>
      </c>
    </row>
    <row r="14" spans="1:13" x14ac:dyDescent="0.35">
      <c r="A14" t="s">
        <v>122</v>
      </c>
      <c r="B14" t="s">
        <v>123</v>
      </c>
      <c r="C14" s="5">
        <v>9</v>
      </c>
      <c r="D14" s="5">
        <v>10</v>
      </c>
      <c r="E14" s="5">
        <v>13</v>
      </c>
      <c r="F14" s="5">
        <v>27</v>
      </c>
      <c r="G14" s="5">
        <v>27</v>
      </c>
      <c r="H14" s="5">
        <v>20</v>
      </c>
      <c r="I14" s="5">
        <v>25</v>
      </c>
      <c r="J14" s="5">
        <v>33</v>
      </c>
      <c r="K14" s="5">
        <v>20</v>
      </c>
      <c r="L14" s="5">
        <f t="shared" si="0"/>
        <v>184</v>
      </c>
      <c r="M14" t="s">
        <v>119</v>
      </c>
    </row>
    <row r="15" spans="1:13" x14ac:dyDescent="0.35">
      <c r="A15" t="s">
        <v>124</v>
      </c>
      <c r="B15" t="s">
        <v>125</v>
      </c>
      <c r="C15" s="5">
        <v>842.96</v>
      </c>
      <c r="D15" s="5">
        <v>824.24</v>
      </c>
      <c r="E15" s="5">
        <v>1081.03</v>
      </c>
      <c r="F15" s="5">
        <v>3548.35</v>
      </c>
      <c r="G15" s="5">
        <v>4132.6899999999996</v>
      </c>
      <c r="H15" s="5">
        <v>1794.64</v>
      </c>
      <c r="I15" s="5">
        <v>1987.77</v>
      </c>
      <c r="J15" s="5">
        <v>2753.81</v>
      </c>
      <c r="K15" s="5">
        <v>760.59</v>
      </c>
      <c r="L15" s="5">
        <f t="shared" si="0"/>
        <v>17726.080000000002</v>
      </c>
      <c r="M15" t="s">
        <v>119</v>
      </c>
    </row>
    <row r="16" spans="1:13" x14ac:dyDescent="0.35">
      <c r="A16" t="s">
        <v>126</v>
      </c>
      <c r="B16" t="s">
        <v>127</v>
      </c>
      <c r="C16" s="5">
        <v>134.51</v>
      </c>
      <c r="D16" s="5">
        <v>0</v>
      </c>
      <c r="E16" s="5">
        <v>0</v>
      </c>
      <c r="F16" s="5">
        <v>0</v>
      </c>
      <c r="G16" s="5">
        <v>0</v>
      </c>
      <c r="H16" s="5">
        <v>0</v>
      </c>
      <c r="I16" s="5">
        <v>0</v>
      </c>
      <c r="J16" s="5">
        <v>0</v>
      </c>
      <c r="K16" s="5">
        <v>0</v>
      </c>
      <c r="L16" s="5">
        <f t="shared" si="0"/>
        <v>134.51</v>
      </c>
      <c r="M16" t="s">
        <v>128</v>
      </c>
    </row>
    <row r="17" spans="1:13" x14ac:dyDescent="0.35">
      <c r="A17" t="s">
        <v>129</v>
      </c>
      <c r="B17" t="s">
        <v>130</v>
      </c>
      <c r="C17" s="5">
        <v>2038</v>
      </c>
      <c r="D17" s="5">
        <v>2120</v>
      </c>
      <c r="E17" s="5">
        <v>2600</v>
      </c>
      <c r="F17" s="5">
        <v>8669</v>
      </c>
      <c r="G17" s="5">
        <f>ROUND(SUMIF('C52_TungThanh'!$A$4:$A$813,"BÈ 5A",'C52_TungThanh'!$C$4:$C$813)*(C17+D17+E17+F17+H17+I17+J17+K17)/(SUMIF('C52_TungThanh'!$A$4:$A$813,"BÈ 1",'C52_TungThanh'!$C$4:$C$813)+SUMIF('C52_TungThanh'!$A$4:$A$813,"BÈ 2",'C52_TungThanh'!$C$4:$C$813)+SUMIF('C52_TungThanh'!$A$4:$A$813,"BÈ 3",'C52_TungThanh'!$C$4:$C$813)+SUMIF('C52_TungThanh'!$A$4:$A$813,"BÈ 3A",'C52_TungThanh'!$C$4:$C$813)+SUMIF('C52_TungThanh'!$A$4:$A$813,"BÈ 6",'C52_TungThanh'!$C$4:$C$813)+SUMIF('C52_TungThanh'!$A$4:$A$813,"BÈ 7",'C52_TungThanh'!$C$4:$C$813)+SUMIF('C52_TungThanh'!$A$4:$A$813,"BÈ 8",'C52_TungThanh'!$C$4:$C$813)+SUMIF('C52_TungThanh'!$A$4:$A$813,"BÈ 9",'C52_TungThanh'!$C$4:$C$813)),0)</f>
        <v>10571</v>
      </c>
      <c r="H17" s="5">
        <v>4384</v>
      </c>
      <c r="I17" s="5">
        <v>5290</v>
      </c>
      <c r="J17" s="5">
        <v>6834</v>
      </c>
      <c r="K17" s="5">
        <v>2069</v>
      </c>
      <c r="L17" s="5">
        <f t="shared" si="0"/>
        <v>44575</v>
      </c>
      <c r="M17" t="s">
        <v>131</v>
      </c>
    </row>
    <row r="18" spans="1:13" x14ac:dyDescent="0.35">
      <c r="A18" t="s">
        <v>132</v>
      </c>
      <c r="B18" t="s">
        <v>133</v>
      </c>
      <c r="C18" s="5">
        <v>19</v>
      </c>
      <c r="D18" s="5">
        <v>20</v>
      </c>
      <c r="E18" s="5">
        <v>22</v>
      </c>
      <c r="F18" s="5">
        <v>50</v>
      </c>
      <c r="G18" s="5">
        <v>49</v>
      </c>
      <c r="H18" s="5">
        <v>31</v>
      </c>
      <c r="I18" s="5">
        <v>33</v>
      </c>
      <c r="J18" s="5">
        <v>51</v>
      </c>
      <c r="K18" s="5">
        <v>20</v>
      </c>
      <c r="L18" s="5">
        <f t="shared" si="0"/>
        <v>295</v>
      </c>
      <c r="M18" t="s">
        <v>134</v>
      </c>
    </row>
    <row r="19" spans="1:13" x14ac:dyDescent="0.35">
      <c r="C19" s="5"/>
      <c r="D19" s="5"/>
      <c r="E19" s="5"/>
      <c r="F19" s="5"/>
      <c r="G19" s="5"/>
      <c r="H19" s="5"/>
      <c r="I19" s="5"/>
      <c r="J19" s="5"/>
      <c r="K19" s="5"/>
      <c r="L19" s="5"/>
    </row>
    <row r="20" spans="1:13" x14ac:dyDescent="0.35">
      <c r="C20" s="5"/>
      <c r="D20" s="5"/>
      <c r="E20" s="5"/>
      <c r="F20" s="5"/>
      <c r="G20" s="5"/>
      <c r="H20" s="5"/>
      <c r="I20" s="5"/>
      <c r="J20" s="5"/>
      <c r="K20" s="5"/>
      <c r="L20" s="5"/>
    </row>
    <row r="21" spans="1:13" x14ac:dyDescent="0.35">
      <c r="C21" s="5"/>
      <c r="D21" s="5"/>
      <c r="E21" s="5"/>
      <c r="F21" s="5"/>
      <c r="G21" s="5"/>
      <c r="H21" s="5"/>
      <c r="I21" s="5"/>
      <c r="J21" s="5"/>
      <c r="K21" s="5"/>
      <c r="L21" s="5"/>
    </row>
    <row r="22" spans="1:13" x14ac:dyDescent="0.35">
      <c r="C22" s="5"/>
      <c r="D22" s="5"/>
      <c r="E22" s="5"/>
      <c r="F22" s="5"/>
      <c r="G22" s="5"/>
      <c r="H22" s="5"/>
      <c r="I22" s="5"/>
      <c r="J22" s="5"/>
      <c r="K22" s="5"/>
      <c r="L22" s="5"/>
    </row>
    <row r="23" spans="1:13" x14ac:dyDescent="0.35">
      <c r="C23" s="5"/>
      <c r="D23" s="5"/>
      <c r="E23" s="5"/>
      <c r="F23" s="5"/>
      <c r="G23" s="5"/>
      <c r="H23" s="5"/>
      <c r="I23" s="5"/>
      <c r="J23" s="5"/>
      <c r="K23" s="5"/>
      <c r="L23" s="5"/>
    </row>
    <row r="24" spans="1:13" x14ac:dyDescent="0.35">
      <c r="C24" s="5"/>
      <c r="D24" s="5"/>
      <c r="E24" s="5"/>
      <c r="F24" s="5"/>
      <c r="G24" s="5"/>
      <c r="H24" s="5"/>
      <c r="I24" s="5"/>
      <c r="J24" s="5"/>
      <c r="K24" s="5"/>
      <c r="L24" s="5"/>
    </row>
    <row r="25" spans="1:13" x14ac:dyDescent="0.35">
      <c r="C25" s="5"/>
      <c r="D25" s="5"/>
      <c r="E25" s="5"/>
      <c r="F25" s="5"/>
      <c r="G25" s="5"/>
      <c r="H25" s="5"/>
      <c r="I25" s="5"/>
      <c r="J25" s="5"/>
      <c r="K25" s="5"/>
      <c r="L25" s="5"/>
    </row>
    <row r="26" spans="1:13" x14ac:dyDescent="0.35">
      <c r="C26" s="5"/>
      <c r="D26" s="5"/>
      <c r="E26" s="5"/>
      <c r="F26" s="5"/>
      <c r="G26" s="5"/>
      <c r="H26" s="5"/>
      <c r="I26" s="5"/>
      <c r="J26" s="5"/>
      <c r="K26" s="5"/>
      <c r="L26" s="5"/>
    </row>
    <row r="27" spans="1:13" x14ac:dyDescent="0.35">
      <c r="C27" s="5"/>
      <c r="D27" s="5"/>
      <c r="E27" s="5"/>
      <c r="F27" s="5"/>
      <c r="G27" s="5"/>
      <c r="H27" s="5"/>
      <c r="I27" s="5"/>
      <c r="J27" s="5"/>
      <c r="K27" s="5"/>
      <c r="L27" s="5"/>
    </row>
    <row r="28" spans="1:13" x14ac:dyDescent="0.35">
      <c r="C28" s="5"/>
      <c r="D28" s="5"/>
      <c r="E28" s="5"/>
      <c r="F28" s="5"/>
      <c r="G28" s="5"/>
      <c r="H28" s="5"/>
      <c r="I28" s="5"/>
      <c r="J28" s="5"/>
      <c r="K28" s="5"/>
      <c r="L28" s="5"/>
    </row>
    <row r="29" spans="1:13" x14ac:dyDescent="0.35">
      <c r="C29" s="5"/>
      <c r="D29" s="5"/>
      <c r="E29" s="5"/>
      <c r="F29" s="5"/>
      <c r="G29" s="5"/>
      <c r="H29" s="5"/>
      <c r="I29" s="5"/>
      <c r="J29" s="5"/>
      <c r="K29" s="5"/>
      <c r="L29" s="5"/>
    </row>
    <row r="30" spans="1:13" x14ac:dyDescent="0.35">
      <c r="C30" s="5"/>
      <c r="D30" s="5"/>
      <c r="E30" s="5"/>
      <c r="F30" s="5"/>
      <c r="G30" s="5"/>
      <c r="H30" s="5"/>
      <c r="I30" s="5"/>
      <c r="J30" s="5"/>
      <c r="K30" s="5"/>
      <c r="L30"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000"/>
  <sheetViews>
    <sheetView workbookViewId="0"/>
  </sheetViews>
  <sheetFormatPr defaultRowHeight="15.5" x14ac:dyDescent="0.35"/>
  <cols>
    <col min="1" max="1" width="8.83203125" customWidth="1"/>
    <col min="2" max="2" width="9.83203125" customWidth="1"/>
    <col min="3" max="3" width="18.83203125" customWidth="1"/>
    <col min="4" max="4" width="15.83203125" customWidth="1"/>
    <col min="5" max="5" width="22.83203125" customWidth="1"/>
    <col min="6" max="6" width="20.83203125" customWidth="1"/>
    <col min="7" max="7" width="15.83203125" customWidth="1"/>
  </cols>
  <sheetData>
    <row r="1" spans="1:7" ht="17" customHeight="1" x14ac:dyDescent="0.4">
      <c r="A1" s="1" t="s">
        <v>135</v>
      </c>
    </row>
    <row r="3" spans="1:7" s="3" customFormat="1" x14ac:dyDescent="0.35">
      <c r="A3" s="3" t="s">
        <v>136</v>
      </c>
      <c r="B3" s="3" t="s">
        <v>137</v>
      </c>
      <c r="C3" s="3" t="s">
        <v>138</v>
      </c>
      <c r="D3" s="3" t="s">
        <v>139</v>
      </c>
      <c r="E3" s="3" t="s">
        <v>140</v>
      </c>
      <c r="F3" s="3" t="s">
        <v>141</v>
      </c>
      <c r="G3" s="3" t="s">
        <v>142</v>
      </c>
    </row>
    <row r="4" spans="1:7" x14ac:dyDescent="0.35">
      <c r="A4" t="s">
        <v>6</v>
      </c>
      <c r="B4">
        <v>1</v>
      </c>
      <c r="C4" s="5">
        <v>46.811999999999998</v>
      </c>
      <c r="D4">
        <f>ROUNDUP(C4/GiaDinh!$C$4-0.0005,0)</f>
        <v>8</v>
      </c>
      <c r="E4">
        <f t="shared" ref="E4:E67" si="0">D4-1</f>
        <v>7</v>
      </c>
      <c r="F4" s="5">
        <f>D4*GiaDinh!$C$4-C4</f>
        <v>1.1880000000000024</v>
      </c>
      <c r="G4" s="5">
        <f>C4*GiaDinh!$C$6</f>
        <v>110.47631999999999</v>
      </c>
    </row>
    <row r="5" spans="1:7" x14ac:dyDescent="0.35">
      <c r="A5" t="s">
        <v>6</v>
      </c>
      <c r="B5">
        <v>2</v>
      </c>
      <c r="C5" s="5">
        <v>46.811999999999998</v>
      </c>
      <c r="D5">
        <f>ROUNDUP(C5/GiaDinh!$C$4-0.0005,0)</f>
        <v>8</v>
      </c>
      <c r="E5">
        <f t="shared" si="0"/>
        <v>7</v>
      </c>
      <c r="F5" s="5">
        <f>D5*GiaDinh!$C$4-C5</f>
        <v>1.1880000000000024</v>
      </c>
      <c r="G5" s="5">
        <f>C5*GiaDinh!$C$6</f>
        <v>110.47631999999999</v>
      </c>
    </row>
    <row r="6" spans="1:7" x14ac:dyDescent="0.35">
      <c r="A6" t="s">
        <v>6</v>
      </c>
      <c r="B6">
        <v>3</v>
      </c>
      <c r="C6" s="5">
        <v>46.811999999999998</v>
      </c>
      <c r="D6">
        <f>ROUNDUP(C6/GiaDinh!$C$4-0.0005,0)</f>
        <v>8</v>
      </c>
      <c r="E6">
        <f t="shared" si="0"/>
        <v>7</v>
      </c>
      <c r="F6" s="5">
        <f>D6*GiaDinh!$C$4-C6</f>
        <v>1.1880000000000024</v>
      </c>
      <c r="G6" s="5">
        <f>C6*GiaDinh!$C$6</f>
        <v>110.47631999999999</v>
      </c>
    </row>
    <row r="7" spans="1:7" x14ac:dyDescent="0.35">
      <c r="A7" t="s">
        <v>6</v>
      </c>
      <c r="B7">
        <v>4</v>
      </c>
      <c r="C7" s="5">
        <v>46.774000000000001</v>
      </c>
      <c r="D7">
        <f>ROUNDUP(C7/GiaDinh!$C$4-0.0005,0)</f>
        <v>8</v>
      </c>
      <c r="E7">
        <f t="shared" si="0"/>
        <v>7</v>
      </c>
      <c r="F7" s="5">
        <f>D7*GiaDinh!$C$4-C7</f>
        <v>1.2259999999999991</v>
      </c>
      <c r="G7" s="5">
        <f>C7*GiaDinh!$C$6</f>
        <v>110.38664</v>
      </c>
    </row>
    <row r="8" spans="1:7" x14ac:dyDescent="0.35">
      <c r="A8" t="s">
        <v>6</v>
      </c>
      <c r="B8">
        <v>5</v>
      </c>
      <c r="C8" s="5">
        <v>46.811999999999998</v>
      </c>
      <c r="D8">
        <f>ROUNDUP(C8/GiaDinh!$C$4-0.0005,0)</f>
        <v>8</v>
      </c>
      <c r="E8">
        <f t="shared" si="0"/>
        <v>7</v>
      </c>
      <c r="F8" s="5">
        <f>D8*GiaDinh!$C$4-C8</f>
        <v>1.1880000000000024</v>
      </c>
      <c r="G8" s="5">
        <f>C8*GiaDinh!$C$6</f>
        <v>110.47631999999999</v>
      </c>
    </row>
    <row r="9" spans="1:7" x14ac:dyDescent="0.35">
      <c r="A9" t="s">
        <v>6</v>
      </c>
      <c r="B9">
        <v>6</v>
      </c>
      <c r="C9" s="5">
        <v>46.774000000000001</v>
      </c>
      <c r="D9">
        <f>ROUNDUP(C9/GiaDinh!$C$4-0.0005,0)</f>
        <v>8</v>
      </c>
      <c r="E9">
        <f t="shared" si="0"/>
        <v>7</v>
      </c>
      <c r="F9" s="5">
        <f>D9*GiaDinh!$C$4-C9</f>
        <v>1.2259999999999991</v>
      </c>
      <c r="G9" s="5">
        <f>C9*GiaDinh!$C$6</f>
        <v>110.38664</v>
      </c>
    </row>
    <row r="10" spans="1:7" x14ac:dyDescent="0.35">
      <c r="A10" t="s">
        <v>6</v>
      </c>
      <c r="B10">
        <v>7</v>
      </c>
      <c r="C10" s="5">
        <v>46.811999999999998</v>
      </c>
      <c r="D10">
        <f>ROUNDUP(C10/GiaDinh!$C$4-0.0005,0)</f>
        <v>8</v>
      </c>
      <c r="E10">
        <f t="shared" si="0"/>
        <v>7</v>
      </c>
      <c r="F10" s="5">
        <f>D10*GiaDinh!$C$4-C10</f>
        <v>1.1880000000000024</v>
      </c>
      <c r="G10" s="5">
        <f>C10*GiaDinh!$C$6</f>
        <v>110.47631999999999</v>
      </c>
    </row>
    <row r="11" spans="1:7" x14ac:dyDescent="0.35">
      <c r="A11" t="s">
        <v>6</v>
      </c>
      <c r="B11">
        <v>8</v>
      </c>
      <c r="C11" s="5">
        <v>46.774000000000001</v>
      </c>
      <c r="D11">
        <f>ROUNDUP(C11/GiaDinh!$C$4-0.0005,0)</f>
        <v>8</v>
      </c>
      <c r="E11">
        <f t="shared" si="0"/>
        <v>7</v>
      </c>
      <c r="F11" s="5">
        <f>D11*GiaDinh!$C$4-C11</f>
        <v>1.2259999999999991</v>
      </c>
      <c r="G11" s="5">
        <f>C11*GiaDinh!$C$6</f>
        <v>110.38664</v>
      </c>
    </row>
    <row r="12" spans="1:7" x14ac:dyDescent="0.35">
      <c r="A12" t="s">
        <v>6</v>
      </c>
      <c r="B12">
        <v>9</v>
      </c>
      <c r="C12" s="5">
        <v>46.811999999999998</v>
      </c>
      <c r="D12">
        <f>ROUNDUP(C12/GiaDinh!$C$4-0.0005,0)</f>
        <v>8</v>
      </c>
      <c r="E12">
        <f t="shared" si="0"/>
        <v>7</v>
      </c>
      <c r="F12" s="5">
        <f>D12*GiaDinh!$C$4-C12</f>
        <v>1.1880000000000024</v>
      </c>
      <c r="G12" s="5">
        <f>C12*GiaDinh!$C$6</f>
        <v>110.47631999999999</v>
      </c>
    </row>
    <row r="13" spans="1:7" x14ac:dyDescent="0.35">
      <c r="A13" t="s">
        <v>6</v>
      </c>
      <c r="B13">
        <v>10</v>
      </c>
      <c r="C13" s="5">
        <v>46.774000000000001</v>
      </c>
      <c r="D13">
        <f>ROUNDUP(C13/GiaDinh!$C$4-0.0005,0)</f>
        <v>8</v>
      </c>
      <c r="E13">
        <f t="shared" si="0"/>
        <v>7</v>
      </c>
      <c r="F13" s="5">
        <f>D13*GiaDinh!$C$4-C13</f>
        <v>1.2259999999999991</v>
      </c>
      <c r="G13" s="5">
        <f>C13*GiaDinh!$C$6</f>
        <v>110.38664</v>
      </c>
    </row>
    <row r="14" spans="1:7" x14ac:dyDescent="0.35">
      <c r="A14" t="s">
        <v>6</v>
      </c>
      <c r="B14">
        <v>11</v>
      </c>
      <c r="C14" s="5">
        <v>46.811999999999998</v>
      </c>
      <c r="D14">
        <f>ROUNDUP(C14/GiaDinh!$C$4-0.0005,0)</f>
        <v>8</v>
      </c>
      <c r="E14">
        <f t="shared" si="0"/>
        <v>7</v>
      </c>
      <c r="F14" s="5">
        <f>D14*GiaDinh!$C$4-C14</f>
        <v>1.1880000000000024</v>
      </c>
      <c r="G14" s="5">
        <f>C14*GiaDinh!$C$6</f>
        <v>110.47631999999999</v>
      </c>
    </row>
    <row r="15" spans="1:7" x14ac:dyDescent="0.35">
      <c r="A15" t="s">
        <v>6</v>
      </c>
      <c r="B15">
        <v>12</v>
      </c>
      <c r="C15" s="5">
        <v>46.774000000000001</v>
      </c>
      <c r="D15">
        <f>ROUNDUP(C15/GiaDinh!$C$4-0.0005,0)</f>
        <v>8</v>
      </c>
      <c r="E15">
        <f t="shared" si="0"/>
        <v>7</v>
      </c>
      <c r="F15" s="5">
        <f>D15*GiaDinh!$C$4-C15</f>
        <v>1.2259999999999991</v>
      </c>
      <c r="G15" s="5">
        <f>C15*GiaDinh!$C$6</f>
        <v>110.38664</v>
      </c>
    </row>
    <row r="16" spans="1:7" x14ac:dyDescent="0.35">
      <c r="A16" t="s">
        <v>6</v>
      </c>
      <c r="B16">
        <v>13</v>
      </c>
      <c r="C16" s="5">
        <v>46.811999999999998</v>
      </c>
      <c r="D16">
        <f>ROUNDUP(C16/GiaDinh!$C$4-0.0005,0)</f>
        <v>8</v>
      </c>
      <c r="E16">
        <f t="shared" si="0"/>
        <v>7</v>
      </c>
      <c r="F16" s="5">
        <f>D16*GiaDinh!$C$4-C16</f>
        <v>1.1880000000000024</v>
      </c>
      <c r="G16" s="5">
        <f>C16*GiaDinh!$C$6</f>
        <v>110.47631999999999</v>
      </c>
    </row>
    <row r="17" spans="1:7" x14ac:dyDescent="0.35">
      <c r="A17" t="s">
        <v>6</v>
      </c>
      <c r="B17">
        <v>14</v>
      </c>
      <c r="C17" s="5">
        <v>46.774000000000001</v>
      </c>
      <c r="D17">
        <f>ROUNDUP(C17/GiaDinh!$C$4-0.0005,0)</f>
        <v>8</v>
      </c>
      <c r="E17">
        <f t="shared" si="0"/>
        <v>7</v>
      </c>
      <c r="F17" s="5">
        <f>D17*GiaDinh!$C$4-C17</f>
        <v>1.2259999999999991</v>
      </c>
      <c r="G17" s="5">
        <f>C17*GiaDinh!$C$6</f>
        <v>110.38664</v>
      </c>
    </row>
    <row r="18" spans="1:7" x14ac:dyDescent="0.35">
      <c r="A18" t="s">
        <v>6</v>
      </c>
      <c r="B18">
        <v>15</v>
      </c>
      <c r="C18" s="5">
        <v>46.811999999999998</v>
      </c>
      <c r="D18">
        <f>ROUNDUP(C18/GiaDinh!$C$4-0.0005,0)</f>
        <v>8</v>
      </c>
      <c r="E18">
        <f t="shared" si="0"/>
        <v>7</v>
      </c>
      <c r="F18" s="5">
        <f>D18*GiaDinh!$C$4-C18</f>
        <v>1.1880000000000024</v>
      </c>
      <c r="G18" s="5">
        <f>C18*GiaDinh!$C$6</f>
        <v>110.47631999999999</v>
      </c>
    </row>
    <row r="19" spans="1:7" x14ac:dyDescent="0.35">
      <c r="A19" t="s">
        <v>6</v>
      </c>
      <c r="B19">
        <v>16</v>
      </c>
      <c r="C19" s="5">
        <v>46.774000000000001</v>
      </c>
      <c r="D19">
        <f>ROUNDUP(C19/GiaDinh!$C$4-0.0005,0)</f>
        <v>8</v>
      </c>
      <c r="E19">
        <f t="shared" si="0"/>
        <v>7</v>
      </c>
      <c r="F19" s="5">
        <f>D19*GiaDinh!$C$4-C19</f>
        <v>1.2259999999999991</v>
      </c>
      <c r="G19" s="5">
        <f>C19*GiaDinh!$C$6</f>
        <v>110.38664</v>
      </c>
    </row>
    <row r="20" spans="1:7" x14ac:dyDescent="0.35">
      <c r="A20" t="s">
        <v>6</v>
      </c>
      <c r="B20">
        <v>17</v>
      </c>
      <c r="C20" s="5">
        <v>46.811999999999998</v>
      </c>
      <c r="D20">
        <f>ROUNDUP(C20/GiaDinh!$C$4-0.0005,0)</f>
        <v>8</v>
      </c>
      <c r="E20">
        <f t="shared" si="0"/>
        <v>7</v>
      </c>
      <c r="F20" s="5">
        <f>D20*GiaDinh!$C$4-C20</f>
        <v>1.1880000000000024</v>
      </c>
      <c r="G20" s="5">
        <f>C20*GiaDinh!$C$6</f>
        <v>110.47631999999999</v>
      </c>
    </row>
    <row r="21" spans="1:7" x14ac:dyDescent="0.35">
      <c r="A21" t="s">
        <v>6</v>
      </c>
      <c r="B21">
        <v>18</v>
      </c>
      <c r="C21" s="5">
        <v>46.774000000000001</v>
      </c>
      <c r="D21">
        <f>ROUNDUP(C21/GiaDinh!$C$4-0.0005,0)</f>
        <v>8</v>
      </c>
      <c r="E21">
        <f t="shared" si="0"/>
        <v>7</v>
      </c>
      <c r="F21" s="5">
        <f>D21*GiaDinh!$C$4-C21</f>
        <v>1.2259999999999991</v>
      </c>
      <c r="G21" s="5">
        <f>C21*GiaDinh!$C$6</f>
        <v>110.38664</v>
      </c>
    </row>
    <row r="22" spans="1:7" x14ac:dyDescent="0.35">
      <c r="A22" t="s">
        <v>6</v>
      </c>
      <c r="B22">
        <v>19</v>
      </c>
      <c r="C22" s="5">
        <v>46.811999999999998</v>
      </c>
      <c r="D22">
        <f>ROUNDUP(C22/GiaDinh!$C$4-0.0005,0)</f>
        <v>8</v>
      </c>
      <c r="E22">
        <f t="shared" si="0"/>
        <v>7</v>
      </c>
      <c r="F22" s="5">
        <f>D22*GiaDinh!$C$4-C22</f>
        <v>1.1880000000000024</v>
      </c>
      <c r="G22" s="5">
        <f>C22*GiaDinh!$C$6</f>
        <v>110.47631999999999</v>
      </c>
    </row>
    <row r="23" spans="1:7" x14ac:dyDescent="0.35">
      <c r="A23" t="s">
        <v>6</v>
      </c>
      <c r="B23">
        <v>20</v>
      </c>
      <c r="C23" s="5">
        <v>46.774000000000001</v>
      </c>
      <c r="D23">
        <f>ROUNDUP(C23/GiaDinh!$C$4-0.0005,0)</f>
        <v>8</v>
      </c>
      <c r="E23">
        <f t="shared" si="0"/>
        <v>7</v>
      </c>
      <c r="F23" s="5">
        <f>D23*GiaDinh!$C$4-C23</f>
        <v>1.2259999999999991</v>
      </c>
      <c r="G23" s="5">
        <f>C23*GiaDinh!$C$6</f>
        <v>110.38664</v>
      </c>
    </row>
    <row r="24" spans="1:7" x14ac:dyDescent="0.35">
      <c r="A24" t="s">
        <v>6</v>
      </c>
      <c r="B24">
        <v>21</v>
      </c>
      <c r="C24" s="5">
        <v>46.811999999999998</v>
      </c>
      <c r="D24">
        <f>ROUNDUP(C24/GiaDinh!$C$4-0.0005,0)</f>
        <v>8</v>
      </c>
      <c r="E24">
        <f t="shared" si="0"/>
        <v>7</v>
      </c>
      <c r="F24" s="5">
        <f>D24*GiaDinh!$C$4-C24</f>
        <v>1.1880000000000024</v>
      </c>
      <c r="G24" s="5">
        <f>C24*GiaDinh!$C$6</f>
        <v>110.47631999999999</v>
      </c>
    </row>
    <row r="25" spans="1:7" x14ac:dyDescent="0.35">
      <c r="A25" t="s">
        <v>6</v>
      </c>
      <c r="B25">
        <v>22</v>
      </c>
      <c r="C25" s="5">
        <v>46.774000000000001</v>
      </c>
      <c r="D25">
        <f>ROUNDUP(C25/GiaDinh!$C$4-0.0005,0)</f>
        <v>8</v>
      </c>
      <c r="E25">
        <f t="shared" si="0"/>
        <v>7</v>
      </c>
      <c r="F25" s="5">
        <f>D25*GiaDinh!$C$4-C25</f>
        <v>1.2259999999999991</v>
      </c>
      <c r="G25" s="5">
        <f>C25*GiaDinh!$C$6</f>
        <v>110.38664</v>
      </c>
    </row>
    <row r="26" spans="1:7" x14ac:dyDescent="0.35">
      <c r="A26" t="s">
        <v>6</v>
      </c>
      <c r="B26">
        <v>23</v>
      </c>
      <c r="C26" s="5">
        <v>46.811999999999998</v>
      </c>
      <c r="D26">
        <f>ROUNDUP(C26/GiaDinh!$C$4-0.0005,0)</f>
        <v>8</v>
      </c>
      <c r="E26">
        <f t="shared" si="0"/>
        <v>7</v>
      </c>
      <c r="F26" s="5">
        <f>D26*GiaDinh!$C$4-C26</f>
        <v>1.1880000000000024</v>
      </c>
      <c r="G26" s="5">
        <f>C26*GiaDinh!$C$6</f>
        <v>110.47631999999999</v>
      </c>
    </row>
    <row r="27" spans="1:7" x14ac:dyDescent="0.35">
      <c r="A27" t="s">
        <v>6</v>
      </c>
      <c r="B27">
        <v>24</v>
      </c>
      <c r="C27" s="5">
        <v>46.774000000000001</v>
      </c>
      <c r="D27">
        <f>ROUNDUP(C27/GiaDinh!$C$4-0.0005,0)</f>
        <v>8</v>
      </c>
      <c r="E27">
        <f t="shared" si="0"/>
        <v>7</v>
      </c>
      <c r="F27" s="5">
        <f>D27*GiaDinh!$C$4-C27</f>
        <v>1.2259999999999991</v>
      </c>
      <c r="G27" s="5">
        <f>C27*GiaDinh!$C$6</f>
        <v>110.38664</v>
      </c>
    </row>
    <row r="28" spans="1:7" x14ac:dyDescent="0.35">
      <c r="A28" t="s">
        <v>6</v>
      </c>
      <c r="B28">
        <v>25</v>
      </c>
      <c r="C28" s="5">
        <v>46.811999999999998</v>
      </c>
      <c r="D28">
        <f>ROUNDUP(C28/GiaDinh!$C$4-0.0005,0)</f>
        <v>8</v>
      </c>
      <c r="E28">
        <f t="shared" si="0"/>
        <v>7</v>
      </c>
      <c r="F28" s="5">
        <f>D28*GiaDinh!$C$4-C28</f>
        <v>1.1880000000000024</v>
      </c>
      <c r="G28" s="5">
        <f>C28*GiaDinh!$C$6</f>
        <v>110.47631999999999</v>
      </c>
    </row>
    <row r="29" spans="1:7" x14ac:dyDescent="0.35">
      <c r="A29" t="s">
        <v>6</v>
      </c>
      <c r="B29">
        <v>26</v>
      </c>
      <c r="C29" s="5">
        <v>46.774000000000001</v>
      </c>
      <c r="D29">
        <f>ROUNDUP(C29/GiaDinh!$C$4-0.0005,0)</f>
        <v>8</v>
      </c>
      <c r="E29">
        <f t="shared" si="0"/>
        <v>7</v>
      </c>
      <c r="F29" s="5">
        <f>D29*GiaDinh!$C$4-C29</f>
        <v>1.2259999999999991</v>
      </c>
      <c r="G29" s="5">
        <f>C29*GiaDinh!$C$6</f>
        <v>110.38664</v>
      </c>
    </row>
    <row r="30" spans="1:7" x14ac:dyDescent="0.35">
      <c r="A30" t="s">
        <v>6</v>
      </c>
      <c r="B30">
        <v>27</v>
      </c>
      <c r="C30" s="5">
        <v>46.811999999999998</v>
      </c>
      <c r="D30">
        <f>ROUNDUP(C30/GiaDinh!$C$4-0.0005,0)</f>
        <v>8</v>
      </c>
      <c r="E30">
        <f t="shared" si="0"/>
        <v>7</v>
      </c>
      <c r="F30" s="5">
        <f>D30*GiaDinh!$C$4-C30</f>
        <v>1.1880000000000024</v>
      </c>
      <c r="G30" s="5">
        <f>C30*GiaDinh!$C$6</f>
        <v>110.47631999999999</v>
      </c>
    </row>
    <row r="31" spans="1:7" x14ac:dyDescent="0.35">
      <c r="A31" t="s">
        <v>6</v>
      </c>
      <c r="B31">
        <v>28</v>
      </c>
      <c r="C31" s="5">
        <v>46.774000000000001</v>
      </c>
      <c r="D31">
        <f>ROUNDUP(C31/GiaDinh!$C$4-0.0005,0)</f>
        <v>8</v>
      </c>
      <c r="E31">
        <f t="shared" si="0"/>
        <v>7</v>
      </c>
      <c r="F31" s="5">
        <f>D31*GiaDinh!$C$4-C31</f>
        <v>1.2259999999999991</v>
      </c>
      <c r="G31" s="5">
        <f>C31*GiaDinh!$C$6</f>
        <v>110.38664</v>
      </c>
    </row>
    <row r="32" spans="1:7" x14ac:dyDescent="0.35">
      <c r="A32" t="s">
        <v>6</v>
      </c>
      <c r="B32">
        <v>29</v>
      </c>
      <c r="C32" s="5">
        <v>46.811999999999998</v>
      </c>
      <c r="D32">
        <f>ROUNDUP(C32/GiaDinh!$C$4-0.0005,0)</f>
        <v>8</v>
      </c>
      <c r="E32">
        <f t="shared" si="0"/>
        <v>7</v>
      </c>
      <c r="F32" s="5">
        <f>D32*GiaDinh!$C$4-C32</f>
        <v>1.1880000000000024</v>
      </c>
      <c r="G32" s="5">
        <f>C32*GiaDinh!$C$6</f>
        <v>110.47631999999999</v>
      </c>
    </row>
    <row r="33" spans="1:7" x14ac:dyDescent="0.35">
      <c r="A33" t="s">
        <v>6</v>
      </c>
      <c r="B33">
        <v>30</v>
      </c>
      <c r="C33" s="5">
        <v>46.774000000000001</v>
      </c>
      <c r="D33">
        <f>ROUNDUP(C33/GiaDinh!$C$4-0.0005,0)</f>
        <v>8</v>
      </c>
      <c r="E33">
        <f t="shared" si="0"/>
        <v>7</v>
      </c>
      <c r="F33" s="5">
        <f>D33*GiaDinh!$C$4-C33</f>
        <v>1.2259999999999991</v>
      </c>
      <c r="G33" s="5">
        <f>C33*GiaDinh!$C$6</f>
        <v>110.38664</v>
      </c>
    </row>
    <row r="34" spans="1:7" x14ac:dyDescent="0.35">
      <c r="A34" t="s">
        <v>6</v>
      </c>
      <c r="B34">
        <v>31</v>
      </c>
      <c r="C34" s="5">
        <v>22.555</v>
      </c>
      <c r="D34">
        <f>ROUNDUP(C34/GiaDinh!$C$4-0.0005,0)</f>
        <v>4</v>
      </c>
      <c r="E34">
        <f t="shared" si="0"/>
        <v>3</v>
      </c>
      <c r="F34" s="5">
        <f>D34*GiaDinh!$C$4-C34</f>
        <v>1.4450000000000003</v>
      </c>
      <c r="G34" s="5">
        <f>C34*GiaDinh!$C$6</f>
        <v>53.229799999999997</v>
      </c>
    </row>
    <row r="35" spans="1:7" x14ac:dyDescent="0.35">
      <c r="A35" t="s">
        <v>6</v>
      </c>
      <c r="B35">
        <v>32</v>
      </c>
      <c r="C35" s="5">
        <v>22.657</v>
      </c>
      <c r="D35">
        <f>ROUNDUP(C35/GiaDinh!$C$4-0.0005,0)</f>
        <v>4</v>
      </c>
      <c r="E35">
        <f t="shared" si="0"/>
        <v>3</v>
      </c>
      <c r="F35" s="5">
        <f>D35*GiaDinh!$C$4-C35</f>
        <v>1.343</v>
      </c>
      <c r="G35" s="5">
        <f>C35*GiaDinh!$C$6</f>
        <v>53.47052</v>
      </c>
    </row>
    <row r="36" spans="1:7" x14ac:dyDescent="0.35">
      <c r="A36" t="s">
        <v>6</v>
      </c>
      <c r="B36">
        <v>33</v>
      </c>
      <c r="C36" s="5">
        <v>46.811999999999998</v>
      </c>
      <c r="D36">
        <f>ROUNDUP(C36/GiaDinh!$C$4-0.0005,0)</f>
        <v>8</v>
      </c>
      <c r="E36">
        <f t="shared" si="0"/>
        <v>7</v>
      </c>
      <c r="F36" s="5">
        <f>D36*GiaDinh!$C$4-C36</f>
        <v>1.1880000000000024</v>
      </c>
      <c r="G36" s="5">
        <f>C36*GiaDinh!$C$6</f>
        <v>110.47631999999999</v>
      </c>
    </row>
    <row r="37" spans="1:7" x14ac:dyDescent="0.35">
      <c r="A37" t="s">
        <v>6</v>
      </c>
      <c r="B37">
        <v>34</v>
      </c>
      <c r="C37" s="5">
        <v>46.811999999999998</v>
      </c>
      <c r="D37">
        <f>ROUNDUP(C37/GiaDinh!$C$4-0.0005,0)</f>
        <v>8</v>
      </c>
      <c r="E37">
        <f t="shared" si="0"/>
        <v>7</v>
      </c>
      <c r="F37" s="5">
        <f>D37*GiaDinh!$C$4-C37</f>
        <v>1.1880000000000024</v>
      </c>
      <c r="G37" s="5">
        <f>C37*GiaDinh!$C$6</f>
        <v>110.47631999999999</v>
      </c>
    </row>
    <row r="38" spans="1:7" x14ac:dyDescent="0.35">
      <c r="A38" t="s">
        <v>6</v>
      </c>
      <c r="B38">
        <v>35</v>
      </c>
      <c r="C38" s="5">
        <v>46.774000000000001</v>
      </c>
      <c r="D38">
        <f>ROUNDUP(C38/GiaDinh!$C$4-0.0005,0)</f>
        <v>8</v>
      </c>
      <c r="E38">
        <f t="shared" si="0"/>
        <v>7</v>
      </c>
      <c r="F38" s="5">
        <f>D38*GiaDinh!$C$4-C38</f>
        <v>1.2259999999999991</v>
      </c>
      <c r="G38" s="5">
        <f>C38*GiaDinh!$C$6</f>
        <v>110.38664</v>
      </c>
    </row>
    <row r="39" spans="1:7" x14ac:dyDescent="0.35">
      <c r="A39" t="s">
        <v>6</v>
      </c>
      <c r="B39">
        <v>36</v>
      </c>
      <c r="C39" s="5">
        <v>46.811999999999998</v>
      </c>
      <c r="D39">
        <f>ROUNDUP(C39/GiaDinh!$C$4-0.0005,0)</f>
        <v>8</v>
      </c>
      <c r="E39">
        <f t="shared" si="0"/>
        <v>7</v>
      </c>
      <c r="F39" s="5">
        <f>D39*GiaDinh!$C$4-C39</f>
        <v>1.1880000000000024</v>
      </c>
      <c r="G39" s="5">
        <f>C39*GiaDinh!$C$6</f>
        <v>110.47631999999999</v>
      </c>
    </row>
    <row r="40" spans="1:7" x14ac:dyDescent="0.35">
      <c r="A40" t="s">
        <v>6</v>
      </c>
      <c r="B40">
        <v>37</v>
      </c>
      <c r="C40" s="5">
        <v>46.774000000000001</v>
      </c>
      <c r="D40">
        <f>ROUNDUP(C40/GiaDinh!$C$4-0.0005,0)</f>
        <v>8</v>
      </c>
      <c r="E40">
        <f t="shared" si="0"/>
        <v>7</v>
      </c>
      <c r="F40" s="5">
        <f>D40*GiaDinh!$C$4-C40</f>
        <v>1.2259999999999991</v>
      </c>
      <c r="G40" s="5">
        <f>C40*GiaDinh!$C$6</f>
        <v>110.38664</v>
      </c>
    </row>
    <row r="41" spans="1:7" x14ac:dyDescent="0.35">
      <c r="A41" t="s">
        <v>6</v>
      </c>
      <c r="B41">
        <v>38</v>
      </c>
      <c r="C41" s="5">
        <v>46.811999999999998</v>
      </c>
      <c r="D41">
        <f>ROUNDUP(C41/GiaDinh!$C$4-0.0005,0)</f>
        <v>8</v>
      </c>
      <c r="E41">
        <f t="shared" si="0"/>
        <v>7</v>
      </c>
      <c r="F41" s="5">
        <f>D41*GiaDinh!$C$4-C41</f>
        <v>1.1880000000000024</v>
      </c>
      <c r="G41" s="5">
        <f>C41*GiaDinh!$C$6</f>
        <v>110.47631999999999</v>
      </c>
    </row>
    <row r="42" spans="1:7" x14ac:dyDescent="0.35">
      <c r="A42" t="s">
        <v>6</v>
      </c>
      <c r="B42">
        <v>39</v>
      </c>
      <c r="C42" s="5">
        <v>46.774000000000001</v>
      </c>
      <c r="D42">
        <f>ROUNDUP(C42/GiaDinh!$C$4-0.0005,0)</f>
        <v>8</v>
      </c>
      <c r="E42">
        <f t="shared" si="0"/>
        <v>7</v>
      </c>
      <c r="F42" s="5">
        <f>D42*GiaDinh!$C$4-C42</f>
        <v>1.2259999999999991</v>
      </c>
      <c r="G42" s="5">
        <f>C42*GiaDinh!$C$6</f>
        <v>110.38664</v>
      </c>
    </row>
    <row r="43" spans="1:7" x14ac:dyDescent="0.35">
      <c r="A43" t="s">
        <v>6</v>
      </c>
      <c r="B43">
        <v>40</v>
      </c>
      <c r="C43" s="5">
        <v>46.811999999999998</v>
      </c>
      <c r="D43">
        <f>ROUNDUP(C43/GiaDinh!$C$4-0.0005,0)</f>
        <v>8</v>
      </c>
      <c r="E43">
        <f t="shared" si="0"/>
        <v>7</v>
      </c>
      <c r="F43" s="5">
        <f>D43*GiaDinh!$C$4-C43</f>
        <v>1.1880000000000024</v>
      </c>
      <c r="G43" s="5">
        <f>C43*GiaDinh!$C$6</f>
        <v>110.47631999999999</v>
      </c>
    </row>
    <row r="44" spans="1:7" x14ac:dyDescent="0.35">
      <c r="A44" t="s">
        <v>6</v>
      </c>
      <c r="B44">
        <v>41</v>
      </c>
      <c r="C44" s="5">
        <v>46.774000000000001</v>
      </c>
      <c r="D44">
        <f>ROUNDUP(C44/GiaDinh!$C$4-0.0005,0)</f>
        <v>8</v>
      </c>
      <c r="E44">
        <f t="shared" si="0"/>
        <v>7</v>
      </c>
      <c r="F44" s="5">
        <f>D44*GiaDinh!$C$4-C44</f>
        <v>1.2259999999999991</v>
      </c>
      <c r="G44" s="5">
        <f>C44*GiaDinh!$C$6</f>
        <v>110.38664</v>
      </c>
    </row>
    <row r="45" spans="1:7" x14ac:dyDescent="0.35">
      <c r="A45" t="s">
        <v>6</v>
      </c>
      <c r="B45">
        <v>42</v>
      </c>
      <c r="C45" s="5">
        <v>46.811999999999998</v>
      </c>
      <c r="D45">
        <f>ROUNDUP(C45/GiaDinh!$C$4-0.0005,0)</f>
        <v>8</v>
      </c>
      <c r="E45">
        <f t="shared" si="0"/>
        <v>7</v>
      </c>
      <c r="F45" s="5">
        <f>D45*GiaDinh!$C$4-C45</f>
        <v>1.1880000000000024</v>
      </c>
      <c r="G45" s="5">
        <f>C45*GiaDinh!$C$6</f>
        <v>110.47631999999999</v>
      </c>
    </row>
    <row r="46" spans="1:7" x14ac:dyDescent="0.35">
      <c r="A46" t="s">
        <v>6</v>
      </c>
      <c r="B46">
        <v>43</v>
      </c>
      <c r="C46" s="5">
        <v>46.774000000000001</v>
      </c>
      <c r="D46">
        <f>ROUNDUP(C46/GiaDinh!$C$4-0.0005,0)</f>
        <v>8</v>
      </c>
      <c r="E46">
        <f t="shared" si="0"/>
        <v>7</v>
      </c>
      <c r="F46" s="5">
        <f>D46*GiaDinh!$C$4-C46</f>
        <v>1.2259999999999991</v>
      </c>
      <c r="G46" s="5">
        <f>C46*GiaDinh!$C$6</f>
        <v>110.38664</v>
      </c>
    </row>
    <row r="47" spans="1:7" x14ac:dyDescent="0.35">
      <c r="A47" t="s">
        <v>6</v>
      </c>
      <c r="B47">
        <v>44</v>
      </c>
      <c r="C47" s="5">
        <v>46.811999999999998</v>
      </c>
      <c r="D47">
        <f>ROUNDUP(C47/GiaDinh!$C$4-0.0005,0)</f>
        <v>8</v>
      </c>
      <c r="E47">
        <f t="shared" si="0"/>
        <v>7</v>
      </c>
      <c r="F47" s="5">
        <f>D47*GiaDinh!$C$4-C47</f>
        <v>1.1880000000000024</v>
      </c>
      <c r="G47" s="5">
        <f>C47*GiaDinh!$C$6</f>
        <v>110.47631999999999</v>
      </c>
    </row>
    <row r="48" spans="1:7" x14ac:dyDescent="0.35">
      <c r="A48" t="s">
        <v>6</v>
      </c>
      <c r="B48">
        <v>45</v>
      </c>
      <c r="C48" s="5">
        <v>46.774000000000001</v>
      </c>
      <c r="D48">
        <f>ROUNDUP(C48/GiaDinh!$C$4-0.0005,0)</f>
        <v>8</v>
      </c>
      <c r="E48">
        <f t="shared" si="0"/>
        <v>7</v>
      </c>
      <c r="F48" s="5">
        <f>D48*GiaDinh!$C$4-C48</f>
        <v>1.2259999999999991</v>
      </c>
      <c r="G48" s="5">
        <f>C48*GiaDinh!$C$6</f>
        <v>110.38664</v>
      </c>
    </row>
    <row r="49" spans="1:7" x14ac:dyDescent="0.35">
      <c r="A49" t="s">
        <v>6</v>
      </c>
      <c r="B49">
        <v>46</v>
      </c>
      <c r="C49" s="5">
        <v>46.811999999999998</v>
      </c>
      <c r="D49">
        <f>ROUNDUP(C49/GiaDinh!$C$4-0.0005,0)</f>
        <v>8</v>
      </c>
      <c r="E49">
        <f t="shared" si="0"/>
        <v>7</v>
      </c>
      <c r="F49" s="5">
        <f>D49*GiaDinh!$C$4-C49</f>
        <v>1.1880000000000024</v>
      </c>
      <c r="G49" s="5">
        <f>C49*GiaDinh!$C$6</f>
        <v>110.47631999999999</v>
      </c>
    </row>
    <row r="50" spans="1:7" x14ac:dyDescent="0.35">
      <c r="A50" t="s">
        <v>6</v>
      </c>
      <c r="B50">
        <v>47</v>
      </c>
      <c r="C50" s="5">
        <v>46.774000000000001</v>
      </c>
      <c r="D50">
        <f>ROUNDUP(C50/GiaDinh!$C$4-0.0005,0)</f>
        <v>8</v>
      </c>
      <c r="E50">
        <f t="shared" si="0"/>
        <v>7</v>
      </c>
      <c r="F50" s="5">
        <f>D50*GiaDinh!$C$4-C50</f>
        <v>1.2259999999999991</v>
      </c>
      <c r="G50" s="5">
        <f>C50*GiaDinh!$C$6</f>
        <v>110.38664</v>
      </c>
    </row>
    <row r="51" spans="1:7" x14ac:dyDescent="0.35">
      <c r="A51" t="s">
        <v>6</v>
      </c>
      <c r="B51">
        <v>48</v>
      </c>
      <c r="C51" s="5">
        <v>46.811999999999998</v>
      </c>
      <c r="D51">
        <f>ROUNDUP(C51/GiaDinh!$C$4-0.0005,0)</f>
        <v>8</v>
      </c>
      <c r="E51">
        <f t="shared" si="0"/>
        <v>7</v>
      </c>
      <c r="F51" s="5">
        <f>D51*GiaDinh!$C$4-C51</f>
        <v>1.1880000000000024</v>
      </c>
      <c r="G51" s="5">
        <f>C51*GiaDinh!$C$6</f>
        <v>110.47631999999999</v>
      </c>
    </row>
    <row r="52" spans="1:7" x14ac:dyDescent="0.35">
      <c r="A52" t="s">
        <v>6</v>
      </c>
      <c r="B52">
        <v>49</v>
      </c>
      <c r="C52" s="5">
        <v>46.774000000000001</v>
      </c>
      <c r="D52">
        <f>ROUNDUP(C52/GiaDinh!$C$4-0.0005,0)</f>
        <v>8</v>
      </c>
      <c r="E52">
        <f t="shared" si="0"/>
        <v>7</v>
      </c>
      <c r="F52" s="5">
        <f>D52*GiaDinh!$C$4-C52</f>
        <v>1.2259999999999991</v>
      </c>
      <c r="G52" s="5">
        <f>C52*GiaDinh!$C$6</f>
        <v>110.38664</v>
      </c>
    </row>
    <row r="53" spans="1:7" x14ac:dyDescent="0.35">
      <c r="A53" t="s">
        <v>6</v>
      </c>
      <c r="B53">
        <v>50</v>
      </c>
      <c r="C53" s="5">
        <v>46.811999999999998</v>
      </c>
      <c r="D53">
        <f>ROUNDUP(C53/GiaDinh!$C$4-0.0005,0)</f>
        <v>8</v>
      </c>
      <c r="E53">
        <f t="shared" si="0"/>
        <v>7</v>
      </c>
      <c r="F53" s="5">
        <f>D53*GiaDinh!$C$4-C53</f>
        <v>1.1880000000000024</v>
      </c>
      <c r="G53" s="5">
        <f>C53*GiaDinh!$C$6</f>
        <v>110.47631999999999</v>
      </c>
    </row>
    <row r="54" spans="1:7" x14ac:dyDescent="0.35">
      <c r="A54" t="s">
        <v>6</v>
      </c>
      <c r="B54">
        <v>51</v>
      </c>
      <c r="C54" s="5">
        <v>46.774000000000001</v>
      </c>
      <c r="D54">
        <f>ROUNDUP(C54/GiaDinh!$C$4-0.0005,0)</f>
        <v>8</v>
      </c>
      <c r="E54">
        <f t="shared" si="0"/>
        <v>7</v>
      </c>
      <c r="F54" s="5">
        <f>D54*GiaDinh!$C$4-C54</f>
        <v>1.2259999999999991</v>
      </c>
      <c r="G54" s="5">
        <f>C54*GiaDinh!$C$6</f>
        <v>110.38664</v>
      </c>
    </row>
    <row r="55" spans="1:7" x14ac:dyDescent="0.35">
      <c r="A55" t="s">
        <v>6</v>
      </c>
      <c r="B55">
        <v>52</v>
      </c>
      <c r="C55" s="5">
        <v>46.811999999999998</v>
      </c>
      <c r="D55">
        <f>ROUNDUP(C55/GiaDinh!$C$4-0.0005,0)</f>
        <v>8</v>
      </c>
      <c r="E55">
        <f t="shared" si="0"/>
        <v>7</v>
      </c>
      <c r="F55" s="5">
        <f>D55*GiaDinh!$C$4-C55</f>
        <v>1.1880000000000024</v>
      </c>
      <c r="G55" s="5">
        <f>C55*GiaDinh!$C$6</f>
        <v>110.47631999999999</v>
      </c>
    </row>
    <row r="56" spans="1:7" x14ac:dyDescent="0.35">
      <c r="A56" t="s">
        <v>6</v>
      </c>
      <c r="B56">
        <v>53</v>
      </c>
      <c r="C56" s="5">
        <v>46.774000000000001</v>
      </c>
      <c r="D56">
        <f>ROUNDUP(C56/GiaDinh!$C$4-0.0005,0)</f>
        <v>8</v>
      </c>
      <c r="E56">
        <f t="shared" si="0"/>
        <v>7</v>
      </c>
      <c r="F56" s="5">
        <f>D56*GiaDinh!$C$4-C56</f>
        <v>1.2259999999999991</v>
      </c>
      <c r="G56" s="5">
        <f>C56*GiaDinh!$C$6</f>
        <v>110.38664</v>
      </c>
    </row>
    <row r="57" spans="1:7" x14ac:dyDescent="0.35">
      <c r="A57" t="s">
        <v>6</v>
      </c>
      <c r="B57">
        <v>54</v>
      </c>
      <c r="C57" s="5">
        <v>46.811999999999998</v>
      </c>
      <c r="D57">
        <f>ROUNDUP(C57/GiaDinh!$C$4-0.0005,0)</f>
        <v>8</v>
      </c>
      <c r="E57">
        <f t="shared" si="0"/>
        <v>7</v>
      </c>
      <c r="F57" s="5">
        <f>D57*GiaDinh!$C$4-C57</f>
        <v>1.1880000000000024</v>
      </c>
      <c r="G57" s="5">
        <f>C57*GiaDinh!$C$6</f>
        <v>110.47631999999999</v>
      </c>
    </row>
    <row r="58" spans="1:7" x14ac:dyDescent="0.35">
      <c r="A58" t="s">
        <v>6</v>
      </c>
      <c r="B58">
        <v>55</v>
      </c>
      <c r="C58" s="5">
        <v>46.774000000000001</v>
      </c>
      <c r="D58">
        <f>ROUNDUP(C58/GiaDinh!$C$4-0.0005,0)</f>
        <v>8</v>
      </c>
      <c r="E58">
        <f t="shared" si="0"/>
        <v>7</v>
      </c>
      <c r="F58" s="5">
        <f>D58*GiaDinh!$C$4-C58</f>
        <v>1.2259999999999991</v>
      </c>
      <c r="G58" s="5">
        <f>C58*GiaDinh!$C$6</f>
        <v>110.38664</v>
      </c>
    </row>
    <row r="59" spans="1:7" x14ac:dyDescent="0.35">
      <c r="A59" t="s">
        <v>6</v>
      </c>
      <c r="B59">
        <v>56</v>
      </c>
      <c r="C59" s="5">
        <v>46.811999999999998</v>
      </c>
      <c r="D59">
        <f>ROUNDUP(C59/GiaDinh!$C$4-0.0005,0)</f>
        <v>8</v>
      </c>
      <c r="E59">
        <f t="shared" si="0"/>
        <v>7</v>
      </c>
      <c r="F59" s="5">
        <f>D59*GiaDinh!$C$4-C59</f>
        <v>1.1880000000000024</v>
      </c>
      <c r="G59" s="5">
        <f>C59*GiaDinh!$C$6</f>
        <v>110.47631999999999</v>
      </c>
    </row>
    <row r="60" spans="1:7" x14ac:dyDescent="0.35">
      <c r="A60" t="s">
        <v>6</v>
      </c>
      <c r="B60">
        <v>57</v>
      </c>
      <c r="C60" s="5">
        <v>46.774000000000001</v>
      </c>
      <c r="D60">
        <f>ROUNDUP(C60/GiaDinh!$C$4-0.0005,0)</f>
        <v>8</v>
      </c>
      <c r="E60">
        <f t="shared" si="0"/>
        <v>7</v>
      </c>
      <c r="F60" s="5">
        <f>D60*GiaDinh!$C$4-C60</f>
        <v>1.2259999999999991</v>
      </c>
      <c r="G60" s="5">
        <f>C60*GiaDinh!$C$6</f>
        <v>110.38664</v>
      </c>
    </row>
    <row r="61" spans="1:7" x14ac:dyDescent="0.35">
      <c r="A61" t="s">
        <v>6</v>
      </c>
      <c r="B61">
        <v>58</v>
      </c>
      <c r="C61" s="5">
        <v>46.811999999999998</v>
      </c>
      <c r="D61">
        <f>ROUNDUP(C61/GiaDinh!$C$4-0.0005,0)</f>
        <v>8</v>
      </c>
      <c r="E61">
        <f t="shared" si="0"/>
        <v>7</v>
      </c>
      <c r="F61" s="5">
        <f>D61*GiaDinh!$C$4-C61</f>
        <v>1.1880000000000024</v>
      </c>
      <c r="G61" s="5">
        <f>C61*GiaDinh!$C$6</f>
        <v>110.47631999999999</v>
      </c>
    </row>
    <row r="62" spans="1:7" x14ac:dyDescent="0.35">
      <c r="A62" t="s">
        <v>6</v>
      </c>
      <c r="B62">
        <v>59</v>
      </c>
      <c r="C62" s="5">
        <v>46.774000000000001</v>
      </c>
      <c r="D62">
        <f>ROUNDUP(C62/GiaDinh!$C$4-0.0005,0)</f>
        <v>8</v>
      </c>
      <c r="E62">
        <f t="shared" si="0"/>
        <v>7</v>
      </c>
      <c r="F62" s="5">
        <f>D62*GiaDinh!$C$4-C62</f>
        <v>1.2259999999999991</v>
      </c>
      <c r="G62" s="5">
        <f>C62*GiaDinh!$C$6</f>
        <v>110.38664</v>
      </c>
    </row>
    <row r="63" spans="1:7" x14ac:dyDescent="0.35">
      <c r="A63" t="s">
        <v>6</v>
      </c>
      <c r="B63">
        <v>60</v>
      </c>
      <c r="C63" s="5">
        <v>46.811999999999998</v>
      </c>
      <c r="D63">
        <f>ROUNDUP(C63/GiaDinh!$C$4-0.0005,0)</f>
        <v>8</v>
      </c>
      <c r="E63">
        <f t="shared" si="0"/>
        <v>7</v>
      </c>
      <c r="F63" s="5">
        <f>D63*GiaDinh!$C$4-C63</f>
        <v>1.1880000000000024</v>
      </c>
      <c r="G63" s="5">
        <f>C63*GiaDinh!$C$6</f>
        <v>110.47631999999999</v>
      </c>
    </row>
    <row r="64" spans="1:7" x14ac:dyDescent="0.35">
      <c r="A64" t="s">
        <v>6</v>
      </c>
      <c r="B64">
        <v>61</v>
      </c>
      <c r="C64" s="5">
        <v>46.774000000000001</v>
      </c>
      <c r="D64">
        <f>ROUNDUP(C64/GiaDinh!$C$4-0.0005,0)</f>
        <v>8</v>
      </c>
      <c r="E64">
        <f t="shared" si="0"/>
        <v>7</v>
      </c>
      <c r="F64" s="5">
        <f>D64*GiaDinh!$C$4-C64</f>
        <v>1.2259999999999991</v>
      </c>
      <c r="G64" s="5">
        <f>C64*GiaDinh!$C$6</f>
        <v>110.38664</v>
      </c>
    </row>
    <row r="65" spans="1:7" x14ac:dyDescent="0.35">
      <c r="A65" t="s">
        <v>6</v>
      </c>
      <c r="B65">
        <v>62</v>
      </c>
      <c r="C65" s="5">
        <v>46.811999999999998</v>
      </c>
      <c r="D65">
        <f>ROUNDUP(C65/GiaDinh!$C$4-0.0005,0)</f>
        <v>8</v>
      </c>
      <c r="E65">
        <f t="shared" si="0"/>
        <v>7</v>
      </c>
      <c r="F65" s="5">
        <f>D65*GiaDinh!$C$4-C65</f>
        <v>1.1880000000000024</v>
      </c>
      <c r="G65" s="5">
        <f>C65*GiaDinh!$C$6</f>
        <v>110.47631999999999</v>
      </c>
    </row>
    <row r="66" spans="1:7" x14ac:dyDescent="0.35">
      <c r="A66" t="s">
        <v>6</v>
      </c>
      <c r="B66">
        <v>63</v>
      </c>
      <c r="C66" s="5">
        <v>46.811999999999998</v>
      </c>
      <c r="D66">
        <f>ROUNDUP(C66/GiaDinh!$C$4-0.0005,0)</f>
        <v>8</v>
      </c>
      <c r="E66">
        <f t="shared" si="0"/>
        <v>7</v>
      </c>
      <c r="F66" s="5">
        <f>D66*GiaDinh!$C$4-C66</f>
        <v>1.1880000000000024</v>
      </c>
      <c r="G66" s="5">
        <f>C66*GiaDinh!$C$6</f>
        <v>110.47631999999999</v>
      </c>
    </row>
    <row r="67" spans="1:7" x14ac:dyDescent="0.35">
      <c r="A67" t="s">
        <v>6</v>
      </c>
      <c r="B67">
        <v>64</v>
      </c>
      <c r="C67" s="5">
        <v>40.753999999999998</v>
      </c>
      <c r="D67">
        <f>ROUNDUP(C67/GiaDinh!$C$4-0.0005,0)</f>
        <v>7</v>
      </c>
      <c r="E67">
        <f t="shared" si="0"/>
        <v>6</v>
      </c>
      <c r="F67" s="5">
        <f>D67*GiaDinh!$C$4-C67</f>
        <v>1.2460000000000022</v>
      </c>
      <c r="G67" s="5">
        <f>C67*GiaDinh!$C$6</f>
        <v>96.179439999999985</v>
      </c>
    </row>
    <row r="68" spans="1:7" x14ac:dyDescent="0.35">
      <c r="A68" t="s">
        <v>6</v>
      </c>
      <c r="B68">
        <v>65</v>
      </c>
      <c r="C68" s="5">
        <v>40.716000000000001</v>
      </c>
      <c r="D68">
        <f>ROUNDUP(C68/GiaDinh!$C$4-0.0005,0)</f>
        <v>7</v>
      </c>
      <c r="E68">
        <f t="shared" ref="E68:E131" si="1">D68-1</f>
        <v>6</v>
      </c>
      <c r="F68" s="5">
        <f>D68*GiaDinh!$C$4-C68</f>
        <v>1.2839999999999989</v>
      </c>
      <c r="G68" s="5">
        <f>C68*GiaDinh!$C$6</f>
        <v>96.089759999999998</v>
      </c>
    </row>
    <row r="69" spans="1:7" x14ac:dyDescent="0.35">
      <c r="A69" t="s">
        <v>6</v>
      </c>
      <c r="B69">
        <v>66</v>
      </c>
      <c r="C69" s="5">
        <v>40.753999999999998</v>
      </c>
      <c r="D69">
        <f>ROUNDUP(C69/GiaDinh!$C$4-0.0005,0)</f>
        <v>7</v>
      </c>
      <c r="E69">
        <f t="shared" si="1"/>
        <v>6</v>
      </c>
      <c r="F69" s="5">
        <f>D69*GiaDinh!$C$4-C69</f>
        <v>1.2460000000000022</v>
      </c>
      <c r="G69" s="5">
        <f>C69*GiaDinh!$C$6</f>
        <v>96.179439999999985</v>
      </c>
    </row>
    <row r="70" spans="1:7" x14ac:dyDescent="0.35">
      <c r="A70" t="s">
        <v>6</v>
      </c>
      <c r="B70">
        <v>67</v>
      </c>
      <c r="C70" s="5">
        <v>40.716000000000001</v>
      </c>
      <c r="D70">
        <f>ROUNDUP(C70/GiaDinh!$C$4-0.0005,0)</f>
        <v>7</v>
      </c>
      <c r="E70">
        <f t="shared" si="1"/>
        <v>6</v>
      </c>
      <c r="F70" s="5">
        <f>D70*GiaDinh!$C$4-C70</f>
        <v>1.2839999999999989</v>
      </c>
      <c r="G70" s="5">
        <f>C70*GiaDinh!$C$6</f>
        <v>96.089759999999998</v>
      </c>
    </row>
    <row r="71" spans="1:7" x14ac:dyDescent="0.35">
      <c r="A71" t="s">
        <v>6</v>
      </c>
      <c r="B71">
        <v>68</v>
      </c>
      <c r="C71" s="5">
        <v>40.753999999999998</v>
      </c>
      <c r="D71">
        <f>ROUNDUP(C71/GiaDinh!$C$4-0.0005,0)</f>
        <v>7</v>
      </c>
      <c r="E71">
        <f t="shared" si="1"/>
        <v>6</v>
      </c>
      <c r="F71" s="5">
        <f>D71*GiaDinh!$C$4-C71</f>
        <v>1.2460000000000022</v>
      </c>
      <c r="G71" s="5">
        <f>C71*GiaDinh!$C$6</f>
        <v>96.179439999999985</v>
      </c>
    </row>
    <row r="72" spans="1:7" x14ac:dyDescent="0.35">
      <c r="A72" t="s">
        <v>6</v>
      </c>
      <c r="B72">
        <v>69</v>
      </c>
      <c r="C72" s="5">
        <v>40.716000000000001</v>
      </c>
      <c r="D72">
        <f>ROUNDUP(C72/GiaDinh!$C$4-0.0005,0)</f>
        <v>7</v>
      </c>
      <c r="E72">
        <f t="shared" si="1"/>
        <v>6</v>
      </c>
      <c r="F72" s="5">
        <f>D72*GiaDinh!$C$4-C72</f>
        <v>1.2839999999999989</v>
      </c>
      <c r="G72" s="5">
        <f>C72*GiaDinh!$C$6</f>
        <v>96.089759999999998</v>
      </c>
    </row>
    <row r="73" spans="1:7" x14ac:dyDescent="0.35">
      <c r="A73" t="s">
        <v>6</v>
      </c>
      <c r="B73">
        <v>70</v>
      </c>
      <c r="C73" s="5">
        <v>40.753999999999998</v>
      </c>
      <c r="D73">
        <f>ROUNDUP(C73/GiaDinh!$C$4-0.0005,0)</f>
        <v>7</v>
      </c>
      <c r="E73">
        <f t="shared" si="1"/>
        <v>6</v>
      </c>
      <c r="F73" s="5">
        <f>D73*GiaDinh!$C$4-C73</f>
        <v>1.2460000000000022</v>
      </c>
      <c r="G73" s="5">
        <f>C73*GiaDinh!$C$6</f>
        <v>96.179439999999985</v>
      </c>
    </row>
    <row r="74" spans="1:7" x14ac:dyDescent="0.35">
      <c r="A74" t="s">
        <v>6</v>
      </c>
      <c r="B74">
        <v>71</v>
      </c>
      <c r="C74" s="5">
        <v>40.716000000000001</v>
      </c>
      <c r="D74">
        <f>ROUNDUP(C74/GiaDinh!$C$4-0.0005,0)</f>
        <v>7</v>
      </c>
      <c r="E74">
        <f t="shared" si="1"/>
        <v>6</v>
      </c>
      <c r="F74" s="5">
        <f>D74*GiaDinh!$C$4-C74</f>
        <v>1.2839999999999989</v>
      </c>
      <c r="G74" s="5">
        <f>C74*GiaDinh!$C$6</f>
        <v>96.089759999999998</v>
      </c>
    </row>
    <row r="75" spans="1:7" x14ac:dyDescent="0.35">
      <c r="A75" t="s">
        <v>6</v>
      </c>
      <c r="B75">
        <v>72</v>
      </c>
      <c r="C75" s="5">
        <v>40.753999999999998</v>
      </c>
      <c r="D75">
        <f>ROUNDUP(C75/GiaDinh!$C$4-0.0005,0)</f>
        <v>7</v>
      </c>
      <c r="E75">
        <f t="shared" si="1"/>
        <v>6</v>
      </c>
      <c r="F75" s="5">
        <f>D75*GiaDinh!$C$4-C75</f>
        <v>1.2460000000000022</v>
      </c>
      <c r="G75" s="5">
        <f>C75*GiaDinh!$C$6</f>
        <v>96.179439999999985</v>
      </c>
    </row>
    <row r="76" spans="1:7" x14ac:dyDescent="0.35">
      <c r="A76" t="s">
        <v>6</v>
      </c>
      <c r="B76">
        <v>73</v>
      </c>
      <c r="C76" s="5">
        <v>40.716000000000001</v>
      </c>
      <c r="D76">
        <f>ROUNDUP(C76/GiaDinh!$C$4-0.0005,0)</f>
        <v>7</v>
      </c>
      <c r="E76">
        <f t="shared" si="1"/>
        <v>6</v>
      </c>
      <c r="F76" s="5">
        <f>D76*GiaDinh!$C$4-C76</f>
        <v>1.2839999999999989</v>
      </c>
      <c r="G76" s="5">
        <f>C76*GiaDinh!$C$6</f>
        <v>96.089759999999998</v>
      </c>
    </row>
    <row r="77" spans="1:7" x14ac:dyDescent="0.35">
      <c r="A77" t="s">
        <v>6</v>
      </c>
      <c r="B77">
        <v>74</v>
      </c>
      <c r="C77" s="5">
        <v>40.753999999999998</v>
      </c>
      <c r="D77">
        <f>ROUNDUP(C77/GiaDinh!$C$4-0.0005,0)</f>
        <v>7</v>
      </c>
      <c r="E77">
        <f t="shared" si="1"/>
        <v>6</v>
      </c>
      <c r="F77" s="5">
        <f>D77*GiaDinh!$C$4-C77</f>
        <v>1.2460000000000022</v>
      </c>
      <c r="G77" s="5">
        <f>C77*GiaDinh!$C$6</f>
        <v>96.179439999999985</v>
      </c>
    </row>
    <row r="78" spans="1:7" x14ac:dyDescent="0.35">
      <c r="A78" t="s">
        <v>6</v>
      </c>
      <c r="B78">
        <v>75</v>
      </c>
      <c r="C78" s="5">
        <v>40.716000000000001</v>
      </c>
      <c r="D78">
        <f>ROUNDUP(C78/GiaDinh!$C$4-0.0005,0)</f>
        <v>7</v>
      </c>
      <c r="E78">
        <f t="shared" si="1"/>
        <v>6</v>
      </c>
      <c r="F78" s="5">
        <f>D78*GiaDinh!$C$4-C78</f>
        <v>1.2839999999999989</v>
      </c>
      <c r="G78" s="5">
        <f>C78*GiaDinh!$C$6</f>
        <v>96.089759999999998</v>
      </c>
    </row>
    <row r="79" spans="1:7" x14ac:dyDescent="0.35">
      <c r="A79" t="s">
        <v>6</v>
      </c>
      <c r="B79">
        <v>76</v>
      </c>
      <c r="C79" s="5">
        <v>40.753999999999998</v>
      </c>
      <c r="D79">
        <f>ROUNDUP(C79/GiaDinh!$C$4-0.0005,0)</f>
        <v>7</v>
      </c>
      <c r="E79">
        <f t="shared" si="1"/>
        <v>6</v>
      </c>
      <c r="F79" s="5">
        <f>D79*GiaDinh!$C$4-C79</f>
        <v>1.2460000000000022</v>
      </c>
      <c r="G79" s="5">
        <f>C79*GiaDinh!$C$6</f>
        <v>96.179439999999985</v>
      </c>
    </row>
    <row r="80" spans="1:7" x14ac:dyDescent="0.35">
      <c r="A80" t="s">
        <v>6</v>
      </c>
      <c r="B80">
        <v>77</v>
      </c>
      <c r="C80" s="5">
        <v>40.716000000000001</v>
      </c>
      <c r="D80">
        <f>ROUNDUP(C80/GiaDinh!$C$4-0.0005,0)</f>
        <v>7</v>
      </c>
      <c r="E80">
        <f t="shared" si="1"/>
        <v>6</v>
      </c>
      <c r="F80" s="5">
        <f>D80*GiaDinh!$C$4-C80</f>
        <v>1.2839999999999989</v>
      </c>
      <c r="G80" s="5">
        <f>C80*GiaDinh!$C$6</f>
        <v>96.089759999999998</v>
      </c>
    </row>
    <row r="81" spans="1:7" x14ac:dyDescent="0.35">
      <c r="A81" t="s">
        <v>6</v>
      </c>
      <c r="B81">
        <v>78</v>
      </c>
      <c r="C81" s="5">
        <v>40.753999999999998</v>
      </c>
      <c r="D81">
        <f>ROUNDUP(C81/GiaDinh!$C$4-0.0005,0)</f>
        <v>7</v>
      </c>
      <c r="E81">
        <f t="shared" si="1"/>
        <v>6</v>
      </c>
      <c r="F81" s="5">
        <f>D81*GiaDinh!$C$4-C81</f>
        <v>1.2460000000000022</v>
      </c>
      <c r="G81" s="5">
        <f>C81*GiaDinh!$C$6</f>
        <v>96.179439999999985</v>
      </c>
    </row>
    <row r="82" spans="1:7" x14ac:dyDescent="0.35">
      <c r="A82" t="s">
        <v>6</v>
      </c>
      <c r="B82">
        <v>79</v>
      </c>
      <c r="C82" s="5">
        <v>40.753999999999998</v>
      </c>
      <c r="D82">
        <f>ROUNDUP(C82/GiaDinh!$C$4-0.0005,0)</f>
        <v>7</v>
      </c>
      <c r="E82">
        <f t="shared" si="1"/>
        <v>6</v>
      </c>
      <c r="F82" s="5">
        <f>D82*GiaDinh!$C$4-C82</f>
        <v>1.2460000000000022</v>
      </c>
      <c r="G82" s="5">
        <f>C82*GiaDinh!$C$6</f>
        <v>96.179439999999985</v>
      </c>
    </row>
    <row r="83" spans="1:7" x14ac:dyDescent="0.35">
      <c r="A83" t="s">
        <v>7</v>
      </c>
      <c r="B83">
        <v>1</v>
      </c>
      <c r="C83" s="5">
        <v>52.945999999999998</v>
      </c>
      <c r="D83">
        <f>ROUNDUP(C83/GiaDinh!$C$4-0.0005,0)</f>
        <v>9</v>
      </c>
      <c r="E83">
        <f t="shared" si="1"/>
        <v>8</v>
      </c>
      <c r="F83" s="5">
        <f>D83*GiaDinh!$C$4-C83</f>
        <v>1.054000000000002</v>
      </c>
      <c r="G83" s="5">
        <f>C83*GiaDinh!$C$6</f>
        <v>124.95255999999999</v>
      </c>
    </row>
    <row r="84" spans="1:7" x14ac:dyDescent="0.35">
      <c r="A84" t="s">
        <v>7</v>
      </c>
      <c r="B84">
        <v>2</v>
      </c>
      <c r="C84" s="5">
        <v>52.945999999999998</v>
      </c>
      <c r="D84">
        <f>ROUNDUP(C84/GiaDinh!$C$4-0.0005,0)</f>
        <v>9</v>
      </c>
      <c r="E84">
        <f t="shared" si="1"/>
        <v>8</v>
      </c>
      <c r="F84" s="5">
        <f>D84*GiaDinh!$C$4-C84</f>
        <v>1.054000000000002</v>
      </c>
      <c r="G84" s="5">
        <f>C84*GiaDinh!$C$6</f>
        <v>124.95255999999999</v>
      </c>
    </row>
    <row r="85" spans="1:7" x14ac:dyDescent="0.35">
      <c r="A85" t="s">
        <v>7</v>
      </c>
      <c r="B85">
        <v>3</v>
      </c>
      <c r="C85" s="5">
        <v>52.945999999999998</v>
      </c>
      <c r="D85">
        <f>ROUNDUP(C85/GiaDinh!$C$4-0.0005,0)</f>
        <v>9</v>
      </c>
      <c r="E85">
        <f t="shared" si="1"/>
        <v>8</v>
      </c>
      <c r="F85" s="5">
        <f>D85*GiaDinh!$C$4-C85</f>
        <v>1.054000000000002</v>
      </c>
      <c r="G85" s="5">
        <f>C85*GiaDinh!$C$6</f>
        <v>124.95255999999999</v>
      </c>
    </row>
    <row r="86" spans="1:7" x14ac:dyDescent="0.35">
      <c r="A86" t="s">
        <v>7</v>
      </c>
      <c r="B86">
        <v>4</v>
      </c>
      <c r="C86" s="5">
        <v>52.945999999999998</v>
      </c>
      <c r="D86">
        <f>ROUNDUP(C86/GiaDinh!$C$4-0.0005,0)</f>
        <v>9</v>
      </c>
      <c r="E86">
        <f t="shared" si="1"/>
        <v>8</v>
      </c>
      <c r="F86" s="5">
        <f>D86*GiaDinh!$C$4-C86</f>
        <v>1.054000000000002</v>
      </c>
      <c r="G86" s="5">
        <f>C86*GiaDinh!$C$6</f>
        <v>124.95255999999999</v>
      </c>
    </row>
    <row r="87" spans="1:7" x14ac:dyDescent="0.35">
      <c r="A87" t="s">
        <v>7</v>
      </c>
      <c r="B87">
        <v>5</v>
      </c>
      <c r="C87" s="5">
        <v>52.945999999999998</v>
      </c>
      <c r="D87">
        <f>ROUNDUP(C87/GiaDinh!$C$4-0.0005,0)</f>
        <v>9</v>
      </c>
      <c r="E87">
        <f t="shared" si="1"/>
        <v>8</v>
      </c>
      <c r="F87" s="5">
        <f>D87*GiaDinh!$C$4-C87</f>
        <v>1.054000000000002</v>
      </c>
      <c r="G87" s="5">
        <f>C87*GiaDinh!$C$6</f>
        <v>124.95255999999999</v>
      </c>
    </row>
    <row r="88" spans="1:7" x14ac:dyDescent="0.35">
      <c r="A88" t="s">
        <v>7</v>
      </c>
      <c r="B88">
        <v>6</v>
      </c>
      <c r="C88" s="5">
        <v>52.945999999999998</v>
      </c>
      <c r="D88">
        <f>ROUNDUP(C88/GiaDinh!$C$4-0.0005,0)</f>
        <v>9</v>
      </c>
      <c r="E88">
        <f t="shared" si="1"/>
        <v>8</v>
      </c>
      <c r="F88" s="5">
        <f>D88*GiaDinh!$C$4-C88</f>
        <v>1.054000000000002</v>
      </c>
      <c r="G88" s="5">
        <f>C88*GiaDinh!$C$6</f>
        <v>124.95255999999999</v>
      </c>
    </row>
    <row r="89" spans="1:7" x14ac:dyDescent="0.35">
      <c r="A89" t="s">
        <v>7</v>
      </c>
      <c r="B89">
        <v>7</v>
      </c>
      <c r="C89" s="5">
        <v>52.945999999999998</v>
      </c>
      <c r="D89">
        <f>ROUNDUP(C89/GiaDinh!$C$4-0.0005,0)</f>
        <v>9</v>
      </c>
      <c r="E89">
        <f t="shared" si="1"/>
        <v>8</v>
      </c>
      <c r="F89" s="5">
        <f>D89*GiaDinh!$C$4-C89</f>
        <v>1.054000000000002</v>
      </c>
      <c r="G89" s="5">
        <f>C89*GiaDinh!$C$6</f>
        <v>124.95255999999999</v>
      </c>
    </row>
    <row r="90" spans="1:7" x14ac:dyDescent="0.35">
      <c r="A90" t="s">
        <v>7</v>
      </c>
      <c r="B90">
        <v>8</v>
      </c>
      <c r="C90" s="5">
        <v>52.945999999999998</v>
      </c>
      <c r="D90">
        <f>ROUNDUP(C90/GiaDinh!$C$4-0.0005,0)</f>
        <v>9</v>
      </c>
      <c r="E90">
        <f t="shared" si="1"/>
        <v>8</v>
      </c>
      <c r="F90" s="5">
        <f>D90*GiaDinh!$C$4-C90</f>
        <v>1.054000000000002</v>
      </c>
      <c r="G90" s="5">
        <f>C90*GiaDinh!$C$6</f>
        <v>124.95255999999999</v>
      </c>
    </row>
    <row r="91" spans="1:7" x14ac:dyDescent="0.35">
      <c r="A91" t="s">
        <v>7</v>
      </c>
      <c r="B91">
        <v>9</v>
      </c>
      <c r="C91" s="5">
        <v>52.945999999999998</v>
      </c>
      <c r="D91">
        <f>ROUNDUP(C91/GiaDinh!$C$4-0.0005,0)</f>
        <v>9</v>
      </c>
      <c r="E91">
        <f t="shared" si="1"/>
        <v>8</v>
      </c>
      <c r="F91" s="5">
        <f>D91*GiaDinh!$C$4-C91</f>
        <v>1.054000000000002</v>
      </c>
      <c r="G91" s="5">
        <f>C91*GiaDinh!$C$6</f>
        <v>124.95255999999999</v>
      </c>
    </row>
    <row r="92" spans="1:7" x14ac:dyDescent="0.35">
      <c r="A92" t="s">
        <v>7</v>
      </c>
      <c r="B92">
        <v>10</v>
      </c>
      <c r="C92" s="5">
        <v>52.945999999999998</v>
      </c>
      <c r="D92">
        <f>ROUNDUP(C92/GiaDinh!$C$4-0.0005,0)</f>
        <v>9</v>
      </c>
      <c r="E92">
        <f t="shared" si="1"/>
        <v>8</v>
      </c>
      <c r="F92" s="5">
        <f>D92*GiaDinh!$C$4-C92</f>
        <v>1.054000000000002</v>
      </c>
      <c r="G92" s="5">
        <f>C92*GiaDinh!$C$6</f>
        <v>124.95255999999999</v>
      </c>
    </row>
    <row r="93" spans="1:7" x14ac:dyDescent="0.35">
      <c r="A93" t="s">
        <v>7</v>
      </c>
      <c r="B93">
        <v>11</v>
      </c>
      <c r="C93" s="5">
        <v>52.945999999999998</v>
      </c>
      <c r="D93">
        <f>ROUNDUP(C93/GiaDinh!$C$4-0.0005,0)</f>
        <v>9</v>
      </c>
      <c r="E93">
        <f t="shared" si="1"/>
        <v>8</v>
      </c>
      <c r="F93" s="5">
        <f>D93*GiaDinh!$C$4-C93</f>
        <v>1.054000000000002</v>
      </c>
      <c r="G93" s="5">
        <f>C93*GiaDinh!$C$6</f>
        <v>124.95255999999999</v>
      </c>
    </row>
    <row r="94" spans="1:7" x14ac:dyDescent="0.35">
      <c r="A94" t="s">
        <v>7</v>
      </c>
      <c r="B94">
        <v>12</v>
      </c>
      <c r="C94" s="5">
        <v>52.945999999999998</v>
      </c>
      <c r="D94">
        <f>ROUNDUP(C94/GiaDinh!$C$4-0.0005,0)</f>
        <v>9</v>
      </c>
      <c r="E94">
        <f t="shared" si="1"/>
        <v>8</v>
      </c>
      <c r="F94" s="5">
        <f>D94*GiaDinh!$C$4-C94</f>
        <v>1.054000000000002</v>
      </c>
      <c r="G94" s="5">
        <f>C94*GiaDinh!$C$6</f>
        <v>124.95255999999999</v>
      </c>
    </row>
    <row r="95" spans="1:7" x14ac:dyDescent="0.35">
      <c r="A95" t="s">
        <v>7</v>
      </c>
      <c r="B95">
        <v>13</v>
      </c>
      <c r="C95" s="5">
        <v>52.945999999999998</v>
      </c>
      <c r="D95">
        <f>ROUNDUP(C95/GiaDinh!$C$4-0.0005,0)</f>
        <v>9</v>
      </c>
      <c r="E95">
        <f t="shared" si="1"/>
        <v>8</v>
      </c>
      <c r="F95" s="5">
        <f>D95*GiaDinh!$C$4-C95</f>
        <v>1.054000000000002</v>
      </c>
      <c r="G95" s="5">
        <f>C95*GiaDinh!$C$6</f>
        <v>124.95255999999999</v>
      </c>
    </row>
    <row r="96" spans="1:7" x14ac:dyDescent="0.35">
      <c r="A96" t="s">
        <v>7</v>
      </c>
      <c r="B96">
        <v>14</v>
      </c>
      <c r="C96" s="5">
        <v>52.945999999999998</v>
      </c>
      <c r="D96">
        <f>ROUNDUP(C96/GiaDinh!$C$4-0.0005,0)</f>
        <v>9</v>
      </c>
      <c r="E96">
        <f t="shared" si="1"/>
        <v>8</v>
      </c>
      <c r="F96" s="5">
        <f>D96*GiaDinh!$C$4-C96</f>
        <v>1.054000000000002</v>
      </c>
      <c r="G96" s="5">
        <f>C96*GiaDinh!$C$6</f>
        <v>124.95255999999999</v>
      </c>
    </row>
    <row r="97" spans="1:7" x14ac:dyDescent="0.35">
      <c r="A97" t="s">
        <v>7</v>
      </c>
      <c r="B97">
        <v>15</v>
      </c>
      <c r="C97" s="5">
        <v>52.945999999999998</v>
      </c>
      <c r="D97">
        <f>ROUNDUP(C97/GiaDinh!$C$4-0.0005,0)</f>
        <v>9</v>
      </c>
      <c r="E97">
        <f t="shared" si="1"/>
        <v>8</v>
      </c>
      <c r="F97" s="5">
        <f>D97*GiaDinh!$C$4-C97</f>
        <v>1.054000000000002</v>
      </c>
      <c r="G97" s="5">
        <f>C97*GiaDinh!$C$6</f>
        <v>124.95255999999999</v>
      </c>
    </row>
    <row r="98" spans="1:7" x14ac:dyDescent="0.35">
      <c r="A98" t="s">
        <v>7</v>
      </c>
      <c r="B98">
        <v>16</v>
      </c>
      <c r="C98" s="5">
        <v>52.945999999999998</v>
      </c>
      <c r="D98">
        <f>ROUNDUP(C98/GiaDinh!$C$4-0.0005,0)</f>
        <v>9</v>
      </c>
      <c r="E98">
        <f t="shared" si="1"/>
        <v>8</v>
      </c>
      <c r="F98" s="5">
        <f>D98*GiaDinh!$C$4-C98</f>
        <v>1.054000000000002</v>
      </c>
      <c r="G98" s="5">
        <f>C98*GiaDinh!$C$6</f>
        <v>124.95255999999999</v>
      </c>
    </row>
    <row r="99" spans="1:7" x14ac:dyDescent="0.35">
      <c r="A99" t="s">
        <v>7</v>
      </c>
      <c r="B99">
        <v>17</v>
      </c>
      <c r="C99" s="5">
        <v>46.811999999999998</v>
      </c>
      <c r="D99">
        <f>ROUNDUP(C99/GiaDinh!$C$4-0.0005,0)</f>
        <v>8</v>
      </c>
      <c r="E99">
        <f t="shared" si="1"/>
        <v>7</v>
      </c>
      <c r="F99" s="5">
        <f>D99*GiaDinh!$C$4-C99</f>
        <v>1.1880000000000024</v>
      </c>
      <c r="G99" s="5">
        <f>C99*GiaDinh!$C$6</f>
        <v>110.47631999999999</v>
      </c>
    </row>
    <row r="100" spans="1:7" x14ac:dyDescent="0.35">
      <c r="A100" t="s">
        <v>7</v>
      </c>
      <c r="B100">
        <v>18</v>
      </c>
      <c r="C100" s="5">
        <v>46.811999999999998</v>
      </c>
      <c r="D100">
        <f>ROUNDUP(C100/GiaDinh!$C$4-0.0005,0)</f>
        <v>8</v>
      </c>
      <c r="E100">
        <f t="shared" si="1"/>
        <v>7</v>
      </c>
      <c r="F100" s="5">
        <f>D100*GiaDinh!$C$4-C100</f>
        <v>1.1880000000000024</v>
      </c>
      <c r="G100" s="5">
        <f>C100*GiaDinh!$C$6</f>
        <v>110.47631999999999</v>
      </c>
    </row>
    <row r="101" spans="1:7" x14ac:dyDescent="0.35">
      <c r="A101" t="s">
        <v>7</v>
      </c>
      <c r="B101">
        <v>19</v>
      </c>
      <c r="C101" s="5">
        <v>52.945999999999998</v>
      </c>
      <c r="D101">
        <f>ROUNDUP(C101/GiaDinh!$C$4-0.0005,0)</f>
        <v>9</v>
      </c>
      <c r="E101">
        <f t="shared" si="1"/>
        <v>8</v>
      </c>
      <c r="F101" s="5">
        <f>D101*GiaDinh!$C$4-C101</f>
        <v>1.054000000000002</v>
      </c>
      <c r="G101" s="5">
        <f>C101*GiaDinh!$C$6</f>
        <v>124.95255999999999</v>
      </c>
    </row>
    <row r="102" spans="1:7" x14ac:dyDescent="0.35">
      <c r="A102" t="s">
        <v>7</v>
      </c>
      <c r="B102">
        <v>20</v>
      </c>
      <c r="C102" s="5">
        <v>52.945999999999998</v>
      </c>
      <c r="D102">
        <f>ROUNDUP(C102/GiaDinh!$C$4-0.0005,0)</f>
        <v>9</v>
      </c>
      <c r="E102">
        <f t="shared" si="1"/>
        <v>8</v>
      </c>
      <c r="F102" s="5">
        <f>D102*GiaDinh!$C$4-C102</f>
        <v>1.054000000000002</v>
      </c>
      <c r="G102" s="5">
        <f>C102*GiaDinh!$C$6</f>
        <v>124.95255999999999</v>
      </c>
    </row>
    <row r="103" spans="1:7" x14ac:dyDescent="0.35">
      <c r="A103" t="s">
        <v>7</v>
      </c>
      <c r="B103">
        <v>21</v>
      </c>
      <c r="C103" s="5">
        <v>52.945999999999998</v>
      </c>
      <c r="D103">
        <f>ROUNDUP(C103/GiaDinh!$C$4-0.0005,0)</f>
        <v>9</v>
      </c>
      <c r="E103">
        <f t="shared" si="1"/>
        <v>8</v>
      </c>
      <c r="F103" s="5">
        <f>D103*GiaDinh!$C$4-C103</f>
        <v>1.054000000000002</v>
      </c>
      <c r="G103" s="5">
        <f>C103*GiaDinh!$C$6</f>
        <v>124.95255999999999</v>
      </c>
    </row>
    <row r="104" spans="1:7" x14ac:dyDescent="0.35">
      <c r="A104" t="s">
        <v>7</v>
      </c>
      <c r="B104">
        <v>22</v>
      </c>
      <c r="C104" s="5">
        <v>52.945999999999998</v>
      </c>
      <c r="D104">
        <f>ROUNDUP(C104/GiaDinh!$C$4-0.0005,0)</f>
        <v>9</v>
      </c>
      <c r="E104">
        <f t="shared" si="1"/>
        <v>8</v>
      </c>
      <c r="F104" s="5">
        <f>D104*GiaDinh!$C$4-C104</f>
        <v>1.054000000000002</v>
      </c>
      <c r="G104" s="5">
        <f>C104*GiaDinh!$C$6</f>
        <v>124.95255999999999</v>
      </c>
    </row>
    <row r="105" spans="1:7" x14ac:dyDescent="0.35">
      <c r="A105" t="s">
        <v>7</v>
      </c>
      <c r="B105">
        <v>23</v>
      </c>
      <c r="C105" s="5">
        <v>52.945999999999998</v>
      </c>
      <c r="D105">
        <f>ROUNDUP(C105/GiaDinh!$C$4-0.0005,0)</f>
        <v>9</v>
      </c>
      <c r="E105">
        <f t="shared" si="1"/>
        <v>8</v>
      </c>
      <c r="F105" s="5">
        <f>D105*GiaDinh!$C$4-C105</f>
        <v>1.054000000000002</v>
      </c>
      <c r="G105" s="5">
        <f>C105*GiaDinh!$C$6</f>
        <v>124.95255999999999</v>
      </c>
    </row>
    <row r="106" spans="1:7" x14ac:dyDescent="0.35">
      <c r="A106" t="s">
        <v>7</v>
      </c>
      <c r="B106">
        <v>24</v>
      </c>
      <c r="C106" s="5">
        <v>52.945999999999998</v>
      </c>
      <c r="D106">
        <f>ROUNDUP(C106/GiaDinh!$C$4-0.0005,0)</f>
        <v>9</v>
      </c>
      <c r="E106">
        <f t="shared" si="1"/>
        <v>8</v>
      </c>
      <c r="F106" s="5">
        <f>D106*GiaDinh!$C$4-C106</f>
        <v>1.054000000000002</v>
      </c>
      <c r="G106" s="5">
        <f>C106*GiaDinh!$C$6</f>
        <v>124.95255999999999</v>
      </c>
    </row>
    <row r="107" spans="1:7" x14ac:dyDescent="0.35">
      <c r="A107" t="s">
        <v>7</v>
      </c>
      <c r="B107">
        <v>25</v>
      </c>
      <c r="C107" s="5">
        <v>52.945999999999998</v>
      </c>
      <c r="D107">
        <f>ROUNDUP(C107/GiaDinh!$C$4-0.0005,0)</f>
        <v>9</v>
      </c>
      <c r="E107">
        <f t="shared" si="1"/>
        <v>8</v>
      </c>
      <c r="F107" s="5">
        <f>D107*GiaDinh!$C$4-C107</f>
        <v>1.054000000000002</v>
      </c>
      <c r="G107" s="5">
        <f>C107*GiaDinh!$C$6</f>
        <v>124.95255999999999</v>
      </c>
    </row>
    <row r="108" spans="1:7" x14ac:dyDescent="0.35">
      <c r="A108" t="s">
        <v>7</v>
      </c>
      <c r="B108">
        <v>26</v>
      </c>
      <c r="C108" s="5">
        <v>52.945999999999998</v>
      </c>
      <c r="D108">
        <f>ROUNDUP(C108/GiaDinh!$C$4-0.0005,0)</f>
        <v>9</v>
      </c>
      <c r="E108">
        <f t="shared" si="1"/>
        <v>8</v>
      </c>
      <c r="F108" s="5">
        <f>D108*GiaDinh!$C$4-C108</f>
        <v>1.054000000000002</v>
      </c>
      <c r="G108" s="5">
        <f>C108*GiaDinh!$C$6</f>
        <v>124.95255999999999</v>
      </c>
    </row>
    <row r="109" spans="1:7" x14ac:dyDescent="0.35">
      <c r="A109" t="s">
        <v>7</v>
      </c>
      <c r="B109">
        <v>27</v>
      </c>
      <c r="C109" s="5">
        <v>52.945999999999998</v>
      </c>
      <c r="D109">
        <f>ROUNDUP(C109/GiaDinh!$C$4-0.0005,0)</f>
        <v>9</v>
      </c>
      <c r="E109">
        <f t="shared" si="1"/>
        <v>8</v>
      </c>
      <c r="F109" s="5">
        <f>D109*GiaDinh!$C$4-C109</f>
        <v>1.054000000000002</v>
      </c>
      <c r="G109" s="5">
        <f>C109*GiaDinh!$C$6</f>
        <v>124.95255999999999</v>
      </c>
    </row>
    <row r="110" spans="1:7" x14ac:dyDescent="0.35">
      <c r="A110" t="s">
        <v>7</v>
      </c>
      <c r="B110">
        <v>28</v>
      </c>
      <c r="C110" s="5">
        <v>52.945999999999998</v>
      </c>
      <c r="D110">
        <f>ROUNDUP(C110/GiaDinh!$C$4-0.0005,0)</f>
        <v>9</v>
      </c>
      <c r="E110">
        <f t="shared" si="1"/>
        <v>8</v>
      </c>
      <c r="F110" s="5">
        <f>D110*GiaDinh!$C$4-C110</f>
        <v>1.054000000000002</v>
      </c>
      <c r="G110" s="5">
        <f>C110*GiaDinh!$C$6</f>
        <v>124.95255999999999</v>
      </c>
    </row>
    <row r="111" spans="1:7" x14ac:dyDescent="0.35">
      <c r="A111" t="s">
        <v>7</v>
      </c>
      <c r="B111">
        <v>29</v>
      </c>
      <c r="C111" s="5">
        <v>52.945999999999998</v>
      </c>
      <c r="D111">
        <f>ROUNDUP(C111/GiaDinh!$C$4-0.0005,0)</f>
        <v>9</v>
      </c>
      <c r="E111">
        <f t="shared" si="1"/>
        <v>8</v>
      </c>
      <c r="F111" s="5">
        <f>D111*GiaDinh!$C$4-C111</f>
        <v>1.054000000000002</v>
      </c>
      <c r="G111" s="5">
        <f>C111*GiaDinh!$C$6</f>
        <v>124.95255999999999</v>
      </c>
    </row>
    <row r="112" spans="1:7" x14ac:dyDescent="0.35">
      <c r="A112" t="s">
        <v>7</v>
      </c>
      <c r="B112">
        <v>30</v>
      </c>
      <c r="C112" s="5">
        <v>52.945999999999998</v>
      </c>
      <c r="D112">
        <f>ROUNDUP(C112/GiaDinh!$C$4-0.0005,0)</f>
        <v>9</v>
      </c>
      <c r="E112">
        <f t="shared" si="1"/>
        <v>8</v>
      </c>
      <c r="F112" s="5">
        <f>D112*GiaDinh!$C$4-C112</f>
        <v>1.054000000000002</v>
      </c>
      <c r="G112" s="5">
        <f>C112*GiaDinh!$C$6</f>
        <v>124.95255999999999</v>
      </c>
    </row>
    <row r="113" spans="1:7" x14ac:dyDescent="0.35">
      <c r="A113" t="s">
        <v>7</v>
      </c>
      <c r="B113">
        <v>31</v>
      </c>
      <c r="C113" s="5">
        <v>52.945999999999998</v>
      </c>
      <c r="D113">
        <f>ROUNDUP(C113/GiaDinh!$C$4-0.0005,0)</f>
        <v>9</v>
      </c>
      <c r="E113">
        <f t="shared" si="1"/>
        <v>8</v>
      </c>
      <c r="F113" s="5">
        <f>D113*GiaDinh!$C$4-C113</f>
        <v>1.054000000000002</v>
      </c>
      <c r="G113" s="5">
        <f>C113*GiaDinh!$C$6</f>
        <v>124.95255999999999</v>
      </c>
    </row>
    <row r="114" spans="1:7" x14ac:dyDescent="0.35">
      <c r="A114" t="s">
        <v>7</v>
      </c>
      <c r="B114">
        <v>32</v>
      </c>
      <c r="C114" s="5">
        <v>52.945999999999998</v>
      </c>
      <c r="D114">
        <f>ROUNDUP(C114/GiaDinh!$C$4-0.0005,0)</f>
        <v>9</v>
      </c>
      <c r="E114">
        <f t="shared" si="1"/>
        <v>8</v>
      </c>
      <c r="F114" s="5">
        <f>D114*GiaDinh!$C$4-C114</f>
        <v>1.054000000000002</v>
      </c>
      <c r="G114" s="5">
        <f>C114*GiaDinh!$C$6</f>
        <v>124.95255999999999</v>
      </c>
    </row>
    <row r="115" spans="1:7" x14ac:dyDescent="0.35">
      <c r="A115" t="s">
        <v>7</v>
      </c>
      <c r="B115">
        <v>33</v>
      </c>
      <c r="C115" s="5">
        <v>40.881</v>
      </c>
      <c r="D115">
        <f>ROUNDUP(C115/GiaDinh!$C$4-0.0005,0)</f>
        <v>7</v>
      </c>
      <c r="E115">
        <f t="shared" si="1"/>
        <v>6</v>
      </c>
      <c r="F115" s="5">
        <f>D115*GiaDinh!$C$4-C115</f>
        <v>1.1189999999999998</v>
      </c>
      <c r="G115" s="5">
        <f>C115*GiaDinh!$C$6</f>
        <v>96.479159999999993</v>
      </c>
    </row>
    <row r="116" spans="1:7" x14ac:dyDescent="0.35">
      <c r="A116" t="s">
        <v>7</v>
      </c>
      <c r="B116">
        <v>34</v>
      </c>
      <c r="C116" s="5">
        <v>40.881</v>
      </c>
      <c r="D116">
        <f>ROUNDUP(C116/GiaDinh!$C$4-0.0005,0)</f>
        <v>7</v>
      </c>
      <c r="E116">
        <f t="shared" si="1"/>
        <v>6</v>
      </c>
      <c r="F116" s="5">
        <f>D116*GiaDinh!$C$4-C116</f>
        <v>1.1189999999999998</v>
      </c>
      <c r="G116" s="5">
        <f>C116*GiaDinh!$C$6</f>
        <v>96.479159999999993</v>
      </c>
    </row>
    <row r="117" spans="1:7" x14ac:dyDescent="0.35">
      <c r="A117" t="s">
        <v>7</v>
      </c>
      <c r="B117">
        <v>35</v>
      </c>
      <c r="C117" s="5">
        <v>40.881</v>
      </c>
      <c r="D117">
        <f>ROUNDUP(C117/GiaDinh!$C$4-0.0005,0)</f>
        <v>7</v>
      </c>
      <c r="E117">
        <f t="shared" si="1"/>
        <v>6</v>
      </c>
      <c r="F117" s="5">
        <f>D117*GiaDinh!$C$4-C117</f>
        <v>1.1189999999999998</v>
      </c>
      <c r="G117" s="5">
        <f>C117*GiaDinh!$C$6</f>
        <v>96.479159999999993</v>
      </c>
    </row>
    <row r="118" spans="1:7" x14ac:dyDescent="0.35">
      <c r="A118" t="s">
        <v>7</v>
      </c>
      <c r="B118">
        <v>36</v>
      </c>
      <c r="C118" s="5">
        <v>40.881</v>
      </c>
      <c r="D118">
        <f>ROUNDUP(C118/GiaDinh!$C$4-0.0005,0)</f>
        <v>7</v>
      </c>
      <c r="E118">
        <f t="shared" si="1"/>
        <v>6</v>
      </c>
      <c r="F118" s="5">
        <f>D118*GiaDinh!$C$4-C118</f>
        <v>1.1189999999999998</v>
      </c>
      <c r="G118" s="5">
        <f>C118*GiaDinh!$C$6</f>
        <v>96.479159999999993</v>
      </c>
    </row>
    <row r="119" spans="1:7" x14ac:dyDescent="0.35">
      <c r="A119" t="s">
        <v>7</v>
      </c>
      <c r="B119">
        <v>37</v>
      </c>
      <c r="C119" s="5">
        <v>40.881</v>
      </c>
      <c r="D119">
        <f>ROUNDUP(C119/GiaDinh!$C$4-0.0005,0)</f>
        <v>7</v>
      </c>
      <c r="E119">
        <f t="shared" si="1"/>
        <v>6</v>
      </c>
      <c r="F119" s="5">
        <f>D119*GiaDinh!$C$4-C119</f>
        <v>1.1189999999999998</v>
      </c>
      <c r="G119" s="5">
        <f>C119*GiaDinh!$C$6</f>
        <v>96.479159999999993</v>
      </c>
    </row>
    <row r="120" spans="1:7" x14ac:dyDescent="0.35">
      <c r="A120" t="s">
        <v>7</v>
      </c>
      <c r="B120">
        <v>38</v>
      </c>
      <c r="C120" s="5">
        <v>40.881</v>
      </c>
      <c r="D120">
        <f>ROUNDUP(C120/GiaDinh!$C$4-0.0005,0)</f>
        <v>7</v>
      </c>
      <c r="E120">
        <f t="shared" si="1"/>
        <v>6</v>
      </c>
      <c r="F120" s="5">
        <f>D120*GiaDinh!$C$4-C120</f>
        <v>1.1189999999999998</v>
      </c>
      <c r="G120" s="5">
        <f>C120*GiaDinh!$C$6</f>
        <v>96.479159999999993</v>
      </c>
    </row>
    <row r="121" spans="1:7" x14ac:dyDescent="0.35">
      <c r="A121" t="s">
        <v>7</v>
      </c>
      <c r="B121">
        <v>39</v>
      </c>
      <c r="C121" s="5">
        <v>40.881</v>
      </c>
      <c r="D121">
        <f>ROUNDUP(C121/GiaDinh!$C$4-0.0005,0)</f>
        <v>7</v>
      </c>
      <c r="E121">
        <f t="shared" si="1"/>
        <v>6</v>
      </c>
      <c r="F121" s="5">
        <f>D121*GiaDinh!$C$4-C121</f>
        <v>1.1189999999999998</v>
      </c>
      <c r="G121" s="5">
        <f>C121*GiaDinh!$C$6</f>
        <v>96.479159999999993</v>
      </c>
    </row>
    <row r="122" spans="1:7" x14ac:dyDescent="0.35">
      <c r="A122" t="s">
        <v>7</v>
      </c>
      <c r="B122">
        <v>40</v>
      </c>
      <c r="C122" s="5">
        <v>40.881</v>
      </c>
      <c r="D122">
        <f>ROUNDUP(C122/GiaDinh!$C$4-0.0005,0)</f>
        <v>7</v>
      </c>
      <c r="E122">
        <f t="shared" si="1"/>
        <v>6</v>
      </c>
      <c r="F122" s="5">
        <f>D122*GiaDinh!$C$4-C122</f>
        <v>1.1189999999999998</v>
      </c>
      <c r="G122" s="5">
        <f>C122*GiaDinh!$C$6</f>
        <v>96.479159999999993</v>
      </c>
    </row>
    <row r="123" spans="1:7" x14ac:dyDescent="0.35">
      <c r="A123" t="s">
        <v>7</v>
      </c>
      <c r="B123">
        <v>41</v>
      </c>
      <c r="C123" s="5">
        <v>40.881</v>
      </c>
      <c r="D123">
        <f>ROUNDUP(C123/GiaDinh!$C$4-0.0005,0)</f>
        <v>7</v>
      </c>
      <c r="E123">
        <f t="shared" si="1"/>
        <v>6</v>
      </c>
      <c r="F123" s="5">
        <f>D123*GiaDinh!$C$4-C123</f>
        <v>1.1189999999999998</v>
      </c>
      <c r="G123" s="5">
        <f>C123*GiaDinh!$C$6</f>
        <v>96.479159999999993</v>
      </c>
    </row>
    <row r="124" spans="1:7" x14ac:dyDescent="0.35">
      <c r="A124" t="s">
        <v>7</v>
      </c>
      <c r="B124">
        <v>42</v>
      </c>
      <c r="C124" s="5">
        <v>40.881</v>
      </c>
      <c r="D124">
        <f>ROUNDUP(C124/GiaDinh!$C$4-0.0005,0)</f>
        <v>7</v>
      </c>
      <c r="E124">
        <f t="shared" si="1"/>
        <v>6</v>
      </c>
      <c r="F124" s="5">
        <f>D124*GiaDinh!$C$4-C124</f>
        <v>1.1189999999999998</v>
      </c>
      <c r="G124" s="5">
        <f>C124*GiaDinh!$C$6</f>
        <v>96.479159999999993</v>
      </c>
    </row>
    <row r="125" spans="1:7" x14ac:dyDescent="0.35">
      <c r="A125" t="s">
        <v>7</v>
      </c>
      <c r="B125">
        <v>43</v>
      </c>
      <c r="C125" s="5">
        <v>40.881</v>
      </c>
      <c r="D125">
        <f>ROUNDUP(C125/GiaDinh!$C$4-0.0005,0)</f>
        <v>7</v>
      </c>
      <c r="E125">
        <f t="shared" si="1"/>
        <v>6</v>
      </c>
      <c r="F125" s="5">
        <f>D125*GiaDinh!$C$4-C125</f>
        <v>1.1189999999999998</v>
      </c>
      <c r="G125" s="5">
        <f>C125*GiaDinh!$C$6</f>
        <v>96.479159999999993</v>
      </c>
    </row>
    <row r="126" spans="1:7" x14ac:dyDescent="0.35">
      <c r="A126" t="s">
        <v>7</v>
      </c>
      <c r="B126">
        <v>44</v>
      </c>
      <c r="C126" s="5">
        <v>40.881</v>
      </c>
      <c r="D126">
        <f>ROUNDUP(C126/GiaDinh!$C$4-0.0005,0)</f>
        <v>7</v>
      </c>
      <c r="E126">
        <f t="shared" si="1"/>
        <v>6</v>
      </c>
      <c r="F126" s="5">
        <f>D126*GiaDinh!$C$4-C126</f>
        <v>1.1189999999999998</v>
      </c>
      <c r="G126" s="5">
        <f>C126*GiaDinh!$C$6</f>
        <v>96.479159999999993</v>
      </c>
    </row>
    <row r="127" spans="1:7" x14ac:dyDescent="0.35">
      <c r="A127" t="s">
        <v>7</v>
      </c>
      <c r="B127">
        <v>45</v>
      </c>
      <c r="C127" s="5">
        <v>40.881</v>
      </c>
      <c r="D127">
        <f>ROUNDUP(C127/GiaDinh!$C$4-0.0005,0)</f>
        <v>7</v>
      </c>
      <c r="E127">
        <f t="shared" si="1"/>
        <v>6</v>
      </c>
      <c r="F127" s="5">
        <f>D127*GiaDinh!$C$4-C127</f>
        <v>1.1189999999999998</v>
      </c>
      <c r="G127" s="5">
        <f>C127*GiaDinh!$C$6</f>
        <v>96.479159999999993</v>
      </c>
    </row>
    <row r="128" spans="1:7" x14ac:dyDescent="0.35">
      <c r="A128" t="s">
        <v>7</v>
      </c>
      <c r="B128">
        <v>46</v>
      </c>
      <c r="C128" s="5">
        <v>40.881</v>
      </c>
      <c r="D128">
        <f>ROUNDUP(C128/GiaDinh!$C$4-0.0005,0)</f>
        <v>7</v>
      </c>
      <c r="E128">
        <f t="shared" si="1"/>
        <v>6</v>
      </c>
      <c r="F128" s="5">
        <f>D128*GiaDinh!$C$4-C128</f>
        <v>1.1189999999999998</v>
      </c>
      <c r="G128" s="5">
        <f>C128*GiaDinh!$C$6</f>
        <v>96.479159999999993</v>
      </c>
    </row>
    <row r="129" spans="1:7" x14ac:dyDescent="0.35">
      <c r="A129" t="s">
        <v>7</v>
      </c>
      <c r="B129">
        <v>47</v>
      </c>
      <c r="C129" s="5">
        <v>40.881</v>
      </c>
      <c r="D129">
        <f>ROUNDUP(C129/GiaDinh!$C$4-0.0005,0)</f>
        <v>7</v>
      </c>
      <c r="E129">
        <f t="shared" si="1"/>
        <v>6</v>
      </c>
      <c r="F129" s="5">
        <f>D129*GiaDinh!$C$4-C129</f>
        <v>1.1189999999999998</v>
      </c>
      <c r="G129" s="5">
        <f>C129*GiaDinh!$C$6</f>
        <v>96.479159999999993</v>
      </c>
    </row>
    <row r="130" spans="1:7" x14ac:dyDescent="0.35">
      <c r="A130" t="s">
        <v>7</v>
      </c>
      <c r="B130">
        <v>48</v>
      </c>
      <c r="C130" s="5">
        <v>40.881</v>
      </c>
      <c r="D130">
        <f>ROUNDUP(C130/GiaDinh!$C$4-0.0005,0)</f>
        <v>7</v>
      </c>
      <c r="E130">
        <f t="shared" si="1"/>
        <v>6</v>
      </c>
      <c r="F130" s="5">
        <f>D130*GiaDinh!$C$4-C130</f>
        <v>1.1189999999999998</v>
      </c>
      <c r="G130" s="5">
        <f>C130*GiaDinh!$C$6</f>
        <v>96.479159999999993</v>
      </c>
    </row>
    <row r="131" spans="1:7" x14ac:dyDescent="0.35">
      <c r="A131" t="s">
        <v>7</v>
      </c>
      <c r="B131">
        <v>49</v>
      </c>
      <c r="C131" s="5">
        <v>40.881</v>
      </c>
      <c r="D131">
        <f>ROUNDUP(C131/GiaDinh!$C$4-0.0005,0)</f>
        <v>7</v>
      </c>
      <c r="E131">
        <f t="shared" si="1"/>
        <v>6</v>
      </c>
      <c r="F131" s="5">
        <f>D131*GiaDinh!$C$4-C131</f>
        <v>1.1189999999999998</v>
      </c>
      <c r="G131" s="5">
        <f>C131*GiaDinh!$C$6</f>
        <v>96.479159999999993</v>
      </c>
    </row>
    <row r="132" spans="1:7" x14ac:dyDescent="0.35">
      <c r="A132" t="s">
        <v>7</v>
      </c>
      <c r="B132">
        <v>50</v>
      </c>
      <c r="C132" s="5">
        <v>40.881</v>
      </c>
      <c r="D132">
        <f>ROUNDUP(C132/GiaDinh!$C$4-0.0005,0)</f>
        <v>7</v>
      </c>
      <c r="E132">
        <f t="shared" ref="E132:E195" si="2">D132-1</f>
        <v>6</v>
      </c>
      <c r="F132" s="5">
        <f>D132*GiaDinh!$C$4-C132</f>
        <v>1.1189999999999998</v>
      </c>
      <c r="G132" s="5">
        <f>C132*GiaDinh!$C$6</f>
        <v>96.479159999999993</v>
      </c>
    </row>
    <row r="133" spans="1:7" x14ac:dyDescent="0.35">
      <c r="A133" t="s">
        <v>7</v>
      </c>
      <c r="B133">
        <v>51</v>
      </c>
      <c r="C133" s="5">
        <v>40.881</v>
      </c>
      <c r="D133">
        <f>ROUNDUP(C133/GiaDinh!$C$4-0.0005,0)</f>
        <v>7</v>
      </c>
      <c r="E133">
        <f t="shared" si="2"/>
        <v>6</v>
      </c>
      <c r="F133" s="5">
        <f>D133*GiaDinh!$C$4-C133</f>
        <v>1.1189999999999998</v>
      </c>
      <c r="G133" s="5">
        <f>C133*GiaDinh!$C$6</f>
        <v>96.479159999999993</v>
      </c>
    </row>
    <row r="134" spans="1:7" x14ac:dyDescent="0.35">
      <c r="A134" t="s">
        <v>7</v>
      </c>
      <c r="B134">
        <v>52</v>
      </c>
      <c r="C134" s="5">
        <v>40.881</v>
      </c>
      <c r="D134">
        <f>ROUNDUP(C134/GiaDinh!$C$4-0.0005,0)</f>
        <v>7</v>
      </c>
      <c r="E134">
        <f t="shared" si="2"/>
        <v>6</v>
      </c>
      <c r="F134" s="5">
        <f>D134*GiaDinh!$C$4-C134</f>
        <v>1.1189999999999998</v>
      </c>
      <c r="G134" s="5">
        <f>C134*GiaDinh!$C$6</f>
        <v>96.479159999999993</v>
      </c>
    </row>
    <row r="135" spans="1:7" x14ac:dyDescent="0.35">
      <c r="A135" t="s">
        <v>7</v>
      </c>
      <c r="B135">
        <v>53</v>
      </c>
      <c r="C135" s="5">
        <v>40.881</v>
      </c>
      <c r="D135">
        <f>ROUNDUP(C135/GiaDinh!$C$4-0.0005,0)</f>
        <v>7</v>
      </c>
      <c r="E135">
        <f t="shared" si="2"/>
        <v>6</v>
      </c>
      <c r="F135" s="5">
        <f>D135*GiaDinh!$C$4-C135</f>
        <v>1.1189999999999998</v>
      </c>
      <c r="G135" s="5">
        <f>C135*GiaDinh!$C$6</f>
        <v>96.479159999999993</v>
      </c>
    </row>
    <row r="136" spans="1:7" x14ac:dyDescent="0.35">
      <c r="A136" t="s">
        <v>7</v>
      </c>
      <c r="B136">
        <v>54</v>
      </c>
      <c r="C136" s="5">
        <v>40.881</v>
      </c>
      <c r="D136">
        <f>ROUNDUP(C136/GiaDinh!$C$4-0.0005,0)</f>
        <v>7</v>
      </c>
      <c r="E136">
        <f t="shared" si="2"/>
        <v>6</v>
      </c>
      <c r="F136" s="5">
        <f>D136*GiaDinh!$C$4-C136</f>
        <v>1.1189999999999998</v>
      </c>
      <c r="G136" s="5">
        <f>C136*GiaDinh!$C$6</f>
        <v>96.479159999999993</v>
      </c>
    </row>
    <row r="137" spans="1:7" x14ac:dyDescent="0.35">
      <c r="A137" t="s">
        <v>7</v>
      </c>
      <c r="B137">
        <v>55</v>
      </c>
      <c r="C137" s="5">
        <v>40.881</v>
      </c>
      <c r="D137">
        <f>ROUNDUP(C137/GiaDinh!$C$4-0.0005,0)</f>
        <v>7</v>
      </c>
      <c r="E137">
        <f t="shared" si="2"/>
        <v>6</v>
      </c>
      <c r="F137" s="5">
        <f>D137*GiaDinh!$C$4-C137</f>
        <v>1.1189999999999998</v>
      </c>
      <c r="G137" s="5">
        <f>C137*GiaDinh!$C$6</f>
        <v>96.479159999999993</v>
      </c>
    </row>
    <row r="138" spans="1:7" x14ac:dyDescent="0.35">
      <c r="A138" t="s">
        <v>7</v>
      </c>
      <c r="B138">
        <v>56</v>
      </c>
      <c r="C138" s="5">
        <v>40.881</v>
      </c>
      <c r="D138">
        <f>ROUNDUP(C138/GiaDinh!$C$4-0.0005,0)</f>
        <v>7</v>
      </c>
      <c r="E138">
        <f t="shared" si="2"/>
        <v>6</v>
      </c>
      <c r="F138" s="5">
        <f>D138*GiaDinh!$C$4-C138</f>
        <v>1.1189999999999998</v>
      </c>
      <c r="G138" s="5">
        <f>C138*GiaDinh!$C$6</f>
        <v>96.479159999999993</v>
      </c>
    </row>
    <row r="139" spans="1:7" x14ac:dyDescent="0.35">
      <c r="A139" t="s">
        <v>7</v>
      </c>
      <c r="B139">
        <v>57</v>
      </c>
      <c r="C139" s="5">
        <v>40.881</v>
      </c>
      <c r="D139">
        <f>ROUNDUP(C139/GiaDinh!$C$4-0.0005,0)</f>
        <v>7</v>
      </c>
      <c r="E139">
        <f t="shared" si="2"/>
        <v>6</v>
      </c>
      <c r="F139" s="5">
        <f>D139*GiaDinh!$C$4-C139</f>
        <v>1.1189999999999998</v>
      </c>
      <c r="G139" s="5">
        <f>C139*GiaDinh!$C$6</f>
        <v>96.479159999999993</v>
      </c>
    </row>
    <row r="140" spans="1:7" x14ac:dyDescent="0.35">
      <c r="A140" t="s">
        <v>7</v>
      </c>
      <c r="B140">
        <v>58</v>
      </c>
      <c r="C140" s="5">
        <v>40.881</v>
      </c>
      <c r="D140">
        <f>ROUNDUP(C140/GiaDinh!$C$4-0.0005,0)</f>
        <v>7</v>
      </c>
      <c r="E140">
        <f t="shared" si="2"/>
        <v>6</v>
      </c>
      <c r="F140" s="5">
        <f>D140*GiaDinh!$C$4-C140</f>
        <v>1.1189999999999998</v>
      </c>
      <c r="G140" s="5">
        <f>C140*GiaDinh!$C$6</f>
        <v>96.479159999999993</v>
      </c>
    </row>
    <row r="141" spans="1:7" x14ac:dyDescent="0.35">
      <c r="A141" t="s">
        <v>7</v>
      </c>
      <c r="B141">
        <v>59</v>
      </c>
      <c r="C141" s="5">
        <v>40.881</v>
      </c>
      <c r="D141">
        <f>ROUNDUP(C141/GiaDinh!$C$4-0.0005,0)</f>
        <v>7</v>
      </c>
      <c r="E141">
        <f t="shared" si="2"/>
        <v>6</v>
      </c>
      <c r="F141" s="5">
        <f>D141*GiaDinh!$C$4-C141</f>
        <v>1.1189999999999998</v>
      </c>
      <c r="G141" s="5">
        <f>C141*GiaDinh!$C$6</f>
        <v>96.479159999999993</v>
      </c>
    </row>
    <row r="142" spans="1:7" x14ac:dyDescent="0.35">
      <c r="A142" t="s">
        <v>7</v>
      </c>
      <c r="B142">
        <v>60</v>
      </c>
      <c r="C142" s="5">
        <v>40.881</v>
      </c>
      <c r="D142">
        <f>ROUNDUP(C142/GiaDinh!$C$4-0.0005,0)</f>
        <v>7</v>
      </c>
      <c r="E142">
        <f t="shared" si="2"/>
        <v>6</v>
      </c>
      <c r="F142" s="5">
        <f>D142*GiaDinh!$C$4-C142</f>
        <v>1.1189999999999998</v>
      </c>
      <c r="G142" s="5">
        <f>C142*GiaDinh!$C$6</f>
        <v>96.479159999999993</v>
      </c>
    </row>
    <row r="143" spans="1:7" x14ac:dyDescent="0.35">
      <c r="A143" t="s">
        <v>7</v>
      </c>
      <c r="B143">
        <v>61</v>
      </c>
      <c r="C143" s="5">
        <v>40.881</v>
      </c>
      <c r="D143">
        <f>ROUNDUP(C143/GiaDinh!$C$4-0.0005,0)</f>
        <v>7</v>
      </c>
      <c r="E143">
        <f t="shared" si="2"/>
        <v>6</v>
      </c>
      <c r="F143" s="5">
        <f>D143*GiaDinh!$C$4-C143</f>
        <v>1.1189999999999998</v>
      </c>
      <c r="G143" s="5">
        <f>C143*GiaDinh!$C$6</f>
        <v>96.479159999999993</v>
      </c>
    </row>
    <row r="144" spans="1:7" x14ac:dyDescent="0.35">
      <c r="A144" t="s">
        <v>7</v>
      </c>
      <c r="B144">
        <v>62</v>
      </c>
      <c r="C144" s="5">
        <v>40.881</v>
      </c>
      <c r="D144">
        <f>ROUNDUP(C144/GiaDinh!$C$4-0.0005,0)</f>
        <v>7</v>
      </c>
      <c r="E144">
        <f t="shared" si="2"/>
        <v>6</v>
      </c>
      <c r="F144" s="5">
        <f>D144*GiaDinh!$C$4-C144</f>
        <v>1.1189999999999998</v>
      </c>
      <c r="G144" s="5">
        <f>C144*GiaDinh!$C$6</f>
        <v>96.479159999999993</v>
      </c>
    </row>
    <row r="145" spans="1:7" x14ac:dyDescent="0.35">
      <c r="A145" t="s">
        <v>7</v>
      </c>
      <c r="B145">
        <v>63</v>
      </c>
      <c r="C145" s="5">
        <v>40.881</v>
      </c>
      <c r="D145">
        <f>ROUNDUP(C145/GiaDinh!$C$4-0.0005,0)</f>
        <v>7</v>
      </c>
      <c r="E145">
        <f t="shared" si="2"/>
        <v>6</v>
      </c>
      <c r="F145" s="5">
        <f>D145*GiaDinh!$C$4-C145</f>
        <v>1.1189999999999998</v>
      </c>
      <c r="G145" s="5">
        <f>C145*GiaDinh!$C$6</f>
        <v>96.479159999999993</v>
      </c>
    </row>
    <row r="146" spans="1:7" x14ac:dyDescent="0.35">
      <c r="A146" t="s">
        <v>7</v>
      </c>
      <c r="B146">
        <v>64</v>
      </c>
      <c r="C146" s="5">
        <v>40.881</v>
      </c>
      <c r="D146">
        <f>ROUNDUP(C146/GiaDinh!$C$4-0.0005,0)</f>
        <v>7</v>
      </c>
      <c r="E146">
        <f t="shared" si="2"/>
        <v>6</v>
      </c>
      <c r="F146" s="5">
        <f>D146*GiaDinh!$C$4-C146</f>
        <v>1.1189999999999998</v>
      </c>
      <c r="G146" s="5">
        <f>C146*GiaDinh!$C$6</f>
        <v>96.479159999999993</v>
      </c>
    </row>
    <row r="147" spans="1:7" x14ac:dyDescent="0.35">
      <c r="A147" t="s">
        <v>7</v>
      </c>
      <c r="B147">
        <v>65</v>
      </c>
      <c r="C147" s="5">
        <v>40.881</v>
      </c>
      <c r="D147">
        <f>ROUNDUP(C147/GiaDinh!$C$4-0.0005,0)</f>
        <v>7</v>
      </c>
      <c r="E147">
        <f t="shared" si="2"/>
        <v>6</v>
      </c>
      <c r="F147" s="5">
        <f>D147*GiaDinh!$C$4-C147</f>
        <v>1.1189999999999998</v>
      </c>
      <c r="G147" s="5">
        <f>C147*GiaDinh!$C$6</f>
        <v>96.479159999999993</v>
      </c>
    </row>
    <row r="148" spans="1:7" x14ac:dyDescent="0.35">
      <c r="A148" t="s">
        <v>7</v>
      </c>
      <c r="B148">
        <v>66</v>
      </c>
      <c r="C148" s="5">
        <v>40.881</v>
      </c>
      <c r="D148">
        <f>ROUNDUP(C148/GiaDinh!$C$4-0.0005,0)</f>
        <v>7</v>
      </c>
      <c r="E148">
        <f t="shared" si="2"/>
        <v>6</v>
      </c>
      <c r="F148" s="5">
        <f>D148*GiaDinh!$C$4-C148</f>
        <v>1.1189999999999998</v>
      </c>
      <c r="G148" s="5">
        <f>C148*GiaDinh!$C$6</f>
        <v>96.479159999999993</v>
      </c>
    </row>
    <row r="149" spans="1:7" x14ac:dyDescent="0.35">
      <c r="A149" t="s">
        <v>7</v>
      </c>
      <c r="B149">
        <v>67</v>
      </c>
      <c r="C149" s="5">
        <v>40.881</v>
      </c>
      <c r="D149">
        <f>ROUNDUP(C149/GiaDinh!$C$4-0.0005,0)</f>
        <v>7</v>
      </c>
      <c r="E149">
        <f t="shared" si="2"/>
        <v>6</v>
      </c>
      <c r="F149" s="5">
        <f>D149*GiaDinh!$C$4-C149</f>
        <v>1.1189999999999998</v>
      </c>
      <c r="G149" s="5">
        <f>C149*GiaDinh!$C$6</f>
        <v>96.479159999999993</v>
      </c>
    </row>
    <row r="150" spans="1:7" x14ac:dyDescent="0.35">
      <c r="A150" t="s">
        <v>7</v>
      </c>
      <c r="B150">
        <v>68</v>
      </c>
      <c r="C150" s="5">
        <v>40.881</v>
      </c>
      <c r="D150">
        <f>ROUNDUP(C150/GiaDinh!$C$4-0.0005,0)</f>
        <v>7</v>
      </c>
      <c r="E150">
        <f t="shared" si="2"/>
        <v>6</v>
      </c>
      <c r="F150" s="5">
        <f>D150*GiaDinh!$C$4-C150</f>
        <v>1.1189999999999998</v>
      </c>
      <c r="G150" s="5">
        <f>C150*GiaDinh!$C$6</f>
        <v>96.479159999999993</v>
      </c>
    </row>
    <row r="151" spans="1:7" x14ac:dyDescent="0.35">
      <c r="A151" t="s">
        <v>7</v>
      </c>
      <c r="B151">
        <v>69</v>
      </c>
      <c r="C151" s="5">
        <v>40.881</v>
      </c>
      <c r="D151">
        <f>ROUNDUP(C151/GiaDinh!$C$4-0.0005,0)</f>
        <v>7</v>
      </c>
      <c r="E151">
        <f t="shared" si="2"/>
        <v>6</v>
      </c>
      <c r="F151" s="5">
        <f>D151*GiaDinh!$C$4-C151</f>
        <v>1.1189999999999998</v>
      </c>
      <c r="G151" s="5">
        <f>C151*GiaDinh!$C$6</f>
        <v>96.479159999999993</v>
      </c>
    </row>
    <row r="152" spans="1:7" x14ac:dyDescent="0.35">
      <c r="A152" t="s">
        <v>7</v>
      </c>
      <c r="B152">
        <v>70</v>
      </c>
      <c r="C152" s="5">
        <v>40.881</v>
      </c>
      <c r="D152">
        <f>ROUNDUP(C152/GiaDinh!$C$4-0.0005,0)</f>
        <v>7</v>
      </c>
      <c r="E152">
        <f t="shared" si="2"/>
        <v>6</v>
      </c>
      <c r="F152" s="5">
        <f>D152*GiaDinh!$C$4-C152</f>
        <v>1.1189999999999998</v>
      </c>
      <c r="G152" s="5">
        <f>C152*GiaDinh!$C$6</f>
        <v>96.479159999999993</v>
      </c>
    </row>
    <row r="153" spans="1:7" x14ac:dyDescent="0.35">
      <c r="A153" t="s">
        <v>7</v>
      </c>
      <c r="B153">
        <v>71</v>
      </c>
      <c r="C153" s="5">
        <v>40.881</v>
      </c>
      <c r="D153">
        <f>ROUNDUP(C153/GiaDinh!$C$4-0.0005,0)</f>
        <v>7</v>
      </c>
      <c r="E153">
        <f t="shared" si="2"/>
        <v>6</v>
      </c>
      <c r="F153" s="5">
        <f>D153*GiaDinh!$C$4-C153</f>
        <v>1.1189999999999998</v>
      </c>
      <c r="G153" s="5">
        <f>C153*GiaDinh!$C$6</f>
        <v>96.479159999999993</v>
      </c>
    </row>
    <row r="154" spans="1:7" x14ac:dyDescent="0.35">
      <c r="A154" t="s">
        <v>7</v>
      </c>
      <c r="B154">
        <v>72</v>
      </c>
      <c r="C154" s="5">
        <v>40.881</v>
      </c>
      <c r="D154">
        <f>ROUNDUP(C154/GiaDinh!$C$4-0.0005,0)</f>
        <v>7</v>
      </c>
      <c r="E154">
        <f t="shared" si="2"/>
        <v>6</v>
      </c>
      <c r="F154" s="5">
        <f>D154*GiaDinh!$C$4-C154</f>
        <v>1.1189999999999998</v>
      </c>
      <c r="G154" s="5">
        <f>C154*GiaDinh!$C$6</f>
        <v>96.479159999999993</v>
      </c>
    </row>
    <row r="155" spans="1:7" x14ac:dyDescent="0.35">
      <c r="A155" t="s">
        <v>7</v>
      </c>
      <c r="B155">
        <v>73</v>
      </c>
      <c r="C155" s="5">
        <v>40.881</v>
      </c>
      <c r="D155">
        <f>ROUNDUP(C155/GiaDinh!$C$4-0.0005,0)</f>
        <v>7</v>
      </c>
      <c r="E155">
        <f t="shared" si="2"/>
        <v>6</v>
      </c>
      <c r="F155" s="5">
        <f>D155*GiaDinh!$C$4-C155</f>
        <v>1.1189999999999998</v>
      </c>
      <c r="G155" s="5">
        <f>C155*GiaDinh!$C$6</f>
        <v>96.479159999999993</v>
      </c>
    </row>
    <row r="156" spans="1:7" x14ac:dyDescent="0.35">
      <c r="A156" t="s">
        <v>7</v>
      </c>
      <c r="B156">
        <v>74</v>
      </c>
      <c r="C156" s="5">
        <v>40.881</v>
      </c>
      <c r="D156">
        <f>ROUNDUP(C156/GiaDinh!$C$4-0.0005,0)</f>
        <v>7</v>
      </c>
      <c r="E156">
        <f t="shared" si="2"/>
        <v>6</v>
      </c>
      <c r="F156" s="5">
        <f>D156*GiaDinh!$C$4-C156</f>
        <v>1.1189999999999998</v>
      </c>
      <c r="G156" s="5">
        <f>C156*GiaDinh!$C$6</f>
        <v>96.479159999999993</v>
      </c>
    </row>
    <row r="157" spans="1:7" x14ac:dyDescent="0.35">
      <c r="A157" t="s">
        <v>7</v>
      </c>
      <c r="B157">
        <v>75</v>
      </c>
      <c r="C157" s="5">
        <v>41.008000000000003</v>
      </c>
      <c r="D157">
        <f>ROUNDUP(C157/GiaDinh!$C$4-0.0005,0)</f>
        <v>7</v>
      </c>
      <c r="E157">
        <f t="shared" si="2"/>
        <v>6</v>
      </c>
      <c r="F157" s="5">
        <f>D157*GiaDinh!$C$4-C157</f>
        <v>0.99199999999999733</v>
      </c>
      <c r="G157" s="5">
        <f>C157*GiaDinh!$C$6</f>
        <v>96.778880000000001</v>
      </c>
    </row>
    <row r="158" spans="1:7" x14ac:dyDescent="0.35">
      <c r="A158" t="s">
        <v>7</v>
      </c>
      <c r="B158">
        <v>76</v>
      </c>
      <c r="C158" s="5">
        <v>41.008000000000003</v>
      </c>
      <c r="D158">
        <f>ROUNDUP(C158/GiaDinh!$C$4-0.0005,0)</f>
        <v>7</v>
      </c>
      <c r="E158">
        <f t="shared" si="2"/>
        <v>6</v>
      </c>
      <c r="F158" s="5">
        <f>D158*GiaDinh!$C$4-C158</f>
        <v>0.99199999999999733</v>
      </c>
      <c r="G158" s="5">
        <f>C158*GiaDinh!$C$6</f>
        <v>96.778880000000001</v>
      </c>
    </row>
    <row r="159" spans="1:7" x14ac:dyDescent="0.35">
      <c r="A159" t="s">
        <v>8</v>
      </c>
      <c r="B159">
        <v>1</v>
      </c>
      <c r="C159" s="5">
        <v>48.92</v>
      </c>
      <c r="D159">
        <f>ROUNDUP(C159/GiaDinh!$C$4-0.0005,0)</f>
        <v>9</v>
      </c>
      <c r="E159">
        <f t="shared" si="2"/>
        <v>8</v>
      </c>
      <c r="F159" s="5">
        <f>D159*GiaDinh!$C$4-C159</f>
        <v>5.0799999999999983</v>
      </c>
      <c r="G159" s="5">
        <f>C159*GiaDinh!$C$6</f>
        <v>115.4512</v>
      </c>
    </row>
    <row r="160" spans="1:7" x14ac:dyDescent="0.35">
      <c r="A160" t="s">
        <v>8</v>
      </c>
      <c r="B160">
        <v>2</v>
      </c>
      <c r="C160" s="5">
        <v>48.92</v>
      </c>
      <c r="D160">
        <f>ROUNDUP(C160/GiaDinh!$C$4-0.0005,0)</f>
        <v>9</v>
      </c>
      <c r="E160">
        <f t="shared" si="2"/>
        <v>8</v>
      </c>
      <c r="F160" s="5">
        <f>D160*GiaDinh!$C$4-C160</f>
        <v>5.0799999999999983</v>
      </c>
      <c r="G160" s="5">
        <f>C160*GiaDinh!$C$6</f>
        <v>115.4512</v>
      </c>
    </row>
    <row r="161" spans="1:7" x14ac:dyDescent="0.35">
      <c r="A161" t="s">
        <v>8</v>
      </c>
      <c r="B161">
        <v>3</v>
      </c>
      <c r="C161" s="5">
        <v>48.92</v>
      </c>
      <c r="D161">
        <f>ROUNDUP(C161/GiaDinh!$C$4-0.0005,0)</f>
        <v>9</v>
      </c>
      <c r="E161">
        <f t="shared" si="2"/>
        <v>8</v>
      </c>
      <c r="F161" s="5">
        <f>D161*GiaDinh!$C$4-C161</f>
        <v>5.0799999999999983</v>
      </c>
      <c r="G161" s="5">
        <f>C161*GiaDinh!$C$6</f>
        <v>115.4512</v>
      </c>
    </row>
    <row r="162" spans="1:7" x14ac:dyDescent="0.35">
      <c r="A162" t="s">
        <v>8</v>
      </c>
      <c r="B162">
        <v>4</v>
      </c>
      <c r="C162" s="5">
        <v>48.92</v>
      </c>
      <c r="D162">
        <f>ROUNDUP(C162/GiaDinh!$C$4-0.0005,0)</f>
        <v>9</v>
      </c>
      <c r="E162">
        <f t="shared" si="2"/>
        <v>8</v>
      </c>
      <c r="F162" s="5">
        <f>D162*GiaDinh!$C$4-C162</f>
        <v>5.0799999999999983</v>
      </c>
      <c r="G162" s="5">
        <f>C162*GiaDinh!$C$6</f>
        <v>115.4512</v>
      </c>
    </row>
    <row r="163" spans="1:7" x14ac:dyDescent="0.35">
      <c r="A163" t="s">
        <v>8</v>
      </c>
      <c r="B163">
        <v>5</v>
      </c>
      <c r="C163" s="5">
        <v>48.92</v>
      </c>
      <c r="D163">
        <f>ROUNDUP(C163/GiaDinh!$C$4-0.0005,0)</f>
        <v>9</v>
      </c>
      <c r="E163">
        <f t="shared" si="2"/>
        <v>8</v>
      </c>
      <c r="F163" s="5">
        <f>D163*GiaDinh!$C$4-C163</f>
        <v>5.0799999999999983</v>
      </c>
      <c r="G163" s="5">
        <f>C163*GiaDinh!$C$6</f>
        <v>115.4512</v>
      </c>
    </row>
    <row r="164" spans="1:7" x14ac:dyDescent="0.35">
      <c r="A164" t="s">
        <v>8</v>
      </c>
      <c r="B164">
        <v>6</v>
      </c>
      <c r="C164" s="5">
        <v>48.92</v>
      </c>
      <c r="D164">
        <f>ROUNDUP(C164/GiaDinh!$C$4-0.0005,0)</f>
        <v>9</v>
      </c>
      <c r="E164">
        <f t="shared" si="2"/>
        <v>8</v>
      </c>
      <c r="F164" s="5">
        <f>D164*GiaDinh!$C$4-C164</f>
        <v>5.0799999999999983</v>
      </c>
      <c r="G164" s="5">
        <f>C164*GiaDinh!$C$6</f>
        <v>115.4512</v>
      </c>
    </row>
    <row r="165" spans="1:7" x14ac:dyDescent="0.35">
      <c r="A165" t="s">
        <v>8</v>
      </c>
      <c r="B165">
        <v>7</v>
      </c>
      <c r="C165" s="5">
        <v>48.92</v>
      </c>
      <c r="D165">
        <f>ROUNDUP(C165/GiaDinh!$C$4-0.0005,0)</f>
        <v>9</v>
      </c>
      <c r="E165">
        <f t="shared" si="2"/>
        <v>8</v>
      </c>
      <c r="F165" s="5">
        <f>D165*GiaDinh!$C$4-C165</f>
        <v>5.0799999999999983</v>
      </c>
      <c r="G165" s="5">
        <f>C165*GiaDinh!$C$6</f>
        <v>115.4512</v>
      </c>
    </row>
    <row r="166" spans="1:7" x14ac:dyDescent="0.35">
      <c r="A166" t="s">
        <v>8</v>
      </c>
      <c r="B166">
        <v>8</v>
      </c>
      <c r="C166" s="5">
        <v>48.92</v>
      </c>
      <c r="D166">
        <f>ROUNDUP(C166/GiaDinh!$C$4-0.0005,0)</f>
        <v>9</v>
      </c>
      <c r="E166">
        <f t="shared" si="2"/>
        <v>8</v>
      </c>
      <c r="F166" s="5">
        <f>D166*GiaDinh!$C$4-C166</f>
        <v>5.0799999999999983</v>
      </c>
      <c r="G166" s="5">
        <f>C166*GiaDinh!$C$6</f>
        <v>115.4512</v>
      </c>
    </row>
    <row r="167" spans="1:7" x14ac:dyDescent="0.35">
      <c r="A167" t="s">
        <v>8</v>
      </c>
      <c r="B167">
        <v>9</v>
      </c>
      <c r="C167" s="5">
        <v>48.92</v>
      </c>
      <c r="D167">
        <f>ROUNDUP(C167/GiaDinh!$C$4-0.0005,0)</f>
        <v>9</v>
      </c>
      <c r="E167">
        <f t="shared" si="2"/>
        <v>8</v>
      </c>
      <c r="F167" s="5">
        <f>D167*GiaDinh!$C$4-C167</f>
        <v>5.0799999999999983</v>
      </c>
      <c r="G167" s="5">
        <f>C167*GiaDinh!$C$6</f>
        <v>115.4512</v>
      </c>
    </row>
    <row r="168" spans="1:7" x14ac:dyDescent="0.35">
      <c r="A168" t="s">
        <v>8</v>
      </c>
      <c r="B168">
        <v>10</v>
      </c>
      <c r="C168" s="5">
        <v>48.92</v>
      </c>
      <c r="D168">
        <f>ROUNDUP(C168/GiaDinh!$C$4-0.0005,0)</f>
        <v>9</v>
      </c>
      <c r="E168">
        <f t="shared" si="2"/>
        <v>8</v>
      </c>
      <c r="F168" s="5">
        <f>D168*GiaDinh!$C$4-C168</f>
        <v>5.0799999999999983</v>
      </c>
      <c r="G168" s="5">
        <f>C168*GiaDinh!$C$6</f>
        <v>115.4512</v>
      </c>
    </row>
    <row r="169" spans="1:7" x14ac:dyDescent="0.35">
      <c r="A169" t="s">
        <v>8</v>
      </c>
      <c r="B169">
        <v>11</v>
      </c>
      <c r="C169" s="5">
        <v>48.92</v>
      </c>
      <c r="D169">
        <f>ROUNDUP(C169/GiaDinh!$C$4-0.0005,0)</f>
        <v>9</v>
      </c>
      <c r="E169">
        <f t="shared" si="2"/>
        <v>8</v>
      </c>
      <c r="F169" s="5">
        <f>D169*GiaDinh!$C$4-C169</f>
        <v>5.0799999999999983</v>
      </c>
      <c r="G169" s="5">
        <f>C169*GiaDinh!$C$6</f>
        <v>115.4512</v>
      </c>
    </row>
    <row r="170" spans="1:7" x14ac:dyDescent="0.35">
      <c r="A170" t="s">
        <v>8</v>
      </c>
      <c r="B170">
        <v>12</v>
      </c>
      <c r="C170" s="5">
        <v>48.92</v>
      </c>
      <c r="D170">
        <f>ROUNDUP(C170/GiaDinh!$C$4-0.0005,0)</f>
        <v>9</v>
      </c>
      <c r="E170">
        <f t="shared" si="2"/>
        <v>8</v>
      </c>
      <c r="F170" s="5">
        <f>D170*GiaDinh!$C$4-C170</f>
        <v>5.0799999999999983</v>
      </c>
      <c r="G170" s="5">
        <f>C170*GiaDinh!$C$6</f>
        <v>115.4512</v>
      </c>
    </row>
    <row r="171" spans="1:7" x14ac:dyDescent="0.35">
      <c r="A171" t="s">
        <v>8</v>
      </c>
      <c r="B171">
        <v>13</v>
      </c>
      <c r="C171" s="5">
        <v>48.92</v>
      </c>
      <c r="D171">
        <f>ROUNDUP(C171/GiaDinh!$C$4-0.0005,0)</f>
        <v>9</v>
      </c>
      <c r="E171">
        <f t="shared" si="2"/>
        <v>8</v>
      </c>
      <c r="F171" s="5">
        <f>D171*GiaDinh!$C$4-C171</f>
        <v>5.0799999999999983</v>
      </c>
      <c r="G171" s="5">
        <f>C171*GiaDinh!$C$6</f>
        <v>115.4512</v>
      </c>
    </row>
    <row r="172" spans="1:7" x14ac:dyDescent="0.35">
      <c r="A172" t="s">
        <v>8</v>
      </c>
      <c r="B172">
        <v>14</v>
      </c>
      <c r="C172" s="5">
        <v>48.92</v>
      </c>
      <c r="D172">
        <f>ROUNDUP(C172/GiaDinh!$C$4-0.0005,0)</f>
        <v>9</v>
      </c>
      <c r="E172">
        <f t="shared" si="2"/>
        <v>8</v>
      </c>
      <c r="F172" s="5">
        <f>D172*GiaDinh!$C$4-C172</f>
        <v>5.0799999999999983</v>
      </c>
      <c r="G172" s="5">
        <f>C172*GiaDinh!$C$6</f>
        <v>115.4512</v>
      </c>
    </row>
    <row r="173" spans="1:7" x14ac:dyDescent="0.35">
      <c r="A173" t="s">
        <v>8</v>
      </c>
      <c r="B173">
        <v>15</v>
      </c>
      <c r="C173" s="5">
        <v>48.92</v>
      </c>
      <c r="D173">
        <f>ROUNDUP(C173/GiaDinh!$C$4-0.0005,0)</f>
        <v>9</v>
      </c>
      <c r="E173">
        <f t="shared" si="2"/>
        <v>8</v>
      </c>
      <c r="F173" s="5">
        <f>D173*GiaDinh!$C$4-C173</f>
        <v>5.0799999999999983</v>
      </c>
      <c r="G173" s="5">
        <f>C173*GiaDinh!$C$6</f>
        <v>115.4512</v>
      </c>
    </row>
    <row r="174" spans="1:7" x14ac:dyDescent="0.35">
      <c r="A174" t="s">
        <v>8</v>
      </c>
      <c r="B174">
        <v>16</v>
      </c>
      <c r="C174" s="5">
        <v>48.92</v>
      </c>
      <c r="D174">
        <f>ROUNDUP(C174/GiaDinh!$C$4-0.0005,0)</f>
        <v>9</v>
      </c>
      <c r="E174">
        <f t="shared" si="2"/>
        <v>8</v>
      </c>
      <c r="F174" s="5">
        <f>D174*GiaDinh!$C$4-C174</f>
        <v>5.0799999999999983</v>
      </c>
      <c r="G174" s="5">
        <f>C174*GiaDinh!$C$6</f>
        <v>115.4512</v>
      </c>
    </row>
    <row r="175" spans="1:7" x14ac:dyDescent="0.35">
      <c r="A175" t="s">
        <v>8</v>
      </c>
      <c r="B175">
        <v>17</v>
      </c>
      <c r="C175" s="5">
        <v>64.959999999999994</v>
      </c>
      <c r="D175">
        <f>ROUNDUP(C175/GiaDinh!$C$4-0.0005,0)</f>
        <v>11</v>
      </c>
      <c r="E175">
        <f t="shared" si="2"/>
        <v>10</v>
      </c>
      <c r="F175" s="5">
        <f>D175*GiaDinh!$C$4-C175</f>
        <v>1.0400000000000063</v>
      </c>
      <c r="G175" s="5">
        <f>C175*GiaDinh!$C$6</f>
        <v>153.30559999999997</v>
      </c>
    </row>
    <row r="176" spans="1:7" x14ac:dyDescent="0.35">
      <c r="A176" t="s">
        <v>8</v>
      </c>
      <c r="B176">
        <v>18</v>
      </c>
      <c r="C176" s="5">
        <v>64.959999999999994</v>
      </c>
      <c r="D176">
        <f>ROUNDUP(C176/GiaDinh!$C$4-0.0005,0)</f>
        <v>11</v>
      </c>
      <c r="E176">
        <f t="shared" si="2"/>
        <v>10</v>
      </c>
      <c r="F176" s="5">
        <f>D176*GiaDinh!$C$4-C176</f>
        <v>1.0400000000000063</v>
      </c>
      <c r="G176" s="5">
        <f>C176*GiaDinh!$C$6</f>
        <v>153.30559999999997</v>
      </c>
    </row>
    <row r="177" spans="1:7" x14ac:dyDescent="0.35">
      <c r="A177" t="s">
        <v>8</v>
      </c>
      <c r="B177">
        <v>19</v>
      </c>
      <c r="C177" s="5">
        <v>64.959999999999994</v>
      </c>
      <c r="D177">
        <f>ROUNDUP(C177/GiaDinh!$C$4-0.0005,0)</f>
        <v>11</v>
      </c>
      <c r="E177">
        <f t="shared" si="2"/>
        <v>10</v>
      </c>
      <c r="F177" s="5">
        <f>D177*GiaDinh!$C$4-C177</f>
        <v>1.0400000000000063</v>
      </c>
      <c r="G177" s="5">
        <f>C177*GiaDinh!$C$6</f>
        <v>153.30559999999997</v>
      </c>
    </row>
    <row r="178" spans="1:7" x14ac:dyDescent="0.35">
      <c r="A178" t="s">
        <v>8</v>
      </c>
      <c r="B178">
        <v>20</v>
      </c>
      <c r="C178" s="5">
        <v>64.959999999999994</v>
      </c>
      <c r="D178">
        <f>ROUNDUP(C178/GiaDinh!$C$4-0.0005,0)</f>
        <v>11</v>
      </c>
      <c r="E178">
        <f t="shared" si="2"/>
        <v>10</v>
      </c>
      <c r="F178" s="5">
        <f>D178*GiaDinh!$C$4-C178</f>
        <v>1.0400000000000063</v>
      </c>
      <c r="G178" s="5">
        <f>C178*GiaDinh!$C$6</f>
        <v>153.30559999999997</v>
      </c>
    </row>
    <row r="179" spans="1:7" x14ac:dyDescent="0.35">
      <c r="A179" t="s">
        <v>8</v>
      </c>
      <c r="B179">
        <v>21</v>
      </c>
      <c r="C179" s="5">
        <v>64.959999999999994</v>
      </c>
      <c r="D179">
        <f>ROUNDUP(C179/GiaDinh!$C$4-0.0005,0)</f>
        <v>11</v>
      </c>
      <c r="E179">
        <f t="shared" si="2"/>
        <v>10</v>
      </c>
      <c r="F179" s="5">
        <f>D179*GiaDinh!$C$4-C179</f>
        <v>1.0400000000000063</v>
      </c>
      <c r="G179" s="5">
        <f>C179*GiaDinh!$C$6</f>
        <v>153.30559999999997</v>
      </c>
    </row>
    <row r="180" spans="1:7" x14ac:dyDescent="0.35">
      <c r="A180" t="s">
        <v>8</v>
      </c>
      <c r="B180">
        <v>22</v>
      </c>
      <c r="C180" s="5">
        <v>64.959999999999994</v>
      </c>
      <c r="D180">
        <f>ROUNDUP(C180/GiaDinh!$C$4-0.0005,0)</f>
        <v>11</v>
      </c>
      <c r="E180">
        <f t="shared" si="2"/>
        <v>10</v>
      </c>
      <c r="F180" s="5">
        <f>D180*GiaDinh!$C$4-C180</f>
        <v>1.0400000000000063</v>
      </c>
      <c r="G180" s="5">
        <f>C180*GiaDinh!$C$6</f>
        <v>153.30559999999997</v>
      </c>
    </row>
    <row r="181" spans="1:7" x14ac:dyDescent="0.35">
      <c r="A181" t="s">
        <v>8</v>
      </c>
      <c r="B181">
        <v>23</v>
      </c>
      <c r="C181" s="5">
        <v>64.959999999999994</v>
      </c>
      <c r="D181">
        <f>ROUNDUP(C181/GiaDinh!$C$4-0.0005,0)</f>
        <v>11</v>
      </c>
      <c r="E181">
        <f t="shared" si="2"/>
        <v>10</v>
      </c>
      <c r="F181" s="5">
        <f>D181*GiaDinh!$C$4-C181</f>
        <v>1.0400000000000063</v>
      </c>
      <c r="G181" s="5">
        <f>C181*GiaDinh!$C$6</f>
        <v>153.30559999999997</v>
      </c>
    </row>
    <row r="182" spans="1:7" x14ac:dyDescent="0.35">
      <c r="A182" t="s">
        <v>8</v>
      </c>
      <c r="B182">
        <v>24</v>
      </c>
      <c r="C182" s="5">
        <v>64.959999999999994</v>
      </c>
      <c r="D182">
        <f>ROUNDUP(C182/GiaDinh!$C$4-0.0005,0)</f>
        <v>11</v>
      </c>
      <c r="E182">
        <f t="shared" si="2"/>
        <v>10</v>
      </c>
      <c r="F182" s="5">
        <f>D182*GiaDinh!$C$4-C182</f>
        <v>1.0400000000000063</v>
      </c>
      <c r="G182" s="5">
        <f>C182*GiaDinh!$C$6</f>
        <v>153.30559999999997</v>
      </c>
    </row>
    <row r="183" spans="1:7" x14ac:dyDescent="0.35">
      <c r="A183" t="s">
        <v>8</v>
      </c>
      <c r="B183">
        <v>25</v>
      </c>
      <c r="C183" s="5">
        <v>64.959999999999994</v>
      </c>
      <c r="D183">
        <f>ROUNDUP(C183/GiaDinh!$C$4-0.0005,0)</f>
        <v>11</v>
      </c>
      <c r="E183">
        <f t="shared" si="2"/>
        <v>10</v>
      </c>
      <c r="F183" s="5">
        <f>D183*GiaDinh!$C$4-C183</f>
        <v>1.0400000000000063</v>
      </c>
      <c r="G183" s="5">
        <f>C183*GiaDinh!$C$6</f>
        <v>153.30559999999997</v>
      </c>
    </row>
    <row r="184" spans="1:7" x14ac:dyDescent="0.35">
      <c r="A184" t="s">
        <v>8</v>
      </c>
      <c r="B184">
        <v>26</v>
      </c>
      <c r="C184" s="5">
        <v>64.959999999999994</v>
      </c>
      <c r="D184">
        <f>ROUNDUP(C184/GiaDinh!$C$4-0.0005,0)</f>
        <v>11</v>
      </c>
      <c r="E184">
        <f t="shared" si="2"/>
        <v>10</v>
      </c>
      <c r="F184" s="5">
        <f>D184*GiaDinh!$C$4-C184</f>
        <v>1.0400000000000063</v>
      </c>
      <c r="G184" s="5">
        <f>C184*GiaDinh!$C$6</f>
        <v>153.30559999999997</v>
      </c>
    </row>
    <row r="185" spans="1:7" x14ac:dyDescent="0.35">
      <c r="A185" t="s">
        <v>8</v>
      </c>
      <c r="B185">
        <v>27</v>
      </c>
      <c r="C185" s="5">
        <v>64.959999999999994</v>
      </c>
      <c r="D185">
        <f>ROUNDUP(C185/GiaDinh!$C$4-0.0005,0)</f>
        <v>11</v>
      </c>
      <c r="E185">
        <f t="shared" si="2"/>
        <v>10</v>
      </c>
      <c r="F185" s="5">
        <f>D185*GiaDinh!$C$4-C185</f>
        <v>1.0400000000000063</v>
      </c>
      <c r="G185" s="5">
        <f>C185*GiaDinh!$C$6</f>
        <v>153.30559999999997</v>
      </c>
    </row>
    <row r="186" spans="1:7" x14ac:dyDescent="0.35">
      <c r="A186" t="s">
        <v>8</v>
      </c>
      <c r="B186">
        <v>28</v>
      </c>
      <c r="C186" s="5">
        <v>64.959999999999994</v>
      </c>
      <c r="D186">
        <f>ROUNDUP(C186/GiaDinh!$C$4-0.0005,0)</f>
        <v>11</v>
      </c>
      <c r="E186">
        <f t="shared" si="2"/>
        <v>10</v>
      </c>
      <c r="F186" s="5">
        <f>D186*GiaDinh!$C$4-C186</f>
        <v>1.0400000000000063</v>
      </c>
      <c r="G186" s="5">
        <f>C186*GiaDinh!$C$6</f>
        <v>153.30559999999997</v>
      </c>
    </row>
    <row r="187" spans="1:7" x14ac:dyDescent="0.35">
      <c r="A187" t="s">
        <v>8</v>
      </c>
      <c r="B187">
        <v>29</v>
      </c>
      <c r="C187" s="5">
        <v>64.959999999999994</v>
      </c>
      <c r="D187">
        <f>ROUNDUP(C187/GiaDinh!$C$4-0.0005,0)</f>
        <v>11</v>
      </c>
      <c r="E187">
        <f t="shared" si="2"/>
        <v>10</v>
      </c>
      <c r="F187" s="5">
        <f>D187*GiaDinh!$C$4-C187</f>
        <v>1.0400000000000063</v>
      </c>
      <c r="G187" s="5">
        <f>C187*GiaDinh!$C$6</f>
        <v>153.30559999999997</v>
      </c>
    </row>
    <row r="188" spans="1:7" x14ac:dyDescent="0.35">
      <c r="A188" t="s">
        <v>8</v>
      </c>
      <c r="B188">
        <v>30</v>
      </c>
      <c r="C188" s="5">
        <v>64.959999999999994</v>
      </c>
      <c r="D188">
        <f>ROUNDUP(C188/GiaDinh!$C$4-0.0005,0)</f>
        <v>11</v>
      </c>
      <c r="E188">
        <f t="shared" si="2"/>
        <v>10</v>
      </c>
      <c r="F188" s="5">
        <f>D188*GiaDinh!$C$4-C188</f>
        <v>1.0400000000000063</v>
      </c>
      <c r="G188" s="5">
        <f>C188*GiaDinh!$C$6</f>
        <v>153.30559999999997</v>
      </c>
    </row>
    <row r="189" spans="1:7" x14ac:dyDescent="0.35">
      <c r="A189" t="s">
        <v>8</v>
      </c>
      <c r="B189">
        <v>31</v>
      </c>
      <c r="C189" s="5">
        <v>64.959999999999994</v>
      </c>
      <c r="D189">
        <f>ROUNDUP(C189/GiaDinh!$C$4-0.0005,0)</f>
        <v>11</v>
      </c>
      <c r="E189">
        <f t="shared" si="2"/>
        <v>10</v>
      </c>
      <c r="F189" s="5">
        <f>D189*GiaDinh!$C$4-C189</f>
        <v>1.0400000000000063</v>
      </c>
      <c r="G189" s="5">
        <f>C189*GiaDinh!$C$6</f>
        <v>153.30559999999997</v>
      </c>
    </row>
    <row r="190" spans="1:7" x14ac:dyDescent="0.35">
      <c r="A190" t="s">
        <v>8</v>
      </c>
      <c r="B190">
        <v>32</v>
      </c>
      <c r="C190" s="5">
        <v>64.959999999999994</v>
      </c>
      <c r="D190">
        <f>ROUNDUP(C190/GiaDinh!$C$4-0.0005,0)</f>
        <v>11</v>
      </c>
      <c r="E190">
        <f t="shared" si="2"/>
        <v>10</v>
      </c>
      <c r="F190" s="5">
        <f>D190*GiaDinh!$C$4-C190</f>
        <v>1.0400000000000063</v>
      </c>
      <c r="G190" s="5">
        <f>C190*GiaDinh!$C$6</f>
        <v>153.30559999999997</v>
      </c>
    </row>
    <row r="191" spans="1:7" x14ac:dyDescent="0.35">
      <c r="A191" t="s">
        <v>8</v>
      </c>
      <c r="B191">
        <v>33</v>
      </c>
      <c r="C191" s="5">
        <v>64.959999999999994</v>
      </c>
      <c r="D191">
        <f>ROUNDUP(C191/GiaDinh!$C$4-0.0005,0)</f>
        <v>11</v>
      </c>
      <c r="E191">
        <f t="shared" si="2"/>
        <v>10</v>
      </c>
      <c r="F191" s="5">
        <f>D191*GiaDinh!$C$4-C191</f>
        <v>1.0400000000000063</v>
      </c>
      <c r="G191" s="5">
        <f>C191*GiaDinh!$C$6</f>
        <v>153.30559999999997</v>
      </c>
    </row>
    <row r="192" spans="1:7" x14ac:dyDescent="0.35">
      <c r="A192" t="s">
        <v>8</v>
      </c>
      <c r="B192">
        <v>34</v>
      </c>
      <c r="C192" s="5">
        <v>64.959999999999994</v>
      </c>
      <c r="D192">
        <f>ROUNDUP(C192/GiaDinh!$C$4-0.0005,0)</f>
        <v>11</v>
      </c>
      <c r="E192">
        <f t="shared" si="2"/>
        <v>10</v>
      </c>
      <c r="F192" s="5">
        <f>D192*GiaDinh!$C$4-C192</f>
        <v>1.0400000000000063</v>
      </c>
      <c r="G192" s="5">
        <f>C192*GiaDinh!$C$6</f>
        <v>153.30559999999997</v>
      </c>
    </row>
    <row r="193" spans="1:7" x14ac:dyDescent="0.35">
      <c r="A193" t="s">
        <v>8</v>
      </c>
      <c r="B193">
        <v>35</v>
      </c>
      <c r="C193" s="5">
        <v>64.959999999999994</v>
      </c>
      <c r="D193">
        <f>ROUNDUP(C193/GiaDinh!$C$4-0.0005,0)</f>
        <v>11</v>
      </c>
      <c r="E193">
        <f t="shared" si="2"/>
        <v>10</v>
      </c>
      <c r="F193" s="5">
        <f>D193*GiaDinh!$C$4-C193</f>
        <v>1.0400000000000063</v>
      </c>
      <c r="G193" s="5">
        <f>C193*GiaDinh!$C$6</f>
        <v>153.30559999999997</v>
      </c>
    </row>
    <row r="194" spans="1:7" x14ac:dyDescent="0.35">
      <c r="A194" t="s">
        <v>8</v>
      </c>
      <c r="B194">
        <v>36</v>
      </c>
      <c r="C194" s="5">
        <v>64.959999999999994</v>
      </c>
      <c r="D194">
        <f>ROUNDUP(C194/GiaDinh!$C$4-0.0005,0)</f>
        <v>11</v>
      </c>
      <c r="E194">
        <f t="shared" si="2"/>
        <v>10</v>
      </c>
      <c r="F194" s="5">
        <f>D194*GiaDinh!$C$4-C194</f>
        <v>1.0400000000000063</v>
      </c>
      <c r="G194" s="5">
        <f>C194*GiaDinh!$C$6</f>
        <v>153.30559999999997</v>
      </c>
    </row>
    <row r="195" spans="1:7" x14ac:dyDescent="0.35">
      <c r="A195" t="s">
        <v>8</v>
      </c>
      <c r="B195">
        <v>37</v>
      </c>
      <c r="C195" s="5">
        <v>64.959999999999994</v>
      </c>
      <c r="D195">
        <f>ROUNDUP(C195/GiaDinh!$C$4-0.0005,0)</f>
        <v>11</v>
      </c>
      <c r="E195">
        <f t="shared" si="2"/>
        <v>10</v>
      </c>
      <c r="F195" s="5">
        <f>D195*GiaDinh!$C$4-C195</f>
        <v>1.0400000000000063</v>
      </c>
      <c r="G195" s="5">
        <f>C195*GiaDinh!$C$6</f>
        <v>153.30559999999997</v>
      </c>
    </row>
    <row r="196" spans="1:7" x14ac:dyDescent="0.35">
      <c r="A196" t="s">
        <v>8</v>
      </c>
      <c r="B196">
        <v>38</v>
      </c>
      <c r="C196" s="5">
        <v>64.959999999999994</v>
      </c>
      <c r="D196">
        <f>ROUNDUP(C196/GiaDinh!$C$4-0.0005,0)</f>
        <v>11</v>
      </c>
      <c r="E196">
        <f t="shared" ref="E196:E259" si="3">D196-1</f>
        <v>10</v>
      </c>
      <c r="F196" s="5">
        <f>D196*GiaDinh!$C$4-C196</f>
        <v>1.0400000000000063</v>
      </c>
      <c r="G196" s="5">
        <f>C196*GiaDinh!$C$6</f>
        <v>153.30559999999997</v>
      </c>
    </row>
    <row r="197" spans="1:7" x14ac:dyDescent="0.35">
      <c r="A197" t="s">
        <v>8</v>
      </c>
      <c r="B197">
        <v>39</v>
      </c>
      <c r="C197" s="5">
        <v>64.959999999999994</v>
      </c>
      <c r="D197">
        <f>ROUNDUP(C197/GiaDinh!$C$4-0.0005,0)</f>
        <v>11</v>
      </c>
      <c r="E197">
        <f t="shared" si="3"/>
        <v>10</v>
      </c>
      <c r="F197" s="5">
        <f>D197*GiaDinh!$C$4-C197</f>
        <v>1.0400000000000063</v>
      </c>
      <c r="G197" s="5">
        <f>C197*GiaDinh!$C$6</f>
        <v>153.30559999999997</v>
      </c>
    </row>
    <row r="198" spans="1:7" x14ac:dyDescent="0.35">
      <c r="A198" t="s">
        <v>8</v>
      </c>
      <c r="B198">
        <v>40</v>
      </c>
      <c r="C198" s="5">
        <v>64.959999999999994</v>
      </c>
      <c r="D198">
        <f>ROUNDUP(C198/GiaDinh!$C$4-0.0005,0)</f>
        <v>11</v>
      </c>
      <c r="E198">
        <f t="shared" si="3"/>
        <v>10</v>
      </c>
      <c r="F198" s="5">
        <f>D198*GiaDinh!$C$4-C198</f>
        <v>1.0400000000000063</v>
      </c>
      <c r="G198" s="5">
        <f>C198*GiaDinh!$C$6</f>
        <v>153.30559999999997</v>
      </c>
    </row>
    <row r="199" spans="1:7" x14ac:dyDescent="0.35">
      <c r="A199" t="s">
        <v>8</v>
      </c>
      <c r="B199">
        <v>41</v>
      </c>
      <c r="C199" s="5">
        <v>64.959999999999994</v>
      </c>
      <c r="D199">
        <f>ROUNDUP(C199/GiaDinh!$C$4-0.0005,0)</f>
        <v>11</v>
      </c>
      <c r="E199">
        <f t="shared" si="3"/>
        <v>10</v>
      </c>
      <c r="F199" s="5">
        <f>D199*GiaDinh!$C$4-C199</f>
        <v>1.0400000000000063</v>
      </c>
      <c r="G199" s="5">
        <f>C199*GiaDinh!$C$6</f>
        <v>153.30559999999997</v>
      </c>
    </row>
    <row r="200" spans="1:7" x14ac:dyDescent="0.35">
      <c r="A200" t="s">
        <v>8</v>
      </c>
      <c r="B200">
        <v>42</v>
      </c>
      <c r="C200" s="5">
        <v>64.959999999999994</v>
      </c>
      <c r="D200">
        <f>ROUNDUP(C200/GiaDinh!$C$4-0.0005,0)</f>
        <v>11</v>
      </c>
      <c r="E200">
        <f t="shared" si="3"/>
        <v>10</v>
      </c>
      <c r="F200" s="5">
        <f>D200*GiaDinh!$C$4-C200</f>
        <v>1.0400000000000063</v>
      </c>
      <c r="G200" s="5">
        <f>C200*GiaDinh!$C$6</f>
        <v>153.30559999999997</v>
      </c>
    </row>
    <row r="201" spans="1:7" x14ac:dyDescent="0.35">
      <c r="A201" t="s">
        <v>8</v>
      </c>
      <c r="B201">
        <v>43</v>
      </c>
      <c r="C201" s="5">
        <v>64.959999999999994</v>
      </c>
      <c r="D201">
        <f>ROUNDUP(C201/GiaDinh!$C$4-0.0005,0)</f>
        <v>11</v>
      </c>
      <c r="E201">
        <f t="shared" si="3"/>
        <v>10</v>
      </c>
      <c r="F201" s="5">
        <f>D201*GiaDinh!$C$4-C201</f>
        <v>1.0400000000000063</v>
      </c>
      <c r="G201" s="5">
        <f>C201*GiaDinh!$C$6</f>
        <v>153.30559999999997</v>
      </c>
    </row>
    <row r="202" spans="1:7" x14ac:dyDescent="0.35">
      <c r="A202" t="s">
        <v>8</v>
      </c>
      <c r="B202">
        <v>44</v>
      </c>
      <c r="C202" s="5">
        <v>64.959999999999994</v>
      </c>
      <c r="D202">
        <f>ROUNDUP(C202/GiaDinh!$C$4-0.0005,0)</f>
        <v>11</v>
      </c>
      <c r="E202">
        <f t="shared" si="3"/>
        <v>10</v>
      </c>
      <c r="F202" s="5">
        <f>D202*GiaDinh!$C$4-C202</f>
        <v>1.0400000000000063</v>
      </c>
      <c r="G202" s="5">
        <f>C202*GiaDinh!$C$6</f>
        <v>153.30559999999997</v>
      </c>
    </row>
    <row r="203" spans="1:7" x14ac:dyDescent="0.35">
      <c r="A203" t="s">
        <v>8</v>
      </c>
      <c r="B203">
        <v>45</v>
      </c>
      <c r="C203" s="5">
        <v>64.959999999999994</v>
      </c>
      <c r="D203">
        <f>ROUNDUP(C203/GiaDinh!$C$4-0.0005,0)</f>
        <v>11</v>
      </c>
      <c r="E203">
        <f t="shared" si="3"/>
        <v>10</v>
      </c>
      <c r="F203" s="5">
        <f>D203*GiaDinh!$C$4-C203</f>
        <v>1.0400000000000063</v>
      </c>
      <c r="G203" s="5">
        <f>C203*GiaDinh!$C$6</f>
        <v>153.30559999999997</v>
      </c>
    </row>
    <row r="204" spans="1:7" x14ac:dyDescent="0.35">
      <c r="A204" t="s">
        <v>8</v>
      </c>
      <c r="B204">
        <v>46</v>
      </c>
      <c r="C204" s="5">
        <v>64.959999999999994</v>
      </c>
      <c r="D204">
        <f>ROUNDUP(C204/GiaDinh!$C$4-0.0005,0)</f>
        <v>11</v>
      </c>
      <c r="E204">
        <f t="shared" si="3"/>
        <v>10</v>
      </c>
      <c r="F204" s="5">
        <f>D204*GiaDinh!$C$4-C204</f>
        <v>1.0400000000000063</v>
      </c>
      <c r="G204" s="5">
        <f>C204*GiaDinh!$C$6</f>
        <v>153.30559999999997</v>
      </c>
    </row>
    <row r="205" spans="1:7" x14ac:dyDescent="0.35">
      <c r="A205" t="s">
        <v>8</v>
      </c>
      <c r="B205">
        <v>47</v>
      </c>
      <c r="C205" s="5">
        <v>64.959999999999994</v>
      </c>
      <c r="D205">
        <f>ROUNDUP(C205/GiaDinh!$C$4-0.0005,0)</f>
        <v>11</v>
      </c>
      <c r="E205">
        <f t="shared" si="3"/>
        <v>10</v>
      </c>
      <c r="F205" s="5">
        <f>D205*GiaDinh!$C$4-C205</f>
        <v>1.0400000000000063</v>
      </c>
      <c r="G205" s="5">
        <f>C205*GiaDinh!$C$6</f>
        <v>153.30559999999997</v>
      </c>
    </row>
    <row r="206" spans="1:7" x14ac:dyDescent="0.35">
      <c r="A206" t="s">
        <v>8</v>
      </c>
      <c r="B206">
        <v>48</v>
      </c>
      <c r="C206" s="5">
        <v>64.959999999999994</v>
      </c>
      <c r="D206">
        <f>ROUNDUP(C206/GiaDinh!$C$4-0.0005,0)</f>
        <v>11</v>
      </c>
      <c r="E206">
        <f t="shared" si="3"/>
        <v>10</v>
      </c>
      <c r="F206" s="5">
        <f>D206*GiaDinh!$C$4-C206</f>
        <v>1.0400000000000063</v>
      </c>
      <c r="G206" s="5">
        <f>C206*GiaDinh!$C$6</f>
        <v>153.30559999999997</v>
      </c>
    </row>
    <row r="207" spans="1:7" x14ac:dyDescent="0.35">
      <c r="A207" t="s">
        <v>8</v>
      </c>
      <c r="B207">
        <v>49</v>
      </c>
      <c r="C207" s="5">
        <v>64.959999999999994</v>
      </c>
      <c r="D207">
        <f>ROUNDUP(C207/GiaDinh!$C$4-0.0005,0)</f>
        <v>11</v>
      </c>
      <c r="E207">
        <f t="shared" si="3"/>
        <v>10</v>
      </c>
      <c r="F207" s="5">
        <f>D207*GiaDinh!$C$4-C207</f>
        <v>1.0400000000000063</v>
      </c>
      <c r="G207" s="5">
        <f>C207*GiaDinh!$C$6</f>
        <v>153.30559999999997</v>
      </c>
    </row>
    <row r="208" spans="1:7" x14ac:dyDescent="0.35">
      <c r="A208" t="s">
        <v>8</v>
      </c>
      <c r="B208">
        <v>50</v>
      </c>
      <c r="C208" s="5">
        <v>64.959999999999994</v>
      </c>
      <c r="D208">
        <f>ROUNDUP(C208/GiaDinh!$C$4-0.0005,0)</f>
        <v>11</v>
      </c>
      <c r="E208">
        <f t="shared" si="3"/>
        <v>10</v>
      </c>
      <c r="F208" s="5">
        <f>D208*GiaDinh!$C$4-C208</f>
        <v>1.0400000000000063</v>
      </c>
      <c r="G208" s="5">
        <f>C208*GiaDinh!$C$6</f>
        <v>153.30559999999997</v>
      </c>
    </row>
    <row r="209" spans="1:7" x14ac:dyDescent="0.35">
      <c r="A209" t="s">
        <v>8</v>
      </c>
      <c r="B209">
        <v>51</v>
      </c>
      <c r="C209" s="5">
        <v>64.959999999999994</v>
      </c>
      <c r="D209">
        <f>ROUNDUP(C209/GiaDinh!$C$4-0.0005,0)</f>
        <v>11</v>
      </c>
      <c r="E209">
        <f t="shared" si="3"/>
        <v>10</v>
      </c>
      <c r="F209" s="5">
        <f>D209*GiaDinh!$C$4-C209</f>
        <v>1.0400000000000063</v>
      </c>
      <c r="G209" s="5">
        <f>C209*GiaDinh!$C$6</f>
        <v>153.30559999999997</v>
      </c>
    </row>
    <row r="210" spans="1:7" x14ac:dyDescent="0.35">
      <c r="A210" t="s">
        <v>8</v>
      </c>
      <c r="B210">
        <v>52</v>
      </c>
      <c r="C210" s="5">
        <v>64.959999999999994</v>
      </c>
      <c r="D210">
        <f>ROUNDUP(C210/GiaDinh!$C$4-0.0005,0)</f>
        <v>11</v>
      </c>
      <c r="E210">
        <f t="shared" si="3"/>
        <v>10</v>
      </c>
      <c r="F210" s="5">
        <f>D210*GiaDinh!$C$4-C210</f>
        <v>1.0400000000000063</v>
      </c>
      <c r="G210" s="5">
        <f>C210*GiaDinh!$C$6</f>
        <v>153.30559999999997</v>
      </c>
    </row>
    <row r="211" spans="1:7" x14ac:dyDescent="0.35">
      <c r="A211" t="s">
        <v>8</v>
      </c>
      <c r="B211">
        <v>53</v>
      </c>
      <c r="C211" s="5">
        <v>64.959999999999994</v>
      </c>
      <c r="D211">
        <f>ROUNDUP(C211/GiaDinh!$C$4-0.0005,0)</f>
        <v>11</v>
      </c>
      <c r="E211">
        <f t="shared" si="3"/>
        <v>10</v>
      </c>
      <c r="F211" s="5">
        <f>D211*GiaDinh!$C$4-C211</f>
        <v>1.0400000000000063</v>
      </c>
      <c r="G211" s="5">
        <f>C211*GiaDinh!$C$6</f>
        <v>153.30559999999997</v>
      </c>
    </row>
    <row r="212" spans="1:7" x14ac:dyDescent="0.35">
      <c r="A212" t="s">
        <v>8</v>
      </c>
      <c r="B212">
        <v>54</v>
      </c>
      <c r="C212" s="5">
        <v>64.959999999999994</v>
      </c>
      <c r="D212">
        <f>ROUNDUP(C212/GiaDinh!$C$4-0.0005,0)</f>
        <v>11</v>
      </c>
      <c r="E212">
        <f t="shared" si="3"/>
        <v>10</v>
      </c>
      <c r="F212" s="5">
        <f>D212*GiaDinh!$C$4-C212</f>
        <v>1.0400000000000063</v>
      </c>
      <c r="G212" s="5">
        <f>C212*GiaDinh!$C$6</f>
        <v>153.30559999999997</v>
      </c>
    </row>
    <row r="213" spans="1:7" x14ac:dyDescent="0.35">
      <c r="A213" t="s">
        <v>8</v>
      </c>
      <c r="B213">
        <v>55</v>
      </c>
      <c r="C213" s="5">
        <v>64.959999999999994</v>
      </c>
      <c r="D213">
        <f>ROUNDUP(C213/GiaDinh!$C$4-0.0005,0)</f>
        <v>11</v>
      </c>
      <c r="E213">
        <f t="shared" si="3"/>
        <v>10</v>
      </c>
      <c r="F213" s="5">
        <f>D213*GiaDinh!$C$4-C213</f>
        <v>1.0400000000000063</v>
      </c>
      <c r="G213" s="5">
        <f>C213*GiaDinh!$C$6</f>
        <v>153.30559999999997</v>
      </c>
    </row>
    <row r="214" spans="1:7" x14ac:dyDescent="0.35">
      <c r="A214" t="s">
        <v>8</v>
      </c>
      <c r="B214">
        <v>56</v>
      </c>
      <c r="C214" s="5">
        <v>64.959999999999994</v>
      </c>
      <c r="D214">
        <f>ROUNDUP(C214/GiaDinh!$C$4-0.0005,0)</f>
        <v>11</v>
      </c>
      <c r="E214">
        <f t="shared" si="3"/>
        <v>10</v>
      </c>
      <c r="F214" s="5">
        <f>D214*GiaDinh!$C$4-C214</f>
        <v>1.0400000000000063</v>
      </c>
      <c r="G214" s="5">
        <f>C214*GiaDinh!$C$6</f>
        <v>153.30559999999997</v>
      </c>
    </row>
    <row r="215" spans="1:7" x14ac:dyDescent="0.35">
      <c r="A215" t="s">
        <v>8</v>
      </c>
      <c r="B215">
        <v>57</v>
      </c>
      <c r="C215" s="5">
        <v>64.959999999999994</v>
      </c>
      <c r="D215">
        <f>ROUNDUP(C215/GiaDinh!$C$4-0.0005,0)</f>
        <v>11</v>
      </c>
      <c r="E215">
        <f t="shared" si="3"/>
        <v>10</v>
      </c>
      <c r="F215" s="5">
        <f>D215*GiaDinh!$C$4-C215</f>
        <v>1.0400000000000063</v>
      </c>
      <c r="G215" s="5">
        <f>C215*GiaDinh!$C$6</f>
        <v>153.30559999999997</v>
      </c>
    </row>
    <row r="216" spans="1:7" x14ac:dyDescent="0.35">
      <c r="A216" t="s">
        <v>8</v>
      </c>
      <c r="B216">
        <v>58</v>
      </c>
      <c r="C216" s="5">
        <v>64.959999999999994</v>
      </c>
      <c r="D216">
        <f>ROUNDUP(C216/GiaDinh!$C$4-0.0005,0)</f>
        <v>11</v>
      </c>
      <c r="E216">
        <f t="shared" si="3"/>
        <v>10</v>
      </c>
      <c r="F216" s="5">
        <f>D216*GiaDinh!$C$4-C216</f>
        <v>1.0400000000000063</v>
      </c>
      <c r="G216" s="5">
        <f>C216*GiaDinh!$C$6</f>
        <v>153.30559999999997</v>
      </c>
    </row>
    <row r="217" spans="1:7" x14ac:dyDescent="0.35">
      <c r="A217" t="s">
        <v>8</v>
      </c>
      <c r="B217">
        <v>59</v>
      </c>
      <c r="C217" s="5">
        <v>64.959999999999994</v>
      </c>
      <c r="D217">
        <f>ROUNDUP(C217/GiaDinh!$C$4-0.0005,0)</f>
        <v>11</v>
      </c>
      <c r="E217">
        <f t="shared" si="3"/>
        <v>10</v>
      </c>
      <c r="F217" s="5">
        <f>D217*GiaDinh!$C$4-C217</f>
        <v>1.0400000000000063</v>
      </c>
      <c r="G217" s="5">
        <f>C217*GiaDinh!$C$6</f>
        <v>153.30559999999997</v>
      </c>
    </row>
    <row r="218" spans="1:7" x14ac:dyDescent="0.35">
      <c r="A218" t="s">
        <v>8</v>
      </c>
      <c r="B218">
        <v>60</v>
      </c>
      <c r="C218" s="5">
        <v>64.959999999999994</v>
      </c>
      <c r="D218">
        <f>ROUNDUP(C218/GiaDinh!$C$4-0.0005,0)</f>
        <v>11</v>
      </c>
      <c r="E218">
        <f t="shared" si="3"/>
        <v>10</v>
      </c>
      <c r="F218" s="5">
        <f>D218*GiaDinh!$C$4-C218</f>
        <v>1.0400000000000063</v>
      </c>
      <c r="G218" s="5">
        <f>C218*GiaDinh!$C$6</f>
        <v>153.30559999999997</v>
      </c>
    </row>
    <row r="219" spans="1:7" x14ac:dyDescent="0.35">
      <c r="A219" t="s">
        <v>8</v>
      </c>
      <c r="B219">
        <v>61</v>
      </c>
      <c r="C219" s="5">
        <v>64.959999999999994</v>
      </c>
      <c r="D219">
        <f>ROUNDUP(C219/GiaDinh!$C$4-0.0005,0)</f>
        <v>11</v>
      </c>
      <c r="E219">
        <f t="shared" si="3"/>
        <v>10</v>
      </c>
      <c r="F219" s="5">
        <f>D219*GiaDinh!$C$4-C219</f>
        <v>1.0400000000000063</v>
      </c>
      <c r="G219" s="5">
        <f>C219*GiaDinh!$C$6</f>
        <v>153.30559999999997</v>
      </c>
    </row>
    <row r="220" spans="1:7" x14ac:dyDescent="0.35">
      <c r="A220" t="s">
        <v>8</v>
      </c>
      <c r="B220">
        <v>62</v>
      </c>
      <c r="C220" s="5">
        <v>64.959999999999994</v>
      </c>
      <c r="D220">
        <f>ROUNDUP(C220/GiaDinh!$C$4-0.0005,0)</f>
        <v>11</v>
      </c>
      <c r="E220">
        <f t="shared" si="3"/>
        <v>10</v>
      </c>
      <c r="F220" s="5">
        <f>D220*GiaDinh!$C$4-C220</f>
        <v>1.0400000000000063</v>
      </c>
      <c r="G220" s="5">
        <f>C220*GiaDinh!$C$6</f>
        <v>153.30559999999997</v>
      </c>
    </row>
    <row r="221" spans="1:7" x14ac:dyDescent="0.35">
      <c r="A221" t="s">
        <v>8</v>
      </c>
      <c r="B221">
        <v>63</v>
      </c>
      <c r="C221" s="5">
        <v>64.959999999999994</v>
      </c>
      <c r="D221">
        <f>ROUNDUP(C221/GiaDinh!$C$4-0.0005,0)</f>
        <v>11</v>
      </c>
      <c r="E221">
        <f t="shared" si="3"/>
        <v>10</v>
      </c>
      <c r="F221" s="5">
        <f>D221*GiaDinh!$C$4-C221</f>
        <v>1.0400000000000063</v>
      </c>
      <c r="G221" s="5">
        <f>C221*GiaDinh!$C$6</f>
        <v>153.30559999999997</v>
      </c>
    </row>
    <row r="222" spans="1:7" x14ac:dyDescent="0.35">
      <c r="A222" t="s">
        <v>8</v>
      </c>
      <c r="B222">
        <v>64</v>
      </c>
      <c r="C222" s="5">
        <v>64.959999999999994</v>
      </c>
      <c r="D222">
        <f>ROUNDUP(C222/GiaDinh!$C$4-0.0005,0)</f>
        <v>11</v>
      </c>
      <c r="E222">
        <f t="shared" si="3"/>
        <v>10</v>
      </c>
      <c r="F222" s="5">
        <f>D222*GiaDinh!$C$4-C222</f>
        <v>1.0400000000000063</v>
      </c>
      <c r="G222" s="5">
        <f>C222*GiaDinh!$C$6</f>
        <v>153.30559999999997</v>
      </c>
    </row>
    <row r="223" spans="1:7" x14ac:dyDescent="0.35">
      <c r="A223" t="s">
        <v>8</v>
      </c>
      <c r="B223">
        <v>65</v>
      </c>
      <c r="C223" s="5">
        <v>64.959999999999994</v>
      </c>
      <c r="D223">
        <f>ROUNDUP(C223/GiaDinh!$C$4-0.0005,0)</f>
        <v>11</v>
      </c>
      <c r="E223">
        <f t="shared" si="3"/>
        <v>10</v>
      </c>
      <c r="F223" s="5">
        <f>D223*GiaDinh!$C$4-C223</f>
        <v>1.0400000000000063</v>
      </c>
      <c r="G223" s="5">
        <f>C223*GiaDinh!$C$6</f>
        <v>153.30559999999997</v>
      </c>
    </row>
    <row r="224" spans="1:7" x14ac:dyDescent="0.35">
      <c r="A224" t="s">
        <v>8</v>
      </c>
      <c r="B224">
        <v>66</v>
      </c>
      <c r="C224" s="5">
        <v>64.959999999999994</v>
      </c>
      <c r="D224">
        <f>ROUNDUP(C224/GiaDinh!$C$4-0.0005,0)</f>
        <v>11</v>
      </c>
      <c r="E224">
        <f t="shared" si="3"/>
        <v>10</v>
      </c>
      <c r="F224" s="5">
        <f>D224*GiaDinh!$C$4-C224</f>
        <v>1.0400000000000063</v>
      </c>
      <c r="G224" s="5">
        <f>C224*GiaDinh!$C$6</f>
        <v>153.30559999999997</v>
      </c>
    </row>
    <row r="225" spans="1:7" x14ac:dyDescent="0.35">
      <c r="A225" t="s">
        <v>8</v>
      </c>
      <c r="B225">
        <v>67</v>
      </c>
      <c r="C225" s="5">
        <v>64.959999999999994</v>
      </c>
      <c r="D225">
        <f>ROUNDUP(C225/GiaDinh!$C$4-0.0005,0)</f>
        <v>11</v>
      </c>
      <c r="E225">
        <f t="shared" si="3"/>
        <v>10</v>
      </c>
      <c r="F225" s="5">
        <f>D225*GiaDinh!$C$4-C225</f>
        <v>1.0400000000000063</v>
      </c>
      <c r="G225" s="5">
        <f>C225*GiaDinh!$C$6</f>
        <v>153.30559999999997</v>
      </c>
    </row>
    <row r="226" spans="1:7" x14ac:dyDescent="0.35">
      <c r="A226" t="s">
        <v>8</v>
      </c>
      <c r="B226">
        <v>68</v>
      </c>
      <c r="C226" s="5">
        <v>64.959999999999994</v>
      </c>
      <c r="D226">
        <f>ROUNDUP(C226/GiaDinh!$C$4-0.0005,0)</f>
        <v>11</v>
      </c>
      <c r="E226">
        <f t="shared" si="3"/>
        <v>10</v>
      </c>
      <c r="F226" s="5">
        <f>D226*GiaDinh!$C$4-C226</f>
        <v>1.0400000000000063</v>
      </c>
      <c r="G226" s="5">
        <f>C226*GiaDinh!$C$6</f>
        <v>153.30559999999997</v>
      </c>
    </row>
    <row r="227" spans="1:7" x14ac:dyDescent="0.35">
      <c r="A227" t="s">
        <v>8</v>
      </c>
      <c r="B227">
        <v>69</v>
      </c>
      <c r="C227" s="5">
        <v>64.959999999999994</v>
      </c>
      <c r="D227">
        <f>ROUNDUP(C227/GiaDinh!$C$4-0.0005,0)</f>
        <v>11</v>
      </c>
      <c r="E227">
        <f t="shared" si="3"/>
        <v>10</v>
      </c>
      <c r="F227" s="5">
        <f>D227*GiaDinh!$C$4-C227</f>
        <v>1.0400000000000063</v>
      </c>
      <c r="G227" s="5">
        <f>C227*GiaDinh!$C$6</f>
        <v>153.30559999999997</v>
      </c>
    </row>
    <row r="228" spans="1:7" x14ac:dyDescent="0.35">
      <c r="A228" t="s">
        <v>8</v>
      </c>
      <c r="B228">
        <v>70</v>
      </c>
      <c r="C228" s="5">
        <v>64.959999999999994</v>
      </c>
      <c r="D228">
        <f>ROUNDUP(C228/GiaDinh!$C$4-0.0005,0)</f>
        <v>11</v>
      </c>
      <c r="E228">
        <f t="shared" si="3"/>
        <v>10</v>
      </c>
      <c r="F228" s="5">
        <f>D228*GiaDinh!$C$4-C228</f>
        <v>1.0400000000000063</v>
      </c>
      <c r="G228" s="5">
        <f>C228*GiaDinh!$C$6</f>
        <v>153.30559999999997</v>
      </c>
    </row>
    <row r="229" spans="1:7" x14ac:dyDescent="0.35">
      <c r="A229" t="s">
        <v>8</v>
      </c>
      <c r="B229">
        <v>71</v>
      </c>
      <c r="C229" s="5">
        <v>64.959999999999994</v>
      </c>
      <c r="D229">
        <f>ROUNDUP(C229/GiaDinh!$C$4-0.0005,0)</f>
        <v>11</v>
      </c>
      <c r="E229">
        <f t="shared" si="3"/>
        <v>10</v>
      </c>
      <c r="F229" s="5">
        <f>D229*GiaDinh!$C$4-C229</f>
        <v>1.0400000000000063</v>
      </c>
      <c r="G229" s="5">
        <f>C229*GiaDinh!$C$6</f>
        <v>153.30559999999997</v>
      </c>
    </row>
    <row r="230" spans="1:7" x14ac:dyDescent="0.35">
      <c r="A230" t="s">
        <v>8</v>
      </c>
      <c r="B230">
        <v>72</v>
      </c>
      <c r="C230" s="5">
        <v>64.959999999999994</v>
      </c>
      <c r="D230">
        <f>ROUNDUP(C230/GiaDinh!$C$4-0.0005,0)</f>
        <v>11</v>
      </c>
      <c r="E230">
        <f t="shared" si="3"/>
        <v>10</v>
      </c>
      <c r="F230" s="5">
        <f>D230*GiaDinh!$C$4-C230</f>
        <v>1.0400000000000063</v>
      </c>
      <c r="G230" s="5">
        <f>C230*GiaDinh!$C$6</f>
        <v>153.30559999999997</v>
      </c>
    </row>
    <row r="231" spans="1:7" x14ac:dyDescent="0.35">
      <c r="A231" t="s">
        <v>8</v>
      </c>
      <c r="B231">
        <v>73</v>
      </c>
      <c r="C231" s="5">
        <v>64.959999999999994</v>
      </c>
      <c r="D231">
        <f>ROUNDUP(C231/GiaDinh!$C$4-0.0005,0)</f>
        <v>11</v>
      </c>
      <c r="E231">
        <f t="shared" si="3"/>
        <v>10</v>
      </c>
      <c r="F231" s="5">
        <f>D231*GiaDinh!$C$4-C231</f>
        <v>1.0400000000000063</v>
      </c>
      <c r="G231" s="5">
        <f>C231*GiaDinh!$C$6</f>
        <v>153.30559999999997</v>
      </c>
    </row>
    <row r="232" spans="1:7" x14ac:dyDescent="0.35">
      <c r="A232" t="s">
        <v>8</v>
      </c>
      <c r="B232">
        <v>74</v>
      </c>
      <c r="C232" s="5">
        <v>64.959999999999994</v>
      </c>
      <c r="D232">
        <f>ROUNDUP(C232/GiaDinh!$C$4-0.0005,0)</f>
        <v>11</v>
      </c>
      <c r="E232">
        <f t="shared" si="3"/>
        <v>10</v>
      </c>
      <c r="F232" s="5">
        <f>D232*GiaDinh!$C$4-C232</f>
        <v>1.0400000000000063</v>
      </c>
      <c r="G232" s="5">
        <f>C232*GiaDinh!$C$6</f>
        <v>153.30559999999997</v>
      </c>
    </row>
    <row r="233" spans="1:7" x14ac:dyDescent="0.35">
      <c r="A233" t="s">
        <v>8</v>
      </c>
      <c r="B233">
        <v>75</v>
      </c>
      <c r="C233" s="5">
        <v>64.959999999999994</v>
      </c>
      <c r="D233">
        <f>ROUNDUP(C233/GiaDinh!$C$4-0.0005,0)</f>
        <v>11</v>
      </c>
      <c r="E233">
        <f t="shared" si="3"/>
        <v>10</v>
      </c>
      <c r="F233" s="5">
        <f>D233*GiaDinh!$C$4-C233</f>
        <v>1.0400000000000063</v>
      </c>
      <c r="G233" s="5">
        <f>C233*GiaDinh!$C$6</f>
        <v>153.30559999999997</v>
      </c>
    </row>
    <row r="234" spans="1:7" x14ac:dyDescent="0.35">
      <c r="A234" t="s">
        <v>8</v>
      </c>
      <c r="B234">
        <v>76</v>
      </c>
      <c r="C234" s="5">
        <v>64.959999999999994</v>
      </c>
      <c r="D234">
        <f>ROUNDUP(C234/GiaDinh!$C$4-0.0005,0)</f>
        <v>11</v>
      </c>
      <c r="E234">
        <f t="shared" si="3"/>
        <v>10</v>
      </c>
      <c r="F234" s="5">
        <f>D234*GiaDinh!$C$4-C234</f>
        <v>1.0400000000000063</v>
      </c>
      <c r="G234" s="5">
        <f>C234*GiaDinh!$C$6</f>
        <v>153.30559999999997</v>
      </c>
    </row>
    <row r="235" spans="1:7" x14ac:dyDescent="0.35">
      <c r="A235" t="s">
        <v>9</v>
      </c>
      <c r="B235">
        <v>1</v>
      </c>
      <c r="C235" s="5">
        <v>65.311999999999998</v>
      </c>
      <c r="D235">
        <f>ROUNDUP(C235/GiaDinh!$C$4-0.0005,0)</f>
        <v>11</v>
      </c>
      <c r="E235">
        <f t="shared" si="3"/>
        <v>10</v>
      </c>
      <c r="F235" s="5">
        <f>D235*GiaDinh!$C$4-C235</f>
        <v>0.68800000000000239</v>
      </c>
      <c r="G235" s="5">
        <f>C235*GiaDinh!$C$6</f>
        <v>154.13631999999998</v>
      </c>
    </row>
    <row r="236" spans="1:7" x14ac:dyDescent="0.35">
      <c r="A236" t="s">
        <v>9</v>
      </c>
      <c r="B236">
        <v>2</v>
      </c>
      <c r="C236" s="5">
        <v>65.311999999999998</v>
      </c>
      <c r="D236">
        <f>ROUNDUP(C236/GiaDinh!$C$4-0.0005,0)</f>
        <v>11</v>
      </c>
      <c r="E236">
        <f t="shared" si="3"/>
        <v>10</v>
      </c>
      <c r="F236" s="5">
        <f>D236*GiaDinh!$C$4-C236</f>
        <v>0.68800000000000239</v>
      </c>
      <c r="G236" s="5">
        <f>C236*GiaDinh!$C$6</f>
        <v>154.13631999999998</v>
      </c>
    </row>
    <row r="237" spans="1:7" x14ac:dyDescent="0.35">
      <c r="A237" t="s">
        <v>9</v>
      </c>
      <c r="B237">
        <v>3</v>
      </c>
      <c r="C237" s="5">
        <v>65.311999999999998</v>
      </c>
      <c r="D237">
        <f>ROUNDUP(C237/GiaDinh!$C$4-0.0005,0)</f>
        <v>11</v>
      </c>
      <c r="E237">
        <f t="shared" si="3"/>
        <v>10</v>
      </c>
      <c r="F237" s="5">
        <f>D237*GiaDinh!$C$4-C237</f>
        <v>0.68800000000000239</v>
      </c>
      <c r="G237" s="5">
        <f>C237*GiaDinh!$C$6</f>
        <v>154.13631999999998</v>
      </c>
    </row>
    <row r="238" spans="1:7" x14ac:dyDescent="0.35">
      <c r="A238" t="s">
        <v>9</v>
      </c>
      <c r="B238">
        <v>4</v>
      </c>
      <c r="C238" s="5">
        <v>65.311999999999998</v>
      </c>
      <c r="D238">
        <f>ROUNDUP(C238/GiaDinh!$C$4-0.0005,0)</f>
        <v>11</v>
      </c>
      <c r="E238">
        <f t="shared" si="3"/>
        <v>10</v>
      </c>
      <c r="F238" s="5">
        <f>D238*GiaDinh!$C$4-C238</f>
        <v>0.68800000000000239</v>
      </c>
      <c r="G238" s="5">
        <f>C238*GiaDinh!$C$6</f>
        <v>154.13631999999998</v>
      </c>
    </row>
    <row r="239" spans="1:7" x14ac:dyDescent="0.35">
      <c r="A239" t="s">
        <v>9</v>
      </c>
      <c r="B239">
        <v>5</v>
      </c>
      <c r="C239" s="5">
        <v>65.311999999999998</v>
      </c>
      <c r="D239">
        <f>ROUNDUP(C239/GiaDinh!$C$4-0.0005,0)</f>
        <v>11</v>
      </c>
      <c r="E239">
        <f t="shared" si="3"/>
        <v>10</v>
      </c>
      <c r="F239" s="5">
        <f>D239*GiaDinh!$C$4-C239</f>
        <v>0.68800000000000239</v>
      </c>
      <c r="G239" s="5">
        <f>C239*GiaDinh!$C$6</f>
        <v>154.13631999999998</v>
      </c>
    </row>
    <row r="240" spans="1:7" x14ac:dyDescent="0.35">
      <c r="A240" t="s">
        <v>9</v>
      </c>
      <c r="B240">
        <v>6</v>
      </c>
      <c r="C240" s="5">
        <v>65.311999999999998</v>
      </c>
      <c r="D240">
        <f>ROUNDUP(C240/GiaDinh!$C$4-0.0005,0)</f>
        <v>11</v>
      </c>
      <c r="E240">
        <f t="shared" si="3"/>
        <v>10</v>
      </c>
      <c r="F240" s="5">
        <f>D240*GiaDinh!$C$4-C240</f>
        <v>0.68800000000000239</v>
      </c>
      <c r="G240" s="5">
        <f>C240*GiaDinh!$C$6</f>
        <v>154.13631999999998</v>
      </c>
    </row>
    <row r="241" spans="1:7" x14ac:dyDescent="0.35">
      <c r="A241" t="s">
        <v>9</v>
      </c>
      <c r="B241">
        <v>7</v>
      </c>
      <c r="C241" s="5">
        <v>65.311999999999998</v>
      </c>
      <c r="D241">
        <f>ROUNDUP(C241/GiaDinh!$C$4-0.0005,0)</f>
        <v>11</v>
      </c>
      <c r="E241">
        <f t="shared" si="3"/>
        <v>10</v>
      </c>
      <c r="F241" s="5">
        <f>D241*GiaDinh!$C$4-C241</f>
        <v>0.68800000000000239</v>
      </c>
      <c r="G241" s="5">
        <f>C241*GiaDinh!$C$6</f>
        <v>154.13631999999998</v>
      </c>
    </row>
    <row r="242" spans="1:7" x14ac:dyDescent="0.35">
      <c r="A242" t="s">
        <v>9</v>
      </c>
      <c r="B242">
        <v>8</v>
      </c>
      <c r="C242" s="5">
        <v>65.311999999999998</v>
      </c>
      <c r="D242">
        <f>ROUNDUP(C242/GiaDinh!$C$4-0.0005,0)</f>
        <v>11</v>
      </c>
      <c r="E242">
        <f t="shared" si="3"/>
        <v>10</v>
      </c>
      <c r="F242" s="5">
        <f>D242*GiaDinh!$C$4-C242</f>
        <v>0.68800000000000239</v>
      </c>
      <c r="G242" s="5">
        <f>C242*GiaDinh!$C$6</f>
        <v>154.13631999999998</v>
      </c>
    </row>
    <row r="243" spans="1:7" x14ac:dyDescent="0.35">
      <c r="A243" t="s">
        <v>9</v>
      </c>
      <c r="B243">
        <v>9</v>
      </c>
      <c r="C243" s="5">
        <v>65.311999999999998</v>
      </c>
      <c r="D243">
        <f>ROUNDUP(C243/GiaDinh!$C$4-0.0005,0)</f>
        <v>11</v>
      </c>
      <c r="E243">
        <f t="shared" si="3"/>
        <v>10</v>
      </c>
      <c r="F243" s="5">
        <f>D243*GiaDinh!$C$4-C243</f>
        <v>0.68800000000000239</v>
      </c>
      <c r="G243" s="5">
        <f>C243*GiaDinh!$C$6</f>
        <v>154.13631999999998</v>
      </c>
    </row>
    <row r="244" spans="1:7" x14ac:dyDescent="0.35">
      <c r="A244" t="s">
        <v>9</v>
      </c>
      <c r="B244">
        <v>10</v>
      </c>
      <c r="C244" s="5">
        <v>65.311999999999998</v>
      </c>
      <c r="D244">
        <f>ROUNDUP(C244/GiaDinh!$C$4-0.0005,0)</f>
        <v>11</v>
      </c>
      <c r="E244">
        <f t="shared" si="3"/>
        <v>10</v>
      </c>
      <c r="F244" s="5">
        <f>D244*GiaDinh!$C$4-C244</f>
        <v>0.68800000000000239</v>
      </c>
      <c r="G244" s="5">
        <f>C244*GiaDinh!$C$6</f>
        <v>154.13631999999998</v>
      </c>
    </row>
    <row r="245" spans="1:7" x14ac:dyDescent="0.35">
      <c r="A245" t="s">
        <v>9</v>
      </c>
      <c r="B245">
        <v>11</v>
      </c>
      <c r="C245" s="5">
        <v>65.311999999999998</v>
      </c>
      <c r="D245">
        <f>ROUNDUP(C245/GiaDinh!$C$4-0.0005,0)</f>
        <v>11</v>
      </c>
      <c r="E245">
        <f t="shared" si="3"/>
        <v>10</v>
      </c>
      <c r="F245" s="5">
        <f>D245*GiaDinh!$C$4-C245</f>
        <v>0.68800000000000239</v>
      </c>
      <c r="G245" s="5">
        <f>C245*GiaDinh!$C$6</f>
        <v>154.13631999999998</v>
      </c>
    </row>
    <row r="246" spans="1:7" x14ac:dyDescent="0.35">
      <c r="A246" t="s">
        <v>9</v>
      </c>
      <c r="B246">
        <v>12</v>
      </c>
      <c r="C246" s="5">
        <v>65.311999999999998</v>
      </c>
      <c r="D246">
        <f>ROUNDUP(C246/GiaDinh!$C$4-0.0005,0)</f>
        <v>11</v>
      </c>
      <c r="E246">
        <f t="shared" si="3"/>
        <v>10</v>
      </c>
      <c r="F246" s="5">
        <f>D246*GiaDinh!$C$4-C246</f>
        <v>0.68800000000000239</v>
      </c>
      <c r="G246" s="5">
        <f>C246*GiaDinh!$C$6</f>
        <v>154.13631999999998</v>
      </c>
    </row>
    <row r="247" spans="1:7" x14ac:dyDescent="0.35">
      <c r="A247" t="s">
        <v>9</v>
      </c>
      <c r="B247">
        <v>13</v>
      </c>
      <c r="C247" s="5">
        <v>65.311999999999998</v>
      </c>
      <c r="D247">
        <f>ROUNDUP(C247/GiaDinh!$C$4-0.0005,0)</f>
        <v>11</v>
      </c>
      <c r="E247">
        <f t="shared" si="3"/>
        <v>10</v>
      </c>
      <c r="F247" s="5">
        <f>D247*GiaDinh!$C$4-C247</f>
        <v>0.68800000000000239</v>
      </c>
      <c r="G247" s="5">
        <f>C247*GiaDinh!$C$6</f>
        <v>154.13631999999998</v>
      </c>
    </row>
    <row r="248" spans="1:7" x14ac:dyDescent="0.35">
      <c r="A248" t="s">
        <v>9</v>
      </c>
      <c r="B248">
        <v>14</v>
      </c>
      <c r="C248" s="5">
        <v>65.311999999999998</v>
      </c>
      <c r="D248">
        <f>ROUNDUP(C248/GiaDinh!$C$4-0.0005,0)</f>
        <v>11</v>
      </c>
      <c r="E248">
        <f t="shared" si="3"/>
        <v>10</v>
      </c>
      <c r="F248" s="5">
        <f>D248*GiaDinh!$C$4-C248</f>
        <v>0.68800000000000239</v>
      </c>
      <c r="G248" s="5">
        <f>C248*GiaDinh!$C$6</f>
        <v>154.13631999999998</v>
      </c>
    </row>
    <row r="249" spans="1:7" x14ac:dyDescent="0.35">
      <c r="A249" t="s">
        <v>9</v>
      </c>
      <c r="B249">
        <v>15</v>
      </c>
      <c r="C249" s="5">
        <v>65.311999999999998</v>
      </c>
      <c r="D249">
        <f>ROUNDUP(C249/GiaDinh!$C$4-0.0005,0)</f>
        <v>11</v>
      </c>
      <c r="E249">
        <f t="shared" si="3"/>
        <v>10</v>
      </c>
      <c r="F249" s="5">
        <f>D249*GiaDinh!$C$4-C249</f>
        <v>0.68800000000000239</v>
      </c>
      <c r="G249" s="5">
        <f>C249*GiaDinh!$C$6</f>
        <v>154.13631999999998</v>
      </c>
    </row>
    <row r="250" spans="1:7" x14ac:dyDescent="0.35">
      <c r="A250" t="s">
        <v>9</v>
      </c>
      <c r="B250">
        <v>16</v>
      </c>
      <c r="C250" s="5">
        <v>65.311999999999998</v>
      </c>
      <c r="D250">
        <f>ROUNDUP(C250/GiaDinh!$C$4-0.0005,0)</f>
        <v>11</v>
      </c>
      <c r="E250">
        <f t="shared" si="3"/>
        <v>10</v>
      </c>
      <c r="F250" s="5">
        <f>D250*GiaDinh!$C$4-C250</f>
        <v>0.68800000000000239</v>
      </c>
      <c r="G250" s="5">
        <f>C250*GiaDinh!$C$6</f>
        <v>154.13631999999998</v>
      </c>
    </row>
    <row r="251" spans="1:7" x14ac:dyDescent="0.35">
      <c r="A251" t="s">
        <v>9</v>
      </c>
      <c r="B251">
        <v>17</v>
      </c>
      <c r="C251" s="5">
        <v>87.27</v>
      </c>
      <c r="D251">
        <f>ROUNDUP(C251/GiaDinh!$C$4-0.0005,0)</f>
        <v>15</v>
      </c>
      <c r="E251">
        <f t="shared" si="3"/>
        <v>14</v>
      </c>
      <c r="F251" s="5">
        <f>D251*GiaDinh!$C$4-C251</f>
        <v>2.730000000000004</v>
      </c>
      <c r="G251" s="5">
        <f>C251*GiaDinh!$C$6</f>
        <v>205.95719999999997</v>
      </c>
    </row>
    <row r="252" spans="1:7" x14ac:dyDescent="0.35">
      <c r="A252" t="s">
        <v>9</v>
      </c>
      <c r="B252">
        <v>18</v>
      </c>
      <c r="C252" s="5">
        <v>87.27</v>
      </c>
      <c r="D252">
        <f>ROUNDUP(C252/GiaDinh!$C$4-0.0005,0)</f>
        <v>15</v>
      </c>
      <c r="E252">
        <f t="shared" si="3"/>
        <v>14</v>
      </c>
      <c r="F252" s="5">
        <f>D252*GiaDinh!$C$4-C252</f>
        <v>2.730000000000004</v>
      </c>
      <c r="G252" s="5">
        <f>C252*GiaDinh!$C$6</f>
        <v>205.95719999999997</v>
      </c>
    </row>
    <row r="253" spans="1:7" x14ac:dyDescent="0.35">
      <c r="A253" t="s">
        <v>9</v>
      </c>
      <c r="B253">
        <v>19</v>
      </c>
      <c r="C253" s="5">
        <v>87.27</v>
      </c>
      <c r="D253">
        <f>ROUNDUP(C253/GiaDinh!$C$4-0.0005,0)</f>
        <v>15</v>
      </c>
      <c r="E253">
        <f t="shared" si="3"/>
        <v>14</v>
      </c>
      <c r="F253" s="5">
        <f>D253*GiaDinh!$C$4-C253</f>
        <v>2.730000000000004</v>
      </c>
      <c r="G253" s="5">
        <f>C253*GiaDinh!$C$6</f>
        <v>205.95719999999997</v>
      </c>
    </row>
    <row r="254" spans="1:7" x14ac:dyDescent="0.35">
      <c r="A254" t="s">
        <v>9</v>
      </c>
      <c r="B254">
        <v>20</v>
      </c>
      <c r="C254" s="5">
        <v>87.27</v>
      </c>
      <c r="D254">
        <f>ROUNDUP(C254/GiaDinh!$C$4-0.0005,0)</f>
        <v>15</v>
      </c>
      <c r="E254">
        <f t="shared" si="3"/>
        <v>14</v>
      </c>
      <c r="F254" s="5">
        <f>D254*GiaDinh!$C$4-C254</f>
        <v>2.730000000000004</v>
      </c>
      <c r="G254" s="5">
        <f>C254*GiaDinh!$C$6</f>
        <v>205.95719999999997</v>
      </c>
    </row>
    <row r="255" spans="1:7" x14ac:dyDescent="0.35">
      <c r="A255" t="s">
        <v>9</v>
      </c>
      <c r="B255">
        <v>21</v>
      </c>
      <c r="C255" s="5">
        <v>87.27</v>
      </c>
      <c r="D255">
        <f>ROUNDUP(C255/GiaDinh!$C$4-0.0005,0)</f>
        <v>15</v>
      </c>
      <c r="E255">
        <f t="shared" si="3"/>
        <v>14</v>
      </c>
      <c r="F255" s="5">
        <f>D255*GiaDinh!$C$4-C255</f>
        <v>2.730000000000004</v>
      </c>
      <c r="G255" s="5">
        <f>C255*GiaDinh!$C$6</f>
        <v>205.95719999999997</v>
      </c>
    </row>
    <row r="256" spans="1:7" x14ac:dyDescent="0.35">
      <c r="A256" t="s">
        <v>9</v>
      </c>
      <c r="B256">
        <v>22</v>
      </c>
      <c r="C256" s="5">
        <v>87.27</v>
      </c>
      <c r="D256">
        <f>ROUNDUP(C256/GiaDinh!$C$4-0.0005,0)</f>
        <v>15</v>
      </c>
      <c r="E256">
        <f t="shared" si="3"/>
        <v>14</v>
      </c>
      <c r="F256" s="5">
        <f>D256*GiaDinh!$C$4-C256</f>
        <v>2.730000000000004</v>
      </c>
      <c r="G256" s="5">
        <f>C256*GiaDinh!$C$6</f>
        <v>205.95719999999997</v>
      </c>
    </row>
    <row r="257" spans="1:7" x14ac:dyDescent="0.35">
      <c r="A257" t="s">
        <v>9</v>
      </c>
      <c r="B257">
        <v>23</v>
      </c>
      <c r="C257" s="5">
        <v>87.27</v>
      </c>
      <c r="D257">
        <f>ROUNDUP(C257/GiaDinh!$C$4-0.0005,0)</f>
        <v>15</v>
      </c>
      <c r="E257">
        <f t="shared" si="3"/>
        <v>14</v>
      </c>
      <c r="F257" s="5">
        <f>D257*GiaDinh!$C$4-C257</f>
        <v>2.730000000000004</v>
      </c>
      <c r="G257" s="5">
        <f>C257*GiaDinh!$C$6</f>
        <v>205.95719999999997</v>
      </c>
    </row>
    <row r="258" spans="1:7" x14ac:dyDescent="0.35">
      <c r="A258" t="s">
        <v>9</v>
      </c>
      <c r="B258">
        <v>24</v>
      </c>
      <c r="C258" s="5">
        <v>87.27</v>
      </c>
      <c r="D258">
        <f>ROUNDUP(C258/GiaDinh!$C$4-0.0005,0)</f>
        <v>15</v>
      </c>
      <c r="E258">
        <f t="shared" si="3"/>
        <v>14</v>
      </c>
      <c r="F258" s="5">
        <f>D258*GiaDinh!$C$4-C258</f>
        <v>2.730000000000004</v>
      </c>
      <c r="G258" s="5">
        <f>C258*GiaDinh!$C$6</f>
        <v>205.95719999999997</v>
      </c>
    </row>
    <row r="259" spans="1:7" x14ac:dyDescent="0.35">
      <c r="A259" t="s">
        <v>9</v>
      </c>
      <c r="B259">
        <v>25</v>
      </c>
      <c r="C259" s="5">
        <v>87.27</v>
      </c>
      <c r="D259">
        <f>ROUNDUP(C259/GiaDinh!$C$4-0.0005,0)</f>
        <v>15</v>
      </c>
      <c r="E259">
        <f t="shared" si="3"/>
        <v>14</v>
      </c>
      <c r="F259" s="5">
        <f>D259*GiaDinh!$C$4-C259</f>
        <v>2.730000000000004</v>
      </c>
      <c r="G259" s="5">
        <f>C259*GiaDinh!$C$6</f>
        <v>205.95719999999997</v>
      </c>
    </row>
    <row r="260" spans="1:7" x14ac:dyDescent="0.35">
      <c r="A260" t="s">
        <v>9</v>
      </c>
      <c r="B260">
        <v>26</v>
      </c>
      <c r="C260" s="5">
        <v>87.27</v>
      </c>
      <c r="D260">
        <f>ROUNDUP(C260/GiaDinh!$C$4-0.0005,0)</f>
        <v>15</v>
      </c>
      <c r="E260">
        <f t="shared" ref="E260:E323" si="4">D260-1</f>
        <v>14</v>
      </c>
      <c r="F260" s="5">
        <f>D260*GiaDinh!$C$4-C260</f>
        <v>2.730000000000004</v>
      </c>
      <c r="G260" s="5">
        <f>C260*GiaDinh!$C$6</f>
        <v>205.95719999999997</v>
      </c>
    </row>
    <row r="261" spans="1:7" x14ac:dyDescent="0.35">
      <c r="A261" t="s">
        <v>9</v>
      </c>
      <c r="B261">
        <v>27</v>
      </c>
      <c r="C261" s="5">
        <v>87.27</v>
      </c>
      <c r="D261">
        <f>ROUNDUP(C261/GiaDinh!$C$4-0.0005,0)</f>
        <v>15</v>
      </c>
      <c r="E261">
        <f t="shared" si="4"/>
        <v>14</v>
      </c>
      <c r="F261" s="5">
        <f>D261*GiaDinh!$C$4-C261</f>
        <v>2.730000000000004</v>
      </c>
      <c r="G261" s="5">
        <f>C261*GiaDinh!$C$6</f>
        <v>205.95719999999997</v>
      </c>
    </row>
    <row r="262" spans="1:7" x14ac:dyDescent="0.35">
      <c r="A262" t="s">
        <v>9</v>
      </c>
      <c r="B262">
        <v>28</v>
      </c>
      <c r="C262" s="5">
        <v>87.27</v>
      </c>
      <c r="D262">
        <f>ROUNDUP(C262/GiaDinh!$C$4-0.0005,0)</f>
        <v>15</v>
      </c>
      <c r="E262">
        <f t="shared" si="4"/>
        <v>14</v>
      </c>
      <c r="F262" s="5">
        <f>D262*GiaDinh!$C$4-C262</f>
        <v>2.730000000000004</v>
      </c>
      <c r="G262" s="5">
        <f>C262*GiaDinh!$C$6</f>
        <v>205.95719999999997</v>
      </c>
    </row>
    <row r="263" spans="1:7" x14ac:dyDescent="0.35">
      <c r="A263" t="s">
        <v>9</v>
      </c>
      <c r="B263">
        <v>29</v>
      </c>
      <c r="C263" s="5">
        <v>87.27</v>
      </c>
      <c r="D263">
        <f>ROUNDUP(C263/GiaDinh!$C$4-0.0005,0)</f>
        <v>15</v>
      </c>
      <c r="E263">
        <f t="shared" si="4"/>
        <v>14</v>
      </c>
      <c r="F263" s="5">
        <f>D263*GiaDinh!$C$4-C263</f>
        <v>2.730000000000004</v>
      </c>
      <c r="G263" s="5">
        <f>C263*GiaDinh!$C$6</f>
        <v>205.95719999999997</v>
      </c>
    </row>
    <row r="264" spans="1:7" x14ac:dyDescent="0.35">
      <c r="A264" t="s">
        <v>9</v>
      </c>
      <c r="B264">
        <v>30</v>
      </c>
      <c r="C264" s="5">
        <v>87.27</v>
      </c>
      <c r="D264">
        <f>ROUNDUP(C264/GiaDinh!$C$4-0.0005,0)</f>
        <v>15</v>
      </c>
      <c r="E264">
        <f t="shared" si="4"/>
        <v>14</v>
      </c>
      <c r="F264" s="5">
        <f>D264*GiaDinh!$C$4-C264</f>
        <v>2.730000000000004</v>
      </c>
      <c r="G264" s="5">
        <f>C264*GiaDinh!$C$6</f>
        <v>205.95719999999997</v>
      </c>
    </row>
    <row r="265" spans="1:7" x14ac:dyDescent="0.35">
      <c r="A265" t="s">
        <v>9</v>
      </c>
      <c r="B265">
        <v>31</v>
      </c>
      <c r="C265" s="5">
        <v>87.27</v>
      </c>
      <c r="D265">
        <f>ROUNDUP(C265/GiaDinh!$C$4-0.0005,0)</f>
        <v>15</v>
      </c>
      <c r="E265">
        <f t="shared" si="4"/>
        <v>14</v>
      </c>
      <c r="F265" s="5">
        <f>D265*GiaDinh!$C$4-C265</f>
        <v>2.730000000000004</v>
      </c>
      <c r="G265" s="5">
        <f>C265*GiaDinh!$C$6</f>
        <v>205.95719999999997</v>
      </c>
    </row>
    <row r="266" spans="1:7" x14ac:dyDescent="0.35">
      <c r="A266" t="s">
        <v>9</v>
      </c>
      <c r="B266">
        <v>32</v>
      </c>
      <c r="C266" s="5">
        <v>87.27</v>
      </c>
      <c r="D266">
        <f>ROUNDUP(C266/GiaDinh!$C$4-0.0005,0)</f>
        <v>15</v>
      </c>
      <c r="E266">
        <f t="shared" si="4"/>
        <v>14</v>
      </c>
      <c r="F266" s="5">
        <f>D266*GiaDinh!$C$4-C266</f>
        <v>2.730000000000004</v>
      </c>
      <c r="G266" s="5">
        <f>C266*GiaDinh!$C$6</f>
        <v>205.95719999999997</v>
      </c>
    </row>
    <row r="267" spans="1:7" x14ac:dyDescent="0.35">
      <c r="A267" t="s">
        <v>9</v>
      </c>
      <c r="B267">
        <v>33</v>
      </c>
      <c r="C267" s="5">
        <v>87.27</v>
      </c>
      <c r="D267">
        <f>ROUNDUP(C267/GiaDinh!$C$4-0.0005,0)</f>
        <v>15</v>
      </c>
      <c r="E267">
        <f t="shared" si="4"/>
        <v>14</v>
      </c>
      <c r="F267" s="5">
        <f>D267*GiaDinh!$C$4-C267</f>
        <v>2.730000000000004</v>
      </c>
      <c r="G267" s="5">
        <f>C267*GiaDinh!$C$6</f>
        <v>205.95719999999997</v>
      </c>
    </row>
    <row r="268" spans="1:7" x14ac:dyDescent="0.35">
      <c r="A268" t="s">
        <v>9</v>
      </c>
      <c r="B268">
        <v>34</v>
      </c>
      <c r="C268" s="5">
        <v>87.27</v>
      </c>
      <c r="D268">
        <f>ROUNDUP(C268/GiaDinh!$C$4-0.0005,0)</f>
        <v>15</v>
      </c>
      <c r="E268">
        <f t="shared" si="4"/>
        <v>14</v>
      </c>
      <c r="F268" s="5">
        <f>D268*GiaDinh!$C$4-C268</f>
        <v>2.730000000000004</v>
      </c>
      <c r="G268" s="5">
        <f>C268*GiaDinh!$C$6</f>
        <v>205.95719999999997</v>
      </c>
    </row>
    <row r="269" spans="1:7" x14ac:dyDescent="0.35">
      <c r="A269" t="s">
        <v>9</v>
      </c>
      <c r="B269">
        <v>35</v>
      </c>
      <c r="C269" s="5">
        <v>87.27</v>
      </c>
      <c r="D269">
        <f>ROUNDUP(C269/GiaDinh!$C$4-0.0005,0)</f>
        <v>15</v>
      </c>
      <c r="E269">
        <f t="shared" si="4"/>
        <v>14</v>
      </c>
      <c r="F269" s="5">
        <f>D269*GiaDinh!$C$4-C269</f>
        <v>2.730000000000004</v>
      </c>
      <c r="G269" s="5">
        <f>C269*GiaDinh!$C$6</f>
        <v>205.95719999999997</v>
      </c>
    </row>
    <row r="270" spans="1:7" x14ac:dyDescent="0.35">
      <c r="A270" t="s">
        <v>9</v>
      </c>
      <c r="B270">
        <v>36</v>
      </c>
      <c r="C270" s="5">
        <v>87.27</v>
      </c>
      <c r="D270">
        <f>ROUNDUP(C270/GiaDinh!$C$4-0.0005,0)</f>
        <v>15</v>
      </c>
      <c r="E270">
        <f t="shared" si="4"/>
        <v>14</v>
      </c>
      <c r="F270" s="5">
        <f>D270*GiaDinh!$C$4-C270</f>
        <v>2.730000000000004</v>
      </c>
      <c r="G270" s="5">
        <f>C270*GiaDinh!$C$6</f>
        <v>205.95719999999997</v>
      </c>
    </row>
    <row r="271" spans="1:7" x14ac:dyDescent="0.35">
      <c r="A271" t="s">
        <v>9</v>
      </c>
      <c r="B271">
        <v>37</v>
      </c>
      <c r="C271" s="5">
        <v>87.27</v>
      </c>
      <c r="D271">
        <f>ROUNDUP(C271/GiaDinh!$C$4-0.0005,0)</f>
        <v>15</v>
      </c>
      <c r="E271">
        <f t="shared" si="4"/>
        <v>14</v>
      </c>
      <c r="F271" s="5">
        <f>D271*GiaDinh!$C$4-C271</f>
        <v>2.730000000000004</v>
      </c>
      <c r="G271" s="5">
        <f>C271*GiaDinh!$C$6</f>
        <v>205.95719999999997</v>
      </c>
    </row>
    <row r="272" spans="1:7" x14ac:dyDescent="0.35">
      <c r="A272" t="s">
        <v>9</v>
      </c>
      <c r="B272">
        <v>38</v>
      </c>
      <c r="C272" s="5">
        <v>87.27</v>
      </c>
      <c r="D272">
        <f>ROUNDUP(C272/GiaDinh!$C$4-0.0005,0)</f>
        <v>15</v>
      </c>
      <c r="E272">
        <f t="shared" si="4"/>
        <v>14</v>
      </c>
      <c r="F272" s="5">
        <f>D272*GiaDinh!$C$4-C272</f>
        <v>2.730000000000004</v>
      </c>
      <c r="G272" s="5">
        <f>C272*GiaDinh!$C$6</f>
        <v>205.95719999999997</v>
      </c>
    </row>
    <row r="273" spans="1:7" x14ac:dyDescent="0.35">
      <c r="A273" t="s">
        <v>9</v>
      </c>
      <c r="B273">
        <v>39</v>
      </c>
      <c r="C273" s="5">
        <v>87.27</v>
      </c>
      <c r="D273">
        <f>ROUNDUP(C273/GiaDinh!$C$4-0.0005,0)</f>
        <v>15</v>
      </c>
      <c r="E273">
        <f t="shared" si="4"/>
        <v>14</v>
      </c>
      <c r="F273" s="5">
        <f>D273*GiaDinh!$C$4-C273</f>
        <v>2.730000000000004</v>
      </c>
      <c r="G273" s="5">
        <f>C273*GiaDinh!$C$6</f>
        <v>205.95719999999997</v>
      </c>
    </row>
    <row r="274" spans="1:7" x14ac:dyDescent="0.35">
      <c r="A274" t="s">
        <v>9</v>
      </c>
      <c r="B274">
        <v>40</v>
      </c>
      <c r="C274" s="5">
        <v>87.27</v>
      </c>
      <c r="D274">
        <f>ROUNDUP(C274/GiaDinh!$C$4-0.0005,0)</f>
        <v>15</v>
      </c>
      <c r="E274">
        <f t="shared" si="4"/>
        <v>14</v>
      </c>
      <c r="F274" s="5">
        <f>D274*GiaDinh!$C$4-C274</f>
        <v>2.730000000000004</v>
      </c>
      <c r="G274" s="5">
        <f>C274*GiaDinh!$C$6</f>
        <v>205.95719999999997</v>
      </c>
    </row>
    <row r="275" spans="1:7" x14ac:dyDescent="0.35">
      <c r="A275" t="s">
        <v>9</v>
      </c>
      <c r="B275">
        <v>41</v>
      </c>
      <c r="C275" s="5">
        <v>87.27</v>
      </c>
      <c r="D275">
        <f>ROUNDUP(C275/GiaDinh!$C$4-0.0005,0)</f>
        <v>15</v>
      </c>
      <c r="E275">
        <f t="shared" si="4"/>
        <v>14</v>
      </c>
      <c r="F275" s="5">
        <f>D275*GiaDinh!$C$4-C275</f>
        <v>2.730000000000004</v>
      </c>
      <c r="G275" s="5">
        <f>C275*GiaDinh!$C$6</f>
        <v>205.95719999999997</v>
      </c>
    </row>
    <row r="276" spans="1:7" x14ac:dyDescent="0.35">
      <c r="A276" t="s">
        <v>9</v>
      </c>
      <c r="B276">
        <v>42</v>
      </c>
      <c r="C276" s="5">
        <v>87.27</v>
      </c>
      <c r="D276">
        <f>ROUNDUP(C276/GiaDinh!$C$4-0.0005,0)</f>
        <v>15</v>
      </c>
      <c r="E276">
        <f t="shared" si="4"/>
        <v>14</v>
      </c>
      <c r="F276" s="5">
        <f>D276*GiaDinh!$C$4-C276</f>
        <v>2.730000000000004</v>
      </c>
      <c r="G276" s="5">
        <f>C276*GiaDinh!$C$6</f>
        <v>205.95719999999997</v>
      </c>
    </row>
    <row r="277" spans="1:7" x14ac:dyDescent="0.35">
      <c r="A277" t="s">
        <v>9</v>
      </c>
      <c r="B277">
        <v>43</v>
      </c>
      <c r="C277" s="5">
        <v>87.27</v>
      </c>
      <c r="D277">
        <f>ROUNDUP(C277/GiaDinh!$C$4-0.0005,0)</f>
        <v>15</v>
      </c>
      <c r="E277">
        <f t="shared" si="4"/>
        <v>14</v>
      </c>
      <c r="F277" s="5">
        <f>D277*GiaDinh!$C$4-C277</f>
        <v>2.730000000000004</v>
      </c>
      <c r="G277" s="5">
        <f>C277*GiaDinh!$C$6</f>
        <v>205.95719999999997</v>
      </c>
    </row>
    <row r="278" spans="1:7" x14ac:dyDescent="0.35">
      <c r="A278" t="s">
        <v>9</v>
      </c>
      <c r="B278">
        <v>44</v>
      </c>
      <c r="C278" s="5">
        <v>87.27</v>
      </c>
      <c r="D278">
        <f>ROUNDUP(C278/GiaDinh!$C$4-0.0005,0)</f>
        <v>15</v>
      </c>
      <c r="E278">
        <f t="shared" si="4"/>
        <v>14</v>
      </c>
      <c r="F278" s="5">
        <f>D278*GiaDinh!$C$4-C278</f>
        <v>2.730000000000004</v>
      </c>
      <c r="G278" s="5">
        <f>C278*GiaDinh!$C$6</f>
        <v>205.95719999999997</v>
      </c>
    </row>
    <row r="279" spans="1:7" x14ac:dyDescent="0.35">
      <c r="A279" t="s">
        <v>9</v>
      </c>
      <c r="B279">
        <v>45</v>
      </c>
      <c r="C279" s="5">
        <v>111.273</v>
      </c>
      <c r="D279">
        <f>ROUNDUP(C279/GiaDinh!$C$4-0.0005,0)</f>
        <v>19</v>
      </c>
      <c r="E279">
        <f t="shared" si="4"/>
        <v>18</v>
      </c>
      <c r="F279" s="5">
        <f>D279*GiaDinh!$C$4-C279</f>
        <v>2.7270000000000039</v>
      </c>
      <c r="G279" s="5">
        <f>C279*GiaDinh!$C$6</f>
        <v>262.60427999999996</v>
      </c>
    </row>
    <row r="280" spans="1:7" x14ac:dyDescent="0.35">
      <c r="A280" t="s">
        <v>9</v>
      </c>
      <c r="B280">
        <v>46</v>
      </c>
      <c r="C280" s="5">
        <v>111.273</v>
      </c>
      <c r="D280">
        <f>ROUNDUP(C280/GiaDinh!$C$4-0.0005,0)</f>
        <v>19</v>
      </c>
      <c r="E280">
        <f t="shared" si="4"/>
        <v>18</v>
      </c>
      <c r="F280" s="5">
        <f>D280*GiaDinh!$C$4-C280</f>
        <v>2.7270000000000039</v>
      </c>
      <c r="G280" s="5">
        <f>C280*GiaDinh!$C$6</f>
        <v>262.60427999999996</v>
      </c>
    </row>
    <row r="281" spans="1:7" x14ac:dyDescent="0.35">
      <c r="A281" t="s">
        <v>9</v>
      </c>
      <c r="B281">
        <v>47</v>
      </c>
      <c r="C281" s="5">
        <v>111.273</v>
      </c>
      <c r="D281">
        <f>ROUNDUP(C281/GiaDinh!$C$4-0.0005,0)</f>
        <v>19</v>
      </c>
      <c r="E281">
        <f t="shared" si="4"/>
        <v>18</v>
      </c>
      <c r="F281" s="5">
        <f>D281*GiaDinh!$C$4-C281</f>
        <v>2.7270000000000039</v>
      </c>
      <c r="G281" s="5">
        <f>C281*GiaDinh!$C$6</f>
        <v>262.60427999999996</v>
      </c>
    </row>
    <row r="282" spans="1:7" x14ac:dyDescent="0.35">
      <c r="A282" t="s">
        <v>9</v>
      </c>
      <c r="B282">
        <v>48</v>
      </c>
      <c r="C282" s="5">
        <v>111.273</v>
      </c>
      <c r="D282">
        <f>ROUNDUP(C282/GiaDinh!$C$4-0.0005,0)</f>
        <v>19</v>
      </c>
      <c r="E282">
        <f t="shared" si="4"/>
        <v>18</v>
      </c>
      <c r="F282" s="5">
        <f>D282*GiaDinh!$C$4-C282</f>
        <v>2.7270000000000039</v>
      </c>
      <c r="G282" s="5">
        <f>C282*GiaDinh!$C$6</f>
        <v>262.60427999999996</v>
      </c>
    </row>
    <row r="283" spans="1:7" x14ac:dyDescent="0.35">
      <c r="A283" t="s">
        <v>9</v>
      </c>
      <c r="B283">
        <v>49</v>
      </c>
      <c r="C283" s="5">
        <v>111.273</v>
      </c>
      <c r="D283">
        <f>ROUNDUP(C283/GiaDinh!$C$4-0.0005,0)</f>
        <v>19</v>
      </c>
      <c r="E283">
        <f t="shared" si="4"/>
        <v>18</v>
      </c>
      <c r="F283" s="5">
        <f>D283*GiaDinh!$C$4-C283</f>
        <v>2.7270000000000039</v>
      </c>
      <c r="G283" s="5">
        <f>C283*GiaDinh!$C$6</f>
        <v>262.60427999999996</v>
      </c>
    </row>
    <row r="284" spans="1:7" x14ac:dyDescent="0.35">
      <c r="A284" t="s">
        <v>9</v>
      </c>
      <c r="B284">
        <v>50</v>
      </c>
      <c r="C284" s="5">
        <v>111.273</v>
      </c>
      <c r="D284">
        <f>ROUNDUP(C284/GiaDinh!$C$4-0.0005,0)</f>
        <v>19</v>
      </c>
      <c r="E284">
        <f t="shared" si="4"/>
        <v>18</v>
      </c>
      <c r="F284" s="5">
        <f>D284*GiaDinh!$C$4-C284</f>
        <v>2.7270000000000039</v>
      </c>
      <c r="G284" s="5">
        <f>C284*GiaDinh!$C$6</f>
        <v>262.60427999999996</v>
      </c>
    </row>
    <row r="285" spans="1:7" x14ac:dyDescent="0.35">
      <c r="A285" t="s">
        <v>9</v>
      </c>
      <c r="B285">
        <v>51</v>
      </c>
      <c r="C285" s="5">
        <v>111.273</v>
      </c>
      <c r="D285">
        <f>ROUNDUP(C285/GiaDinh!$C$4-0.0005,0)</f>
        <v>19</v>
      </c>
      <c r="E285">
        <f t="shared" si="4"/>
        <v>18</v>
      </c>
      <c r="F285" s="5">
        <f>D285*GiaDinh!$C$4-C285</f>
        <v>2.7270000000000039</v>
      </c>
      <c r="G285" s="5">
        <f>C285*GiaDinh!$C$6</f>
        <v>262.60427999999996</v>
      </c>
    </row>
    <row r="286" spans="1:7" x14ac:dyDescent="0.35">
      <c r="A286" t="s">
        <v>9</v>
      </c>
      <c r="B286">
        <v>52</v>
      </c>
      <c r="C286" s="5">
        <v>111.273</v>
      </c>
      <c r="D286">
        <f>ROUNDUP(C286/GiaDinh!$C$4-0.0005,0)</f>
        <v>19</v>
      </c>
      <c r="E286">
        <f t="shared" si="4"/>
        <v>18</v>
      </c>
      <c r="F286" s="5">
        <f>D286*GiaDinh!$C$4-C286</f>
        <v>2.7270000000000039</v>
      </c>
      <c r="G286" s="5">
        <f>C286*GiaDinh!$C$6</f>
        <v>262.60427999999996</v>
      </c>
    </row>
    <row r="287" spans="1:7" x14ac:dyDescent="0.35">
      <c r="A287" t="s">
        <v>9</v>
      </c>
      <c r="B287">
        <v>53</v>
      </c>
      <c r="C287" s="5">
        <v>111.273</v>
      </c>
      <c r="D287">
        <f>ROUNDUP(C287/GiaDinh!$C$4-0.0005,0)</f>
        <v>19</v>
      </c>
      <c r="E287">
        <f t="shared" si="4"/>
        <v>18</v>
      </c>
      <c r="F287" s="5">
        <f>D287*GiaDinh!$C$4-C287</f>
        <v>2.7270000000000039</v>
      </c>
      <c r="G287" s="5">
        <f>C287*GiaDinh!$C$6</f>
        <v>262.60427999999996</v>
      </c>
    </row>
    <row r="288" spans="1:7" x14ac:dyDescent="0.35">
      <c r="A288" t="s">
        <v>9</v>
      </c>
      <c r="B288">
        <v>54</v>
      </c>
      <c r="C288" s="5">
        <v>111.273</v>
      </c>
      <c r="D288">
        <f>ROUNDUP(C288/GiaDinh!$C$4-0.0005,0)</f>
        <v>19</v>
      </c>
      <c r="E288">
        <f t="shared" si="4"/>
        <v>18</v>
      </c>
      <c r="F288" s="5">
        <f>D288*GiaDinh!$C$4-C288</f>
        <v>2.7270000000000039</v>
      </c>
      <c r="G288" s="5">
        <f>C288*GiaDinh!$C$6</f>
        <v>262.60427999999996</v>
      </c>
    </row>
    <row r="289" spans="1:7" x14ac:dyDescent="0.35">
      <c r="A289" t="s">
        <v>9</v>
      </c>
      <c r="B289">
        <v>55</v>
      </c>
      <c r="C289" s="5">
        <v>111.273</v>
      </c>
      <c r="D289">
        <f>ROUNDUP(C289/GiaDinh!$C$4-0.0005,0)</f>
        <v>19</v>
      </c>
      <c r="E289">
        <f t="shared" si="4"/>
        <v>18</v>
      </c>
      <c r="F289" s="5">
        <f>D289*GiaDinh!$C$4-C289</f>
        <v>2.7270000000000039</v>
      </c>
      <c r="G289" s="5">
        <f>C289*GiaDinh!$C$6</f>
        <v>262.60427999999996</v>
      </c>
    </row>
    <row r="290" spans="1:7" x14ac:dyDescent="0.35">
      <c r="A290" t="s">
        <v>9</v>
      </c>
      <c r="B290">
        <v>56</v>
      </c>
      <c r="C290" s="5">
        <v>111.273</v>
      </c>
      <c r="D290">
        <f>ROUNDUP(C290/GiaDinh!$C$4-0.0005,0)</f>
        <v>19</v>
      </c>
      <c r="E290">
        <f t="shared" si="4"/>
        <v>18</v>
      </c>
      <c r="F290" s="5">
        <f>D290*GiaDinh!$C$4-C290</f>
        <v>2.7270000000000039</v>
      </c>
      <c r="G290" s="5">
        <f>C290*GiaDinh!$C$6</f>
        <v>262.60427999999996</v>
      </c>
    </row>
    <row r="291" spans="1:7" x14ac:dyDescent="0.35">
      <c r="A291" t="s">
        <v>9</v>
      </c>
      <c r="B291">
        <v>57</v>
      </c>
      <c r="C291" s="5">
        <v>111.273</v>
      </c>
      <c r="D291">
        <f>ROUNDUP(C291/GiaDinh!$C$4-0.0005,0)</f>
        <v>19</v>
      </c>
      <c r="E291">
        <f t="shared" si="4"/>
        <v>18</v>
      </c>
      <c r="F291" s="5">
        <f>D291*GiaDinh!$C$4-C291</f>
        <v>2.7270000000000039</v>
      </c>
      <c r="G291" s="5">
        <f>C291*GiaDinh!$C$6</f>
        <v>262.60427999999996</v>
      </c>
    </row>
    <row r="292" spans="1:7" x14ac:dyDescent="0.35">
      <c r="A292" t="s">
        <v>9</v>
      </c>
      <c r="B292">
        <v>58</v>
      </c>
      <c r="C292" s="5">
        <v>111.273</v>
      </c>
      <c r="D292">
        <f>ROUNDUP(C292/GiaDinh!$C$4-0.0005,0)</f>
        <v>19</v>
      </c>
      <c r="E292">
        <f t="shared" si="4"/>
        <v>18</v>
      </c>
      <c r="F292" s="5">
        <f>D292*GiaDinh!$C$4-C292</f>
        <v>2.7270000000000039</v>
      </c>
      <c r="G292" s="5">
        <f>C292*GiaDinh!$C$6</f>
        <v>262.60427999999996</v>
      </c>
    </row>
    <row r="293" spans="1:7" x14ac:dyDescent="0.35">
      <c r="A293" t="s">
        <v>9</v>
      </c>
      <c r="B293">
        <v>59</v>
      </c>
      <c r="C293" s="5">
        <v>111.273</v>
      </c>
      <c r="D293">
        <f>ROUNDUP(C293/GiaDinh!$C$4-0.0005,0)</f>
        <v>19</v>
      </c>
      <c r="E293">
        <f t="shared" si="4"/>
        <v>18</v>
      </c>
      <c r="F293" s="5">
        <f>D293*GiaDinh!$C$4-C293</f>
        <v>2.7270000000000039</v>
      </c>
      <c r="G293" s="5">
        <f>C293*GiaDinh!$C$6</f>
        <v>262.60427999999996</v>
      </c>
    </row>
    <row r="294" spans="1:7" x14ac:dyDescent="0.35">
      <c r="A294" t="s">
        <v>9</v>
      </c>
      <c r="B294">
        <v>60</v>
      </c>
      <c r="C294" s="5">
        <v>111.273</v>
      </c>
      <c r="D294">
        <f>ROUNDUP(C294/GiaDinh!$C$4-0.0005,0)</f>
        <v>19</v>
      </c>
      <c r="E294">
        <f t="shared" si="4"/>
        <v>18</v>
      </c>
      <c r="F294" s="5">
        <f>D294*GiaDinh!$C$4-C294</f>
        <v>2.7270000000000039</v>
      </c>
      <c r="G294" s="5">
        <f>C294*GiaDinh!$C$6</f>
        <v>262.60427999999996</v>
      </c>
    </row>
    <row r="295" spans="1:7" x14ac:dyDescent="0.35">
      <c r="A295" t="s">
        <v>9</v>
      </c>
      <c r="B295">
        <v>61</v>
      </c>
      <c r="C295" s="5">
        <v>111.273</v>
      </c>
      <c r="D295">
        <f>ROUNDUP(C295/GiaDinh!$C$4-0.0005,0)</f>
        <v>19</v>
      </c>
      <c r="E295">
        <f t="shared" si="4"/>
        <v>18</v>
      </c>
      <c r="F295" s="5">
        <f>D295*GiaDinh!$C$4-C295</f>
        <v>2.7270000000000039</v>
      </c>
      <c r="G295" s="5">
        <f>C295*GiaDinh!$C$6</f>
        <v>262.60427999999996</v>
      </c>
    </row>
    <row r="296" spans="1:7" x14ac:dyDescent="0.35">
      <c r="A296" t="s">
        <v>9</v>
      </c>
      <c r="B296">
        <v>62</v>
      </c>
      <c r="C296" s="5">
        <v>111.273</v>
      </c>
      <c r="D296">
        <f>ROUNDUP(C296/GiaDinh!$C$4-0.0005,0)</f>
        <v>19</v>
      </c>
      <c r="E296">
        <f t="shared" si="4"/>
        <v>18</v>
      </c>
      <c r="F296" s="5">
        <f>D296*GiaDinh!$C$4-C296</f>
        <v>2.7270000000000039</v>
      </c>
      <c r="G296" s="5">
        <f>C296*GiaDinh!$C$6</f>
        <v>262.60427999999996</v>
      </c>
    </row>
    <row r="297" spans="1:7" x14ac:dyDescent="0.35">
      <c r="A297" t="s">
        <v>9</v>
      </c>
      <c r="B297">
        <v>63</v>
      </c>
      <c r="C297" s="5">
        <v>111.273</v>
      </c>
      <c r="D297">
        <f>ROUNDUP(C297/GiaDinh!$C$4-0.0005,0)</f>
        <v>19</v>
      </c>
      <c r="E297">
        <f t="shared" si="4"/>
        <v>18</v>
      </c>
      <c r="F297" s="5">
        <f>D297*GiaDinh!$C$4-C297</f>
        <v>2.7270000000000039</v>
      </c>
      <c r="G297" s="5">
        <f>C297*GiaDinh!$C$6</f>
        <v>262.60427999999996</v>
      </c>
    </row>
    <row r="298" spans="1:7" x14ac:dyDescent="0.35">
      <c r="A298" t="s">
        <v>9</v>
      </c>
      <c r="B298">
        <v>64</v>
      </c>
      <c r="C298" s="5">
        <v>111.273</v>
      </c>
      <c r="D298">
        <f>ROUNDUP(C298/GiaDinh!$C$4-0.0005,0)</f>
        <v>19</v>
      </c>
      <c r="E298">
        <f t="shared" si="4"/>
        <v>18</v>
      </c>
      <c r="F298" s="5">
        <f>D298*GiaDinh!$C$4-C298</f>
        <v>2.7270000000000039</v>
      </c>
      <c r="G298" s="5">
        <f>C298*GiaDinh!$C$6</f>
        <v>262.60427999999996</v>
      </c>
    </row>
    <row r="299" spans="1:7" x14ac:dyDescent="0.35">
      <c r="A299" t="s">
        <v>9</v>
      </c>
      <c r="B299">
        <v>65</v>
      </c>
      <c r="C299" s="5">
        <v>111.273</v>
      </c>
      <c r="D299">
        <f>ROUNDUP(C299/GiaDinh!$C$4-0.0005,0)</f>
        <v>19</v>
      </c>
      <c r="E299">
        <f t="shared" si="4"/>
        <v>18</v>
      </c>
      <c r="F299" s="5">
        <f>D299*GiaDinh!$C$4-C299</f>
        <v>2.7270000000000039</v>
      </c>
      <c r="G299" s="5">
        <f>C299*GiaDinh!$C$6</f>
        <v>262.60427999999996</v>
      </c>
    </row>
    <row r="300" spans="1:7" x14ac:dyDescent="0.35">
      <c r="A300" t="s">
        <v>9</v>
      </c>
      <c r="B300">
        <v>66</v>
      </c>
      <c r="C300" s="5">
        <v>111.273</v>
      </c>
      <c r="D300">
        <f>ROUNDUP(C300/GiaDinh!$C$4-0.0005,0)</f>
        <v>19</v>
      </c>
      <c r="E300">
        <f t="shared" si="4"/>
        <v>18</v>
      </c>
      <c r="F300" s="5">
        <f>D300*GiaDinh!$C$4-C300</f>
        <v>2.7270000000000039</v>
      </c>
      <c r="G300" s="5">
        <f>C300*GiaDinh!$C$6</f>
        <v>262.60427999999996</v>
      </c>
    </row>
    <row r="301" spans="1:7" x14ac:dyDescent="0.35">
      <c r="A301" t="s">
        <v>9</v>
      </c>
      <c r="B301">
        <v>67</v>
      </c>
      <c r="C301" s="5">
        <v>111.273</v>
      </c>
      <c r="D301">
        <f>ROUNDUP(C301/GiaDinh!$C$4-0.0005,0)</f>
        <v>19</v>
      </c>
      <c r="E301">
        <f t="shared" si="4"/>
        <v>18</v>
      </c>
      <c r="F301" s="5">
        <f>D301*GiaDinh!$C$4-C301</f>
        <v>2.7270000000000039</v>
      </c>
      <c r="G301" s="5">
        <f>C301*GiaDinh!$C$6</f>
        <v>262.60427999999996</v>
      </c>
    </row>
    <row r="302" spans="1:7" x14ac:dyDescent="0.35">
      <c r="A302" t="s">
        <v>9</v>
      </c>
      <c r="B302">
        <v>68</v>
      </c>
      <c r="C302" s="5">
        <v>111.273</v>
      </c>
      <c r="D302">
        <f>ROUNDUP(C302/GiaDinh!$C$4-0.0005,0)</f>
        <v>19</v>
      </c>
      <c r="E302">
        <f t="shared" si="4"/>
        <v>18</v>
      </c>
      <c r="F302" s="5">
        <f>D302*GiaDinh!$C$4-C302</f>
        <v>2.7270000000000039</v>
      </c>
      <c r="G302" s="5">
        <f>C302*GiaDinh!$C$6</f>
        <v>262.60427999999996</v>
      </c>
    </row>
    <row r="303" spans="1:7" x14ac:dyDescent="0.35">
      <c r="A303" t="s">
        <v>9</v>
      </c>
      <c r="B303">
        <v>69</v>
      </c>
      <c r="C303" s="5">
        <v>111.273</v>
      </c>
      <c r="D303">
        <f>ROUNDUP(C303/GiaDinh!$C$4-0.0005,0)</f>
        <v>19</v>
      </c>
      <c r="E303">
        <f t="shared" si="4"/>
        <v>18</v>
      </c>
      <c r="F303" s="5">
        <f>D303*GiaDinh!$C$4-C303</f>
        <v>2.7270000000000039</v>
      </c>
      <c r="G303" s="5">
        <f>C303*GiaDinh!$C$6</f>
        <v>262.60427999999996</v>
      </c>
    </row>
    <row r="304" spans="1:7" x14ac:dyDescent="0.35">
      <c r="A304" t="s">
        <v>9</v>
      </c>
      <c r="B304">
        <v>70</v>
      </c>
      <c r="C304" s="5">
        <v>111.273</v>
      </c>
      <c r="D304">
        <f>ROUNDUP(C304/GiaDinh!$C$4-0.0005,0)</f>
        <v>19</v>
      </c>
      <c r="E304">
        <f t="shared" si="4"/>
        <v>18</v>
      </c>
      <c r="F304" s="5">
        <f>D304*GiaDinh!$C$4-C304</f>
        <v>2.7270000000000039</v>
      </c>
      <c r="G304" s="5">
        <f>C304*GiaDinh!$C$6</f>
        <v>262.60427999999996</v>
      </c>
    </row>
    <row r="305" spans="1:7" x14ac:dyDescent="0.35">
      <c r="A305" t="s">
        <v>9</v>
      </c>
      <c r="B305">
        <v>71</v>
      </c>
      <c r="C305" s="5">
        <v>111.273</v>
      </c>
      <c r="D305">
        <f>ROUNDUP(C305/GiaDinh!$C$4-0.0005,0)</f>
        <v>19</v>
      </c>
      <c r="E305">
        <f t="shared" si="4"/>
        <v>18</v>
      </c>
      <c r="F305" s="5">
        <f>D305*GiaDinh!$C$4-C305</f>
        <v>2.7270000000000039</v>
      </c>
      <c r="G305" s="5">
        <f>C305*GiaDinh!$C$6</f>
        <v>262.60427999999996</v>
      </c>
    </row>
    <row r="306" spans="1:7" x14ac:dyDescent="0.35">
      <c r="A306" t="s">
        <v>9</v>
      </c>
      <c r="B306">
        <v>72</v>
      </c>
      <c r="C306" s="5">
        <v>111.273</v>
      </c>
      <c r="D306">
        <f>ROUNDUP(C306/GiaDinh!$C$4-0.0005,0)</f>
        <v>19</v>
      </c>
      <c r="E306">
        <f t="shared" si="4"/>
        <v>18</v>
      </c>
      <c r="F306" s="5">
        <f>D306*GiaDinh!$C$4-C306</f>
        <v>2.7270000000000039</v>
      </c>
      <c r="G306" s="5">
        <f>C306*GiaDinh!$C$6</f>
        <v>262.60427999999996</v>
      </c>
    </row>
    <row r="307" spans="1:7" x14ac:dyDescent="0.35">
      <c r="A307" t="s">
        <v>9</v>
      </c>
      <c r="B307">
        <v>73</v>
      </c>
      <c r="C307" s="5">
        <v>111.273</v>
      </c>
      <c r="D307">
        <f>ROUNDUP(C307/GiaDinh!$C$4-0.0005,0)</f>
        <v>19</v>
      </c>
      <c r="E307">
        <f t="shared" si="4"/>
        <v>18</v>
      </c>
      <c r="F307" s="5">
        <f>D307*GiaDinh!$C$4-C307</f>
        <v>2.7270000000000039</v>
      </c>
      <c r="G307" s="5">
        <f>C307*GiaDinh!$C$6</f>
        <v>262.60427999999996</v>
      </c>
    </row>
    <row r="308" spans="1:7" x14ac:dyDescent="0.35">
      <c r="A308" t="s">
        <v>9</v>
      </c>
      <c r="B308">
        <v>74</v>
      </c>
      <c r="C308" s="5">
        <v>111.273</v>
      </c>
      <c r="D308">
        <f>ROUNDUP(C308/GiaDinh!$C$4-0.0005,0)</f>
        <v>19</v>
      </c>
      <c r="E308">
        <f t="shared" si="4"/>
        <v>18</v>
      </c>
      <c r="F308" s="5">
        <f>D308*GiaDinh!$C$4-C308</f>
        <v>2.7270000000000039</v>
      </c>
      <c r="G308" s="5">
        <f>C308*GiaDinh!$C$6</f>
        <v>262.60427999999996</v>
      </c>
    </row>
    <row r="309" spans="1:7" x14ac:dyDescent="0.35">
      <c r="A309" t="s">
        <v>9</v>
      </c>
      <c r="B309">
        <v>75</v>
      </c>
      <c r="C309" s="5">
        <v>149.29300000000001</v>
      </c>
      <c r="D309">
        <f>ROUNDUP(C309/GiaDinh!$C$4-0.0005,0)</f>
        <v>25</v>
      </c>
      <c r="E309">
        <f t="shared" si="4"/>
        <v>24</v>
      </c>
      <c r="F309" s="5">
        <f>D309*GiaDinh!$C$4-C309</f>
        <v>0.70699999999999363</v>
      </c>
      <c r="G309" s="5">
        <f>C309*GiaDinh!$C$6</f>
        <v>352.33148</v>
      </c>
    </row>
    <row r="310" spans="1:7" x14ac:dyDescent="0.35">
      <c r="A310" t="s">
        <v>9</v>
      </c>
      <c r="B310">
        <v>76</v>
      </c>
      <c r="C310" s="5">
        <v>149.29300000000001</v>
      </c>
      <c r="D310">
        <f>ROUNDUP(C310/GiaDinh!$C$4-0.0005,0)</f>
        <v>25</v>
      </c>
      <c r="E310">
        <f t="shared" si="4"/>
        <v>24</v>
      </c>
      <c r="F310" s="5">
        <f>D310*GiaDinh!$C$4-C310</f>
        <v>0.70699999999999363</v>
      </c>
      <c r="G310" s="5">
        <f>C310*GiaDinh!$C$6</f>
        <v>352.33148</v>
      </c>
    </row>
    <row r="311" spans="1:7" x14ac:dyDescent="0.35">
      <c r="A311" t="s">
        <v>9</v>
      </c>
      <c r="B311">
        <v>77</v>
      </c>
      <c r="C311" s="5">
        <v>149.29300000000001</v>
      </c>
      <c r="D311">
        <f>ROUNDUP(C311/GiaDinh!$C$4-0.0005,0)</f>
        <v>25</v>
      </c>
      <c r="E311">
        <f t="shared" si="4"/>
        <v>24</v>
      </c>
      <c r="F311" s="5">
        <f>D311*GiaDinh!$C$4-C311</f>
        <v>0.70699999999999363</v>
      </c>
      <c r="G311" s="5">
        <f>C311*GiaDinh!$C$6</f>
        <v>352.33148</v>
      </c>
    </row>
    <row r="312" spans="1:7" x14ac:dyDescent="0.35">
      <c r="A312" t="s">
        <v>9</v>
      </c>
      <c r="B312">
        <v>78</v>
      </c>
      <c r="C312" s="5">
        <v>149.29300000000001</v>
      </c>
      <c r="D312">
        <f>ROUNDUP(C312/GiaDinh!$C$4-0.0005,0)</f>
        <v>25</v>
      </c>
      <c r="E312">
        <f t="shared" si="4"/>
        <v>24</v>
      </c>
      <c r="F312" s="5">
        <f>D312*GiaDinh!$C$4-C312</f>
        <v>0.70699999999999363</v>
      </c>
      <c r="G312" s="5">
        <f>C312*GiaDinh!$C$6</f>
        <v>352.33148</v>
      </c>
    </row>
    <row r="313" spans="1:7" x14ac:dyDescent="0.35">
      <c r="A313" t="s">
        <v>9</v>
      </c>
      <c r="B313">
        <v>79</v>
      </c>
      <c r="C313" s="5">
        <v>149.29300000000001</v>
      </c>
      <c r="D313">
        <f>ROUNDUP(C313/GiaDinh!$C$4-0.0005,0)</f>
        <v>25</v>
      </c>
      <c r="E313">
        <f t="shared" si="4"/>
        <v>24</v>
      </c>
      <c r="F313" s="5">
        <f>D313*GiaDinh!$C$4-C313</f>
        <v>0.70699999999999363</v>
      </c>
      <c r="G313" s="5">
        <f>C313*GiaDinh!$C$6</f>
        <v>352.33148</v>
      </c>
    </row>
    <row r="314" spans="1:7" x14ac:dyDescent="0.35">
      <c r="A314" t="s">
        <v>9</v>
      </c>
      <c r="B314">
        <v>80</v>
      </c>
      <c r="C314" s="5">
        <v>149.29300000000001</v>
      </c>
      <c r="D314">
        <f>ROUNDUP(C314/GiaDinh!$C$4-0.0005,0)</f>
        <v>25</v>
      </c>
      <c r="E314">
        <f t="shared" si="4"/>
        <v>24</v>
      </c>
      <c r="F314" s="5">
        <f>D314*GiaDinh!$C$4-C314</f>
        <v>0.70699999999999363</v>
      </c>
      <c r="G314" s="5">
        <f>C314*GiaDinh!$C$6</f>
        <v>352.33148</v>
      </c>
    </row>
    <row r="315" spans="1:7" x14ac:dyDescent="0.35">
      <c r="A315" t="s">
        <v>9</v>
      </c>
      <c r="B315">
        <v>81</v>
      </c>
      <c r="C315" s="5">
        <v>149.29300000000001</v>
      </c>
      <c r="D315">
        <f>ROUNDUP(C315/GiaDinh!$C$4-0.0005,0)</f>
        <v>25</v>
      </c>
      <c r="E315">
        <f t="shared" si="4"/>
        <v>24</v>
      </c>
      <c r="F315" s="5">
        <f>D315*GiaDinh!$C$4-C315</f>
        <v>0.70699999999999363</v>
      </c>
      <c r="G315" s="5">
        <f>C315*GiaDinh!$C$6</f>
        <v>352.33148</v>
      </c>
    </row>
    <row r="316" spans="1:7" x14ac:dyDescent="0.35">
      <c r="A316" t="s">
        <v>9</v>
      </c>
      <c r="B316">
        <v>82</v>
      </c>
      <c r="C316" s="5">
        <v>149.29300000000001</v>
      </c>
      <c r="D316">
        <f>ROUNDUP(C316/GiaDinh!$C$4-0.0005,0)</f>
        <v>25</v>
      </c>
      <c r="E316">
        <f t="shared" si="4"/>
        <v>24</v>
      </c>
      <c r="F316" s="5">
        <f>D316*GiaDinh!$C$4-C316</f>
        <v>0.70699999999999363</v>
      </c>
      <c r="G316" s="5">
        <f>C316*GiaDinh!$C$6</f>
        <v>352.33148</v>
      </c>
    </row>
    <row r="317" spans="1:7" x14ac:dyDescent="0.35">
      <c r="A317" t="s">
        <v>9</v>
      </c>
      <c r="B317">
        <v>83</v>
      </c>
      <c r="C317" s="5">
        <v>149.29300000000001</v>
      </c>
      <c r="D317">
        <f>ROUNDUP(C317/GiaDinh!$C$4-0.0005,0)</f>
        <v>25</v>
      </c>
      <c r="E317">
        <f t="shared" si="4"/>
        <v>24</v>
      </c>
      <c r="F317" s="5">
        <f>D317*GiaDinh!$C$4-C317</f>
        <v>0.70699999999999363</v>
      </c>
      <c r="G317" s="5">
        <f>C317*GiaDinh!$C$6</f>
        <v>352.33148</v>
      </c>
    </row>
    <row r="318" spans="1:7" x14ac:dyDescent="0.35">
      <c r="A318" t="s">
        <v>9</v>
      </c>
      <c r="B318">
        <v>84</v>
      </c>
      <c r="C318" s="5">
        <v>149.29300000000001</v>
      </c>
      <c r="D318">
        <f>ROUNDUP(C318/GiaDinh!$C$4-0.0005,0)</f>
        <v>25</v>
      </c>
      <c r="E318">
        <f t="shared" si="4"/>
        <v>24</v>
      </c>
      <c r="F318" s="5">
        <f>D318*GiaDinh!$C$4-C318</f>
        <v>0.70699999999999363</v>
      </c>
      <c r="G318" s="5">
        <f>C318*GiaDinh!$C$6</f>
        <v>352.33148</v>
      </c>
    </row>
    <row r="319" spans="1:7" x14ac:dyDescent="0.35">
      <c r="A319" t="s">
        <v>9</v>
      </c>
      <c r="B319">
        <v>85</v>
      </c>
      <c r="C319" s="5">
        <v>149.29300000000001</v>
      </c>
      <c r="D319">
        <f>ROUNDUP(C319/GiaDinh!$C$4-0.0005,0)</f>
        <v>25</v>
      </c>
      <c r="E319">
        <f t="shared" si="4"/>
        <v>24</v>
      </c>
      <c r="F319" s="5">
        <f>D319*GiaDinh!$C$4-C319</f>
        <v>0.70699999999999363</v>
      </c>
      <c r="G319" s="5">
        <f>C319*GiaDinh!$C$6</f>
        <v>352.33148</v>
      </c>
    </row>
    <row r="320" spans="1:7" x14ac:dyDescent="0.35">
      <c r="A320" t="s">
        <v>9</v>
      </c>
      <c r="B320">
        <v>86</v>
      </c>
      <c r="C320" s="5">
        <v>149.29300000000001</v>
      </c>
      <c r="D320">
        <f>ROUNDUP(C320/GiaDinh!$C$4-0.0005,0)</f>
        <v>25</v>
      </c>
      <c r="E320">
        <f t="shared" si="4"/>
        <v>24</v>
      </c>
      <c r="F320" s="5">
        <f>D320*GiaDinh!$C$4-C320</f>
        <v>0.70699999999999363</v>
      </c>
      <c r="G320" s="5">
        <f>C320*GiaDinh!$C$6</f>
        <v>352.33148</v>
      </c>
    </row>
    <row r="321" spans="1:7" x14ac:dyDescent="0.35">
      <c r="A321" t="s">
        <v>9</v>
      </c>
      <c r="B321">
        <v>87</v>
      </c>
      <c r="C321" s="5">
        <v>149.29300000000001</v>
      </c>
      <c r="D321">
        <f>ROUNDUP(C321/GiaDinh!$C$4-0.0005,0)</f>
        <v>25</v>
      </c>
      <c r="E321">
        <f t="shared" si="4"/>
        <v>24</v>
      </c>
      <c r="F321" s="5">
        <f>D321*GiaDinh!$C$4-C321</f>
        <v>0.70699999999999363</v>
      </c>
      <c r="G321" s="5">
        <f>C321*GiaDinh!$C$6</f>
        <v>352.33148</v>
      </c>
    </row>
    <row r="322" spans="1:7" x14ac:dyDescent="0.35">
      <c r="A322" t="s">
        <v>9</v>
      </c>
      <c r="B322">
        <v>88</v>
      </c>
      <c r="C322" s="5">
        <v>149.29300000000001</v>
      </c>
      <c r="D322">
        <f>ROUNDUP(C322/GiaDinh!$C$4-0.0005,0)</f>
        <v>25</v>
      </c>
      <c r="E322">
        <f t="shared" si="4"/>
        <v>24</v>
      </c>
      <c r="F322" s="5">
        <f>D322*GiaDinh!$C$4-C322</f>
        <v>0.70699999999999363</v>
      </c>
      <c r="G322" s="5">
        <f>C322*GiaDinh!$C$6</f>
        <v>352.33148</v>
      </c>
    </row>
    <row r="323" spans="1:7" x14ac:dyDescent="0.35">
      <c r="A323" t="s">
        <v>9</v>
      </c>
      <c r="B323">
        <v>89</v>
      </c>
      <c r="C323" s="5">
        <v>149.29300000000001</v>
      </c>
      <c r="D323">
        <f>ROUNDUP(C323/GiaDinh!$C$4-0.0005,0)</f>
        <v>25</v>
      </c>
      <c r="E323">
        <f t="shared" si="4"/>
        <v>24</v>
      </c>
      <c r="F323" s="5">
        <f>D323*GiaDinh!$C$4-C323</f>
        <v>0.70699999999999363</v>
      </c>
      <c r="G323" s="5">
        <f>C323*GiaDinh!$C$6</f>
        <v>352.33148</v>
      </c>
    </row>
    <row r="324" spans="1:7" x14ac:dyDescent="0.35">
      <c r="A324" t="s">
        <v>9</v>
      </c>
      <c r="B324">
        <v>90</v>
      </c>
      <c r="C324" s="5">
        <v>149.29300000000001</v>
      </c>
      <c r="D324">
        <f>ROUNDUP(C324/GiaDinh!$C$4-0.0005,0)</f>
        <v>25</v>
      </c>
      <c r="E324">
        <f t="shared" ref="E324:E387" si="5">D324-1</f>
        <v>24</v>
      </c>
      <c r="F324" s="5">
        <f>D324*GiaDinh!$C$4-C324</f>
        <v>0.70699999999999363</v>
      </c>
      <c r="G324" s="5">
        <f>C324*GiaDinh!$C$6</f>
        <v>352.33148</v>
      </c>
    </row>
    <row r="325" spans="1:7" x14ac:dyDescent="0.35">
      <c r="A325" t="s">
        <v>9</v>
      </c>
      <c r="B325">
        <v>91</v>
      </c>
      <c r="C325" s="5">
        <v>149.29300000000001</v>
      </c>
      <c r="D325">
        <f>ROUNDUP(C325/GiaDinh!$C$4-0.0005,0)</f>
        <v>25</v>
      </c>
      <c r="E325">
        <f t="shared" si="5"/>
        <v>24</v>
      </c>
      <c r="F325" s="5">
        <f>D325*GiaDinh!$C$4-C325</f>
        <v>0.70699999999999363</v>
      </c>
      <c r="G325" s="5">
        <f>C325*GiaDinh!$C$6</f>
        <v>352.33148</v>
      </c>
    </row>
    <row r="326" spans="1:7" x14ac:dyDescent="0.35">
      <c r="A326" t="s">
        <v>9</v>
      </c>
      <c r="B326">
        <v>92</v>
      </c>
      <c r="C326" s="5">
        <v>149.29300000000001</v>
      </c>
      <c r="D326">
        <f>ROUNDUP(C326/GiaDinh!$C$4-0.0005,0)</f>
        <v>25</v>
      </c>
      <c r="E326">
        <f t="shared" si="5"/>
        <v>24</v>
      </c>
      <c r="F326" s="5">
        <f>D326*GiaDinh!$C$4-C326</f>
        <v>0.70699999999999363</v>
      </c>
      <c r="G326" s="5">
        <f>C326*GiaDinh!$C$6</f>
        <v>352.33148</v>
      </c>
    </row>
    <row r="327" spans="1:7" x14ac:dyDescent="0.35">
      <c r="A327" t="s">
        <v>9</v>
      </c>
      <c r="B327">
        <v>93</v>
      </c>
      <c r="C327" s="5">
        <v>149.29300000000001</v>
      </c>
      <c r="D327">
        <f>ROUNDUP(C327/GiaDinh!$C$4-0.0005,0)</f>
        <v>25</v>
      </c>
      <c r="E327">
        <f t="shared" si="5"/>
        <v>24</v>
      </c>
      <c r="F327" s="5">
        <f>D327*GiaDinh!$C$4-C327</f>
        <v>0.70699999999999363</v>
      </c>
      <c r="G327" s="5">
        <f>C327*GiaDinh!$C$6</f>
        <v>352.33148</v>
      </c>
    </row>
    <row r="328" spans="1:7" x14ac:dyDescent="0.35">
      <c r="A328" t="s">
        <v>9</v>
      </c>
      <c r="B328">
        <v>94</v>
      </c>
      <c r="C328" s="5">
        <v>149.29300000000001</v>
      </c>
      <c r="D328">
        <f>ROUNDUP(C328/GiaDinh!$C$4-0.0005,0)</f>
        <v>25</v>
      </c>
      <c r="E328">
        <f t="shared" si="5"/>
        <v>24</v>
      </c>
      <c r="F328" s="5">
        <f>D328*GiaDinh!$C$4-C328</f>
        <v>0.70699999999999363</v>
      </c>
      <c r="G328" s="5">
        <f>C328*GiaDinh!$C$6</f>
        <v>352.33148</v>
      </c>
    </row>
    <row r="329" spans="1:7" x14ac:dyDescent="0.35">
      <c r="A329" t="s">
        <v>9</v>
      </c>
      <c r="B329">
        <v>95</v>
      </c>
      <c r="C329" s="5">
        <v>149.29300000000001</v>
      </c>
      <c r="D329">
        <f>ROUNDUP(C329/GiaDinh!$C$4-0.0005,0)</f>
        <v>25</v>
      </c>
      <c r="E329">
        <f t="shared" si="5"/>
        <v>24</v>
      </c>
      <c r="F329" s="5">
        <f>D329*GiaDinh!$C$4-C329</f>
        <v>0.70699999999999363</v>
      </c>
      <c r="G329" s="5">
        <f>C329*GiaDinh!$C$6</f>
        <v>352.33148</v>
      </c>
    </row>
    <row r="330" spans="1:7" x14ac:dyDescent="0.35">
      <c r="A330" t="s">
        <v>9</v>
      </c>
      <c r="B330">
        <v>96</v>
      </c>
      <c r="C330" s="5">
        <v>149.29300000000001</v>
      </c>
      <c r="D330">
        <f>ROUNDUP(C330/GiaDinh!$C$4-0.0005,0)</f>
        <v>25</v>
      </c>
      <c r="E330">
        <f t="shared" si="5"/>
        <v>24</v>
      </c>
      <c r="F330" s="5">
        <f>D330*GiaDinh!$C$4-C330</f>
        <v>0.70699999999999363</v>
      </c>
      <c r="G330" s="5">
        <f>C330*GiaDinh!$C$6</f>
        <v>352.33148</v>
      </c>
    </row>
    <row r="331" spans="1:7" x14ac:dyDescent="0.35">
      <c r="A331" t="s">
        <v>9</v>
      </c>
      <c r="B331">
        <v>97</v>
      </c>
      <c r="C331" s="5">
        <v>149.29300000000001</v>
      </c>
      <c r="D331">
        <f>ROUNDUP(C331/GiaDinh!$C$4-0.0005,0)</f>
        <v>25</v>
      </c>
      <c r="E331">
        <f t="shared" si="5"/>
        <v>24</v>
      </c>
      <c r="F331" s="5">
        <f>D331*GiaDinh!$C$4-C331</f>
        <v>0.70699999999999363</v>
      </c>
      <c r="G331" s="5">
        <f>C331*GiaDinh!$C$6</f>
        <v>352.33148</v>
      </c>
    </row>
    <row r="332" spans="1:7" x14ac:dyDescent="0.35">
      <c r="A332" t="s">
        <v>9</v>
      </c>
      <c r="B332">
        <v>98</v>
      </c>
      <c r="C332" s="5">
        <v>149.29300000000001</v>
      </c>
      <c r="D332">
        <f>ROUNDUP(C332/GiaDinh!$C$4-0.0005,0)</f>
        <v>25</v>
      </c>
      <c r="E332">
        <f t="shared" si="5"/>
        <v>24</v>
      </c>
      <c r="F332" s="5">
        <f>D332*GiaDinh!$C$4-C332</f>
        <v>0.70699999999999363</v>
      </c>
      <c r="G332" s="5">
        <f>C332*GiaDinh!$C$6</f>
        <v>352.33148</v>
      </c>
    </row>
    <row r="333" spans="1:7" x14ac:dyDescent="0.35">
      <c r="A333" t="s">
        <v>9</v>
      </c>
      <c r="B333">
        <v>99</v>
      </c>
      <c r="C333" s="5">
        <v>149.29300000000001</v>
      </c>
      <c r="D333">
        <f>ROUNDUP(C333/GiaDinh!$C$4-0.0005,0)</f>
        <v>25</v>
      </c>
      <c r="E333">
        <f t="shared" si="5"/>
        <v>24</v>
      </c>
      <c r="F333" s="5">
        <f>D333*GiaDinh!$C$4-C333</f>
        <v>0.70699999999999363</v>
      </c>
      <c r="G333" s="5">
        <f>C333*GiaDinh!$C$6</f>
        <v>352.33148</v>
      </c>
    </row>
    <row r="334" spans="1:7" x14ac:dyDescent="0.35">
      <c r="A334" t="s">
        <v>9</v>
      </c>
      <c r="B334">
        <v>100</v>
      </c>
      <c r="C334" s="5">
        <v>149.29300000000001</v>
      </c>
      <c r="D334">
        <f>ROUNDUP(C334/GiaDinh!$C$4-0.0005,0)</f>
        <v>25</v>
      </c>
      <c r="E334">
        <f t="shared" si="5"/>
        <v>24</v>
      </c>
      <c r="F334" s="5">
        <f>D334*GiaDinh!$C$4-C334</f>
        <v>0.70699999999999363</v>
      </c>
      <c r="G334" s="5">
        <f>C334*GiaDinh!$C$6</f>
        <v>352.33148</v>
      </c>
    </row>
    <row r="335" spans="1:7" x14ac:dyDescent="0.35">
      <c r="A335" t="s">
        <v>9</v>
      </c>
      <c r="B335">
        <v>101</v>
      </c>
      <c r="C335" s="5">
        <v>149.29300000000001</v>
      </c>
      <c r="D335">
        <f>ROUNDUP(C335/GiaDinh!$C$4-0.0005,0)</f>
        <v>25</v>
      </c>
      <c r="E335">
        <f t="shared" si="5"/>
        <v>24</v>
      </c>
      <c r="F335" s="5">
        <f>D335*GiaDinh!$C$4-C335</f>
        <v>0.70699999999999363</v>
      </c>
      <c r="G335" s="5">
        <f>C335*GiaDinh!$C$6</f>
        <v>352.33148</v>
      </c>
    </row>
    <row r="336" spans="1:7" x14ac:dyDescent="0.35">
      <c r="A336" t="s">
        <v>9</v>
      </c>
      <c r="B336">
        <v>102</v>
      </c>
      <c r="C336" s="5">
        <v>149.29300000000001</v>
      </c>
      <c r="D336">
        <f>ROUNDUP(C336/GiaDinh!$C$4-0.0005,0)</f>
        <v>25</v>
      </c>
      <c r="E336">
        <f t="shared" si="5"/>
        <v>24</v>
      </c>
      <c r="F336" s="5">
        <f>D336*GiaDinh!$C$4-C336</f>
        <v>0.70699999999999363</v>
      </c>
      <c r="G336" s="5">
        <f>C336*GiaDinh!$C$6</f>
        <v>352.33148</v>
      </c>
    </row>
    <row r="337" spans="1:7" x14ac:dyDescent="0.35">
      <c r="A337" t="s">
        <v>9</v>
      </c>
      <c r="B337">
        <v>103</v>
      </c>
      <c r="C337" s="5">
        <v>149.29300000000001</v>
      </c>
      <c r="D337">
        <f>ROUNDUP(C337/GiaDinh!$C$4-0.0005,0)</f>
        <v>25</v>
      </c>
      <c r="E337">
        <f t="shared" si="5"/>
        <v>24</v>
      </c>
      <c r="F337" s="5">
        <f>D337*GiaDinh!$C$4-C337</f>
        <v>0.70699999999999363</v>
      </c>
      <c r="G337" s="5">
        <f>C337*GiaDinh!$C$6</f>
        <v>352.33148</v>
      </c>
    </row>
    <row r="338" spans="1:7" x14ac:dyDescent="0.35">
      <c r="A338" t="s">
        <v>9</v>
      </c>
      <c r="B338">
        <v>104</v>
      </c>
      <c r="C338" s="5">
        <v>149.29300000000001</v>
      </c>
      <c r="D338">
        <f>ROUNDUP(C338/GiaDinh!$C$4-0.0005,0)</f>
        <v>25</v>
      </c>
      <c r="E338">
        <f t="shared" si="5"/>
        <v>24</v>
      </c>
      <c r="F338" s="5">
        <f>D338*GiaDinh!$C$4-C338</f>
        <v>0.70699999999999363</v>
      </c>
      <c r="G338" s="5">
        <f>C338*GiaDinh!$C$6</f>
        <v>352.33148</v>
      </c>
    </row>
    <row r="339" spans="1:7" x14ac:dyDescent="0.35">
      <c r="A339" t="s">
        <v>9</v>
      </c>
      <c r="B339">
        <v>105</v>
      </c>
      <c r="C339" s="5">
        <v>149.29300000000001</v>
      </c>
      <c r="D339">
        <f>ROUNDUP(C339/GiaDinh!$C$4-0.0005,0)</f>
        <v>25</v>
      </c>
      <c r="E339">
        <f t="shared" si="5"/>
        <v>24</v>
      </c>
      <c r="F339" s="5">
        <f>D339*GiaDinh!$C$4-C339</f>
        <v>0.70699999999999363</v>
      </c>
      <c r="G339" s="5">
        <f>C339*GiaDinh!$C$6</f>
        <v>352.33148</v>
      </c>
    </row>
    <row r="340" spans="1:7" x14ac:dyDescent="0.35">
      <c r="A340" t="s">
        <v>9</v>
      </c>
      <c r="B340">
        <v>106</v>
      </c>
      <c r="C340" s="5">
        <v>149.29300000000001</v>
      </c>
      <c r="D340">
        <f>ROUNDUP(C340/GiaDinh!$C$4-0.0005,0)</f>
        <v>25</v>
      </c>
      <c r="E340">
        <f t="shared" si="5"/>
        <v>24</v>
      </c>
      <c r="F340" s="5">
        <f>D340*GiaDinh!$C$4-C340</f>
        <v>0.70699999999999363</v>
      </c>
      <c r="G340" s="5">
        <f>C340*GiaDinh!$C$6</f>
        <v>352.33148</v>
      </c>
    </row>
    <row r="341" spans="1:7" x14ac:dyDescent="0.35">
      <c r="A341" t="s">
        <v>9</v>
      </c>
      <c r="B341">
        <v>107</v>
      </c>
      <c r="C341" s="5">
        <v>149.29300000000001</v>
      </c>
      <c r="D341">
        <f>ROUNDUP(C341/GiaDinh!$C$4-0.0005,0)</f>
        <v>25</v>
      </c>
      <c r="E341">
        <f t="shared" si="5"/>
        <v>24</v>
      </c>
      <c r="F341" s="5">
        <f>D341*GiaDinh!$C$4-C341</f>
        <v>0.70699999999999363</v>
      </c>
      <c r="G341" s="5">
        <f>C341*GiaDinh!$C$6</f>
        <v>352.33148</v>
      </c>
    </row>
    <row r="342" spans="1:7" x14ac:dyDescent="0.35">
      <c r="A342" t="s">
        <v>9</v>
      </c>
      <c r="B342">
        <v>108</v>
      </c>
      <c r="C342" s="5">
        <v>149.29300000000001</v>
      </c>
      <c r="D342">
        <f>ROUNDUP(C342/GiaDinh!$C$4-0.0005,0)</f>
        <v>25</v>
      </c>
      <c r="E342">
        <f t="shared" si="5"/>
        <v>24</v>
      </c>
      <c r="F342" s="5">
        <f>D342*GiaDinh!$C$4-C342</f>
        <v>0.70699999999999363</v>
      </c>
      <c r="G342" s="5">
        <f>C342*GiaDinh!$C$6</f>
        <v>352.33148</v>
      </c>
    </row>
    <row r="343" spans="1:7" x14ac:dyDescent="0.35">
      <c r="A343" t="s">
        <v>9</v>
      </c>
      <c r="B343">
        <v>109</v>
      </c>
      <c r="C343" s="5">
        <v>149.29300000000001</v>
      </c>
      <c r="D343">
        <f>ROUNDUP(C343/GiaDinh!$C$4-0.0005,0)</f>
        <v>25</v>
      </c>
      <c r="E343">
        <f t="shared" si="5"/>
        <v>24</v>
      </c>
      <c r="F343" s="5">
        <f>D343*GiaDinh!$C$4-C343</f>
        <v>0.70699999999999363</v>
      </c>
      <c r="G343" s="5">
        <f>C343*GiaDinh!$C$6</f>
        <v>352.33148</v>
      </c>
    </row>
    <row r="344" spans="1:7" x14ac:dyDescent="0.35">
      <c r="A344" t="s">
        <v>9</v>
      </c>
      <c r="B344">
        <v>110</v>
      </c>
      <c r="C344" s="5">
        <v>149.29300000000001</v>
      </c>
      <c r="D344">
        <f>ROUNDUP(C344/GiaDinh!$C$4-0.0005,0)</f>
        <v>25</v>
      </c>
      <c r="E344">
        <f t="shared" si="5"/>
        <v>24</v>
      </c>
      <c r="F344" s="5">
        <f>D344*GiaDinh!$C$4-C344</f>
        <v>0.70699999999999363</v>
      </c>
      <c r="G344" s="5">
        <f>C344*GiaDinh!$C$6</f>
        <v>352.33148</v>
      </c>
    </row>
    <row r="345" spans="1:7" x14ac:dyDescent="0.35">
      <c r="A345" t="s">
        <v>9</v>
      </c>
      <c r="B345">
        <v>111</v>
      </c>
      <c r="C345" s="5">
        <v>149.29300000000001</v>
      </c>
      <c r="D345">
        <f>ROUNDUP(C345/GiaDinh!$C$4-0.0005,0)</f>
        <v>25</v>
      </c>
      <c r="E345">
        <f t="shared" si="5"/>
        <v>24</v>
      </c>
      <c r="F345" s="5">
        <f>D345*GiaDinh!$C$4-C345</f>
        <v>0.70699999999999363</v>
      </c>
      <c r="G345" s="5">
        <f>C345*GiaDinh!$C$6</f>
        <v>352.33148</v>
      </c>
    </row>
    <row r="346" spans="1:7" x14ac:dyDescent="0.35">
      <c r="A346" t="s">
        <v>9</v>
      </c>
      <c r="B346">
        <v>112</v>
      </c>
      <c r="C346" s="5">
        <v>149.29300000000001</v>
      </c>
      <c r="D346">
        <f>ROUNDUP(C346/GiaDinh!$C$4-0.0005,0)</f>
        <v>25</v>
      </c>
      <c r="E346">
        <f t="shared" si="5"/>
        <v>24</v>
      </c>
      <c r="F346" s="5">
        <f>D346*GiaDinh!$C$4-C346</f>
        <v>0.70699999999999363</v>
      </c>
      <c r="G346" s="5">
        <f>C346*GiaDinh!$C$6</f>
        <v>352.33148</v>
      </c>
    </row>
    <row r="347" spans="1:7" x14ac:dyDescent="0.35">
      <c r="A347" t="s">
        <v>9</v>
      </c>
      <c r="B347">
        <v>113</v>
      </c>
      <c r="C347" s="5">
        <v>149.29300000000001</v>
      </c>
      <c r="D347">
        <f>ROUNDUP(C347/GiaDinh!$C$4-0.0005,0)</f>
        <v>25</v>
      </c>
      <c r="E347">
        <f t="shared" si="5"/>
        <v>24</v>
      </c>
      <c r="F347" s="5">
        <f>D347*GiaDinh!$C$4-C347</f>
        <v>0.70699999999999363</v>
      </c>
      <c r="G347" s="5">
        <f>C347*GiaDinh!$C$6</f>
        <v>352.33148</v>
      </c>
    </row>
    <row r="348" spans="1:7" x14ac:dyDescent="0.35">
      <c r="A348" t="s">
        <v>9</v>
      </c>
      <c r="B348">
        <v>114</v>
      </c>
      <c r="C348" s="5">
        <v>149.29300000000001</v>
      </c>
      <c r="D348">
        <f>ROUNDUP(C348/GiaDinh!$C$4-0.0005,0)</f>
        <v>25</v>
      </c>
      <c r="E348">
        <f t="shared" si="5"/>
        <v>24</v>
      </c>
      <c r="F348" s="5">
        <f>D348*GiaDinh!$C$4-C348</f>
        <v>0.70699999999999363</v>
      </c>
      <c r="G348" s="5">
        <f>C348*GiaDinh!$C$6</f>
        <v>352.33148</v>
      </c>
    </row>
    <row r="349" spans="1:7" x14ac:dyDescent="0.35">
      <c r="A349" t="s">
        <v>9</v>
      </c>
      <c r="B349">
        <v>115</v>
      </c>
      <c r="C349" s="5">
        <v>149.29300000000001</v>
      </c>
      <c r="D349">
        <f>ROUNDUP(C349/GiaDinh!$C$4-0.0005,0)</f>
        <v>25</v>
      </c>
      <c r="E349">
        <f t="shared" si="5"/>
        <v>24</v>
      </c>
      <c r="F349" s="5">
        <f>D349*GiaDinh!$C$4-C349</f>
        <v>0.70699999999999363</v>
      </c>
      <c r="G349" s="5">
        <f>C349*GiaDinh!$C$6</f>
        <v>352.33148</v>
      </c>
    </row>
    <row r="350" spans="1:7" x14ac:dyDescent="0.35">
      <c r="A350" t="s">
        <v>9</v>
      </c>
      <c r="B350">
        <v>116</v>
      </c>
      <c r="C350" s="5">
        <v>149.29300000000001</v>
      </c>
      <c r="D350">
        <f>ROUNDUP(C350/GiaDinh!$C$4-0.0005,0)</f>
        <v>25</v>
      </c>
      <c r="E350">
        <f t="shared" si="5"/>
        <v>24</v>
      </c>
      <c r="F350" s="5">
        <f>D350*GiaDinh!$C$4-C350</f>
        <v>0.70699999999999363</v>
      </c>
      <c r="G350" s="5">
        <f>C350*GiaDinh!$C$6</f>
        <v>352.33148</v>
      </c>
    </row>
    <row r="351" spans="1:7" x14ac:dyDescent="0.35">
      <c r="A351" t="s">
        <v>9</v>
      </c>
      <c r="B351">
        <v>117</v>
      </c>
      <c r="C351" s="5">
        <v>149.29300000000001</v>
      </c>
      <c r="D351">
        <f>ROUNDUP(C351/GiaDinh!$C$4-0.0005,0)</f>
        <v>25</v>
      </c>
      <c r="E351">
        <f t="shared" si="5"/>
        <v>24</v>
      </c>
      <c r="F351" s="5">
        <f>D351*GiaDinh!$C$4-C351</f>
        <v>0.70699999999999363</v>
      </c>
      <c r="G351" s="5">
        <f>C351*GiaDinh!$C$6</f>
        <v>352.33148</v>
      </c>
    </row>
    <row r="352" spans="1:7" x14ac:dyDescent="0.35">
      <c r="A352" t="s">
        <v>9</v>
      </c>
      <c r="B352">
        <v>118</v>
      </c>
      <c r="C352" s="5">
        <v>149.29300000000001</v>
      </c>
      <c r="D352">
        <f>ROUNDUP(C352/GiaDinh!$C$4-0.0005,0)</f>
        <v>25</v>
      </c>
      <c r="E352">
        <f t="shared" si="5"/>
        <v>24</v>
      </c>
      <c r="F352" s="5">
        <f>D352*GiaDinh!$C$4-C352</f>
        <v>0.70699999999999363</v>
      </c>
      <c r="G352" s="5">
        <f>C352*GiaDinh!$C$6</f>
        <v>352.33148</v>
      </c>
    </row>
    <row r="353" spans="1:7" x14ac:dyDescent="0.35">
      <c r="A353" t="s">
        <v>9</v>
      </c>
      <c r="B353">
        <v>119</v>
      </c>
      <c r="C353" s="5">
        <v>149.29300000000001</v>
      </c>
      <c r="D353">
        <f>ROUNDUP(C353/GiaDinh!$C$4-0.0005,0)</f>
        <v>25</v>
      </c>
      <c r="E353">
        <f t="shared" si="5"/>
        <v>24</v>
      </c>
      <c r="F353" s="5">
        <f>D353*GiaDinh!$C$4-C353</f>
        <v>0.70699999999999363</v>
      </c>
      <c r="G353" s="5">
        <f>C353*GiaDinh!$C$6</f>
        <v>352.33148</v>
      </c>
    </row>
    <row r="354" spans="1:7" x14ac:dyDescent="0.35">
      <c r="A354" t="s">
        <v>9</v>
      </c>
      <c r="B354">
        <v>120</v>
      </c>
      <c r="C354" s="5">
        <v>149.29300000000001</v>
      </c>
      <c r="D354">
        <f>ROUNDUP(C354/GiaDinh!$C$4-0.0005,0)</f>
        <v>25</v>
      </c>
      <c r="E354">
        <f t="shared" si="5"/>
        <v>24</v>
      </c>
      <c r="F354" s="5">
        <f>D354*GiaDinh!$C$4-C354</f>
        <v>0.70699999999999363</v>
      </c>
      <c r="G354" s="5">
        <f>C354*GiaDinh!$C$6</f>
        <v>352.33148</v>
      </c>
    </row>
    <row r="355" spans="1:7" x14ac:dyDescent="0.35">
      <c r="A355" t="s">
        <v>9</v>
      </c>
      <c r="B355">
        <v>121</v>
      </c>
      <c r="C355" s="5">
        <v>149.29300000000001</v>
      </c>
      <c r="D355">
        <f>ROUNDUP(C355/GiaDinh!$C$4-0.0005,0)</f>
        <v>25</v>
      </c>
      <c r="E355">
        <f t="shared" si="5"/>
        <v>24</v>
      </c>
      <c r="F355" s="5">
        <f>D355*GiaDinh!$C$4-C355</f>
        <v>0.70699999999999363</v>
      </c>
      <c r="G355" s="5">
        <f>C355*GiaDinh!$C$6</f>
        <v>352.33148</v>
      </c>
    </row>
    <row r="356" spans="1:7" x14ac:dyDescent="0.35">
      <c r="A356" t="s">
        <v>9</v>
      </c>
      <c r="B356">
        <v>122</v>
      </c>
      <c r="C356" s="5">
        <v>149.29300000000001</v>
      </c>
      <c r="D356">
        <f>ROUNDUP(C356/GiaDinh!$C$4-0.0005,0)</f>
        <v>25</v>
      </c>
      <c r="E356">
        <f t="shared" si="5"/>
        <v>24</v>
      </c>
      <c r="F356" s="5">
        <f>D356*GiaDinh!$C$4-C356</f>
        <v>0.70699999999999363</v>
      </c>
      <c r="G356" s="5">
        <f>C356*GiaDinh!$C$6</f>
        <v>352.33148</v>
      </c>
    </row>
    <row r="357" spans="1:7" x14ac:dyDescent="0.35">
      <c r="A357" t="s">
        <v>9</v>
      </c>
      <c r="B357">
        <v>123</v>
      </c>
      <c r="C357" s="5">
        <v>149.29300000000001</v>
      </c>
      <c r="D357">
        <f>ROUNDUP(C357/GiaDinh!$C$4-0.0005,0)</f>
        <v>25</v>
      </c>
      <c r="E357">
        <f t="shared" si="5"/>
        <v>24</v>
      </c>
      <c r="F357" s="5">
        <f>D357*GiaDinh!$C$4-C357</f>
        <v>0.70699999999999363</v>
      </c>
      <c r="G357" s="5">
        <f>C357*GiaDinh!$C$6</f>
        <v>352.33148</v>
      </c>
    </row>
    <row r="358" spans="1:7" x14ac:dyDescent="0.35">
      <c r="A358" t="s">
        <v>9</v>
      </c>
      <c r="B358">
        <v>124</v>
      </c>
      <c r="C358" s="5">
        <v>149.29300000000001</v>
      </c>
      <c r="D358">
        <f>ROUNDUP(C358/GiaDinh!$C$4-0.0005,0)</f>
        <v>25</v>
      </c>
      <c r="E358">
        <f t="shared" si="5"/>
        <v>24</v>
      </c>
      <c r="F358" s="5">
        <f>D358*GiaDinh!$C$4-C358</f>
        <v>0.70699999999999363</v>
      </c>
      <c r="G358" s="5">
        <f>C358*GiaDinh!$C$6</f>
        <v>352.33148</v>
      </c>
    </row>
    <row r="359" spans="1:7" x14ac:dyDescent="0.35">
      <c r="A359" t="s">
        <v>9</v>
      </c>
      <c r="B359">
        <v>125</v>
      </c>
      <c r="C359" s="5">
        <v>149.29300000000001</v>
      </c>
      <c r="D359">
        <f>ROUNDUP(C359/GiaDinh!$C$4-0.0005,0)</f>
        <v>25</v>
      </c>
      <c r="E359">
        <f t="shared" si="5"/>
        <v>24</v>
      </c>
      <c r="F359" s="5">
        <f>D359*GiaDinh!$C$4-C359</f>
        <v>0.70699999999999363</v>
      </c>
      <c r="G359" s="5">
        <f>C359*GiaDinh!$C$6</f>
        <v>352.33148</v>
      </c>
    </row>
    <row r="360" spans="1:7" x14ac:dyDescent="0.35">
      <c r="A360" t="s">
        <v>9</v>
      </c>
      <c r="B360">
        <v>126</v>
      </c>
      <c r="C360" s="5">
        <v>149.29300000000001</v>
      </c>
      <c r="D360">
        <f>ROUNDUP(C360/GiaDinh!$C$4-0.0005,0)</f>
        <v>25</v>
      </c>
      <c r="E360">
        <f t="shared" si="5"/>
        <v>24</v>
      </c>
      <c r="F360" s="5">
        <f>D360*GiaDinh!$C$4-C360</f>
        <v>0.70699999999999363</v>
      </c>
      <c r="G360" s="5">
        <f>C360*GiaDinh!$C$6</f>
        <v>352.33148</v>
      </c>
    </row>
    <row r="361" spans="1:7" x14ac:dyDescent="0.35">
      <c r="A361" t="s">
        <v>9</v>
      </c>
      <c r="B361">
        <v>127</v>
      </c>
      <c r="C361" s="5">
        <v>149.29300000000001</v>
      </c>
      <c r="D361">
        <f>ROUNDUP(C361/GiaDinh!$C$4-0.0005,0)</f>
        <v>25</v>
      </c>
      <c r="E361">
        <f t="shared" si="5"/>
        <v>24</v>
      </c>
      <c r="F361" s="5">
        <f>D361*GiaDinh!$C$4-C361</f>
        <v>0.70699999999999363</v>
      </c>
      <c r="G361" s="5">
        <f>C361*GiaDinh!$C$6</f>
        <v>352.33148</v>
      </c>
    </row>
    <row r="362" spans="1:7" x14ac:dyDescent="0.35">
      <c r="A362" t="s">
        <v>9</v>
      </c>
      <c r="B362">
        <v>128</v>
      </c>
      <c r="C362" s="5">
        <v>149.29300000000001</v>
      </c>
      <c r="D362">
        <f>ROUNDUP(C362/GiaDinh!$C$4-0.0005,0)</f>
        <v>25</v>
      </c>
      <c r="E362">
        <f t="shared" si="5"/>
        <v>24</v>
      </c>
      <c r="F362" s="5">
        <f>D362*GiaDinh!$C$4-C362</f>
        <v>0.70699999999999363</v>
      </c>
      <c r="G362" s="5">
        <f>C362*GiaDinh!$C$6</f>
        <v>352.33148</v>
      </c>
    </row>
    <row r="363" spans="1:7" x14ac:dyDescent="0.35">
      <c r="A363" t="s">
        <v>9</v>
      </c>
      <c r="B363">
        <v>129</v>
      </c>
      <c r="C363" s="5">
        <v>149.29300000000001</v>
      </c>
      <c r="D363">
        <f>ROUNDUP(C363/GiaDinh!$C$4-0.0005,0)</f>
        <v>25</v>
      </c>
      <c r="E363">
        <f t="shared" si="5"/>
        <v>24</v>
      </c>
      <c r="F363" s="5">
        <f>D363*GiaDinh!$C$4-C363</f>
        <v>0.70699999999999363</v>
      </c>
      <c r="G363" s="5">
        <f>C363*GiaDinh!$C$6</f>
        <v>352.33148</v>
      </c>
    </row>
    <row r="364" spans="1:7" x14ac:dyDescent="0.35">
      <c r="A364" t="s">
        <v>9</v>
      </c>
      <c r="B364">
        <v>130</v>
      </c>
      <c r="C364" s="5">
        <v>149.29300000000001</v>
      </c>
      <c r="D364">
        <f>ROUNDUP(C364/GiaDinh!$C$4-0.0005,0)</f>
        <v>25</v>
      </c>
      <c r="E364">
        <f t="shared" si="5"/>
        <v>24</v>
      </c>
      <c r="F364" s="5">
        <f>D364*GiaDinh!$C$4-C364</f>
        <v>0.70699999999999363</v>
      </c>
      <c r="G364" s="5">
        <f>C364*GiaDinh!$C$6</f>
        <v>352.33148</v>
      </c>
    </row>
    <row r="365" spans="1:7" x14ac:dyDescent="0.35">
      <c r="A365" t="s">
        <v>9</v>
      </c>
      <c r="B365">
        <v>131</v>
      </c>
      <c r="C365" s="5">
        <v>149.29300000000001</v>
      </c>
      <c r="D365">
        <f>ROUNDUP(C365/GiaDinh!$C$4-0.0005,0)</f>
        <v>25</v>
      </c>
      <c r="E365">
        <f t="shared" si="5"/>
        <v>24</v>
      </c>
      <c r="F365" s="5">
        <f>D365*GiaDinh!$C$4-C365</f>
        <v>0.70699999999999363</v>
      </c>
      <c r="G365" s="5">
        <f>C365*GiaDinh!$C$6</f>
        <v>352.33148</v>
      </c>
    </row>
    <row r="366" spans="1:7" x14ac:dyDescent="0.35">
      <c r="A366" t="s">
        <v>9</v>
      </c>
      <c r="B366">
        <v>132</v>
      </c>
      <c r="C366" s="5">
        <v>149.29300000000001</v>
      </c>
      <c r="D366">
        <f>ROUNDUP(C366/GiaDinh!$C$4-0.0005,0)</f>
        <v>25</v>
      </c>
      <c r="E366">
        <f t="shared" si="5"/>
        <v>24</v>
      </c>
      <c r="F366" s="5">
        <f>D366*GiaDinh!$C$4-C366</f>
        <v>0.70699999999999363</v>
      </c>
      <c r="G366" s="5">
        <f>C366*GiaDinh!$C$6</f>
        <v>352.33148</v>
      </c>
    </row>
    <row r="367" spans="1:7" x14ac:dyDescent="0.35">
      <c r="A367" t="s">
        <v>9</v>
      </c>
      <c r="B367">
        <v>133</v>
      </c>
      <c r="C367" s="5">
        <v>149.29300000000001</v>
      </c>
      <c r="D367">
        <f>ROUNDUP(C367/GiaDinh!$C$4-0.0005,0)</f>
        <v>25</v>
      </c>
      <c r="E367">
        <f t="shared" si="5"/>
        <v>24</v>
      </c>
      <c r="F367" s="5">
        <f>D367*GiaDinh!$C$4-C367</f>
        <v>0.70699999999999363</v>
      </c>
      <c r="G367" s="5">
        <f>C367*GiaDinh!$C$6</f>
        <v>352.33148</v>
      </c>
    </row>
    <row r="368" spans="1:7" x14ac:dyDescent="0.35">
      <c r="A368" t="s">
        <v>9</v>
      </c>
      <c r="B368">
        <v>134</v>
      </c>
      <c r="C368" s="5">
        <v>149.29300000000001</v>
      </c>
      <c r="D368">
        <f>ROUNDUP(C368/GiaDinh!$C$4-0.0005,0)</f>
        <v>25</v>
      </c>
      <c r="E368">
        <f t="shared" si="5"/>
        <v>24</v>
      </c>
      <c r="F368" s="5">
        <f>D368*GiaDinh!$C$4-C368</f>
        <v>0.70699999999999363</v>
      </c>
      <c r="G368" s="5">
        <f>C368*GiaDinh!$C$6</f>
        <v>352.33148</v>
      </c>
    </row>
    <row r="369" spans="1:7" x14ac:dyDescent="0.35">
      <c r="A369" t="s">
        <v>10</v>
      </c>
      <c r="B369">
        <v>1</v>
      </c>
      <c r="C369" s="5">
        <v>149.17400000000001</v>
      </c>
      <c r="D369">
        <f>ROUNDUP(C369/GiaDinh!$C$4-0.0005,0)</f>
        <v>25</v>
      </c>
      <c r="E369">
        <f t="shared" si="5"/>
        <v>24</v>
      </c>
      <c r="F369" s="5">
        <f>D369*GiaDinh!$C$4-C369</f>
        <v>0.82599999999999341</v>
      </c>
      <c r="G369" s="5">
        <f>C369*GiaDinh!$C$6</f>
        <v>352.05063999999999</v>
      </c>
    </row>
    <row r="370" spans="1:7" x14ac:dyDescent="0.35">
      <c r="A370" t="s">
        <v>10</v>
      </c>
      <c r="B370">
        <v>2</v>
      </c>
      <c r="C370" s="5">
        <v>149.17400000000001</v>
      </c>
      <c r="D370">
        <f>ROUNDUP(C370/GiaDinh!$C$4-0.0005,0)</f>
        <v>25</v>
      </c>
      <c r="E370">
        <f t="shared" si="5"/>
        <v>24</v>
      </c>
      <c r="F370" s="5">
        <f>D370*GiaDinh!$C$4-C370</f>
        <v>0.82599999999999341</v>
      </c>
      <c r="G370" s="5">
        <f>C370*GiaDinh!$C$6</f>
        <v>352.05063999999999</v>
      </c>
    </row>
    <row r="371" spans="1:7" x14ac:dyDescent="0.35">
      <c r="A371" t="s">
        <v>10</v>
      </c>
      <c r="B371">
        <v>3</v>
      </c>
      <c r="C371" s="5">
        <v>149.17400000000001</v>
      </c>
      <c r="D371">
        <f>ROUNDUP(C371/GiaDinh!$C$4-0.0005,0)</f>
        <v>25</v>
      </c>
      <c r="E371">
        <f t="shared" si="5"/>
        <v>24</v>
      </c>
      <c r="F371" s="5">
        <f>D371*GiaDinh!$C$4-C371</f>
        <v>0.82599999999999341</v>
      </c>
      <c r="G371" s="5">
        <f>C371*GiaDinh!$C$6</f>
        <v>352.05063999999999</v>
      </c>
    </row>
    <row r="372" spans="1:7" x14ac:dyDescent="0.35">
      <c r="A372" t="s">
        <v>10</v>
      </c>
      <c r="B372">
        <v>4</v>
      </c>
      <c r="C372" s="5">
        <v>149.14500000000001</v>
      </c>
      <c r="D372">
        <f>ROUNDUP(C372/GiaDinh!$C$4-0.0005,0)</f>
        <v>25</v>
      </c>
      <c r="E372">
        <f t="shared" si="5"/>
        <v>24</v>
      </c>
      <c r="F372" s="5">
        <f>D372*GiaDinh!$C$4-C372</f>
        <v>0.85499999999998977</v>
      </c>
      <c r="G372" s="5">
        <f>C372*GiaDinh!$C$6</f>
        <v>351.98219999999998</v>
      </c>
    </row>
    <row r="373" spans="1:7" x14ac:dyDescent="0.35">
      <c r="A373" t="s">
        <v>10</v>
      </c>
      <c r="B373">
        <v>5</v>
      </c>
      <c r="C373" s="5">
        <v>149.17400000000001</v>
      </c>
      <c r="D373">
        <f>ROUNDUP(C373/GiaDinh!$C$4-0.0005,0)</f>
        <v>25</v>
      </c>
      <c r="E373">
        <f t="shared" si="5"/>
        <v>24</v>
      </c>
      <c r="F373" s="5">
        <f>D373*GiaDinh!$C$4-C373</f>
        <v>0.82599999999999341</v>
      </c>
      <c r="G373" s="5">
        <f>C373*GiaDinh!$C$6</f>
        <v>352.05063999999999</v>
      </c>
    </row>
    <row r="374" spans="1:7" x14ac:dyDescent="0.35">
      <c r="A374" t="s">
        <v>10</v>
      </c>
      <c r="B374">
        <v>6</v>
      </c>
      <c r="C374" s="5">
        <v>149.14500000000001</v>
      </c>
      <c r="D374">
        <f>ROUNDUP(C374/GiaDinh!$C$4-0.0005,0)</f>
        <v>25</v>
      </c>
      <c r="E374">
        <f t="shared" si="5"/>
        <v>24</v>
      </c>
      <c r="F374" s="5">
        <f>D374*GiaDinh!$C$4-C374</f>
        <v>0.85499999999998977</v>
      </c>
      <c r="G374" s="5">
        <f>C374*GiaDinh!$C$6</f>
        <v>351.98219999999998</v>
      </c>
    </row>
    <row r="375" spans="1:7" x14ac:dyDescent="0.35">
      <c r="A375" t="s">
        <v>10</v>
      </c>
      <c r="B375">
        <v>7</v>
      </c>
      <c r="C375" s="5">
        <v>149.17400000000001</v>
      </c>
      <c r="D375">
        <f>ROUNDUP(C375/GiaDinh!$C$4-0.0005,0)</f>
        <v>25</v>
      </c>
      <c r="E375">
        <f t="shared" si="5"/>
        <v>24</v>
      </c>
      <c r="F375" s="5">
        <f>D375*GiaDinh!$C$4-C375</f>
        <v>0.82599999999999341</v>
      </c>
      <c r="G375" s="5">
        <f>C375*GiaDinh!$C$6</f>
        <v>352.05063999999999</v>
      </c>
    </row>
    <row r="376" spans="1:7" x14ac:dyDescent="0.35">
      <c r="A376" t="s">
        <v>10</v>
      </c>
      <c r="B376">
        <v>8</v>
      </c>
      <c r="C376" s="5">
        <v>149.14500000000001</v>
      </c>
      <c r="D376">
        <f>ROUNDUP(C376/GiaDinh!$C$4-0.0005,0)</f>
        <v>25</v>
      </c>
      <c r="E376">
        <f t="shared" si="5"/>
        <v>24</v>
      </c>
      <c r="F376" s="5">
        <f>D376*GiaDinh!$C$4-C376</f>
        <v>0.85499999999998977</v>
      </c>
      <c r="G376" s="5">
        <f>C376*GiaDinh!$C$6</f>
        <v>351.98219999999998</v>
      </c>
    </row>
    <row r="377" spans="1:7" x14ac:dyDescent="0.35">
      <c r="A377" t="s">
        <v>10</v>
      </c>
      <c r="B377">
        <v>9</v>
      </c>
      <c r="C377" s="5">
        <v>149.17400000000001</v>
      </c>
      <c r="D377">
        <f>ROUNDUP(C377/GiaDinh!$C$4-0.0005,0)</f>
        <v>25</v>
      </c>
      <c r="E377">
        <f t="shared" si="5"/>
        <v>24</v>
      </c>
      <c r="F377" s="5">
        <f>D377*GiaDinh!$C$4-C377</f>
        <v>0.82599999999999341</v>
      </c>
      <c r="G377" s="5">
        <f>C377*GiaDinh!$C$6</f>
        <v>352.05063999999999</v>
      </c>
    </row>
    <row r="378" spans="1:7" x14ac:dyDescent="0.35">
      <c r="A378" t="s">
        <v>10</v>
      </c>
      <c r="B378">
        <v>10</v>
      </c>
      <c r="C378" s="5">
        <v>149.14500000000001</v>
      </c>
      <c r="D378">
        <f>ROUNDUP(C378/GiaDinh!$C$4-0.0005,0)</f>
        <v>25</v>
      </c>
      <c r="E378">
        <f t="shared" si="5"/>
        <v>24</v>
      </c>
      <c r="F378" s="5">
        <f>D378*GiaDinh!$C$4-C378</f>
        <v>0.85499999999998977</v>
      </c>
      <c r="G378" s="5">
        <f>C378*GiaDinh!$C$6</f>
        <v>351.98219999999998</v>
      </c>
    </row>
    <row r="379" spans="1:7" x14ac:dyDescent="0.35">
      <c r="A379" t="s">
        <v>10</v>
      </c>
      <c r="B379">
        <v>11</v>
      </c>
      <c r="C379" s="5">
        <v>149.17400000000001</v>
      </c>
      <c r="D379">
        <f>ROUNDUP(C379/GiaDinh!$C$4-0.0005,0)</f>
        <v>25</v>
      </c>
      <c r="E379">
        <f t="shared" si="5"/>
        <v>24</v>
      </c>
      <c r="F379" s="5">
        <f>D379*GiaDinh!$C$4-C379</f>
        <v>0.82599999999999341</v>
      </c>
      <c r="G379" s="5">
        <f>C379*GiaDinh!$C$6</f>
        <v>352.05063999999999</v>
      </c>
    </row>
    <row r="380" spans="1:7" x14ac:dyDescent="0.35">
      <c r="A380" t="s">
        <v>10</v>
      </c>
      <c r="B380">
        <v>12</v>
      </c>
      <c r="C380" s="5">
        <v>149.14500000000001</v>
      </c>
      <c r="D380">
        <f>ROUNDUP(C380/GiaDinh!$C$4-0.0005,0)</f>
        <v>25</v>
      </c>
      <c r="E380">
        <f t="shared" si="5"/>
        <v>24</v>
      </c>
      <c r="F380" s="5">
        <f>D380*GiaDinh!$C$4-C380</f>
        <v>0.85499999999998977</v>
      </c>
      <c r="G380" s="5">
        <f>C380*GiaDinh!$C$6</f>
        <v>351.98219999999998</v>
      </c>
    </row>
    <row r="381" spans="1:7" x14ac:dyDescent="0.35">
      <c r="A381" t="s">
        <v>10</v>
      </c>
      <c r="B381">
        <v>13</v>
      </c>
      <c r="C381" s="5">
        <v>149.17400000000001</v>
      </c>
      <c r="D381">
        <f>ROUNDUP(C381/GiaDinh!$C$4-0.0005,0)</f>
        <v>25</v>
      </c>
      <c r="E381">
        <f t="shared" si="5"/>
        <v>24</v>
      </c>
      <c r="F381" s="5">
        <f>D381*GiaDinh!$C$4-C381</f>
        <v>0.82599999999999341</v>
      </c>
      <c r="G381" s="5">
        <f>C381*GiaDinh!$C$6</f>
        <v>352.05063999999999</v>
      </c>
    </row>
    <row r="382" spans="1:7" x14ac:dyDescent="0.35">
      <c r="A382" t="s">
        <v>10</v>
      </c>
      <c r="B382">
        <v>14</v>
      </c>
      <c r="C382" s="5">
        <v>149.14500000000001</v>
      </c>
      <c r="D382">
        <f>ROUNDUP(C382/GiaDinh!$C$4-0.0005,0)</f>
        <v>25</v>
      </c>
      <c r="E382">
        <f t="shared" si="5"/>
        <v>24</v>
      </c>
      <c r="F382" s="5">
        <f>D382*GiaDinh!$C$4-C382</f>
        <v>0.85499999999998977</v>
      </c>
      <c r="G382" s="5">
        <f>C382*GiaDinh!$C$6</f>
        <v>351.98219999999998</v>
      </c>
    </row>
    <row r="383" spans="1:7" x14ac:dyDescent="0.35">
      <c r="A383" t="s">
        <v>10</v>
      </c>
      <c r="B383">
        <v>15</v>
      </c>
      <c r="C383" s="5">
        <v>149.17400000000001</v>
      </c>
      <c r="D383">
        <f>ROUNDUP(C383/GiaDinh!$C$4-0.0005,0)</f>
        <v>25</v>
      </c>
      <c r="E383">
        <f t="shared" si="5"/>
        <v>24</v>
      </c>
      <c r="F383" s="5">
        <f>D383*GiaDinh!$C$4-C383</f>
        <v>0.82599999999999341</v>
      </c>
      <c r="G383" s="5">
        <f>C383*GiaDinh!$C$6</f>
        <v>352.05063999999999</v>
      </c>
    </row>
    <row r="384" spans="1:7" x14ac:dyDescent="0.35">
      <c r="A384" t="s">
        <v>10</v>
      </c>
      <c r="B384">
        <v>16</v>
      </c>
      <c r="C384" s="5">
        <v>149.14500000000001</v>
      </c>
      <c r="D384">
        <f>ROUNDUP(C384/GiaDinh!$C$4-0.0005,0)</f>
        <v>25</v>
      </c>
      <c r="E384">
        <f t="shared" si="5"/>
        <v>24</v>
      </c>
      <c r="F384" s="5">
        <f>D384*GiaDinh!$C$4-C384</f>
        <v>0.85499999999998977</v>
      </c>
      <c r="G384" s="5">
        <f>C384*GiaDinh!$C$6</f>
        <v>351.98219999999998</v>
      </c>
    </row>
    <row r="385" spans="1:7" x14ac:dyDescent="0.35">
      <c r="A385" t="s">
        <v>10</v>
      </c>
      <c r="B385">
        <v>17</v>
      </c>
      <c r="C385" s="5">
        <v>149.17400000000001</v>
      </c>
      <c r="D385">
        <f>ROUNDUP(C385/GiaDinh!$C$4-0.0005,0)</f>
        <v>25</v>
      </c>
      <c r="E385">
        <f t="shared" si="5"/>
        <v>24</v>
      </c>
      <c r="F385" s="5">
        <f>D385*GiaDinh!$C$4-C385</f>
        <v>0.82599999999999341</v>
      </c>
      <c r="G385" s="5">
        <f>C385*GiaDinh!$C$6</f>
        <v>352.05063999999999</v>
      </c>
    </row>
    <row r="386" spans="1:7" x14ac:dyDescent="0.35">
      <c r="A386" t="s">
        <v>10</v>
      </c>
      <c r="B386">
        <v>18</v>
      </c>
      <c r="C386" s="5">
        <v>149.14500000000001</v>
      </c>
      <c r="D386">
        <f>ROUNDUP(C386/GiaDinh!$C$4-0.0005,0)</f>
        <v>25</v>
      </c>
      <c r="E386">
        <f t="shared" si="5"/>
        <v>24</v>
      </c>
      <c r="F386" s="5">
        <f>D386*GiaDinh!$C$4-C386</f>
        <v>0.85499999999998977</v>
      </c>
      <c r="G386" s="5">
        <f>C386*GiaDinh!$C$6</f>
        <v>351.98219999999998</v>
      </c>
    </row>
    <row r="387" spans="1:7" x14ac:dyDescent="0.35">
      <c r="A387" t="s">
        <v>10</v>
      </c>
      <c r="B387">
        <v>19</v>
      </c>
      <c r="C387" s="5">
        <v>149.17400000000001</v>
      </c>
      <c r="D387">
        <f>ROUNDUP(C387/GiaDinh!$C$4-0.0005,0)</f>
        <v>25</v>
      </c>
      <c r="E387">
        <f t="shared" si="5"/>
        <v>24</v>
      </c>
      <c r="F387" s="5">
        <f>D387*GiaDinh!$C$4-C387</f>
        <v>0.82599999999999341</v>
      </c>
      <c r="G387" s="5">
        <f>C387*GiaDinh!$C$6</f>
        <v>352.05063999999999</v>
      </c>
    </row>
    <row r="388" spans="1:7" x14ac:dyDescent="0.35">
      <c r="A388" t="s">
        <v>10</v>
      </c>
      <c r="B388">
        <v>20</v>
      </c>
      <c r="C388" s="5">
        <v>149.14500000000001</v>
      </c>
      <c r="D388">
        <f>ROUNDUP(C388/GiaDinh!$C$4-0.0005,0)</f>
        <v>25</v>
      </c>
      <c r="E388">
        <f t="shared" ref="E388:E451" si="6">D388-1</f>
        <v>24</v>
      </c>
      <c r="F388" s="5">
        <f>D388*GiaDinh!$C$4-C388</f>
        <v>0.85499999999998977</v>
      </c>
      <c r="G388" s="5">
        <f>C388*GiaDinh!$C$6</f>
        <v>351.98219999999998</v>
      </c>
    </row>
    <row r="389" spans="1:7" x14ac:dyDescent="0.35">
      <c r="A389" t="s">
        <v>10</v>
      </c>
      <c r="B389">
        <v>21</v>
      </c>
      <c r="C389" s="5">
        <v>149.17400000000001</v>
      </c>
      <c r="D389">
        <f>ROUNDUP(C389/GiaDinh!$C$4-0.0005,0)</f>
        <v>25</v>
      </c>
      <c r="E389">
        <f t="shared" si="6"/>
        <v>24</v>
      </c>
      <c r="F389" s="5">
        <f>D389*GiaDinh!$C$4-C389</f>
        <v>0.82599999999999341</v>
      </c>
      <c r="G389" s="5">
        <f>C389*GiaDinh!$C$6</f>
        <v>352.05063999999999</v>
      </c>
    </row>
    <row r="390" spans="1:7" x14ac:dyDescent="0.35">
      <c r="A390" t="s">
        <v>10</v>
      </c>
      <c r="B390">
        <v>22</v>
      </c>
      <c r="C390" s="5">
        <v>149.14500000000001</v>
      </c>
      <c r="D390">
        <f>ROUNDUP(C390/GiaDinh!$C$4-0.0005,0)</f>
        <v>25</v>
      </c>
      <c r="E390">
        <f t="shared" si="6"/>
        <v>24</v>
      </c>
      <c r="F390" s="5">
        <f>D390*GiaDinh!$C$4-C390</f>
        <v>0.85499999999998977</v>
      </c>
      <c r="G390" s="5">
        <f>C390*GiaDinh!$C$6</f>
        <v>351.98219999999998</v>
      </c>
    </row>
    <row r="391" spans="1:7" x14ac:dyDescent="0.35">
      <c r="A391" t="s">
        <v>10</v>
      </c>
      <c r="B391">
        <v>23</v>
      </c>
      <c r="C391" s="5">
        <v>149.17400000000001</v>
      </c>
      <c r="D391">
        <f>ROUNDUP(C391/GiaDinh!$C$4-0.0005,0)</f>
        <v>25</v>
      </c>
      <c r="E391">
        <f t="shared" si="6"/>
        <v>24</v>
      </c>
      <c r="F391" s="5">
        <f>D391*GiaDinh!$C$4-C391</f>
        <v>0.82599999999999341</v>
      </c>
      <c r="G391" s="5">
        <f>C391*GiaDinh!$C$6</f>
        <v>352.05063999999999</v>
      </c>
    </row>
    <row r="392" spans="1:7" x14ac:dyDescent="0.35">
      <c r="A392" t="s">
        <v>10</v>
      </c>
      <c r="B392">
        <v>24</v>
      </c>
      <c r="C392" s="5">
        <v>149.14500000000001</v>
      </c>
      <c r="D392">
        <f>ROUNDUP(C392/GiaDinh!$C$4-0.0005,0)</f>
        <v>25</v>
      </c>
      <c r="E392">
        <f t="shared" si="6"/>
        <v>24</v>
      </c>
      <c r="F392" s="5">
        <f>D392*GiaDinh!$C$4-C392</f>
        <v>0.85499999999998977</v>
      </c>
      <c r="G392" s="5">
        <f>C392*GiaDinh!$C$6</f>
        <v>351.98219999999998</v>
      </c>
    </row>
    <row r="393" spans="1:7" x14ac:dyDescent="0.35">
      <c r="A393" t="s">
        <v>10</v>
      </c>
      <c r="B393">
        <v>25</v>
      </c>
      <c r="C393" s="5">
        <v>149.17400000000001</v>
      </c>
      <c r="D393">
        <f>ROUNDUP(C393/GiaDinh!$C$4-0.0005,0)</f>
        <v>25</v>
      </c>
      <c r="E393">
        <f t="shared" si="6"/>
        <v>24</v>
      </c>
      <c r="F393" s="5">
        <f>D393*GiaDinh!$C$4-C393</f>
        <v>0.82599999999999341</v>
      </c>
      <c r="G393" s="5">
        <f>C393*GiaDinh!$C$6</f>
        <v>352.05063999999999</v>
      </c>
    </row>
    <row r="394" spans="1:7" x14ac:dyDescent="0.35">
      <c r="A394" t="s">
        <v>10</v>
      </c>
      <c r="B394">
        <v>26</v>
      </c>
      <c r="C394" s="5">
        <v>149.14500000000001</v>
      </c>
      <c r="D394">
        <f>ROUNDUP(C394/GiaDinh!$C$4-0.0005,0)</f>
        <v>25</v>
      </c>
      <c r="E394">
        <f t="shared" si="6"/>
        <v>24</v>
      </c>
      <c r="F394" s="5">
        <f>D394*GiaDinh!$C$4-C394</f>
        <v>0.85499999999998977</v>
      </c>
      <c r="G394" s="5">
        <f>C394*GiaDinh!$C$6</f>
        <v>351.98219999999998</v>
      </c>
    </row>
    <row r="395" spans="1:7" x14ac:dyDescent="0.35">
      <c r="A395" t="s">
        <v>10</v>
      </c>
      <c r="B395">
        <v>27</v>
      </c>
      <c r="C395" s="5">
        <v>149.17400000000001</v>
      </c>
      <c r="D395">
        <f>ROUNDUP(C395/GiaDinh!$C$4-0.0005,0)</f>
        <v>25</v>
      </c>
      <c r="E395">
        <f t="shared" si="6"/>
        <v>24</v>
      </c>
      <c r="F395" s="5">
        <f>D395*GiaDinh!$C$4-C395</f>
        <v>0.82599999999999341</v>
      </c>
      <c r="G395" s="5">
        <f>C395*GiaDinh!$C$6</f>
        <v>352.05063999999999</v>
      </c>
    </row>
    <row r="396" spans="1:7" x14ac:dyDescent="0.35">
      <c r="A396" t="s">
        <v>10</v>
      </c>
      <c r="B396">
        <v>28</v>
      </c>
      <c r="C396" s="5">
        <v>149.14500000000001</v>
      </c>
      <c r="D396">
        <f>ROUNDUP(C396/GiaDinh!$C$4-0.0005,0)</f>
        <v>25</v>
      </c>
      <c r="E396">
        <f t="shared" si="6"/>
        <v>24</v>
      </c>
      <c r="F396" s="5">
        <f>D396*GiaDinh!$C$4-C396</f>
        <v>0.85499999999998977</v>
      </c>
      <c r="G396" s="5">
        <f>C396*GiaDinh!$C$6</f>
        <v>351.98219999999998</v>
      </c>
    </row>
    <row r="397" spans="1:7" x14ac:dyDescent="0.35">
      <c r="A397" t="s">
        <v>10</v>
      </c>
      <c r="B397">
        <v>29</v>
      </c>
      <c r="C397" s="5">
        <v>149.17400000000001</v>
      </c>
      <c r="D397">
        <f>ROUNDUP(C397/GiaDinh!$C$4-0.0005,0)</f>
        <v>25</v>
      </c>
      <c r="E397">
        <f t="shared" si="6"/>
        <v>24</v>
      </c>
      <c r="F397" s="5">
        <f>D397*GiaDinh!$C$4-C397</f>
        <v>0.82599999999999341</v>
      </c>
      <c r="G397" s="5">
        <f>C397*GiaDinh!$C$6</f>
        <v>352.05063999999999</v>
      </c>
    </row>
    <row r="398" spans="1:7" x14ac:dyDescent="0.35">
      <c r="A398" t="s">
        <v>10</v>
      </c>
      <c r="B398">
        <v>30</v>
      </c>
      <c r="C398" s="5">
        <v>149.14500000000001</v>
      </c>
      <c r="D398">
        <f>ROUNDUP(C398/GiaDinh!$C$4-0.0005,0)</f>
        <v>25</v>
      </c>
      <c r="E398">
        <f t="shared" si="6"/>
        <v>24</v>
      </c>
      <c r="F398" s="5">
        <f>D398*GiaDinh!$C$4-C398</f>
        <v>0.85499999999998977</v>
      </c>
      <c r="G398" s="5">
        <f>C398*GiaDinh!$C$6</f>
        <v>351.98219999999998</v>
      </c>
    </row>
    <row r="399" spans="1:7" x14ac:dyDescent="0.35">
      <c r="A399" t="s">
        <v>10</v>
      </c>
      <c r="B399">
        <v>31</v>
      </c>
      <c r="C399" s="5">
        <v>149.14500000000001</v>
      </c>
      <c r="D399">
        <f>ROUNDUP(C399/GiaDinh!$C$4-0.0005,0)</f>
        <v>25</v>
      </c>
      <c r="E399">
        <f t="shared" si="6"/>
        <v>24</v>
      </c>
      <c r="F399" s="5">
        <f>D399*GiaDinh!$C$4-C399</f>
        <v>0.85499999999998977</v>
      </c>
      <c r="G399" s="5">
        <f>C399*GiaDinh!$C$6</f>
        <v>351.98219999999998</v>
      </c>
    </row>
    <row r="400" spans="1:7" x14ac:dyDescent="0.35">
      <c r="A400" t="s">
        <v>10</v>
      </c>
      <c r="B400">
        <v>32</v>
      </c>
      <c r="C400" s="5">
        <v>149.17400000000001</v>
      </c>
      <c r="D400">
        <f>ROUNDUP(C400/GiaDinh!$C$4-0.0005,0)</f>
        <v>25</v>
      </c>
      <c r="E400">
        <f t="shared" si="6"/>
        <v>24</v>
      </c>
      <c r="F400" s="5">
        <f>D400*GiaDinh!$C$4-C400</f>
        <v>0.82599999999999341</v>
      </c>
      <c r="G400" s="5">
        <f>C400*GiaDinh!$C$6</f>
        <v>352.05063999999999</v>
      </c>
    </row>
    <row r="401" spans="1:7" x14ac:dyDescent="0.35">
      <c r="A401" t="s">
        <v>10</v>
      </c>
      <c r="B401">
        <v>33</v>
      </c>
      <c r="C401" s="5">
        <v>149.14500000000001</v>
      </c>
      <c r="D401">
        <f>ROUNDUP(C401/GiaDinh!$C$4-0.0005,0)</f>
        <v>25</v>
      </c>
      <c r="E401">
        <f t="shared" si="6"/>
        <v>24</v>
      </c>
      <c r="F401" s="5">
        <f>D401*GiaDinh!$C$4-C401</f>
        <v>0.85499999999998977</v>
      </c>
      <c r="G401" s="5">
        <f>C401*GiaDinh!$C$6</f>
        <v>351.98219999999998</v>
      </c>
    </row>
    <row r="402" spans="1:7" x14ac:dyDescent="0.35">
      <c r="A402" t="s">
        <v>10</v>
      </c>
      <c r="B402">
        <v>34</v>
      </c>
      <c r="C402" s="5">
        <v>149.17400000000001</v>
      </c>
      <c r="D402">
        <f>ROUNDUP(C402/GiaDinh!$C$4-0.0005,0)</f>
        <v>25</v>
      </c>
      <c r="E402">
        <f t="shared" si="6"/>
        <v>24</v>
      </c>
      <c r="F402" s="5">
        <f>D402*GiaDinh!$C$4-C402</f>
        <v>0.82599999999999341</v>
      </c>
      <c r="G402" s="5">
        <f>C402*GiaDinh!$C$6</f>
        <v>352.05063999999999</v>
      </c>
    </row>
    <row r="403" spans="1:7" x14ac:dyDescent="0.35">
      <c r="A403" t="s">
        <v>10</v>
      </c>
      <c r="B403">
        <v>35</v>
      </c>
      <c r="C403" s="5">
        <v>149.14500000000001</v>
      </c>
      <c r="D403">
        <f>ROUNDUP(C403/GiaDinh!$C$4-0.0005,0)</f>
        <v>25</v>
      </c>
      <c r="E403">
        <f t="shared" si="6"/>
        <v>24</v>
      </c>
      <c r="F403" s="5">
        <f>D403*GiaDinh!$C$4-C403</f>
        <v>0.85499999999998977</v>
      </c>
      <c r="G403" s="5">
        <f>C403*GiaDinh!$C$6</f>
        <v>351.98219999999998</v>
      </c>
    </row>
    <row r="404" spans="1:7" x14ac:dyDescent="0.35">
      <c r="A404" t="s">
        <v>10</v>
      </c>
      <c r="B404">
        <v>36</v>
      </c>
      <c r="C404" s="5">
        <v>149.17400000000001</v>
      </c>
      <c r="D404">
        <f>ROUNDUP(C404/GiaDinh!$C$4-0.0005,0)</f>
        <v>25</v>
      </c>
      <c r="E404">
        <f t="shared" si="6"/>
        <v>24</v>
      </c>
      <c r="F404" s="5">
        <f>D404*GiaDinh!$C$4-C404</f>
        <v>0.82599999999999341</v>
      </c>
      <c r="G404" s="5">
        <f>C404*GiaDinh!$C$6</f>
        <v>352.05063999999999</v>
      </c>
    </row>
    <row r="405" spans="1:7" x14ac:dyDescent="0.35">
      <c r="A405" t="s">
        <v>10</v>
      </c>
      <c r="B405">
        <v>37</v>
      </c>
      <c r="C405" s="5">
        <v>149.14500000000001</v>
      </c>
      <c r="D405">
        <f>ROUNDUP(C405/GiaDinh!$C$4-0.0005,0)</f>
        <v>25</v>
      </c>
      <c r="E405">
        <f t="shared" si="6"/>
        <v>24</v>
      </c>
      <c r="F405" s="5">
        <f>D405*GiaDinh!$C$4-C405</f>
        <v>0.85499999999998977</v>
      </c>
      <c r="G405" s="5">
        <f>C405*GiaDinh!$C$6</f>
        <v>351.98219999999998</v>
      </c>
    </row>
    <row r="406" spans="1:7" x14ac:dyDescent="0.35">
      <c r="A406" t="s">
        <v>10</v>
      </c>
      <c r="B406">
        <v>38</v>
      </c>
      <c r="C406" s="5">
        <v>149.17400000000001</v>
      </c>
      <c r="D406">
        <f>ROUNDUP(C406/GiaDinh!$C$4-0.0005,0)</f>
        <v>25</v>
      </c>
      <c r="E406">
        <f t="shared" si="6"/>
        <v>24</v>
      </c>
      <c r="F406" s="5">
        <f>D406*GiaDinh!$C$4-C406</f>
        <v>0.82599999999999341</v>
      </c>
      <c r="G406" s="5">
        <f>C406*GiaDinh!$C$6</f>
        <v>352.05063999999999</v>
      </c>
    </row>
    <row r="407" spans="1:7" x14ac:dyDescent="0.35">
      <c r="A407" t="s">
        <v>10</v>
      </c>
      <c r="B407">
        <v>39</v>
      </c>
      <c r="C407" s="5">
        <v>149.14500000000001</v>
      </c>
      <c r="D407">
        <f>ROUNDUP(C407/GiaDinh!$C$4-0.0005,0)</f>
        <v>25</v>
      </c>
      <c r="E407">
        <f t="shared" si="6"/>
        <v>24</v>
      </c>
      <c r="F407" s="5">
        <f>D407*GiaDinh!$C$4-C407</f>
        <v>0.85499999999998977</v>
      </c>
      <c r="G407" s="5">
        <f>C407*GiaDinh!$C$6</f>
        <v>351.98219999999998</v>
      </c>
    </row>
    <row r="408" spans="1:7" x14ac:dyDescent="0.35">
      <c r="A408" t="s">
        <v>10</v>
      </c>
      <c r="B408">
        <v>40</v>
      </c>
      <c r="C408" s="5">
        <v>149.17400000000001</v>
      </c>
      <c r="D408">
        <f>ROUNDUP(C408/GiaDinh!$C$4-0.0005,0)</f>
        <v>25</v>
      </c>
      <c r="E408">
        <f t="shared" si="6"/>
        <v>24</v>
      </c>
      <c r="F408" s="5">
        <f>D408*GiaDinh!$C$4-C408</f>
        <v>0.82599999999999341</v>
      </c>
      <c r="G408" s="5">
        <f>C408*GiaDinh!$C$6</f>
        <v>352.05063999999999</v>
      </c>
    </row>
    <row r="409" spans="1:7" x14ac:dyDescent="0.35">
      <c r="A409" t="s">
        <v>10</v>
      </c>
      <c r="B409">
        <v>41</v>
      </c>
      <c r="C409" s="5">
        <v>149.14500000000001</v>
      </c>
      <c r="D409">
        <f>ROUNDUP(C409/GiaDinh!$C$4-0.0005,0)</f>
        <v>25</v>
      </c>
      <c r="E409">
        <f t="shared" si="6"/>
        <v>24</v>
      </c>
      <c r="F409" s="5">
        <f>D409*GiaDinh!$C$4-C409</f>
        <v>0.85499999999998977</v>
      </c>
      <c r="G409" s="5">
        <f>C409*GiaDinh!$C$6</f>
        <v>351.98219999999998</v>
      </c>
    </row>
    <row r="410" spans="1:7" x14ac:dyDescent="0.35">
      <c r="A410" t="s">
        <v>10</v>
      </c>
      <c r="B410">
        <v>42</v>
      </c>
      <c r="C410" s="5">
        <v>149.17400000000001</v>
      </c>
      <c r="D410">
        <f>ROUNDUP(C410/GiaDinh!$C$4-0.0005,0)</f>
        <v>25</v>
      </c>
      <c r="E410">
        <f t="shared" si="6"/>
        <v>24</v>
      </c>
      <c r="F410" s="5">
        <f>D410*GiaDinh!$C$4-C410</f>
        <v>0.82599999999999341</v>
      </c>
      <c r="G410" s="5">
        <f>C410*GiaDinh!$C$6</f>
        <v>352.05063999999999</v>
      </c>
    </row>
    <row r="411" spans="1:7" x14ac:dyDescent="0.35">
      <c r="A411" t="s">
        <v>10</v>
      </c>
      <c r="B411">
        <v>43</v>
      </c>
      <c r="C411" s="5">
        <v>149.14500000000001</v>
      </c>
      <c r="D411">
        <f>ROUNDUP(C411/GiaDinh!$C$4-0.0005,0)</f>
        <v>25</v>
      </c>
      <c r="E411">
        <f t="shared" si="6"/>
        <v>24</v>
      </c>
      <c r="F411" s="5">
        <f>D411*GiaDinh!$C$4-C411</f>
        <v>0.85499999999998977</v>
      </c>
      <c r="G411" s="5">
        <f>C411*GiaDinh!$C$6</f>
        <v>351.98219999999998</v>
      </c>
    </row>
    <row r="412" spans="1:7" x14ac:dyDescent="0.35">
      <c r="A412" t="s">
        <v>10</v>
      </c>
      <c r="B412">
        <v>44</v>
      </c>
      <c r="C412" s="5">
        <v>149.17400000000001</v>
      </c>
      <c r="D412">
        <f>ROUNDUP(C412/GiaDinh!$C$4-0.0005,0)</f>
        <v>25</v>
      </c>
      <c r="E412">
        <f t="shared" si="6"/>
        <v>24</v>
      </c>
      <c r="F412" s="5">
        <f>D412*GiaDinh!$C$4-C412</f>
        <v>0.82599999999999341</v>
      </c>
      <c r="G412" s="5">
        <f>C412*GiaDinh!$C$6</f>
        <v>352.05063999999999</v>
      </c>
    </row>
    <row r="413" spans="1:7" x14ac:dyDescent="0.35">
      <c r="A413" t="s">
        <v>10</v>
      </c>
      <c r="B413">
        <v>45</v>
      </c>
      <c r="C413" s="5">
        <v>149.14500000000001</v>
      </c>
      <c r="D413">
        <f>ROUNDUP(C413/GiaDinh!$C$4-0.0005,0)</f>
        <v>25</v>
      </c>
      <c r="E413">
        <f t="shared" si="6"/>
        <v>24</v>
      </c>
      <c r="F413" s="5">
        <f>D413*GiaDinh!$C$4-C413</f>
        <v>0.85499999999998977</v>
      </c>
      <c r="G413" s="5">
        <f>C413*GiaDinh!$C$6</f>
        <v>351.98219999999998</v>
      </c>
    </row>
    <row r="414" spans="1:7" x14ac:dyDescent="0.35">
      <c r="A414" t="s">
        <v>10</v>
      </c>
      <c r="B414">
        <v>46</v>
      </c>
      <c r="C414" s="5">
        <v>149.17400000000001</v>
      </c>
      <c r="D414">
        <f>ROUNDUP(C414/GiaDinh!$C$4-0.0005,0)</f>
        <v>25</v>
      </c>
      <c r="E414">
        <f t="shared" si="6"/>
        <v>24</v>
      </c>
      <c r="F414" s="5">
        <f>D414*GiaDinh!$C$4-C414</f>
        <v>0.82599999999999341</v>
      </c>
      <c r="G414" s="5">
        <f>C414*GiaDinh!$C$6</f>
        <v>352.05063999999999</v>
      </c>
    </row>
    <row r="415" spans="1:7" x14ac:dyDescent="0.35">
      <c r="A415" t="s">
        <v>10</v>
      </c>
      <c r="B415">
        <v>47</v>
      </c>
      <c r="C415" s="5">
        <v>149.14500000000001</v>
      </c>
      <c r="D415">
        <f>ROUNDUP(C415/GiaDinh!$C$4-0.0005,0)</f>
        <v>25</v>
      </c>
      <c r="E415">
        <f t="shared" si="6"/>
        <v>24</v>
      </c>
      <c r="F415" s="5">
        <f>D415*GiaDinh!$C$4-C415</f>
        <v>0.85499999999998977</v>
      </c>
      <c r="G415" s="5">
        <f>C415*GiaDinh!$C$6</f>
        <v>351.98219999999998</v>
      </c>
    </row>
    <row r="416" spans="1:7" x14ac:dyDescent="0.35">
      <c r="A416" t="s">
        <v>10</v>
      </c>
      <c r="B416">
        <v>48</v>
      </c>
      <c r="C416" s="5">
        <v>149.17400000000001</v>
      </c>
      <c r="D416">
        <f>ROUNDUP(C416/GiaDinh!$C$4-0.0005,0)</f>
        <v>25</v>
      </c>
      <c r="E416">
        <f t="shared" si="6"/>
        <v>24</v>
      </c>
      <c r="F416" s="5">
        <f>D416*GiaDinh!$C$4-C416</f>
        <v>0.82599999999999341</v>
      </c>
      <c r="G416" s="5">
        <f>C416*GiaDinh!$C$6</f>
        <v>352.05063999999999</v>
      </c>
    </row>
    <row r="417" spans="1:7" x14ac:dyDescent="0.35">
      <c r="A417" t="s">
        <v>10</v>
      </c>
      <c r="B417">
        <v>49</v>
      </c>
      <c r="C417" s="5">
        <v>149.14500000000001</v>
      </c>
      <c r="D417">
        <f>ROUNDUP(C417/GiaDinh!$C$4-0.0005,0)</f>
        <v>25</v>
      </c>
      <c r="E417">
        <f t="shared" si="6"/>
        <v>24</v>
      </c>
      <c r="F417" s="5">
        <f>D417*GiaDinh!$C$4-C417</f>
        <v>0.85499999999998977</v>
      </c>
      <c r="G417" s="5">
        <f>C417*GiaDinh!$C$6</f>
        <v>351.98219999999998</v>
      </c>
    </row>
    <row r="418" spans="1:7" x14ac:dyDescent="0.35">
      <c r="A418" t="s">
        <v>10</v>
      </c>
      <c r="B418">
        <v>50</v>
      </c>
      <c r="C418" s="5">
        <v>149.17400000000001</v>
      </c>
      <c r="D418">
        <f>ROUNDUP(C418/GiaDinh!$C$4-0.0005,0)</f>
        <v>25</v>
      </c>
      <c r="E418">
        <f t="shared" si="6"/>
        <v>24</v>
      </c>
      <c r="F418" s="5">
        <f>D418*GiaDinh!$C$4-C418</f>
        <v>0.82599999999999341</v>
      </c>
      <c r="G418" s="5">
        <f>C418*GiaDinh!$C$6</f>
        <v>352.05063999999999</v>
      </c>
    </row>
    <row r="419" spans="1:7" x14ac:dyDescent="0.35">
      <c r="A419" t="s">
        <v>10</v>
      </c>
      <c r="B419">
        <v>51</v>
      </c>
      <c r="C419" s="5">
        <v>149.14500000000001</v>
      </c>
      <c r="D419">
        <f>ROUNDUP(C419/GiaDinh!$C$4-0.0005,0)</f>
        <v>25</v>
      </c>
      <c r="E419">
        <f t="shared" si="6"/>
        <v>24</v>
      </c>
      <c r="F419" s="5">
        <f>D419*GiaDinh!$C$4-C419</f>
        <v>0.85499999999998977</v>
      </c>
      <c r="G419" s="5">
        <f>C419*GiaDinh!$C$6</f>
        <v>351.98219999999998</v>
      </c>
    </row>
    <row r="420" spans="1:7" x14ac:dyDescent="0.35">
      <c r="A420" t="s">
        <v>10</v>
      </c>
      <c r="B420">
        <v>52</v>
      </c>
      <c r="C420" s="5">
        <v>149.17400000000001</v>
      </c>
      <c r="D420">
        <f>ROUNDUP(C420/GiaDinh!$C$4-0.0005,0)</f>
        <v>25</v>
      </c>
      <c r="E420">
        <f t="shared" si="6"/>
        <v>24</v>
      </c>
      <c r="F420" s="5">
        <f>D420*GiaDinh!$C$4-C420</f>
        <v>0.82599999999999341</v>
      </c>
      <c r="G420" s="5">
        <f>C420*GiaDinh!$C$6</f>
        <v>352.05063999999999</v>
      </c>
    </row>
    <row r="421" spans="1:7" x14ac:dyDescent="0.35">
      <c r="A421" t="s">
        <v>10</v>
      </c>
      <c r="B421">
        <v>53</v>
      </c>
      <c r="C421" s="5">
        <v>149.14500000000001</v>
      </c>
      <c r="D421">
        <f>ROUNDUP(C421/GiaDinh!$C$4-0.0005,0)</f>
        <v>25</v>
      </c>
      <c r="E421">
        <f t="shared" si="6"/>
        <v>24</v>
      </c>
      <c r="F421" s="5">
        <f>D421*GiaDinh!$C$4-C421</f>
        <v>0.85499999999998977</v>
      </c>
      <c r="G421" s="5">
        <f>C421*GiaDinh!$C$6</f>
        <v>351.98219999999998</v>
      </c>
    </row>
    <row r="422" spans="1:7" x14ac:dyDescent="0.35">
      <c r="A422" t="s">
        <v>10</v>
      </c>
      <c r="B422">
        <v>54</v>
      </c>
      <c r="C422" s="5">
        <v>149.17400000000001</v>
      </c>
      <c r="D422">
        <f>ROUNDUP(C422/GiaDinh!$C$4-0.0005,0)</f>
        <v>25</v>
      </c>
      <c r="E422">
        <f t="shared" si="6"/>
        <v>24</v>
      </c>
      <c r="F422" s="5">
        <f>D422*GiaDinh!$C$4-C422</f>
        <v>0.82599999999999341</v>
      </c>
      <c r="G422" s="5">
        <f>C422*GiaDinh!$C$6</f>
        <v>352.05063999999999</v>
      </c>
    </row>
    <row r="423" spans="1:7" x14ac:dyDescent="0.35">
      <c r="A423" t="s">
        <v>10</v>
      </c>
      <c r="B423">
        <v>55</v>
      </c>
      <c r="C423" s="5">
        <v>149.14500000000001</v>
      </c>
      <c r="D423">
        <f>ROUNDUP(C423/GiaDinh!$C$4-0.0005,0)</f>
        <v>25</v>
      </c>
      <c r="E423">
        <f t="shared" si="6"/>
        <v>24</v>
      </c>
      <c r="F423" s="5">
        <f>D423*GiaDinh!$C$4-C423</f>
        <v>0.85499999999998977</v>
      </c>
      <c r="G423" s="5">
        <f>C423*GiaDinh!$C$6</f>
        <v>351.98219999999998</v>
      </c>
    </row>
    <row r="424" spans="1:7" x14ac:dyDescent="0.35">
      <c r="A424" t="s">
        <v>10</v>
      </c>
      <c r="B424">
        <v>56</v>
      </c>
      <c r="C424" s="5">
        <v>149.17400000000001</v>
      </c>
      <c r="D424">
        <f>ROUNDUP(C424/GiaDinh!$C$4-0.0005,0)</f>
        <v>25</v>
      </c>
      <c r="E424">
        <f t="shared" si="6"/>
        <v>24</v>
      </c>
      <c r="F424" s="5">
        <f>D424*GiaDinh!$C$4-C424</f>
        <v>0.82599999999999341</v>
      </c>
      <c r="G424" s="5">
        <f>C424*GiaDinh!$C$6</f>
        <v>352.05063999999999</v>
      </c>
    </row>
    <row r="425" spans="1:7" x14ac:dyDescent="0.35">
      <c r="A425" t="s">
        <v>10</v>
      </c>
      <c r="B425">
        <v>57</v>
      </c>
      <c r="C425" s="5">
        <v>149.14500000000001</v>
      </c>
      <c r="D425">
        <f>ROUNDUP(C425/GiaDinh!$C$4-0.0005,0)</f>
        <v>25</v>
      </c>
      <c r="E425">
        <f t="shared" si="6"/>
        <v>24</v>
      </c>
      <c r="F425" s="5">
        <f>D425*GiaDinh!$C$4-C425</f>
        <v>0.85499999999998977</v>
      </c>
      <c r="G425" s="5">
        <f>C425*GiaDinh!$C$6</f>
        <v>351.98219999999998</v>
      </c>
    </row>
    <row r="426" spans="1:7" x14ac:dyDescent="0.35">
      <c r="A426" t="s">
        <v>10</v>
      </c>
      <c r="B426">
        <v>58</v>
      </c>
      <c r="C426" s="5">
        <v>149.17400000000001</v>
      </c>
      <c r="D426">
        <f>ROUNDUP(C426/GiaDinh!$C$4-0.0005,0)</f>
        <v>25</v>
      </c>
      <c r="E426">
        <f t="shared" si="6"/>
        <v>24</v>
      </c>
      <c r="F426" s="5">
        <f>D426*GiaDinh!$C$4-C426</f>
        <v>0.82599999999999341</v>
      </c>
      <c r="G426" s="5">
        <f>C426*GiaDinh!$C$6</f>
        <v>352.05063999999999</v>
      </c>
    </row>
    <row r="427" spans="1:7" x14ac:dyDescent="0.35">
      <c r="A427" t="s">
        <v>10</v>
      </c>
      <c r="B427">
        <v>59</v>
      </c>
      <c r="C427" s="5">
        <v>149.17400000000001</v>
      </c>
      <c r="D427">
        <f>ROUNDUP(C427/GiaDinh!$C$4-0.0005,0)</f>
        <v>25</v>
      </c>
      <c r="E427">
        <f t="shared" si="6"/>
        <v>24</v>
      </c>
      <c r="F427" s="5">
        <f>D427*GiaDinh!$C$4-C427</f>
        <v>0.82599999999999341</v>
      </c>
      <c r="G427" s="5">
        <f>C427*GiaDinh!$C$6</f>
        <v>352.05063999999999</v>
      </c>
    </row>
    <row r="428" spans="1:7" x14ac:dyDescent="0.35">
      <c r="A428" t="s">
        <v>10</v>
      </c>
      <c r="B428">
        <v>60</v>
      </c>
      <c r="C428" s="5">
        <v>149.17400000000001</v>
      </c>
      <c r="D428">
        <f>ROUNDUP(C428/GiaDinh!$C$4-0.0005,0)</f>
        <v>25</v>
      </c>
      <c r="E428">
        <f t="shared" si="6"/>
        <v>24</v>
      </c>
      <c r="F428" s="5">
        <f>D428*GiaDinh!$C$4-C428</f>
        <v>0.82599999999999341</v>
      </c>
      <c r="G428" s="5">
        <f>C428*GiaDinh!$C$6</f>
        <v>352.05063999999999</v>
      </c>
    </row>
    <row r="429" spans="1:7" x14ac:dyDescent="0.35">
      <c r="A429" t="s">
        <v>10</v>
      </c>
      <c r="B429">
        <v>61</v>
      </c>
      <c r="C429" s="5">
        <v>149.17400000000001</v>
      </c>
      <c r="D429">
        <f>ROUNDUP(C429/GiaDinh!$C$4-0.0005,0)</f>
        <v>25</v>
      </c>
      <c r="E429">
        <f t="shared" si="6"/>
        <v>24</v>
      </c>
      <c r="F429" s="5">
        <f>D429*GiaDinh!$C$4-C429</f>
        <v>0.82599999999999341</v>
      </c>
      <c r="G429" s="5">
        <f>C429*GiaDinh!$C$6</f>
        <v>352.05063999999999</v>
      </c>
    </row>
    <row r="430" spans="1:7" x14ac:dyDescent="0.35">
      <c r="A430" t="s">
        <v>10</v>
      </c>
      <c r="B430">
        <v>62</v>
      </c>
      <c r="C430" s="5">
        <v>149.14500000000001</v>
      </c>
      <c r="D430">
        <f>ROUNDUP(C430/GiaDinh!$C$4-0.0005,0)</f>
        <v>25</v>
      </c>
      <c r="E430">
        <f t="shared" si="6"/>
        <v>24</v>
      </c>
      <c r="F430" s="5">
        <f>D430*GiaDinh!$C$4-C430</f>
        <v>0.85499999999998977</v>
      </c>
      <c r="G430" s="5">
        <f>C430*GiaDinh!$C$6</f>
        <v>351.98219999999998</v>
      </c>
    </row>
    <row r="431" spans="1:7" x14ac:dyDescent="0.35">
      <c r="A431" t="s">
        <v>10</v>
      </c>
      <c r="B431">
        <v>63</v>
      </c>
      <c r="C431" s="5">
        <v>149.17400000000001</v>
      </c>
      <c r="D431">
        <f>ROUNDUP(C431/GiaDinh!$C$4-0.0005,0)</f>
        <v>25</v>
      </c>
      <c r="E431">
        <f t="shared" si="6"/>
        <v>24</v>
      </c>
      <c r="F431" s="5">
        <f>D431*GiaDinh!$C$4-C431</f>
        <v>0.82599999999999341</v>
      </c>
      <c r="G431" s="5">
        <f>C431*GiaDinh!$C$6</f>
        <v>352.05063999999999</v>
      </c>
    </row>
    <row r="432" spans="1:7" x14ac:dyDescent="0.35">
      <c r="A432" t="s">
        <v>10</v>
      </c>
      <c r="B432">
        <v>64</v>
      </c>
      <c r="C432" s="5">
        <v>149.14500000000001</v>
      </c>
      <c r="D432">
        <f>ROUNDUP(C432/GiaDinh!$C$4-0.0005,0)</f>
        <v>25</v>
      </c>
      <c r="E432">
        <f t="shared" si="6"/>
        <v>24</v>
      </c>
      <c r="F432" s="5">
        <f>D432*GiaDinh!$C$4-C432</f>
        <v>0.85499999999998977</v>
      </c>
      <c r="G432" s="5">
        <f>C432*GiaDinh!$C$6</f>
        <v>351.98219999999998</v>
      </c>
    </row>
    <row r="433" spans="1:7" x14ac:dyDescent="0.35">
      <c r="A433" t="s">
        <v>10</v>
      </c>
      <c r="B433">
        <v>65</v>
      </c>
      <c r="C433" s="5">
        <v>149.17400000000001</v>
      </c>
      <c r="D433">
        <f>ROUNDUP(C433/GiaDinh!$C$4-0.0005,0)</f>
        <v>25</v>
      </c>
      <c r="E433">
        <f t="shared" si="6"/>
        <v>24</v>
      </c>
      <c r="F433" s="5">
        <f>D433*GiaDinh!$C$4-C433</f>
        <v>0.82599999999999341</v>
      </c>
      <c r="G433" s="5">
        <f>C433*GiaDinh!$C$6</f>
        <v>352.05063999999999</v>
      </c>
    </row>
    <row r="434" spans="1:7" x14ac:dyDescent="0.35">
      <c r="A434" t="s">
        <v>10</v>
      </c>
      <c r="B434">
        <v>66</v>
      </c>
      <c r="C434" s="5">
        <v>149.14500000000001</v>
      </c>
      <c r="D434">
        <f>ROUNDUP(C434/GiaDinh!$C$4-0.0005,0)</f>
        <v>25</v>
      </c>
      <c r="E434">
        <f t="shared" si="6"/>
        <v>24</v>
      </c>
      <c r="F434" s="5">
        <f>D434*GiaDinh!$C$4-C434</f>
        <v>0.85499999999998977</v>
      </c>
      <c r="G434" s="5">
        <f>C434*GiaDinh!$C$6</f>
        <v>351.98219999999998</v>
      </c>
    </row>
    <row r="435" spans="1:7" x14ac:dyDescent="0.35">
      <c r="A435" t="s">
        <v>10</v>
      </c>
      <c r="B435">
        <v>67</v>
      </c>
      <c r="C435" s="5">
        <v>149.17400000000001</v>
      </c>
      <c r="D435">
        <f>ROUNDUP(C435/GiaDinh!$C$4-0.0005,0)</f>
        <v>25</v>
      </c>
      <c r="E435">
        <f t="shared" si="6"/>
        <v>24</v>
      </c>
      <c r="F435" s="5">
        <f>D435*GiaDinh!$C$4-C435</f>
        <v>0.82599999999999341</v>
      </c>
      <c r="G435" s="5">
        <f>C435*GiaDinh!$C$6</f>
        <v>352.05063999999999</v>
      </c>
    </row>
    <row r="436" spans="1:7" x14ac:dyDescent="0.35">
      <c r="A436" t="s">
        <v>10</v>
      </c>
      <c r="B436">
        <v>68</v>
      </c>
      <c r="C436" s="5">
        <v>149.14500000000001</v>
      </c>
      <c r="D436">
        <f>ROUNDUP(C436/GiaDinh!$C$4-0.0005,0)</f>
        <v>25</v>
      </c>
      <c r="E436">
        <f t="shared" si="6"/>
        <v>24</v>
      </c>
      <c r="F436" s="5">
        <f>D436*GiaDinh!$C$4-C436</f>
        <v>0.85499999999998977</v>
      </c>
      <c r="G436" s="5">
        <f>C436*GiaDinh!$C$6</f>
        <v>351.98219999999998</v>
      </c>
    </row>
    <row r="437" spans="1:7" x14ac:dyDescent="0.35">
      <c r="A437" t="s">
        <v>10</v>
      </c>
      <c r="B437">
        <v>69</v>
      </c>
      <c r="C437" s="5">
        <v>149.17400000000001</v>
      </c>
      <c r="D437">
        <f>ROUNDUP(C437/GiaDinh!$C$4-0.0005,0)</f>
        <v>25</v>
      </c>
      <c r="E437">
        <f t="shared" si="6"/>
        <v>24</v>
      </c>
      <c r="F437" s="5">
        <f>D437*GiaDinh!$C$4-C437</f>
        <v>0.82599999999999341</v>
      </c>
      <c r="G437" s="5">
        <f>C437*GiaDinh!$C$6</f>
        <v>352.05063999999999</v>
      </c>
    </row>
    <row r="438" spans="1:7" x14ac:dyDescent="0.35">
      <c r="A438" t="s">
        <v>10</v>
      </c>
      <c r="B438">
        <v>70</v>
      </c>
      <c r="C438" s="5">
        <v>149.14500000000001</v>
      </c>
      <c r="D438">
        <f>ROUNDUP(C438/GiaDinh!$C$4-0.0005,0)</f>
        <v>25</v>
      </c>
      <c r="E438">
        <f t="shared" si="6"/>
        <v>24</v>
      </c>
      <c r="F438" s="5">
        <f>D438*GiaDinh!$C$4-C438</f>
        <v>0.85499999999998977</v>
      </c>
      <c r="G438" s="5">
        <f>C438*GiaDinh!$C$6</f>
        <v>351.98219999999998</v>
      </c>
    </row>
    <row r="439" spans="1:7" x14ac:dyDescent="0.35">
      <c r="A439" t="s">
        <v>10</v>
      </c>
      <c r="B439">
        <v>71</v>
      </c>
      <c r="C439" s="5">
        <v>149.17400000000001</v>
      </c>
      <c r="D439">
        <f>ROUNDUP(C439/GiaDinh!$C$4-0.0005,0)</f>
        <v>25</v>
      </c>
      <c r="E439">
        <f t="shared" si="6"/>
        <v>24</v>
      </c>
      <c r="F439" s="5">
        <f>D439*GiaDinh!$C$4-C439</f>
        <v>0.82599999999999341</v>
      </c>
      <c r="G439" s="5">
        <f>C439*GiaDinh!$C$6</f>
        <v>352.05063999999999</v>
      </c>
    </row>
    <row r="440" spans="1:7" x14ac:dyDescent="0.35">
      <c r="A440" t="s">
        <v>10</v>
      </c>
      <c r="B440">
        <v>72</v>
      </c>
      <c r="C440" s="5">
        <v>149.14500000000001</v>
      </c>
      <c r="D440">
        <f>ROUNDUP(C440/GiaDinh!$C$4-0.0005,0)</f>
        <v>25</v>
      </c>
      <c r="E440">
        <f t="shared" si="6"/>
        <v>24</v>
      </c>
      <c r="F440" s="5">
        <f>D440*GiaDinh!$C$4-C440</f>
        <v>0.85499999999998977</v>
      </c>
      <c r="G440" s="5">
        <f>C440*GiaDinh!$C$6</f>
        <v>351.98219999999998</v>
      </c>
    </row>
    <row r="441" spans="1:7" x14ac:dyDescent="0.35">
      <c r="A441" t="s">
        <v>10</v>
      </c>
      <c r="B441">
        <v>73</v>
      </c>
      <c r="C441" s="5">
        <v>149.17400000000001</v>
      </c>
      <c r="D441">
        <f>ROUNDUP(C441/GiaDinh!$C$4-0.0005,0)</f>
        <v>25</v>
      </c>
      <c r="E441">
        <f t="shared" si="6"/>
        <v>24</v>
      </c>
      <c r="F441" s="5">
        <f>D441*GiaDinh!$C$4-C441</f>
        <v>0.82599999999999341</v>
      </c>
      <c r="G441" s="5">
        <f>C441*GiaDinh!$C$6</f>
        <v>352.05063999999999</v>
      </c>
    </row>
    <row r="442" spans="1:7" x14ac:dyDescent="0.35">
      <c r="A442" t="s">
        <v>10</v>
      </c>
      <c r="B442">
        <v>74</v>
      </c>
      <c r="C442" s="5">
        <v>149.14500000000001</v>
      </c>
      <c r="D442">
        <f>ROUNDUP(C442/GiaDinh!$C$4-0.0005,0)</f>
        <v>25</v>
      </c>
      <c r="E442">
        <f t="shared" si="6"/>
        <v>24</v>
      </c>
      <c r="F442" s="5">
        <f>D442*GiaDinh!$C$4-C442</f>
        <v>0.85499999999998977</v>
      </c>
      <c r="G442" s="5">
        <f>C442*GiaDinh!$C$6</f>
        <v>351.98219999999998</v>
      </c>
    </row>
    <row r="443" spans="1:7" x14ac:dyDescent="0.35">
      <c r="A443" t="s">
        <v>10</v>
      </c>
      <c r="B443">
        <v>75</v>
      </c>
      <c r="C443" s="5">
        <v>149.17400000000001</v>
      </c>
      <c r="D443">
        <f>ROUNDUP(C443/GiaDinh!$C$4-0.0005,0)</f>
        <v>25</v>
      </c>
      <c r="E443">
        <f t="shared" si="6"/>
        <v>24</v>
      </c>
      <c r="F443" s="5">
        <f>D443*GiaDinh!$C$4-C443</f>
        <v>0.82599999999999341</v>
      </c>
      <c r="G443" s="5">
        <f>C443*GiaDinh!$C$6</f>
        <v>352.05063999999999</v>
      </c>
    </row>
    <row r="444" spans="1:7" x14ac:dyDescent="0.35">
      <c r="A444" t="s">
        <v>10</v>
      </c>
      <c r="B444">
        <v>76</v>
      </c>
      <c r="C444" s="5">
        <v>149.14500000000001</v>
      </c>
      <c r="D444">
        <f>ROUNDUP(C444/GiaDinh!$C$4-0.0005,0)</f>
        <v>25</v>
      </c>
      <c r="E444">
        <f t="shared" si="6"/>
        <v>24</v>
      </c>
      <c r="F444" s="5">
        <f>D444*GiaDinh!$C$4-C444</f>
        <v>0.85499999999998977</v>
      </c>
      <c r="G444" s="5">
        <f>C444*GiaDinh!$C$6</f>
        <v>351.98219999999998</v>
      </c>
    </row>
    <row r="445" spans="1:7" x14ac:dyDescent="0.35">
      <c r="A445" t="s">
        <v>10</v>
      </c>
      <c r="B445">
        <v>77</v>
      </c>
      <c r="C445" s="5">
        <v>149.17400000000001</v>
      </c>
      <c r="D445">
        <f>ROUNDUP(C445/GiaDinh!$C$4-0.0005,0)</f>
        <v>25</v>
      </c>
      <c r="E445">
        <f t="shared" si="6"/>
        <v>24</v>
      </c>
      <c r="F445" s="5">
        <f>D445*GiaDinh!$C$4-C445</f>
        <v>0.82599999999999341</v>
      </c>
      <c r="G445" s="5">
        <f>C445*GiaDinh!$C$6</f>
        <v>352.05063999999999</v>
      </c>
    </row>
    <row r="446" spans="1:7" x14ac:dyDescent="0.35">
      <c r="A446" t="s">
        <v>10</v>
      </c>
      <c r="B446">
        <v>78</v>
      </c>
      <c r="C446" s="5">
        <v>149.14500000000001</v>
      </c>
      <c r="D446">
        <f>ROUNDUP(C446/GiaDinh!$C$4-0.0005,0)</f>
        <v>25</v>
      </c>
      <c r="E446">
        <f t="shared" si="6"/>
        <v>24</v>
      </c>
      <c r="F446" s="5">
        <f>D446*GiaDinh!$C$4-C446</f>
        <v>0.85499999999998977</v>
      </c>
      <c r="G446" s="5">
        <f>C446*GiaDinh!$C$6</f>
        <v>351.98219999999998</v>
      </c>
    </row>
    <row r="447" spans="1:7" x14ac:dyDescent="0.35">
      <c r="A447" t="s">
        <v>10</v>
      </c>
      <c r="B447">
        <v>79</v>
      </c>
      <c r="C447" s="5">
        <v>149.17400000000001</v>
      </c>
      <c r="D447">
        <f>ROUNDUP(C447/GiaDinh!$C$4-0.0005,0)</f>
        <v>25</v>
      </c>
      <c r="E447">
        <f t="shared" si="6"/>
        <v>24</v>
      </c>
      <c r="F447" s="5">
        <f>D447*GiaDinh!$C$4-C447</f>
        <v>0.82599999999999341</v>
      </c>
      <c r="G447" s="5">
        <f>C447*GiaDinh!$C$6</f>
        <v>352.05063999999999</v>
      </c>
    </row>
    <row r="448" spans="1:7" x14ac:dyDescent="0.35">
      <c r="A448" t="s">
        <v>10</v>
      </c>
      <c r="B448">
        <v>80</v>
      </c>
      <c r="C448" s="5">
        <v>149.14500000000001</v>
      </c>
      <c r="D448">
        <f>ROUNDUP(C448/GiaDinh!$C$4-0.0005,0)</f>
        <v>25</v>
      </c>
      <c r="E448">
        <f t="shared" si="6"/>
        <v>24</v>
      </c>
      <c r="F448" s="5">
        <f>D448*GiaDinh!$C$4-C448</f>
        <v>0.85499999999998977</v>
      </c>
      <c r="G448" s="5">
        <f>C448*GiaDinh!$C$6</f>
        <v>351.98219999999998</v>
      </c>
    </row>
    <row r="449" spans="1:7" x14ac:dyDescent="0.35">
      <c r="A449" t="s">
        <v>10</v>
      </c>
      <c r="B449">
        <v>81</v>
      </c>
      <c r="C449" s="5">
        <v>149.17400000000001</v>
      </c>
      <c r="D449">
        <f>ROUNDUP(C449/GiaDinh!$C$4-0.0005,0)</f>
        <v>25</v>
      </c>
      <c r="E449">
        <f t="shared" si="6"/>
        <v>24</v>
      </c>
      <c r="F449" s="5">
        <f>D449*GiaDinh!$C$4-C449</f>
        <v>0.82599999999999341</v>
      </c>
      <c r="G449" s="5">
        <f>C449*GiaDinh!$C$6</f>
        <v>352.05063999999999</v>
      </c>
    </row>
    <row r="450" spans="1:7" x14ac:dyDescent="0.35">
      <c r="A450" t="s">
        <v>10</v>
      </c>
      <c r="B450">
        <v>82</v>
      </c>
      <c r="C450" s="5">
        <v>149.14500000000001</v>
      </c>
      <c r="D450">
        <f>ROUNDUP(C450/GiaDinh!$C$4-0.0005,0)</f>
        <v>25</v>
      </c>
      <c r="E450">
        <f t="shared" si="6"/>
        <v>24</v>
      </c>
      <c r="F450" s="5">
        <f>D450*GiaDinh!$C$4-C450</f>
        <v>0.85499999999998977</v>
      </c>
      <c r="G450" s="5">
        <f>C450*GiaDinh!$C$6</f>
        <v>351.98219999999998</v>
      </c>
    </row>
    <row r="451" spans="1:7" x14ac:dyDescent="0.35">
      <c r="A451" t="s">
        <v>10</v>
      </c>
      <c r="B451">
        <v>83</v>
      </c>
      <c r="C451" s="5">
        <v>149.17400000000001</v>
      </c>
      <c r="D451">
        <f>ROUNDUP(C451/GiaDinh!$C$4-0.0005,0)</f>
        <v>25</v>
      </c>
      <c r="E451">
        <f t="shared" si="6"/>
        <v>24</v>
      </c>
      <c r="F451" s="5">
        <f>D451*GiaDinh!$C$4-C451</f>
        <v>0.82599999999999341</v>
      </c>
      <c r="G451" s="5">
        <f>C451*GiaDinh!$C$6</f>
        <v>352.05063999999999</v>
      </c>
    </row>
    <row r="452" spans="1:7" x14ac:dyDescent="0.35">
      <c r="A452" t="s">
        <v>10</v>
      </c>
      <c r="B452">
        <v>84</v>
      </c>
      <c r="C452" s="5">
        <v>149.14500000000001</v>
      </c>
      <c r="D452">
        <f>ROUNDUP(C452/GiaDinh!$C$4-0.0005,0)</f>
        <v>25</v>
      </c>
      <c r="E452">
        <f t="shared" ref="E452:E515" si="7">D452-1</f>
        <v>24</v>
      </c>
      <c r="F452" s="5">
        <f>D452*GiaDinh!$C$4-C452</f>
        <v>0.85499999999998977</v>
      </c>
      <c r="G452" s="5">
        <f>C452*GiaDinh!$C$6</f>
        <v>351.98219999999998</v>
      </c>
    </row>
    <row r="453" spans="1:7" x14ac:dyDescent="0.35">
      <c r="A453" t="s">
        <v>10</v>
      </c>
      <c r="B453">
        <v>85</v>
      </c>
      <c r="C453" s="5">
        <v>149.17400000000001</v>
      </c>
      <c r="D453">
        <f>ROUNDUP(C453/GiaDinh!$C$4-0.0005,0)</f>
        <v>25</v>
      </c>
      <c r="E453">
        <f t="shared" si="7"/>
        <v>24</v>
      </c>
      <c r="F453" s="5">
        <f>D453*GiaDinh!$C$4-C453</f>
        <v>0.82599999999999341</v>
      </c>
      <c r="G453" s="5">
        <f>C453*GiaDinh!$C$6</f>
        <v>352.05063999999999</v>
      </c>
    </row>
    <row r="454" spans="1:7" x14ac:dyDescent="0.35">
      <c r="A454" t="s">
        <v>10</v>
      </c>
      <c r="B454">
        <v>86</v>
      </c>
      <c r="C454" s="5">
        <v>149.14500000000001</v>
      </c>
      <c r="D454">
        <f>ROUNDUP(C454/GiaDinh!$C$4-0.0005,0)</f>
        <v>25</v>
      </c>
      <c r="E454">
        <f t="shared" si="7"/>
        <v>24</v>
      </c>
      <c r="F454" s="5">
        <f>D454*GiaDinh!$C$4-C454</f>
        <v>0.85499999999998977</v>
      </c>
      <c r="G454" s="5">
        <f>C454*GiaDinh!$C$6</f>
        <v>351.98219999999998</v>
      </c>
    </row>
    <row r="455" spans="1:7" x14ac:dyDescent="0.35">
      <c r="A455" t="s">
        <v>10</v>
      </c>
      <c r="B455">
        <v>87</v>
      </c>
      <c r="C455" s="5">
        <v>149.17400000000001</v>
      </c>
      <c r="D455">
        <f>ROUNDUP(C455/GiaDinh!$C$4-0.0005,0)</f>
        <v>25</v>
      </c>
      <c r="E455">
        <f t="shared" si="7"/>
        <v>24</v>
      </c>
      <c r="F455" s="5">
        <f>D455*GiaDinh!$C$4-C455</f>
        <v>0.82599999999999341</v>
      </c>
      <c r="G455" s="5">
        <f>C455*GiaDinh!$C$6</f>
        <v>352.05063999999999</v>
      </c>
    </row>
    <row r="456" spans="1:7" x14ac:dyDescent="0.35">
      <c r="A456" t="s">
        <v>10</v>
      </c>
      <c r="B456">
        <v>88</v>
      </c>
      <c r="C456" s="5">
        <v>149.14500000000001</v>
      </c>
      <c r="D456">
        <f>ROUNDUP(C456/GiaDinh!$C$4-0.0005,0)</f>
        <v>25</v>
      </c>
      <c r="E456">
        <f t="shared" si="7"/>
        <v>24</v>
      </c>
      <c r="F456" s="5">
        <f>D456*GiaDinh!$C$4-C456</f>
        <v>0.85499999999998977</v>
      </c>
      <c r="G456" s="5">
        <f>C456*GiaDinh!$C$6</f>
        <v>351.98219999999998</v>
      </c>
    </row>
    <row r="457" spans="1:7" x14ac:dyDescent="0.35">
      <c r="A457" t="s">
        <v>10</v>
      </c>
      <c r="B457">
        <v>89</v>
      </c>
      <c r="C457" s="5">
        <v>149.14500000000001</v>
      </c>
      <c r="D457">
        <f>ROUNDUP(C457/GiaDinh!$C$4-0.0005,0)</f>
        <v>25</v>
      </c>
      <c r="E457">
        <f t="shared" si="7"/>
        <v>24</v>
      </c>
      <c r="F457" s="5">
        <f>D457*GiaDinh!$C$4-C457</f>
        <v>0.85499999999998977</v>
      </c>
      <c r="G457" s="5">
        <f>C457*GiaDinh!$C$6</f>
        <v>351.98219999999998</v>
      </c>
    </row>
    <row r="458" spans="1:7" x14ac:dyDescent="0.35">
      <c r="A458" t="s">
        <v>10</v>
      </c>
      <c r="B458">
        <v>90</v>
      </c>
      <c r="C458" s="5">
        <v>149.17400000000001</v>
      </c>
      <c r="D458">
        <f>ROUNDUP(C458/GiaDinh!$C$4-0.0005,0)</f>
        <v>25</v>
      </c>
      <c r="E458">
        <f t="shared" si="7"/>
        <v>24</v>
      </c>
      <c r="F458" s="5">
        <f>D458*GiaDinh!$C$4-C458</f>
        <v>0.82599999999999341</v>
      </c>
      <c r="G458" s="5">
        <f>C458*GiaDinh!$C$6</f>
        <v>352.05063999999999</v>
      </c>
    </row>
    <row r="459" spans="1:7" x14ac:dyDescent="0.35">
      <c r="A459" t="s">
        <v>10</v>
      </c>
      <c r="B459">
        <v>91</v>
      </c>
      <c r="C459" s="5">
        <v>149.14500000000001</v>
      </c>
      <c r="D459">
        <f>ROUNDUP(C459/GiaDinh!$C$4-0.0005,0)</f>
        <v>25</v>
      </c>
      <c r="E459">
        <f t="shared" si="7"/>
        <v>24</v>
      </c>
      <c r="F459" s="5">
        <f>D459*GiaDinh!$C$4-C459</f>
        <v>0.85499999999998977</v>
      </c>
      <c r="G459" s="5">
        <f>C459*GiaDinh!$C$6</f>
        <v>351.98219999999998</v>
      </c>
    </row>
    <row r="460" spans="1:7" x14ac:dyDescent="0.35">
      <c r="A460" t="s">
        <v>10</v>
      </c>
      <c r="B460">
        <v>92</v>
      </c>
      <c r="C460" s="5">
        <v>149.17400000000001</v>
      </c>
      <c r="D460">
        <f>ROUNDUP(C460/GiaDinh!$C$4-0.0005,0)</f>
        <v>25</v>
      </c>
      <c r="E460">
        <f t="shared" si="7"/>
        <v>24</v>
      </c>
      <c r="F460" s="5">
        <f>D460*GiaDinh!$C$4-C460</f>
        <v>0.82599999999999341</v>
      </c>
      <c r="G460" s="5">
        <f>C460*GiaDinh!$C$6</f>
        <v>352.05063999999999</v>
      </c>
    </row>
    <row r="461" spans="1:7" x14ac:dyDescent="0.35">
      <c r="A461" t="s">
        <v>10</v>
      </c>
      <c r="B461">
        <v>93</v>
      </c>
      <c r="C461" s="5">
        <v>149.14500000000001</v>
      </c>
      <c r="D461">
        <f>ROUNDUP(C461/GiaDinh!$C$4-0.0005,0)</f>
        <v>25</v>
      </c>
      <c r="E461">
        <f t="shared" si="7"/>
        <v>24</v>
      </c>
      <c r="F461" s="5">
        <f>D461*GiaDinh!$C$4-C461</f>
        <v>0.85499999999998977</v>
      </c>
      <c r="G461" s="5">
        <f>C461*GiaDinh!$C$6</f>
        <v>351.98219999999998</v>
      </c>
    </row>
    <row r="462" spans="1:7" x14ac:dyDescent="0.35">
      <c r="A462" t="s">
        <v>10</v>
      </c>
      <c r="B462">
        <v>94</v>
      </c>
      <c r="C462" s="5">
        <v>149.17400000000001</v>
      </c>
      <c r="D462">
        <f>ROUNDUP(C462/GiaDinh!$C$4-0.0005,0)</f>
        <v>25</v>
      </c>
      <c r="E462">
        <f t="shared" si="7"/>
        <v>24</v>
      </c>
      <c r="F462" s="5">
        <f>D462*GiaDinh!$C$4-C462</f>
        <v>0.82599999999999341</v>
      </c>
      <c r="G462" s="5">
        <f>C462*GiaDinh!$C$6</f>
        <v>352.05063999999999</v>
      </c>
    </row>
    <row r="463" spans="1:7" x14ac:dyDescent="0.35">
      <c r="A463" t="s">
        <v>10</v>
      </c>
      <c r="B463">
        <v>95</v>
      </c>
      <c r="C463" s="5">
        <v>149.14500000000001</v>
      </c>
      <c r="D463">
        <f>ROUNDUP(C463/GiaDinh!$C$4-0.0005,0)</f>
        <v>25</v>
      </c>
      <c r="E463">
        <f t="shared" si="7"/>
        <v>24</v>
      </c>
      <c r="F463" s="5">
        <f>D463*GiaDinh!$C$4-C463</f>
        <v>0.85499999999998977</v>
      </c>
      <c r="G463" s="5">
        <f>C463*GiaDinh!$C$6</f>
        <v>351.98219999999998</v>
      </c>
    </row>
    <row r="464" spans="1:7" x14ac:dyDescent="0.35">
      <c r="A464" t="s">
        <v>10</v>
      </c>
      <c r="B464">
        <v>96</v>
      </c>
      <c r="C464" s="5">
        <v>149.17400000000001</v>
      </c>
      <c r="D464">
        <f>ROUNDUP(C464/GiaDinh!$C$4-0.0005,0)</f>
        <v>25</v>
      </c>
      <c r="E464">
        <f t="shared" si="7"/>
        <v>24</v>
      </c>
      <c r="F464" s="5">
        <f>D464*GiaDinh!$C$4-C464</f>
        <v>0.82599999999999341</v>
      </c>
      <c r="G464" s="5">
        <f>C464*GiaDinh!$C$6</f>
        <v>352.05063999999999</v>
      </c>
    </row>
    <row r="465" spans="1:7" x14ac:dyDescent="0.35">
      <c r="A465" t="s">
        <v>10</v>
      </c>
      <c r="B465">
        <v>97</v>
      </c>
      <c r="C465" s="5">
        <v>149.14500000000001</v>
      </c>
      <c r="D465">
        <f>ROUNDUP(C465/GiaDinh!$C$4-0.0005,0)</f>
        <v>25</v>
      </c>
      <c r="E465">
        <f t="shared" si="7"/>
        <v>24</v>
      </c>
      <c r="F465" s="5">
        <f>D465*GiaDinh!$C$4-C465</f>
        <v>0.85499999999998977</v>
      </c>
      <c r="G465" s="5">
        <f>C465*GiaDinh!$C$6</f>
        <v>351.98219999999998</v>
      </c>
    </row>
    <row r="466" spans="1:7" x14ac:dyDescent="0.35">
      <c r="A466" t="s">
        <v>10</v>
      </c>
      <c r="B466">
        <v>98</v>
      </c>
      <c r="C466" s="5">
        <v>149.17400000000001</v>
      </c>
      <c r="D466">
        <f>ROUNDUP(C466/GiaDinh!$C$4-0.0005,0)</f>
        <v>25</v>
      </c>
      <c r="E466">
        <f t="shared" si="7"/>
        <v>24</v>
      </c>
      <c r="F466" s="5">
        <f>D466*GiaDinh!$C$4-C466</f>
        <v>0.82599999999999341</v>
      </c>
      <c r="G466" s="5">
        <f>C466*GiaDinh!$C$6</f>
        <v>352.05063999999999</v>
      </c>
    </row>
    <row r="467" spans="1:7" x14ac:dyDescent="0.35">
      <c r="A467" t="s">
        <v>10</v>
      </c>
      <c r="B467">
        <v>99</v>
      </c>
      <c r="C467" s="5">
        <v>149.14500000000001</v>
      </c>
      <c r="D467">
        <f>ROUNDUP(C467/GiaDinh!$C$4-0.0005,0)</f>
        <v>25</v>
      </c>
      <c r="E467">
        <f t="shared" si="7"/>
        <v>24</v>
      </c>
      <c r="F467" s="5">
        <f>D467*GiaDinh!$C$4-C467</f>
        <v>0.85499999999998977</v>
      </c>
      <c r="G467" s="5">
        <f>C467*GiaDinh!$C$6</f>
        <v>351.98219999999998</v>
      </c>
    </row>
    <row r="468" spans="1:7" x14ac:dyDescent="0.35">
      <c r="A468" t="s">
        <v>10</v>
      </c>
      <c r="B468">
        <v>100</v>
      </c>
      <c r="C468" s="5">
        <v>149.17400000000001</v>
      </c>
      <c r="D468">
        <f>ROUNDUP(C468/GiaDinh!$C$4-0.0005,0)</f>
        <v>25</v>
      </c>
      <c r="E468">
        <f t="shared" si="7"/>
        <v>24</v>
      </c>
      <c r="F468" s="5">
        <f>D468*GiaDinh!$C$4-C468</f>
        <v>0.82599999999999341</v>
      </c>
      <c r="G468" s="5">
        <f>C468*GiaDinh!$C$6</f>
        <v>352.05063999999999</v>
      </c>
    </row>
    <row r="469" spans="1:7" x14ac:dyDescent="0.35">
      <c r="A469" t="s">
        <v>10</v>
      </c>
      <c r="B469">
        <v>101</v>
      </c>
      <c r="C469" s="5">
        <v>149.14500000000001</v>
      </c>
      <c r="D469">
        <f>ROUNDUP(C469/GiaDinh!$C$4-0.0005,0)</f>
        <v>25</v>
      </c>
      <c r="E469">
        <f t="shared" si="7"/>
        <v>24</v>
      </c>
      <c r="F469" s="5">
        <f>D469*GiaDinh!$C$4-C469</f>
        <v>0.85499999999998977</v>
      </c>
      <c r="G469" s="5">
        <f>C469*GiaDinh!$C$6</f>
        <v>351.98219999999998</v>
      </c>
    </row>
    <row r="470" spans="1:7" x14ac:dyDescent="0.35">
      <c r="A470" t="s">
        <v>10</v>
      </c>
      <c r="B470">
        <v>102</v>
      </c>
      <c r="C470" s="5">
        <v>149.17400000000001</v>
      </c>
      <c r="D470">
        <f>ROUNDUP(C470/GiaDinh!$C$4-0.0005,0)</f>
        <v>25</v>
      </c>
      <c r="E470">
        <f t="shared" si="7"/>
        <v>24</v>
      </c>
      <c r="F470" s="5">
        <f>D470*GiaDinh!$C$4-C470</f>
        <v>0.82599999999999341</v>
      </c>
      <c r="G470" s="5">
        <f>C470*GiaDinh!$C$6</f>
        <v>352.05063999999999</v>
      </c>
    </row>
    <row r="471" spans="1:7" x14ac:dyDescent="0.35">
      <c r="A471" t="s">
        <v>10</v>
      </c>
      <c r="B471">
        <v>103</v>
      </c>
      <c r="C471" s="5">
        <v>149.14500000000001</v>
      </c>
      <c r="D471">
        <f>ROUNDUP(C471/GiaDinh!$C$4-0.0005,0)</f>
        <v>25</v>
      </c>
      <c r="E471">
        <f t="shared" si="7"/>
        <v>24</v>
      </c>
      <c r="F471" s="5">
        <f>D471*GiaDinh!$C$4-C471</f>
        <v>0.85499999999998977</v>
      </c>
      <c r="G471" s="5">
        <f>C471*GiaDinh!$C$6</f>
        <v>351.98219999999998</v>
      </c>
    </row>
    <row r="472" spans="1:7" x14ac:dyDescent="0.35">
      <c r="A472" t="s">
        <v>10</v>
      </c>
      <c r="B472">
        <v>104</v>
      </c>
      <c r="C472" s="5">
        <v>149.17400000000001</v>
      </c>
      <c r="D472">
        <f>ROUNDUP(C472/GiaDinh!$C$4-0.0005,0)</f>
        <v>25</v>
      </c>
      <c r="E472">
        <f t="shared" si="7"/>
        <v>24</v>
      </c>
      <c r="F472" s="5">
        <f>D472*GiaDinh!$C$4-C472</f>
        <v>0.82599999999999341</v>
      </c>
      <c r="G472" s="5">
        <f>C472*GiaDinh!$C$6</f>
        <v>352.05063999999999</v>
      </c>
    </row>
    <row r="473" spans="1:7" x14ac:dyDescent="0.35">
      <c r="A473" t="s">
        <v>10</v>
      </c>
      <c r="B473">
        <v>105</v>
      </c>
      <c r="C473" s="5">
        <v>149.14500000000001</v>
      </c>
      <c r="D473">
        <f>ROUNDUP(C473/GiaDinh!$C$4-0.0005,0)</f>
        <v>25</v>
      </c>
      <c r="E473">
        <f t="shared" si="7"/>
        <v>24</v>
      </c>
      <c r="F473" s="5">
        <f>D473*GiaDinh!$C$4-C473</f>
        <v>0.85499999999998977</v>
      </c>
      <c r="G473" s="5">
        <f>C473*GiaDinh!$C$6</f>
        <v>351.98219999999998</v>
      </c>
    </row>
    <row r="474" spans="1:7" x14ac:dyDescent="0.35">
      <c r="A474" t="s">
        <v>10</v>
      </c>
      <c r="B474">
        <v>106</v>
      </c>
      <c r="C474" s="5">
        <v>149.17400000000001</v>
      </c>
      <c r="D474">
        <f>ROUNDUP(C474/GiaDinh!$C$4-0.0005,0)</f>
        <v>25</v>
      </c>
      <c r="E474">
        <f t="shared" si="7"/>
        <v>24</v>
      </c>
      <c r="F474" s="5">
        <f>D474*GiaDinh!$C$4-C474</f>
        <v>0.82599999999999341</v>
      </c>
      <c r="G474" s="5">
        <f>C474*GiaDinh!$C$6</f>
        <v>352.05063999999999</v>
      </c>
    </row>
    <row r="475" spans="1:7" x14ac:dyDescent="0.35">
      <c r="A475" t="s">
        <v>10</v>
      </c>
      <c r="B475">
        <v>107</v>
      </c>
      <c r="C475" s="5">
        <v>149.14500000000001</v>
      </c>
      <c r="D475">
        <f>ROUNDUP(C475/GiaDinh!$C$4-0.0005,0)</f>
        <v>25</v>
      </c>
      <c r="E475">
        <f t="shared" si="7"/>
        <v>24</v>
      </c>
      <c r="F475" s="5">
        <f>D475*GiaDinh!$C$4-C475</f>
        <v>0.85499999999998977</v>
      </c>
      <c r="G475" s="5">
        <f>C475*GiaDinh!$C$6</f>
        <v>351.98219999999998</v>
      </c>
    </row>
    <row r="476" spans="1:7" x14ac:dyDescent="0.35">
      <c r="A476" t="s">
        <v>10</v>
      </c>
      <c r="B476">
        <v>108</v>
      </c>
      <c r="C476" s="5">
        <v>149.17400000000001</v>
      </c>
      <c r="D476">
        <f>ROUNDUP(C476/GiaDinh!$C$4-0.0005,0)</f>
        <v>25</v>
      </c>
      <c r="E476">
        <f t="shared" si="7"/>
        <v>24</v>
      </c>
      <c r="F476" s="5">
        <f>D476*GiaDinh!$C$4-C476</f>
        <v>0.82599999999999341</v>
      </c>
      <c r="G476" s="5">
        <f>C476*GiaDinh!$C$6</f>
        <v>352.05063999999999</v>
      </c>
    </row>
    <row r="477" spans="1:7" x14ac:dyDescent="0.35">
      <c r="A477" t="s">
        <v>10</v>
      </c>
      <c r="B477">
        <v>109</v>
      </c>
      <c r="C477" s="5">
        <v>149.14500000000001</v>
      </c>
      <c r="D477">
        <f>ROUNDUP(C477/GiaDinh!$C$4-0.0005,0)</f>
        <v>25</v>
      </c>
      <c r="E477">
        <f t="shared" si="7"/>
        <v>24</v>
      </c>
      <c r="F477" s="5">
        <f>D477*GiaDinh!$C$4-C477</f>
        <v>0.85499999999998977</v>
      </c>
      <c r="G477" s="5">
        <f>C477*GiaDinh!$C$6</f>
        <v>351.98219999999998</v>
      </c>
    </row>
    <row r="478" spans="1:7" x14ac:dyDescent="0.35">
      <c r="A478" t="s">
        <v>10</v>
      </c>
      <c r="B478">
        <v>110</v>
      </c>
      <c r="C478" s="5">
        <v>149.17400000000001</v>
      </c>
      <c r="D478">
        <f>ROUNDUP(C478/GiaDinh!$C$4-0.0005,0)</f>
        <v>25</v>
      </c>
      <c r="E478">
        <f t="shared" si="7"/>
        <v>24</v>
      </c>
      <c r="F478" s="5">
        <f>D478*GiaDinh!$C$4-C478</f>
        <v>0.82599999999999341</v>
      </c>
      <c r="G478" s="5">
        <f>C478*GiaDinh!$C$6</f>
        <v>352.05063999999999</v>
      </c>
    </row>
    <row r="479" spans="1:7" x14ac:dyDescent="0.35">
      <c r="A479" t="s">
        <v>10</v>
      </c>
      <c r="B479">
        <v>111</v>
      </c>
      <c r="C479" s="5">
        <v>149.14500000000001</v>
      </c>
      <c r="D479">
        <f>ROUNDUP(C479/GiaDinh!$C$4-0.0005,0)</f>
        <v>25</v>
      </c>
      <c r="E479">
        <f t="shared" si="7"/>
        <v>24</v>
      </c>
      <c r="F479" s="5">
        <f>D479*GiaDinh!$C$4-C479</f>
        <v>0.85499999999998977</v>
      </c>
      <c r="G479" s="5">
        <f>C479*GiaDinh!$C$6</f>
        <v>351.98219999999998</v>
      </c>
    </row>
    <row r="480" spans="1:7" x14ac:dyDescent="0.35">
      <c r="A480" t="s">
        <v>10</v>
      </c>
      <c r="B480">
        <v>112</v>
      </c>
      <c r="C480" s="5">
        <v>149.17400000000001</v>
      </c>
      <c r="D480">
        <f>ROUNDUP(C480/GiaDinh!$C$4-0.0005,0)</f>
        <v>25</v>
      </c>
      <c r="E480">
        <f t="shared" si="7"/>
        <v>24</v>
      </c>
      <c r="F480" s="5">
        <f>D480*GiaDinh!$C$4-C480</f>
        <v>0.82599999999999341</v>
      </c>
      <c r="G480" s="5">
        <f>C480*GiaDinh!$C$6</f>
        <v>352.05063999999999</v>
      </c>
    </row>
    <row r="481" spans="1:7" x14ac:dyDescent="0.35">
      <c r="A481" t="s">
        <v>10</v>
      </c>
      <c r="B481">
        <v>113</v>
      </c>
      <c r="C481" s="5">
        <v>149.14500000000001</v>
      </c>
      <c r="D481">
        <f>ROUNDUP(C481/GiaDinh!$C$4-0.0005,0)</f>
        <v>25</v>
      </c>
      <c r="E481">
        <f t="shared" si="7"/>
        <v>24</v>
      </c>
      <c r="F481" s="5">
        <f>D481*GiaDinh!$C$4-C481</f>
        <v>0.85499999999998977</v>
      </c>
      <c r="G481" s="5">
        <f>C481*GiaDinh!$C$6</f>
        <v>351.98219999999998</v>
      </c>
    </row>
    <row r="482" spans="1:7" x14ac:dyDescent="0.35">
      <c r="A482" t="s">
        <v>10</v>
      </c>
      <c r="B482">
        <v>114</v>
      </c>
      <c r="C482" s="5">
        <v>149.17400000000001</v>
      </c>
      <c r="D482">
        <f>ROUNDUP(C482/GiaDinh!$C$4-0.0005,0)</f>
        <v>25</v>
      </c>
      <c r="E482">
        <f t="shared" si="7"/>
        <v>24</v>
      </c>
      <c r="F482" s="5">
        <f>D482*GiaDinh!$C$4-C482</f>
        <v>0.82599999999999341</v>
      </c>
      <c r="G482" s="5">
        <f>C482*GiaDinh!$C$6</f>
        <v>352.05063999999999</v>
      </c>
    </row>
    <row r="483" spans="1:7" x14ac:dyDescent="0.35">
      <c r="A483" t="s">
        <v>10</v>
      </c>
      <c r="B483">
        <v>115</v>
      </c>
      <c r="C483" s="5">
        <v>149.14500000000001</v>
      </c>
      <c r="D483">
        <f>ROUNDUP(C483/GiaDinh!$C$4-0.0005,0)</f>
        <v>25</v>
      </c>
      <c r="E483">
        <f t="shared" si="7"/>
        <v>24</v>
      </c>
      <c r="F483" s="5">
        <f>D483*GiaDinh!$C$4-C483</f>
        <v>0.85499999999998977</v>
      </c>
      <c r="G483" s="5">
        <f>C483*GiaDinh!$C$6</f>
        <v>351.98219999999998</v>
      </c>
    </row>
    <row r="484" spans="1:7" x14ac:dyDescent="0.35">
      <c r="A484" t="s">
        <v>10</v>
      </c>
      <c r="B484">
        <v>116</v>
      </c>
      <c r="C484" s="5">
        <v>149.17400000000001</v>
      </c>
      <c r="D484">
        <f>ROUNDUP(C484/GiaDinh!$C$4-0.0005,0)</f>
        <v>25</v>
      </c>
      <c r="E484">
        <f t="shared" si="7"/>
        <v>24</v>
      </c>
      <c r="F484" s="5">
        <f>D484*GiaDinh!$C$4-C484</f>
        <v>0.82599999999999341</v>
      </c>
      <c r="G484" s="5">
        <f>C484*GiaDinh!$C$6</f>
        <v>352.05063999999999</v>
      </c>
    </row>
    <row r="485" spans="1:7" x14ac:dyDescent="0.35">
      <c r="A485" t="s">
        <v>10</v>
      </c>
      <c r="B485">
        <v>117</v>
      </c>
      <c r="C485" s="5">
        <v>102.976</v>
      </c>
      <c r="D485">
        <f>ROUNDUP(C485/GiaDinh!$C$4-0.0005,0)</f>
        <v>18</v>
      </c>
      <c r="E485">
        <f t="shared" si="7"/>
        <v>17</v>
      </c>
      <c r="F485" s="5">
        <f>D485*GiaDinh!$C$4-C485</f>
        <v>5.0240000000000009</v>
      </c>
      <c r="G485" s="5">
        <f>C485*GiaDinh!$C$6</f>
        <v>243.02336</v>
      </c>
    </row>
    <row r="486" spans="1:7" x14ac:dyDescent="0.35">
      <c r="A486" t="s">
        <v>10</v>
      </c>
      <c r="B486">
        <v>118</v>
      </c>
      <c r="C486" s="5">
        <v>46.168999999999997</v>
      </c>
      <c r="D486">
        <f>ROUNDUP(C486/GiaDinh!$C$4-0.0005,0)</f>
        <v>8</v>
      </c>
      <c r="E486">
        <f t="shared" si="7"/>
        <v>7</v>
      </c>
      <c r="F486" s="5">
        <f>D486*GiaDinh!$C$4-C486</f>
        <v>1.8310000000000031</v>
      </c>
      <c r="G486" s="5">
        <f>C486*GiaDinh!$C$6</f>
        <v>108.95883999999998</v>
      </c>
    </row>
    <row r="487" spans="1:7" x14ac:dyDescent="0.35">
      <c r="A487" t="s">
        <v>10</v>
      </c>
      <c r="B487">
        <v>119</v>
      </c>
      <c r="C487" s="5">
        <v>102.976</v>
      </c>
      <c r="D487">
        <f>ROUNDUP(C487/GiaDinh!$C$4-0.0005,0)</f>
        <v>18</v>
      </c>
      <c r="E487">
        <f t="shared" si="7"/>
        <v>17</v>
      </c>
      <c r="F487" s="5">
        <f>D487*GiaDinh!$C$4-C487</f>
        <v>5.0240000000000009</v>
      </c>
      <c r="G487" s="5">
        <f>C487*GiaDinh!$C$6</f>
        <v>243.02336</v>
      </c>
    </row>
    <row r="488" spans="1:7" x14ac:dyDescent="0.35">
      <c r="A488" t="s">
        <v>10</v>
      </c>
      <c r="B488">
        <v>120</v>
      </c>
      <c r="C488" s="5">
        <v>46.198</v>
      </c>
      <c r="D488">
        <f>ROUNDUP(C488/GiaDinh!$C$4-0.0005,0)</f>
        <v>8</v>
      </c>
      <c r="E488">
        <f t="shared" si="7"/>
        <v>7</v>
      </c>
      <c r="F488" s="5">
        <f>D488*GiaDinh!$C$4-C488</f>
        <v>1.8019999999999996</v>
      </c>
      <c r="G488" s="5">
        <f>C488*GiaDinh!$C$6</f>
        <v>109.02727999999999</v>
      </c>
    </row>
    <row r="489" spans="1:7" x14ac:dyDescent="0.35">
      <c r="A489" t="s">
        <v>10</v>
      </c>
      <c r="B489">
        <v>121</v>
      </c>
      <c r="C489" s="5">
        <v>44.982999999999997</v>
      </c>
      <c r="D489">
        <f>ROUNDUP(C489/GiaDinh!$C$4-0.0005,0)</f>
        <v>8</v>
      </c>
      <c r="E489">
        <f t="shared" si="7"/>
        <v>7</v>
      </c>
      <c r="F489" s="5">
        <f>D489*GiaDinh!$C$4-C489</f>
        <v>3.017000000000003</v>
      </c>
      <c r="G489" s="5">
        <f>C489*GiaDinh!$C$6</f>
        <v>106.15987999999999</v>
      </c>
    </row>
    <row r="490" spans="1:7" x14ac:dyDescent="0.35">
      <c r="A490" t="s">
        <v>10</v>
      </c>
      <c r="B490">
        <v>122</v>
      </c>
      <c r="C490" s="5">
        <v>45.012999999999998</v>
      </c>
      <c r="D490">
        <f>ROUNDUP(C490/GiaDinh!$C$4-0.0005,0)</f>
        <v>8</v>
      </c>
      <c r="E490">
        <f t="shared" si="7"/>
        <v>7</v>
      </c>
      <c r="F490" s="5">
        <f>D490*GiaDinh!$C$4-C490</f>
        <v>2.9870000000000019</v>
      </c>
      <c r="G490" s="5">
        <f>C490*GiaDinh!$C$6</f>
        <v>106.23067999999999</v>
      </c>
    </row>
    <row r="491" spans="1:7" x14ac:dyDescent="0.35">
      <c r="A491" t="s">
        <v>10</v>
      </c>
      <c r="B491">
        <v>123</v>
      </c>
      <c r="C491" s="5">
        <v>44.982999999999997</v>
      </c>
      <c r="D491">
        <f>ROUNDUP(C491/GiaDinh!$C$4-0.0005,0)</f>
        <v>8</v>
      </c>
      <c r="E491">
        <f t="shared" si="7"/>
        <v>7</v>
      </c>
      <c r="F491" s="5">
        <f>D491*GiaDinh!$C$4-C491</f>
        <v>3.017000000000003</v>
      </c>
      <c r="G491" s="5">
        <f>C491*GiaDinh!$C$6</f>
        <v>106.15987999999999</v>
      </c>
    </row>
    <row r="492" spans="1:7" x14ac:dyDescent="0.35">
      <c r="A492" t="s">
        <v>10</v>
      </c>
      <c r="B492">
        <v>124</v>
      </c>
      <c r="C492" s="5">
        <v>45.012999999999998</v>
      </c>
      <c r="D492">
        <f>ROUNDUP(C492/GiaDinh!$C$4-0.0005,0)</f>
        <v>8</v>
      </c>
      <c r="E492">
        <f t="shared" si="7"/>
        <v>7</v>
      </c>
      <c r="F492" s="5">
        <f>D492*GiaDinh!$C$4-C492</f>
        <v>2.9870000000000019</v>
      </c>
      <c r="G492" s="5">
        <f>C492*GiaDinh!$C$6</f>
        <v>106.23067999999999</v>
      </c>
    </row>
    <row r="493" spans="1:7" x14ac:dyDescent="0.35">
      <c r="A493" t="s">
        <v>10</v>
      </c>
      <c r="B493">
        <v>125</v>
      </c>
      <c r="C493" s="5">
        <v>44.982999999999997</v>
      </c>
      <c r="D493">
        <f>ROUNDUP(C493/GiaDinh!$C$4-0.0005,0)</f>
        <v>8</v>
      </c>
      <c r="E493">
        <f t="shared" si="7"/>
        <v>7</v>
      </c>
      <c r="F493" s="5">
        <f>D493*GiaDinh!$C$4-C493</f>
        <v>3.017000000000003</v>
      </c>
      <c r="G493" s="5">
        <f>C493*GiaDinh!$C$6</f>
        <v>106.15987999999999</v>
      </c>
    </row>
    <row r="494" spans="1:7" x14ac:dyDescent="0.35">
      <c r="A494" t="s">
        <v>10</v>
      </c>
      <c r="B494">
        <v>126</v>
      </c>
      <c r="C494" s="5">
        <v>45.012999999999998</v>
      </c>
      <c r="D494">
        <f>ROUNDUP(C494/GiaDinh!$C$4-0.0005,0)</f>
        <v>8</v>
      </c>
      <c r="E494">
        <f t="shared" si="7"/>
        <v>7</v>
      </c>
      <c r="F494" s="5">
        <f>D494*GiaDinh!$C$4-C494</f>
        <v>2.9870000000000019</v>
      </c>
      <c r="G494" s="5">
        <f>C494*GiaDinh!$C$6</f>
        <v>106.23067999999999</v>
      </c>
    </row>
    <row r="495" spans="1:7" x14ac:dyDescent="0.35">
      <c r="A495" t="s">
        <v>10</v>
      </c>
      <c r="B495">
        <v>127</v>
      </c>
      <c r="C495" s="5">
        <v>44.982999999999997</v>
      </c>
      <c r="D495">
        <f>ROUNDUP(C495/GiaDinh!$C$4-0.0005,0)</f>
        <v>8</v>
      </c>
      <c r="E495">
        <f t="shared" si="7"/>
        <v>7</v>
      </c>
      <c r="F495" s="5">
        <f>D495*GiaDinh!$C$4-C495</f>
        <v>3.017000000000003</v>
      </c>
      <c r="G495" s="5">
        <f>C495*GiaDinh!$C$6</f>
        <v>106.15987999999999</v>
      </c>
    </row>
    <row r="496" spans="1:7" x14ac:dyDescent="0.35">
      <c r="A496" t="s">
        <v>10</v>
      </c>
      <c r="B496">
        <v>128</v>
      </c>
      <c r="C496" s="5">
        <v>45.012999999999998</v>
      </c>
      <c r="D496">
        <f>ROUNDUP(C496/GiaDinh!$C$4-0.0005,0)</f>
        <v>8</v>
      </c>
      <c r="E496">
        <f t="shared" si="7"/>
        <v>7</v>
      </c>
      <c r="F496" s="5">
        <f>D496*GiaDinh!$C$4-C496</f>
        <v>2.9870000000000019</v>
      </c>
      <c r="G496" s="5">
        <f>C496*GiaDinh!$C$6</f>
        <v>106.23067999999999</v>
      </c>
    </row>
    <row r="497" spans="1:7" x14ac:dyDescent="0.35">
      <c r="A497" t="s">
        <v>10</v>
      </c>
      <c r="B497">
        <v>129</v>
      </c>
      <c r="C497" s="5">
        <v>44.982999999999997</v>
      </c>
      <c r="D497">
        <f>ROUNDUP(C497/GiaDinh!$C$4-0.0005,0)</f>
        <v>8</v>
      </c>
      <c r="E497">
        <f t="shared" si="7"/>
        <v>7</v>
      </c>
      <c r="F497" s="5">
        <f>D497*GiaDinh!$C$4-C497</f>
        <v>3.017000000000003</v>
      </c>
      <c r="G497" s="5">
        <f>C497*GiaDinh!$C$6</f>
        <v>106.15987999999999</v>
      </c>
    </row>
    <row r="498" spans="1:7" x14ac:dyDescent="0.35">
      <c r="A498" t="s">
        <v>10</v>
      </c>
      <c r="B498">
        <v>130</v>
      </c>
      <c r="C498" s="5">
        <v>45.012999999999998</v>
      </c>
      <c r="D498">
        <f>ROUNDUP(C498/GiaDinh!$C$4-0.0005,0)</f>
        <v>8</v>
      </c>
      <c r="E498">
        <f t="shared" si="7"/>
        <v>7</v>
      </c>
      <c r="F498" s="5">
        <f>D498*GiaDinh!$C$4-C498</f>
        <v>2.9870000000000019</v>
      </c>
      <c r="G498" s="5">
        <f>C498*GiaDinh!$C$6</f>
        <v>106.23067999999999</v>
      </c>
    </row>
    <row r="499" spans="1:7" x14ac:dyDescent="0.35">
      <c r="A499" t="s">
        <v>10</v>
      </c>
      <c r="B499">
        <v>131</v>
      </c>
      <c r="C499" s="5">
        <v>44.982999999999997</v>
      </c>
      <c r="D499">
        <f>ROUNDUP(C499/GiaDinh!$C$4-0.0005,0)</f>
        <v>8</v>
      </c>
      <c r="E499">
        <f t="shared" si="7"/>
        <v>7</v>
      </c>
      <c r="F499" s="5">
        <f>D499*GiaDinh!$C$4-C499</f>
        <v>3.017000000000003</v>
      </c>
      <c r="G499" s="5">
        <f>C499*GiaDinh!$C$6</f>
        <v>106.15987999999999</v>
      </c>
    </row>
    <row r="500" spans="1:7" x14ac:dyDescent="0.35">
      <c r="A500" t="s">
        <v>10</v>
      </c>
      <c r="B500">
        <v>132</v>
      </c>
      <c r="C500" s="5">
        <v>45.012999999999998</v>
      </c>
      <c r="D500">
        <f>ROUNDUP(C500/GiaDinh!$C$4-0.0005,0)</f>
        <v>8</v>
      </c>
      <c r="E500">
        <f t="shared" si="7"/>
        <v>7</v>
      </c>
      <c r="F500" s="5">
        <f>D500*GiaDinh!$C$4-C500</f>
        <v>2.9870000000000019</v>
      </c>
      <c r="G500" s="5">
        <f>C500*GiaDinh!$C$6</f>
        <v>106.23067999999999</v>
      </c>
    </row>
    <row r="501" spans="1:7" x14ac:dyDescent="0.35">
      <c r="A501" t="s">
        <v>10</v>
      </c>
      <c r="B501">
        <v>133</v>
      </c>
      <c r="C501" s="5">
        <v>44.982999999999997</v>
      </c>
      <c r="D501">
        <f>ROUNDUP(C501/GiaDinh!$C$4-0.0005,0)</f>
        <v>8</v>
      </c>
      <c r="E501">
        <f t="shared" si="7"/>
        <v>7</v>
      </c>
      <c r="F501" s="5">
        <f>D501*GiaDinh!$C$4-C501</f>
        <v>3.017000000000003</v>
      </c>
      <c r="G501" s="5">
        <f>C501*GiaDinh!$C$6</f>
        <v>106.15987999999999</v>
      </c>
    </row>
    <row r="502" spans="1:7" x14ac:dyDescent="0.35">
      <c r="A502" t="s">
        <v>10</v>
      </c>
      <c r="B502">
        <v>134</v>
      </c>
      <c r="C502" s="5">
        <v>45.012999999999998</v>
      </c>
      <c r="D502">
        <f>ROUNDUP(C502/GiaDinh!$C$4-0.0005,0)</f>
        <v>8</v>
      </c>
      <c r="E502">
        <f t="shared" si="7"/>
        <v>7</v>
      </c>
      <c r="F502" s="5">
        <f>D502*GiaDinh!$C$4-C502</f>
        <v>2.9870000000000019</v>
      </c>
      <c r="G502" s="5">
        <f>C502*GiaDinh!$C$6</f>
        <v>106.23067999999999</v>
      </c>
    </row>
    <row r="503" spans="1:7" x14ac:dyDescent="0.35">
      <c r="A503" t="s">
        <v>10</v>
      </c>
      <c r="B503">
        <v>135</v>
      </c>
      <c r="C503" s="5">
        <v>44.982999999999997</v>
      </c>
      <c r="D503">
        <f>ROUNDUP(C503/GiaDinh!$C$4-0.0005,0)</f>
        <v>8</v>
      </c>
      <c r="E503">
        <f t="shared" si="7"/>
        <v>7</v>
      </c>
      <c r="F503" s="5">
        <f>D503*GiaDinh!$C$4-C503</f>
        <v>3.017000000000003</v>
      </c>
      <c r="G503" s="5">
        <f>C503*GiaDinh!$C$6</f>
        <v>106.15987999999999</v>
      </c>
    </row>
    <row r="504" spans="1:7" x14ac:dyDescent="0.35">
      <c r="A504" t="s">
        <v>10</v>
      </c>
      <c r="B504">
        <v>136</v>
      </c>
      <c r="C504" s="5">
        <v>45.012999999999998</v>
      </c>
      <c r="D504">
        <f>ROUNDUP(C504/GiaDinh!$C$4-0.0005,0)</f>
        <v>8</v>
      </c>
      <c r="E504">
        <f t="shared" si="7"/>
        <v>7</v>
      </c>
      <c r="F504" s="5">
        <f>D504*GiaDinh!$C$4-C504</f>
        <v>2.9870000000000019</v>
      </c>
      <c r="G504" s="5">
        <f>C504*GiaDinh!$C$6</f>
        <v>106.23067999999999</v>
      </c>
    </row>
    <row r="505" spans="1:7" x14ac:dyDescent="0.35">
      <c r="A505" t="s">
        <v>10</v>
      </c>
      <c r="B505">
        <v>137</v>
      </c>
      <c r="C505" s="5">
        <v>44.982999999999997</v>
      </c>
      <c r="D505">
        <f>ROUNDUP(C505/GiaDinh!$C$4-0.0005,0)</f>
        <v>8</v>
      </c>
      <c r="E505">
        <f t="shared" si="7"/>
        <v>7</v>
      </c>
      <c r="F505" s="5">
        <f>D505*GiaDinh!$C$4-C505</f>
        <v>3.017000000000003</v>
      </c>
      <c r="G505" s="5">
        <f>C505*GiaDinh!$C$6</f>
        <v>106.15987999999999</v>
      </c>
    </row>
    <row r="506" spans="1:7" x14ac:dyDescent="0.35">
      <c r="A506" t="s">
        <v>10</v>
      </c>
      <c r="B506">
        <v>138</v>
      </c>
      <c r="C506" s="5">
        <v>45.012999999999998</v>
      </c>
      <c r="D506">
        <f>ROUNDUP(C506/GiaDinh!$C$4-0.0005,0)</f>
        <v>8</v>
      </c>
      <c r="E506">
        <f t="shared" si="7"/>
        <v>7</v>
      </c>
      <c r="F506" s="5">
        <f>D506*GiaDinh!$C$4-C506</f>
        <v>2.9870000000000019</v>
      </c>
      <c r="G506" s="5">
        <f>C506*GiaDinh!$C$6</f>
        <v>106.23067999999999</v>
      </c>
    </row>
    <row r="507" spans="1:7" x14ac:dyDescent="0.35">
      <c r="A507" t="s">
        <v>10</v>
      </c>
      <c r="B507">
        <v>139</v>
      </c>
      <c r="C507" s="5">
        <v>44.982999999999997</v>
      </c>
      <c r="D507">
        <f>ROUNDUP(C507/GiaDinh!$C$4-0.0005,0)</f>
        <v>8</v>
      </c>
      <c r="E507">
        <f t="shared" si="7"/>
        <v>7</v>
      </c>
      <c r="F507" s="5">
        <f>D507*GiaDinh!$C$4-C507</f>
        <v>3.017000000000003</v>
      </c>
      <c r="G507" s="5">
        <f>C507*GiaDinh!$C$6</f>
        <v>106.15987999999999</v>
      </c>
    </row>
    <row r="508" spans="1:7" x14ac:dyDescent="0.35">
      <c r="A508" t="s">
        <v>10</v>
      </c>
      <c r="B508">
        <v>140</v>
      </c>
      <c r="C508" s="5">
        <v>45.012999999999998</v>
      </c>
      <c r="D508">
        <f>ROUNDUP(C508/GiaDinh!$C$4-0.0005,0)</f>
        <v>8</v>
      </c>
      <c r="E508">
        <f t="shared" si="7"/>
        <v>7</v>
      </c>
      <c r="F508" s="5">
        <f>D508*GiaDinh!$C$4-C508</f>
        <v>2.9870000000000019</v>
      </c>
      <c r="G508" s="5">
        <f>C508*GiaDinh!$C$6</f>
        <v>106.23067999999999</v>
      </c>
    </row>
    <row r="509" spans="1:7" x14ac:dyDescent="0.35">
      <c r="A509" t="s">
        <v>10</v>
      </c>
      <c r="B509">
        <v>141</v>
      </c>
      <c r="C509" s="5">
        <v>44.982999999999997</v>
      </c>
      <c r="D509">
        <f>ROUNDUP(C509/GiaDinh!$C$4-0.0005,0)</f>
        <v>8</v>
      </c>
      <c r="E509">
        <f t="shared" si="7"/>
        <v>7</v>
      </c>
      <c r="F509" s="5">
        <f>D509*GiaDinh!$C$4-C509</f>
        <v>3.017000000000003</v>
      </c>
      <c r="G509" s="5">
        <f>C509*GiaDinh!$C$6</f>
        <v>106.15987999999999</v>
      </c>
    </row>
    <row r="510" spans="1:7" x14ac:dyDescent="0.35">
      <c r="A510" t="s">
        <v>10</v>
      </c>
      <c r="B510">
        <v>142</v>
      </c>
      <c r="C510" s="5">
        <v>45.012999999999998</v>
      </c>
      <c r="D510">
        <f>ROUNDUP(C510/GiaDinh!$C$4-0.0005,0)</f>
        <v>8</v>
      </c>
      <c r="E510">
        <f t="shared" si="7"/>
        <v>7</v>
      </c>
      <c r="F510" s="5">
        <f>D510*GiaDinh!$C$4-C510</f>
        <v>2.9870000000000019</v>
      </c>
      <c r="G510" s="5">
        <f>C510*GiaDinh!$C$6</f>
        <v>106.23067999999999</v>
      </c>
    </row>
    <row r="511" spans="1:7" x14ac:dyDescent="0.35">
      <c r="A511" t="s">
        <v>10</v>
      </c>
      <c r="B511">
        <v>143</v>
      </c>
      <c r="C511" s="5">
        <v>44.982999999999997</v>
      </c>
      <c r="D511">
        <f>ROUNDUP(C511/GiaDinh!$C$4-0.0005,0)</f>
        <v>8</v>
      </c>
      <c r="E511">
        <f t="shared" si="7"/>
        <v>7</v>
      </c>
      <c r="F511" s="5">
        <f>D511*GiaDinh!$C$4-C511</f>
        <v>3.017000000000003</v>
      </c>
      <c r="G511" s="5">
        <f>C511*GiaDinh!$C$6</f>
        <v>106.15987999999999</v>
      </c>
    </row>
    <row r="512" spans="1:7" x14ac:dyDescent="0.35">
      <c r="A512" t="s">
        <v>10</v>
      </c>
      <c r="B512">
        <v>144</v>
      </c>
      <c r="C512" s="5">
        <v>45.012999999999998</v>
      </c>
      <c r="D512">
        <f>ROUNDUP(C512/GiaDinh!$C$4-0.0005,0)</f>
        <v>8</v>
      </c>
      <c r="E512">
        <f t="shared" si="7"/>
        <v>7</v>
      </c>
      <c r="F512" s="5">
        <f>D512*GiaDinh!$C$4-C512</f>
        <v>2.9870000000000019</v>
      </c>
      <c r="G512" s="5">
        <f>C512*GiaDinh!$C$6</f>
        <v>106.23067999999999</v>
      </c>
    </row>
    <row r="513" spans="1:7" x14ac:dyDescent="0.35">
      <c r="A513" t="s">
        <v>10</v>
      </c>
      <c r="B513">
        <v>145</v>
      </c>
      <c r="C513" s="5">
        <v>44.982999999999997</v>
      </c>
      <c r="D513">
        <f>ROUNDUP(C513/GiaDinh!$C$4-0.0005,0)</f>
        <v>8</v>
      </c>
      <c r="E513">
        <f t="shared" si="7"/>
        <v>7</v>
      </c>
      <c r="F513" s="5">
        <f>D513*GiaDinh!$C$4-C513</f>
        <v>3.017000000000003</v>
      </c>
      <c r="G513" s="5">
        <f>C513*GiaDinh!$C$6</f>
        <v>106.15987999999999</v>
      </c>
    </row>
    <row r="514" spans="1:7" x14ac:dyDescent="0.35">
      <c r="A514" t="s">
        <v>10</v>
      </c>
      <c r="B514">
        <v>146</v>
      </c>
      <c r="C514" s="5">
        <v>45.012999999999998</v>
      </c>
      <c r="D514">
        <f>ROUNDUP(C514/GiaDinh!$C$4-0.0005,0)</f>
        <v>8</v>
      </c>
      <c r="E514">
        <f t="shared" si="7"/>
        <v>7</v>
      </c>
      <c r="F514" s="5">
        <f>D514*GiaDinh!$C$4-C514</f>
        <v>2.9870000000000019</v>
      </c>
      <c r="G514" s="5">
        <f>C514*GiaDinh!$C$6</f>
        <v>106.23067999999999</v>
      </c>
    </row>
    <row r="515" spans="1:7" x14ac:dyDescent="0.35">
      <c r="A515" t="s">
        <v>10</v>
      </c>
      <c r="B515">
        <v>147</v>
      </c>
      <c r="C515" s="5">
        <v>44.982999999999997</v>
      </c>
      <c r="D515">
        <f>ROUNDUP(C515/GiaDinh!$C$4-0.0005,0)</f>
        <v>8</v>
      </c>
      <c r="E515">
        <f t="shared" si="7"/>
        <v>7</v>
      </c>
      <c r="F515" s="5">
        <f>D515*GiaDinh!$C$4-C515</f>
        <v>3.017000000000003</v>
      </c>
      <c r="G515" s="5">
        <f>C515*GiaDinh!$C$6</f>
        <v>106.15987999999999</v>
      </c>
    </row>
    <row r="516" spans="1:7" x14ac:dyDescent="0.35">
      <c r="A516" t="s">
        <v>10</v>
      </c>
      <c r="B516">
        <v>148</v>
      </c>
      <c r="C516" s="5">
        <v>45.012999999999998</v>
      </c>
      <c r="D516">
        <f>ROUNDUP(C516/GiaDinh!$C$4-0.0005,0)</f>
        <v>8</v>
      </c>
      <c r="E516">
        <f t="shared" ref="E516:E579" si="8">D516-1</f>
        <v>7</v>
      </c>
      <c r="F516" s="5">
        <f>D516*GiaDinh!$C$4-C516</f>
        <v>2.9870000000000019</v>
      </c>
      <c r="G516" s="5">
        <f>C516*GiaDinh!$C$6</f>
        <v>106.23067999999999</v>
      </c>
    </row>
    <row r="517" spans="1:7" x14ac:dyDescent="0.35">
      <c r="A517" t="s">
        <v>10</v>
      </c>
      <c r="B517">
        <v>149</v>
      </c>
      <c r="C517" s="5">
        <v>45.012999999999998</v>
      </c>
      <c r="D517">
        <f>ROUNDUP(C517/GiaDinh!$C$4-0.0005,0)</f>
        <v>8</v>
      </c>
      <c r="E517">
        <f t="shared" si="8"/>
        <v>7</v>
      </c>
      <c r="F517" s="5">
        <f>D517*GiaDinh!$C$4-C517</f>
        <v>2.9870000000000019</v>
      </c>
      <c r="G517" s="5">
        <f>C517*GiaDinh!$C$6</f>
        <v>106.23067999999999</v>
      </c>
    </row>
    <row r="518" spans="1:7" x14ac:dyDescent="0.35">
      <c r="A518" t="s">
        <v>10</v>
      </c>
      <c r="B518">
        <v>150</v>
      </c>
      <c r="C518" s="5">
        <v>45.012999999999998</v>
      </c>
      <c r="D518">
        <f>ROUNDUP(C518/GiaDinh!$C$4-0.0005,0)</f>
        <v>8</v>
      </c>
      <c r="E518">
        <f t="shared" si="8"/>
        <v>7</v>
      </c>
      <c r="F518" s="5">
        <f>D518*GiaDinh!$C$4-C518</f>
        <v>2.9870000000000019</v>
      </c>
      <c r="G518" s="5">
        <f>C518*GiaDinh!$C$6</f>
        <v>106.23067999999999</v>
      </c>
    </row>
    <row r="519" spans="1:7" x14ac:dyDescent="0.35">
      <c r="A519" t="s">
        <v>11</v>
      </c>
      <c r="B519">
        <v>1</v>
      </c>
      <c r="C519" s="5">
        <v>113.09399999999999</v>
      </c>
      <c r="D519">
        <f>ROUNDUP(C519/GiaDinh!$C$4-0.0005,0)</f>
        <v>19</v>
      </c>
      <c r="E519">
        <f t="shared" si="8"/>
        <v>18</v>
      </c>
      <c r="F519" s="5">
        <f>D519*GiaDinh!$C$4-C519</f>
        <v>0.90600000000000591</v>
      </c>
      <c r="G519" s="5">
        <f>C519*GiaDinh!$C$6</f>
        <v>266.90183999999999</v>
      </c>
    </row>
    <row r="520" spans="1:7" x14ac:dyDescent="0.35">
      <c r="A520" t="s">
        <v>11</v>
      </c>
      <c r="B520">
        <v>2</v>
      </c>
      <c r="C520" s="5">
        <v>113.09399999999999</v>
      </c>
      <c r="D520">
        <f>ROUNDUP(C520/GiaDinh!$C$4-0.0005,0)</f>
        <v>19</v>
      </c>
      <c r="E520">
        <f t="shared" si="8"/>
        <v>18</v>
      </c>
      <c r="F520" s="5">
        <f>D520*GiaDinh!$C$4-C520</f>
        <v>0.90600000000000591</v>
      </c>
      <c r="G520" s="5">
        <f>C520*GiaDinh!$C$6</f>
        <v>266.90183999999999</v>
      </c>
    </row>
    <row r="521" spans="1:7" x14ac:dyDescent="0.35">
      <c r="A521" t="s">
        <v>11</v>
      </c>
      <c r="B521">
        <v>3</v>
      </c>
      <c r="C521" s="5">
        <v>113.051</v>
      </c>
      <c r="D521">
        <f>ROUNDUP(C521/GiaDinh!$C$4-0.0005,0)</f>
        <v>19</v>
      </c>
      <c r="E521">
        <f t="shared" si="8"/>
        <v>18</v>
      </c>
      <c r="F521" s="5">
        <f>D521*GiaDinh!$C$4-C521</f>
        <v>0.94899999999999807</v>
      </c>
      <c r="G521" s="5">
        <f>C521*GiaDinh!$C$6</f>
        <v>266.80036000000001</v>
      </c>
    </row>
    <row r="522" spans="1:7" x14ac:dyDescent="0.35">
      <c r="A522" t="s">
        <v>11</v>
      </c>
      <c r="B522">
        <v>4</v>
      </c>
      <c r="C522" s="5">
        <v>113.051</v>
      </c>
      <c r="D522">
        <f>ROUNDUP(C522/GiaDinh!$C$4-0.0005,0)</f>
        <v>19</v>
      </c>
      <c r="E522">
        <f t="shared" si="8"/>
        <v>18</v>
      </c>
      <c r="F522" s="5">
        <f>D522*GiaDinh!$C$4-C522</f>
        <v>0.94899999999999807</v>
      </c>
      <c r="G522" s="5">
        <f>C522*GiaDinh!$C$6</f>
        <v>266.80036000000001</v>
      </c>
    </row>
    <row r="523" spans="1:7" x14ac:dyDescent="0.35">
      <c r="A523" t="s">
        <v>11</v>
      </c>
      <c r="B523">
        <v>5</v>
      </c>
      <c r="C523" s="5">
        <v>113.051</v>
      </c>
      <c r="D523">
        <f>ROUNDUP(C523/GiaDinh!$C$4-0.0005,0)</f>
        <v>19</v>
      </c>
      <c r="E523">
        <f t="shared" si="8"/>
        <v>18</v>
      </c>
      <c r="F523" s="5">
        <f>D523*GiaDinh!$C$4-C523</f>
        <v>0.94899999999999807</v>
      </c>
      <c r="G523" s="5">
        <f>C523*GiaDinh!$C$6</f>
        <v>266.80036000000001</v>
      </c>
    </row>
    <row r="524" spans="1:7" x14ac:dyDescent="0.35">
      <c r="A524" t="s">
        <v>11</v>
      </c>
      <c r="B524">
        <v>6</v>
      </c>
      <c r="C524" s="5">
        <v>113.051</v>
      </c>
      <c r="D524">
        <f>ROUNDUP(C524/GiaDinh!$C$4-0.0005,0)</f>
        <v>19</v>
      </c>
      <c r="E524">
        <f t="shared" si="8"/>
        <v>18</v>
      </c>
      <c r="F524" s="5">
        <f>D524*GiaDinh!$C$4-C524</f>
        <v>0.94899999999999807</v>
      </c>
      <c r="G524" s="5">
        <f>C524*GiaDinh!$C$6</f>
        <v>266.80036000000001</v>
      </c>
    </row>
    <row r="525" spans="1:7" x14ac:dyDescent="0.35">
      <c r="A525" t="s">
        <v>11</v>
      </c>
      <c r="B525">
        <v>7</v>
      </c>
      <c r="C525" s="5">
        <v>113.051</v>
      </c>
      <c r="D525">
        <f>ROUNDUP(C525/GiaDinh!$C$4-0.0005,0)</f>
        <v>19</v>
      </c>
      <c r="E525">
        <f t="shared" si="8"/>
        <v>18</v>
      </c>
      <c r="F525" s="5">
        <f>D525*GiaDinh!$C$4-C525</f>
        <v>0.94899999999999807</v>
      </c>
      <c r="G525" s="5">
        <f>C525*GiaDinh!$C$6</f>
        <v>266.80036000000001</v>
      </c>
    </row>
    <row r="526" spans="1:7" x14ac:dyDescent="0.35">
      <c r="A526" t="s">
        <v>11</v>
      </c>
      <c r="B526">
        <v>8</v>
      </c>
      <c r="C526" s="5">
        <v>113.051</v>
      </c>
      <c r="D526">
        <f>ROUNDUP(C526/GiaDinh!$C$4-0.0005,0)</f>
        <v>19</v>
      </c>
      <c r="E526">
        <f t="shared" si="8"/>
        <v>18</v>
      </c>
      <c r="F526" s="5">
        <f>D526*GiaDinh!$C$4-C526</f>
        <v>0.94899999999999807</v>
      </c>
      <c r="G526" s="5">
        <f>C526*GiaDinh!$C$6</f>
        <v>266.80036000000001</v>
      </c>
    </row>
    <row r="527" spans="1:7" x14ac:dyDescent="0.35">
      <c r="A527" t="s">
        <v>11</v>
      </c>
      <c r="B527">
        <v>9</v>
      </c>
      <c r="C527" s="5">
        <v>113.051</v>
      </c>
      <c r="D527">
        <f>ROUNDUP(C527/GiaDinh!$C$4-0.0005,0)</f>
        <v>19</v>
      </c>
      <c r="E527">
        <f t="shared" si="8"/>
        <v>18</v>
      </c>
      <c r="F527" s="5">
        <f>D527*GiaDinh!$C$4-C527</f>
        <v>0.94899999999999807</v>
      </c>
      <c r="G527" s="5">
        <f>C527*GiaDinh!$C$6</f>
        <v>266.80036000000001</v>
      </c>
    </row>
    <row r="528" spans="1:7" x14ac:dyDescent="0.35">
      <c r="A528" t="s">
        <v>11</v>
      </c>
      <c r="B528">
        <v>10</v>
      </c>
      <c r="C528" s="5">
        <v>113.051</v>
      </c>
      <c r="D528">
        <f>ROUNDUP(C528/GiaDinh!$C$4-0.0005,0)</f>
        <v>19</v>
      </c>
      <c r="E528">
        <f t="shared" si="8"/>
        <v>18</v>
      </c>
      <c r="F528" s="5">
        <f>D528*GiaDinh!$C$4-C528</f>
        <v>0.94899999999999807</v>
      </c>
      <c r="G528" s="5">
        <f>C528*GiaDinh!$C$6</f>
        <v>266.80036000000001</v>
      </c>
    </row>
    <row r="529" spans="1:7" x14ac:dyDescent="0.35">
      <c r="A529" t="s">
        <v>11</v>
      </c>
      <c r="B529">
        <v>11</v>
      </c>
      <c r="C529" s="5">
        <v>113.051</v>
      </c>
      <c r="D529">
        <f>ROUNDUP(C529/GiaDinh!$C$4-0.0005,0)</f>
        <v>19</v>
      </c>
      <c r="E529">
        <f t="shared" si="8"/>
        <v>18</v>
      </c>
      <c r="F529" s="5">
        <f>D529*GiaDinh!$C$4-C529</f>
        <v>0.94899999999999807</v>
      </c>
      <c r="G529" s="5">
        <f>C529*GiaDinh!$C$6</f>
        <v>266.80036000000001</v>
      </c>
    </row>
    <row r="530" spans="1:7" x14ac:dyDescent="0.35">
      <c r="A530" t="s">
        <v>11</v>
      </c>
      <c r="B530">
        <v>12</v>
      </c>
      <c r="C530" s="5">
        <v>113.051</v>
      </c>
      <c r="D530">
        <f>ROUNDUP(C530/GiaDinh!$C$4-0.0005,0)</f>
        <v>19</v>
      </c>
      <c r="E530">
        <f t="shared" si="8"/>
        <v>18</v>
      </c>
      <c r="F530" s="5">
        <f>D530*GiaDinh!$C$4-C530</f>
        <v>0.94899999999999807</v>
      </c>
      <c r="G530" s="5">
        <f>C530*GiaDinh!$C$6</f>
        <v>266.80036000000001</v>
      </c>
    </row>
    <row r="531" spans="1:7" x14ac:dyDescent="0.35">
      <c r="A531" t="s">
        <v>11</v>
      </c>
      <c r="B531">
        <v>13</v>
      </c>
      <c r="C531" s="5">
        <v>113.051</v>
      </c>
      <c r="D531">
        <f>ROUNDUP(C531/GiaDinh!$C$4-0.0005,0)</f>
        <v>19</v>
      </c>
      <c r="E531">
        <f t="shared" si="8"/>
        <v>18</v>
      </c>
      <c r="F531" s="5">
        <f>D531*GiaDinh!$C$4-C531</f>
        <v>0.94899999999999807</v>
      </c>
      <c r="G531" s="5">
        <f>C531*GiaDinh!$C$6</f>
        <v>266.80036000000001</v>
      </c>
    </row>
    <row r="532" spans="1:7" x14ac:dyDescent="0.35">
      <c r="A532" t="s">
        <v>11</v>
      </c>
      <c r="B532">
        <v>14</v>
      </c>
      <c r="C532" s="5">
        <v>113.051</v>
      </c>
      <c r="D532">
        <f>ROUNDUP(C532/GiaDinh!$C$4-0.0005,0)</f>
        <v>19</v>
      </c>
      <c r="E532">
        <f t="shared" si="8"/>
        <v>18</v>
      </c>
      <c r="F532" s="5">
        <f>D532*GiaDinh!$C$4-C532</f>
        <v>0.94899999999999807</v>
      </c>
      <c r="G532" s="5">
        <f>C532*GiaDinh!$C$6</f>
        <v>266.80036000000001</v>
      </c>
    </row>
    <row r="533" spans="1:7" x14ac:dyDescent="0.35">
      <c r="A533" t="s">
        <v>11</v>
      </c>
      <c r="B533">
        <v>15</v>
      </c>
      <c r="C533" s="5">
        <v>113.051</v>
      </c>
      <c r="D533">
        <f>ROUNDUP(C533/GiaDinh!$C$4-0.0005,0)</f>
        <v>19</v>
      </c>
      <c r="E533">
        <f t="shared" si="8"/>
        <v>18</v>
      </c>
      <c r="F533" s="5">
        <f>D533*GiaDinh!$C$4-C533</f>
        <v>0.94899999999999807</v>
      </c>
      <c r="G533" s="5">
        <f>C533*GiaDinh!$C$6</f>
        <v>266.80036000000001</v>
      </c>
    </row>
    <row r="534" spans="1:7" x14ac:dyDescent="0.35">
      <c r="A534" t="s">
        <v>11</v>
      </c>
      <c r="B534">
        <v>16</v>
      </c>
      <c r="C534" s="5">
        <v>113.051</v>
      </c>
      <c r="D534">
        <f>ROUNDUP(C534/GiaDinh!$C$4-0.0005,0)</f>
        <v>19</v>
      </c>
      <c r="E534">
        <f t="shared" si="8"/>
        <v>18</v>
      </c>
      <c r="F534" s="5">
        <f>D534*GiaDinh!$C$4-C534</f>
        <v>0.94899999999999807</v>
      </c>
      <c r="G534" s="5">
        <f>C534*GiaDinh!$C$6</f>
        <v>266.80036000000001</v>
      </c>
    </row>
    <row r="535" spans="1:7" x14ac:dyDescent="0.35">
      <c r="A535" t="s">
        <v>11</v>
      </c>
      <c r="B535">
        <v>17</v>
      </c>
      <c r="C535" s="5">
        <v>113.051</v>
      </c>
      <c r="D535">
        <f>ROUNDUP(C535/GiaDinh!$C$4-0.0005,0)</f>
        <v>19</v>
      </c>
      <c r="E535">
        <f t="shared" si="8"/>
        <v>18</v>
      </c>
      <c r="F535" s="5">
        <f>D535*GiaDinh!$C$4-C535</f>
        <v>0.94899999999999807</v>
      </c>
      <c r="G535" s="5">
        <f>C535*GiaDinh!$C$6</f>
        <v>266.80036000000001</v>
      </c>
    </row>
    <row r="536" spans="1:7" x14ac:dyDescent="0.35">
      <c r="A536" t="s">
        <v>11</v>
      </c>
      <c r="B536">
        <v>18</v>
      </c>
      <c r="C536" s="5">
        <v>113.051</v>
      </c>
      <c r="D536">
        <f>ROUNDUP(C536/GiaDinh!$C$4-0.0005,0)</f>
        <v>19</v>
      </c>
      <c r="E536">
        <f t="shared" si="8"/>
        <v>18</v>
      </c>
      <c r="F536" s="5">
        <f>D536*GiaDinh!$C$4-C536</f>
        <v>0.94899999999999807</v>
      </c>
      <c r="G536" s="5">
        <f>C536*GiaDinh!$C$6</f>
        <v>266.80036000000001</v>
      </c>
    </row>
    <row r="537" spans="1:7" x14ac:dyDescent="0.35">
      <c r="A537" t="s">
        <v>11</v>
      </c>
      <c r="B537">
        <v>19</v>
      </c>
      <c r="C537" s="5">
        <v>113.051</v>
      </c>
      <c r="D537">
        <f>ROUNDUP(C537/GiaDinh!$C$4-0.0005,0)</f>
        <v>19</v>
      </c>
      <c r="E537">
        <f t="shared" si="8"/>
        <v>18</v>
      </c>
      <c r="F537" s="5">
        <f>D537*GiaDinh!$C$4-C537</f>
        <v>0.94899999999999807</v>
      </c>
      <c r="G537" s="5">
        <f>C537*GiaDinh!$C$6</f>
        <v>266.80036000000001</v>
      </c>
    </row>
    <row r="538" spans="1:7" x14ac:dyDescent="0.35">
      <c r="A538" t="s">
        <v>11</v>
      </c>
      <c r="B538">
        <v>20</v>
      </c>
      <c r="C538" s="5">
        <v>113.051</v>
      </c>
      <c r="D538">
        <f>ROUNDUP(C538/GiaDinh!$C$4-0.0005,0)</f>
        <v>19</v>
      </c>
      <c r="E538">
        <f t="shared" si="8"/>
        <v>18</v>
      </c>
      <c r="F538" s="5">
        <f>D538*GiaDinh!$C$4-C538</f>
        <v>0.94899999999999807</v>
      </c>
      <c r="G538" s="5">
        <f>C538*GiaDinh!$C$6</f>
        <v>266.80036000000001</v>
      </c>
    </row>
    <row r="539" spans="1:7" x14ac:dyDescent="0.35">
      <c r="A539" t="s">
        <v>11</v>
      </c>
      <c r="B539">
        <v>21</v>
      </c>
      <c r="C539" s="5">
        <v>113.051</v>
      </c>
      <c r="D539">
        <f>ROUNDUP(C539/GiaDinh!$C$4-0.0005,0)</f>
        <v>19</v>
      </c>
      <c r="E539">
        <f t="shared" si="8"/>
        <v>18</v>
      </c>
      <c r="F539" s="5">
        <f>D539*GiaDinh!$C$4-C539</f>
        <v>0.94899999999999807</v>
      </c>
      <c r="G539" s="5">
        <f>C539*GiaDinh!$C$6</f>
        <v>266.80036000000001</v>
      </c>
    </row>
    <row r="540" spans="1:7" x14ac:dyDescent="0.35">
      <c r="A540" t="s">
        <v>11</v>
      </c>
      <c r="B540">
        <v>22</v>
      </c>
      <c r="C540" s="5">
        <v>113.051</v>
      </c>
      <c r="D540">
        <f>ROUNDUP(C540/GiaDinh!$C$4-0.0005,0)</f>
        <v>19</v>
      </c>
      <c r="E540">
        <f t="shared" si="8"/>
        <v>18</v>
      </c>
      <c r="F540" s="5">
        <f>D540*GiaDinh!$C$4-C540</f>
        <v>0.94899999999999807</v>
      </c>
      <c r="G540" s="5">
        <f>C540*GiaDinh!$C$6</f>
        <v>266.80036000000001</v>
      </c>
    </row>
    <row r="541" spans="1:7" x14ac:dyDescent="0.35">
      <c r="A541" t="s">
        <v>11</v>
      </c>
      <c r="B541">
        <v>23</v>
      </c>
      <c r="C541" s="5">
        <v>113.051</v>
      </c>
      <c r="D541">
        <f>ROUNDUP(C541/GiaDinh!$C$4-0.0005,0)</f>
        <v>19</v>
      </c>
      <c r="E541">
        <f t="shared" si="8"/>
        <v>18</v>
      </c>
      <c r="F541" s="5">
        <f>D541*GiaDinh!$C$4-C541</f>
        <v>0.94899999999999807</v>
      </c>
      <c r="G541" s="5">
        <f>C541*GiaDinh!$C$6</f>
        <v>266.80036000000001</v>
      </c>
    </row>
    <row r="542" spans="1:7" x14ac:dyDescent="0.35">
      <c r="A542" t="s">
        <v>11</v>
      </c>
      <c r="B542">
        <v>24</v>
      </c>
      <c r="C542" s="5">
        <v>113.051</v>
      </c>
      <c r="D542">
        <f>ROUNDUP(C542/GiaDinh!$C$4-0.0005,0)</f>
        <v>19</v>
      </c>
      <c r="E542">
        <f t="shared" si="8"/>
        <v>18</v>
      </c>
      <c r="F542" s="5">
        <f>D542*GiaDinh!$C$4-C542</f>
        <v>0.94899999999999807</v>
      </c>
      <c r="G542" s="5">
        <f>C542*GiaDinh!$C$6</f>
        <v>266.80036000000001</v>
      </c>
    </row>
    <row r="543" spans="1:7" x14ac:dyDescent="0.35">
      <c r="A543" t="s">
        <v>11</v>
      </c>
      <c r="B543">
        <v>25</v>
      </c>
      <c r="C543" s="5">
        <v>113.051</v>
      </c>
      <c r="D543">
        <f>ROUNDUP(C543/GiaDinh!$C$4-0.0005,0)</f>
        <v>19</v>
      </c>
      <c r="E543">
        <f t="shared" si="8"/>
        <v>18</v>
      </c>
      <c r="F543" s="5">
        <f>D543*GiaDinh!$C$4-C543</f>
        <v>0.94899999999999807</v>
      </c>
      <c r="G543" s="5">
        <f>C543*GiaDinh!$C$6</f>
        <v>266.80036000000001</v>
      </c>
    </row>
    <row r="544" spans="1:7" x14ac:dyDescent="0.35">
      <c r="A544" t="s">
        <v>11</v>
      </c>
      <c r="B544">
        <v>26</v>
      </c>
      <c r="C544" s="5">
        <v>113.051</v>
      </c>
      <c r="D544">
        <f>ROUNDUP(C544/GiaDinh!$C$4-0.0005,0)</f>
        <v>19</v>
      </c>
      <c r="E544">
        <f t="shared" si="8"/>
        <v>18</v>
      </c>
      <c r="F544" s="5">
        <f>D544*GiaDinh!$C$4-C544</f>
        <v>0.94899999999999807</v>
      </c>
      <c r="G544" s="5">
        <f>C544*GiaDinh!$C$6</f>
        <v>266.80036000000001</v>
      </c>
    </row>
    <row r="545" spans="1:7" x14ac:dyDescent="0.35">
      <c r="A545" t="s">
        <v>11</v>
      </c>
      <c r="B545">
        <v>27</v>
      </c>
      <c r="C545" s="5">
        <v>113.051</v>
      </c>
      <c r="D545">
        <f>ROUNDUP(C545/GiaDinh!$C$4-0.0005,0)</f>
        <v>19</v>
      </c>
      <c r="E545">
        <f t="shared" si="8"/>
        <v>18</v>
      </c>
      <c r="F545" s="5">
        <f>D545*GiaDinh!$C$4-C545</f>
        <v>0.94899999999999807</v>
      </c>
      <c r="G545" s="5">
        <f>C545*GiaDinh!$C$6</f>
        <v>266.80036000000001</v>
      </c>
    </row>
    <row r="546" spans="1:7" x14ac:dyDescent="0.35">
      <c r="A546" t="s">
        <v>11</v>
      </c>
      <c r="B546">
        <v>28</v>
      </c>
      <c r="C546" s="5">
        <v>113.051</v>
      </c>
      <c r="D546">
        <f>ROUNDUP(C546/GiaDinh!$C$4-0.0005,0)</f>
        <v>19</v>
      </c>
      <c r="E546">
        <f t="shared" si="8"/>
        <v>18</v>
      </c>
      <c r="F546" s="5">
        <f>D546*GiaDinh!$C$4-C546</f>
        <v>0.94899999999999807</v>
      </c>
      <c r="G546" s="5">
        <f>C546*GiaDinh!$C$6</f>
        <v>266.80036000000001</v>
      </c>
    </row>
    <row r="547" spans="1:7" x14ac:dyDescent="0.35">
      <c r="A547" t="s">
        <v>11</v>
      </c>
      <c r="B547">
        <v>29</v>
      </c>
      <c r="C547" s="5">
        <v>113.051</v>
      </c>
      <c r="D547">
        <f>ROUNDUP(C547/GiaDinh!$C$4-0.0005,0)</f>
        <v>19</v>
      </c>
      <c r="E547">
        <f t="shared" si="8"/>
        <v>18</v>
      </c>
      <c r="F547" s="5">
        <f>D547*GiaDinh!$C$4-C547</f>
        <v>0.94899999999999807</v>
      </c>
      <c r="G547" s="5">
        <f>C547*GiaDinh!$C$6</f>
        <v>266.80036000000001</v>
      </c>
    </row>
    <row r="548" spans="1:7" x14ac:dyDescent="0.35">
      <c r="A548" t="s">
        <v>11</v>
      </c>
      <c r="B548">
        <v>30</v>
      </c>
      <c r="C548" s="5">
        <v>113.051</v>
      </c>
      <c r="D548">
        <f>ROUNDUP(C548/GiaDinh!$C$4-0.0005,0)</f>
        <v>19</v>
      </c>
      <c r="E548">
        <f t="shared" si="8"/>
        <v>18</v>
      </c>
      <c r="F548" s="5">
        <f>D548*GiaDinh!$C$4-C548</f>
        <v>0.94899999999999807</v>
      </c>
      <c r="G548" s="5">
        <f>C548*GiaDinh!$C$6</f>
        <v>266.80036000000001</v>
      </c>
    </row>
    <row r="549" spans="1:7" x14ac:dyDescent="0.35">
      <c r="A549" t="s">
        <v>11</v>
      </c>
      <c r="B549">
        <v>31</v>
      </c>
      <c r="C549" s="5">
        <v>113.051</v>
      </c>
      <c r="D549">
        <f>ROUNDUP(C549/GiaDinh!$C$4-0.0005,0)</f>
        <v>19</v>
      </c>
      <c r="E549">
        <f t="shared" si="8"/>
        <v>18</v>
      </c>
      <c r="F549" s="5">
        <f>D549*GiaDinh!$C$4-C549</f>
        <v>0.94899999999999807</v>
      </c>
      <c r="G549" s="5">
        <f>C549*GiaDinh!$C$6</f>
        <v>266.80036000000001</v>
      </c>
    </row>
    <row r="550" spans="1:7" x14ac:dyDescent="0.35">
      <c r="A550" t="s">
        <v>11</v>
      </c>
      <c r="B550">
        <v>32</v>
      </c>
      <c r="C550" s="5">
        <v>113.051</v>
      </c>
      <c r="D550">
        <f>ROUNDUP(C550/GiaDinh!$C$4-0.0005,0)</f>
        <v>19</v>
      </c>
      <c r="E550">
        <f t="shared" si="8"/>
        <v>18</v>
      </c>
      <c r="F550" s="5">
        <f>D550*GiaDinh!$C$4-C550</f>
        <v>0.94899999999999807</v>
      </c>
      <c r="G550" s="5">
        <f>C550*GiaDinh!$C$6</f>
        <v>266.80036000000001</v>
      </c>
    </row>
    <row r="551" spans="1:7" x14ac:dyDescent="0.35">
      <c r="A551" t="s">
        <v>11</v>
      </c>
      <c r="B551">
        <v>33</v>
      </c>
      <c r="C551" s="5">
        <v>113.051</v>
      </c>
      <c r="D551">
        <f>ROUNDUP(C551/GiaDinh!$C$4-0.0005,0)</f>
        <v>19</v>
      </c>
      <c r="E551">
        <f t="shared" si="8"/>
        <v>18</v>
      </c>
      <c r="F551" s="5">
        <f>D551*GiaDinh!$C$4-C551</f>
        <v>0.94899999999999807</v>
      </c>
      <c r="G551" s="5">
        <f>C551*GiaDinh!$C$6</f>
        <v>266.80036000000001</v>
      </c>
    </row>
    <row r="552" spans="1:7" x14ac:dyDescent="0.35">
      <c r="A552" t="s">
        <v>11</v>
      </c>
      <c r="B552">
        <v>34</v>
      </c>
      <c r="C552" s="5">
        <v>113.051</v>
      </c>
      <c r="D552">
        <f>ROUNDUP(C552/GiaDinh!$C$4-0.0005,0)</f>
        <v>19</v>
      </c>
      <c r="E552">
        <f t="shared" si="8"/>
        <v>18</v>
      </c>
      <c r="F552" s="5">
        <f>D552*GiaDinh!$C$4-C552</f>
        <v>0.94899999999999807</v>
      </c>
      <c r="G552" s="5">
        <f>C552*GiaDinh!$C$6</f>
        <v>266.80036000000001</v>
      </c>
    </row>
    <row r="553" spans="1:7" x14ac:dyDescent="0.35">
      <c r="A553" t="s">
        <v>11</v>
      </c>
      <c r="B553">
        <v>35</v>
      </c>
      <c r="C553" s="5">
        <v>113.051</v>
      </c>
      <c r="D553">
        <f>ROUNDUP(C553/GiaDinh!$C$4-0.0005,0)</f>
        <v>19</v>
      </c>
      <c r="E553">
        <f t="shared" si="8"/>
        <v>18</v>
      </c>
      <c r="F553" s="5">
        <f>D553*GiaDinh!$C$4-C553</f>
        <v>0.94899999999999807</v>
      </c>
      <c r="G553" s="5">
        <f>C553*GiaDinh!$C$6</f>
        <v>266.80036000000001</v>
      </c>
    </row>
    <row r="554" spans="1:7" x14ac:dyDescent="0.35">
      <c r="A554" t="s">
        <v>11</v>
      </c>
      <c r="B554">
        <v>36</v>
      </c>
      <c r="C554" s="5">
        <v>113.051</v>
      </c>
      <c r="D554">
        <f>ROUNDUP(C554/GiaDinh!$C$4-0.0005,0)</f>
        <v>19</v>
      </c>
      <c r="E554">
        <f t="shared" si="8"/>
        <v>18</v>
      </c>
      <c r="F554" s="5">
        <f>D554*GiaDinh!$C$4-C554</f>
        <v>0.94899999999999807</v>
      </c>
      <c r="G554" s="5">
        <f>C554*GiaDinh!$C$6</f>
        <v>266.80036000000001</v>
      </c>
    </row>
    <row r="555" spans="1:7" x14ac:dyDescent="0.35">
      <c r="A555" t="s">
        <v>11</v>
      </c>
      <c r="B555">
        <v>37</v>
      </c>
      <c r="C555" s="5">
        <v>113.051</v>
      </c>
      <c r="D555">
        <f>ROUNDUP(C555/GiaDinh!$C$4-0.0005,0)</f>
        <v>19</v>
      </c>
      <c r="E555">
        <f t="shared" si="8"/>
        <v>18</v>
      </c>
      <c r="F555" s="5">
        <f>D555*GiaDinh!$C$4-C555</f>
        <v>0.94899999999999807</v>
      </c>
      <c r="G555" s="5">
        <f>C555*GiaDinh!$C$6</f>
        <v>266.80036000000001</v>
      </c>
    </row>
    <row r="556" spans="1:7" x14ac:dyDescent="0.35">
      <c r="A556" t="s">
        <v>11</v>
      </c>
      <c r="B556">
        <v>38</v>
      </c>
      <c r="C556" s="5">
        <v>113.051</v>
      </c>
      <c r="D556">
        <f>ROUNDUP(C556/GiaDinh!$C$4-0.0005,0)</f>
        <v>19</v>
      </c>
      <c r="E556">
        <f t="shared" si="8"/>
        <v>18</v>
      </c>
      <c r="F556" s="5">
        <f>D556*GiaDinh!$C$4-C556</f>
        <v>0.94899999999999807</v>
      </c>
      <c r="G556" s="5">
        <f>C556*GiaDinh!$C$6</f>
        <v>266.80036000000001</v>
      </c>
    </row>
    <row r="557" spans="1:7" x14ac:dyDescent="0.35">
      <c r="A557" t="s">
        <v>11</v>
      </c>
      <c r="B557">
        <v>39</v>
      </c>
      <c r="C557" s="5">
        <v>113.051</v>
      </c>
      <c r="D557">
        <f>ROUNDUP(C557/GiaDinh!$C$4-0.0005,0)</f>
        <v>19</v>
      </c>
      <c r="E557">
        <f t="shared" si="8"/>
        <v>18</v>
      </c>
      <c r="F557" s="5">
        <f>D557*GiaDinh!$C$4-C557</f>
        <v>0.94899999999999807</v>
      </c>
      <c r="G557" s="5">
        <f>C557*GiaDinh!$C$6</f>
        <v>266.80036000000001</v>
      </c>
    </row>
    <row r="558" spans="1:7" x14ac:dyDescent="0.35">
      <c r="A558" t="s">
        <v>11</v>
      </c>
      <c r="B558">
        <v>40</v>
      </c>
      <c r="C558" s="5">
        <v>113.051</v>
      </c>
      <c r="D558">
        <f>ROUNDUP(C558/GiaDinh!$C$4-0.0005,0)</f>
        <v>19</v>
      </c>
      <c r="E558">
        <f t="shared" si="8"/>
        <v>18</v>
      </c>
      <c r="F558" s="5">
        <f>D558*GiaDinh!$C$4-C558</f>
        <v>0.94899999999999807</v>
      </c>
      <c r="G558" s="5">
        <f>C558*GiaDinh!$C$6</f>
        <v>266.80036000000001</v>
      </c>
    </row>
    <row r="559" spans="1:7" x14ac:dyDescent="0.35">
      <c r="A559" t="s">
        <v>11</v>
      </c>
      <c r="B559">
        <v>41</v>
      </c>
      <c r="C559" s="5">
        <v>113.051</v>
      </c>
      <c r="D559">
        <f>ROUNDUP(C559/GiaDinh!$C$4-0.0005,0)</f>
        <v>19</v>
      </c>
      <c r="E559">
        <f t="shared" si="8"/>
        <v>18</v>
      </c>
      <c r="F559" s="5">
        <f>D559*GiaDinh!$C$4-C559</f>
        <v>0.94899999999999807</v>
      </c>
      <c r="G559" s="5">
        <f>C559*GiaDinh!$C$6</f>
        <v>266.80036000000001</v>
      </c>
    </row>
    <row r="560" spans="1:7" x14ac:dyDescent="0.35">
      <c r="A560" t="s">
        <v>11</v>
      </c>
      <c r="B560">
        <v>42</v>
      </c>
      <c r="C560" s="5">
        <v>113.051</v>
      </c>
      <c r="D560">
        <f>ROUNDUP(C560/GiaDinh!$C$4-0.0005,0)</f>
        <v>19</v>
      </c>
      <c r="E560">
        <f t="shared" si="8"/>
        <v>18</v>
      </c>
      <c r="F560" s="5">
        <f>D560*GiaDinh!$C$4-C560</f>
        <v>0.94899999999999807</v>
      </c>
      <c r="G560" s="5">
        <f>C560*GiaDinh!$C$6</f>
        <v>266.80036000000001</v>
      </c>
    </row>
    <row r="561" spans="1:7" x14ac:dyDescent="0.35">
      <c r="A561" t="s">
        <v>11</v>
      </c>
      <c r="B561">
        <v>43</v>
      </c>
      <c r="C561" s="5">
        <v>113.051</v>
      </c>
      <c r="D561">
        <f>ROUNDUP(C561/GiaDinh!$C$4-0.0005,0)</f>
        <v>19</v>
      </c>
      <c r="E561">
        <f t="shared" si="8"/>
        <v>18</v>
      </c>
      <c r="F561" s="5">
        <f>D561*GiaDinh!$C$4-C561</f>
        <v>0.94899999999999807</v>
      </c>
      <c r="G561" s="5">
        <f>C561*GiaDinh!$C$6</f>
        <v>266.80036000000001</v>
      </c>
    </row>
    <row r="562" spans="1:7" x14ac:dyDescent="0.35">
      <c r="A562" t="s">
        <v>11</v>
      </c>
      <c r="B562">
        <v>44</v>
      </c>
      <c r="C562" s="5">
        <v>113.051</v>
      </c>
      <c r="D562">
        <f>ROUNDUP(C562/GiaDinh!$C$4-0.0005,0)</f>
        <v>19</v>
      </c>
      <c r="E562">
        <f t="shared" si="8"/>
        <v>18</v>
      </c>
      <c r="F562" s="5">
        <f>D562*GiaDinh!$C$4-C562</f>
        <v>0.94899999999999807</v>
      </c>
      <c r="G562" s="5">
        <f>C562*GiaDinh!$C$6</f>
        <v>266.80036000000001</v>
      </c>
    </row>
    <row r="563" spans="1:7" x14ac:dyDescent="0.35">
      <c r="A563" t="s">
        <v>11</v>
      </c>
      <c r="B563">
        <v>45</v>
      </c>
      <c r="C563" s="5">
        <v>113.051</v>
      </c>
      <c r="D563">
        <f>ROUNDUP(C563/GiaDinh!$C$4-0.0005,0)</f>
        <v>19</v>
      </c>
      <c r="E563">
        <f t="shared" si="8"/>
        <v>18</v>
      </c>
      <c r="F563" s="5">
        <f>D563*GiaDinh!$C$4-C563</f>
        <v>0.94899999999999807</v>
      </c>
      <c r="G563" s="5">
        <f>C563*GiaDinh!$C$6</f>
        <v>266.80036000000001</v>
      </c>
    </row>
    <row r="564" spans="1:7" x14ac:dyDescent="0.35">
      <c r="A564" t="s">
        <v>11</v>
      </c>
      <c r="B564">
        <v>46</v>
      </c>
      <c r="C564" s="5">
        <v>113.051</v>
      </c>
      <c r="D564">
        <f>ROUNDUP(C564/GiaDinh!$C$4-0.0005,0)</f>
        <v>19</v>
      </c>
      <c r="E564">
        <f t="shared" si="8"/>
        <v>18</v>
      </c>
      <c r="F564" s="5">
        <f>D564*GiaDinh!$C$4-C564</f>
        <v>0.94899999999999807</v>
      </c>
      <c r="G564" s="5">
        <f>C564*GiaDinh!$C$6</f>
        <v>266.80036000000001</v>
      </c>
    </row>
    <row r="565" spans="1:7" x14ac:dyDescent="0.35">
      <c r="A565" t="s">
        <v>11</v>
      </c>
      <c r="B565">
        <v>47</v>
      </c>
      <c r="C565" s="5">
        <v>113.051</v>
      </c>
      <c r="D565">
        <f>ROUNDUP(C565/GiaDinh!$C$4-0.0005,0)</f>
        <v>19</v>
      </c>
      <c r="E565">
        <f t="shared" si="8"/>
        <v>18</v>
      </c>
      <c r="F565" s="5">
        <f>D565*GiaDinh!$C$4-C565</f>
        <v>0.94899999999999807</v>
      </c>
      <c r="G565" s="5">
        <f>C565*GiaDinh!$C$6</f>
        <v>266.80036000000001</v>
      </c>
    </row>
    <row r="566" spans="1:7" x14ac:dyDescent="0.35">
      <c r="A566" t="s">
        <v>11</v>
      </c>
      <c r="B566">
        <v>48</v>
      </c>
      <c r="C566" s="5">
        <v>113.051</v>
      </c>
      <c r="D566">
        <f>ROUNDUP(C566/GiaDinh!$C$4-0.0005,0)</f>
        <v>19</v>
      </c>
      <c r="E566">
        <f t="shared" si="8"/>
        <v>18</v>
      </c>
      <c r="F566" s="5">
        <f>D566*GiaDinh!$C$4-C566</f>
        <v>0.94899999999999807</v>
      </c>
      <c r="G566" s="5">
        <f>C566*GiaDinh!$C$6</f>
        <v>266.80036000000001</v>
      </c>
    </row>
    <row r="567" spans="1:7" x14ac:dyDescent="0.35">
      <c r="A567" t="s">
        <v>11</v>
      </c>
      <c r="B567">
        <v>49</v>
      </c>
      <c r="C567" s="5">
        <v>113.051</v>
      </c>
      <c r="D567">
        <f>ROUNDUP(C567/GiaDinh!$C$4-0.0005,0)</f>
        <v>19</v>
      </c>
      <c r="E567">
        <f t="shared" si="8"/>
        <v>18</v>
      </c>
      <c r="F567" s="5">
        <f>D567*GiaDinh!$C$4-C567</f>
        <v>0.94899999999999807</v>
      </c>
      <c r="G567" s="5">
        <f>C567*GiaDinh!$C$6</f>
        <v>266.80036000000001</v>
      </c>
    </row>
    <row r="568" spans="1:7" x14ac:dyDescent="0.35">
      <c r="A568" t="s">
        <v>11</v>
      </c>
      <c r="B568">
        <v>50</v>
      </c>
      <c r="C568" s="5">
        <v>113.051</v>
      </c>
      <c r="D568">
        <f>ROUNDUP(C568/GiaDinh!$C$4-0.0005,0)</f>
        <v>19</v>
      </c>
      <c r="E568">
        <f t="shared" si="8"/>
        <v>18</v>
      </c>
      <c r="F568" s="5">
        <f>D568*GiaDinh!$C$4-C568</f>
        <v>0.94899999999999807</v>
      </c>
      <c r="G568" s="5">
        <f>C568*GiaDinh!$C$6</f>
        <v>266.80036000000001</v>
      </c>
    </row>
    <row r="569" spans="1:7" x14ac:dyDescent="0.35">
      <c r="A569" t="s">
        <v>11</v>
      </c>
      <c r="B569">
        <v>51</v>
      </c>
      <c r="C569" s="5">
        <v>113.051</v>
      </c>
      <c r="D569">
        <f>ROUNDUP(C569/GiaDinh!$C$4-0.0005,0)</f>
        <v>19</v>
      </c>
      <c r="E569">
        <f t="shared" si="8"/>
        <v>18</v>
      </c>
      <c r="F569" s="5">
        <f>D569*GiaDinh!$C$4-C569</f>
        <v>0.94899999999999807</v>
      </c>
      <c r="G569" s="5">
        <f>C569*GiaDinh!$C$6</f>
        <v>266.80036000000001</v>
      </c>
    </row>
    <row r="570" spans="1:7" x14ac:dyDescent="0.35">
      <c r="A570" t="s">
        <v>11</v>
      </c>
      <c r="B570">
        <v>52</v>
      </c>
      <c r="C570" s="5">
        <v>113.051</v>
      </c>
      <c r="D570">
        <f>ROUNDUP(C570/GiaDinh!$C$4-0.0005,0)</f>
        <v>19</v>
      </c>
      <c r="E570">
        <f t="shared" si="8"/>
        <v>18</v>
      </c>
      <c r="F570" s="5">
        <f>D570*GiaDinh!$C$4-C570</f>
        <v>0.94899999999999807</v>
      </c>
      <c r="G570" s="5">
        <f>C570*GiaDinh!$C$6</f>
        <v>266.80036000000001</v>
      </c>
    </row>
    <row r="571" spans="1:7" x14ac:dyDescent="0.35">
      <c r="A571" t="s">
        <v>11</v>
      </c>
      <c r="B571">
        <v>53</v>
      </c>
      <c r="C571" s="5">
        <v>113.051</v>
      </c>
      <c r="D571">
        <f>ROUNDUP(C571/GiaDinh!$C$4-0.0005,0)</f>
        <v>19</v>
      </c>
      <c r="E571">
        <f t="shared" si="8"/>
        <v>18</v>
      </c>
      <c r="F571" s="5">
        <f>D571*GiaDinh!$C$4-C571</f>
        <v>0.94899999999999807</v>
      </c>
      <c r="G571" s="5">
        <f>C571*GiaDinh!$C$6</f>
        <v>266.80036000000001</v>
      </c>
    </row>
    <row r="572" spans="1:7" x14ac:dyDescent="0.35">
      <c r="A572" t="s">
        <v>11</v>
      </c>
      <c r="B572">
        <v>54</v>
      </c>
      <c r="C572" s="5">
        <v>113.051</v>
      </c>
      <c r="D572">
        <f>ROUNDUP(C572/GiaDinh!$C$4-0.0005,0)</f>
        <v>19</v>
      </c>
      <c r="E572">
        <f t="shared" si="8"/>
        <v>18</v>
      </c>
      <c r="F572" s="5">
        <f>D572*GiaDinh!$C$4-C572</f>
        <v>0.94899999999999807</v>
      </c>
      <c r="G572" s="5">
        <f>C572*GiaDinh!$C$6</f>
        <v>266.80036000000001</v>
      </c>
    </row>
    <row r="573" spans="1:7" x14ac:dyDescent="0.35">
      <c r="A573" t="s">
        <v>11</v>
      </c>
      <c r="B573">
        <v>55</v>
      </c>
      <c r="C573" s="5">
        <v>113.051</v>
      </c>
      <c r="D573">
        <f>ROUNDUP(C573/GiaDinh!$C$4-0.0005,0)</f>
        <v>19</v>
      </c>
      <c r="E573">
        <f t="shared" si="8"/>
        <v>18</v>
      </c>
      <c r="F573" s="5">
        <f>D573*GiaDinh!$C$4-C573</f>
        <v>0.94899999999999807</v>
      </c>
      <c r="G573" s="5">
        <f>C573*GiaDinh!$C$6</f>
        <v>266.80036000000001</v>
      </c>
    </row>
    <row r="574" spans="1:7" x14ac:dyDescent="0.35">
      <c r="A574" t="s">
        <v>11</v>
      </c>
      <c r="B574">
        <v>56</v>
      </c>
      <c r="C574" s="5">
        <v>113.051</v>
      </c>
      <c r="D574">
        <f>ROUNDUP(C574/GiaDinh!$C$4-0.0005,0)</f>
        <v>19</v>
      </c>
      <c r="E574">
        <f t="shared" si="8"/>
        <v>18</v>
      </c>
      <c r="F574" s="5">
        <f>D574*GiaDinh!$C$4-C574</f>
        <v>0.94899999999999807</v>
      </c>
      <c r="G574" s="5">
        <f>C574*GiaDinh!$C$6</f>
        <v>266.80036000000001</v>
      </c>
    </row>
    <row r="575" spans="1:7" x14ac:dyDescent="0.35">
      <c r="A575" t="s">
        <v>11</v>
      </c>
      <c r="B575">
        <v>57</v>
      </c>
      <c r="C575" s="5">
        <v>113.051</v>
      </c>
      <c r="D575">
        <f>ROUNDUP(C575/GiaDinh!$C$4-0.0005,0)</f>
        <v>19</v>
      </c>
      <c r="E575">
        <f t="shared" si="8"/>
        <v>18</v>
      </c>
      <c r="F575" s="5">
        <f>D575*GiaDinh!$C$4-C575</f>
        <v>0.94899999999999807</v>
      </c>
      <c r="G575" s="5">
        <f>C575*GiaDinh!$C$6</f>
        <v>266.80036000000001</v>
      </c>
    </row>
    <row r="576" spans="1:7" x14ac:dyDescent="0.35">
      <c r="A576" t="s">
        <v>11</v>
      </c>
      <c r="B576">
        <v>58</v>
      </c>
      <c r="C576" s="5">
        <v>113.051</v>
      </c>
      <c r="D576">
        <f>ROUNDUP(C576/GiaDinh!$C$4-0.0005,0)</f>
        <v>19</v>
      </c>
      <c r="E576">
        <f t="shared" si="8"/>
        <v>18</v>
      </c>
      <c r="F576" s="5">
        <f>D576*GiaDinh!$C$4-C576</f>
        <v>0.94899999999999807</v>
      </c>
      <c r="G576" s="5">
        <f>C576*GiaDinh!$C$6</f>
        <v>266.80036000000001</v>
      </c>
    </row>
    <row r="577" spans="1:7" x14ac:dyDescent="0.35">
      <c r="A577" t="s">
        <v>11</v>
      </c>
      <c r="B577">
        <v>59</v>
      </c>
      <c r="C577" s="5">
        <v>113.051</v>
      </c>
      <c r="D577">
        <f>ROUNDUP(C577/GiaDinh!$C$4-0.0005,0)</f>
        <v>19</v>
      </c>
      <c r="E577">
        <f t="shared" si="8"/>
        <v>18</v>
      </c>
      <c r="F577" s="5">
        <f>D577*GiaDinh!$C$4-C577</f>
        <v>0.94899999999999807</v>
      </c>
      <c r="G577" s="5">
        <f>C577*GiaDinh!$C$6</f>
        <v>266.80036000000001</v>
      </c>
    </row>
    <row r="578" spans="1:7" x14ac:dyDescent="0.35">
      <c r="A578" t="s">
        <v>11</v>
      </c>
      <c r="B578">
        <v>60</v>
      </c>
      <c r="C578" s="5">
        <v>113.051</v>
      </c>
      <c r="D578">
        <f>ROUNDUP(C578/GiaDinh!$C$4-0.0005,0)</f>
        <v>19</v>
      </c>
      <c r="E578">
        <f t="shared" si="8"/>
        <v>18</v>
      </c>
      <c r="F578" s="5">
        <f>D578*GiaDinh!$C$4-C578</f>
        <v>0.94899999999999807</v>
      </c>
      <c r="G578" s="5">
        <f>C578*GiaDinh!$C$6</f>
        <v>266.80036000000001</v>
      </c>
    </row>
    <row r="579" spans="1:7" x14ac:dyDescent="0.35">
      <c r="A579" t="s">
        <v>11</v>
      </c>
      <c r="B579">
        <v>61</v>
      </c>
      <c r="C579" s="5">
        <v>40.703000000000003</v>
      </c>
      <c r="D579">
        <f>ROUNDUP(C579/GiaDinh!$C$4-0.0005,0)</f>
        <v>7</v>
      </c>
      <c r="E579">
        <f t="shared" si="8"/>
        <v>6</v>
      </c>
      <c r="F579" s="5">
        <f>D579*GiaDinh!$C$4-C579</f>
        <v>1.296999999999997</v>
      </c>
      <c r="G579" s="5">
        <f>C579*GiaDinh!$C$6</f>
        <v>96.059080000000009</v>
      </c>
    </row>
    <row r="580" spans="1:7" x14ac:dyDescent="0.35">
      <c r="A580" t="s">
        <v>11</v>
      </c>
      <c r="B580">
        <v>62</v>
      </c>
      <c r="C580" s="5">
        <v>41.021000000000001</v>
      </c>
      <c r="D580">
        <f>ROUNDUP(C580/GiaDinh!$C$4-0.0005,0)</f>
        <v>7</v>
      </c>
      <c r="E580">
        <f t="shared" ref="E580:E643" si="9">D580-1</f>
        <v>6</v>
      </c>
      <c r="F580" s="5">
        <f>D580*GiaDinh!$C$4-C580</f>
        <v>0.9789999999999992</v>
      </c>
      <c r="G580" s="5">
        <f>C580*GiaDinh!$C$6</f>
        <v>96.809559999999991</v>
      </c>
    </row>
    <row r="581" spans="1:7" x14ac:dyDescent="0.35">
      <c r="A581" t="s">
        <v>11</v>
      </c>
      <c r="B581">
        <v>63</v>
      </c>
      <c r="C581" s="5">
        <v>41.021000000000001</v>
      </c>
      <c r="D581">
        <f>ROUNDUP(C581/GiaDinh!$C$4-0.0005,0)</f>
        <v>7</v>
      </c>
      <c r="E581">
        <f t="shared" si="9"/>
        <v>6</v>
      </c>
      <c r="F581" s="5">
        <f>D581*GiaDinh!$C$4-C581</f>
        <v>0.9789999999999992</v>
      </c>
      <c r="G581" s="5">
        <f>C581*GiaDinh!$C$6</f>
        <v>96.809559999999991</v>
      </c>
    </row>
    <row r="582" spans="1:7" x14ac:dyDescent="0.35">
      <c r="A582" t="s">
        <v>11</v>
      </c>
      <c r="B582">
        <v>64</v>
      </c>
      <c r="C582" s="5">
        <v>41.021000000000001</v>
      </c>
      <c r="D582">
        <f>ROUNDUP(C582/GiaDinh!$C$4-0.0005,0)</f>
        <v>7</v>
      </c>
      <c r="E582">
        <f t="shared" si="9"/>
        <v>6</v>
      </c>
      <c r="F582" s="5">
        <f>D582*GiaDinh!$C$4-C582</f>
        <v>0.9789999999999992</v>
      </c>
      <c r="G582" s="5">
        <f>C582*GiaDinh!$C$6</f>
        <v>96.809559999999991</v>
      </c>
    </row>
    <row r="583" spans="1:7" x14ac:dyDescent="0.35">
      <c r="A583" t="s">
        <v>11</v>
      </c>
      <c r="B583">
        <v>65</v>
      </c>
      <c r="C583" s="5">
        <v>41.021000000000001</v>
      </c>
      <c r="D583">
        <f>ROUNDUP(C583/GiaDinh!$C$4-0.0005,0)</f>
        <v>7</v>
      </c>
      <c r="E583">
        <f t="shared" si="9"/>
        <v>6</v>
      </c>
      <c r="F583" s="5">
        <f>D583*GiaDinh!$C$4-C583</f>
        <v>0.9789999999999992</v>
      </c>
      <c r="G583" s="5">
        <f>C583*GiaDinh!$C$6</f>
        <v>96.809559999999991</v>
      </c>
    </row>
    <row r="584" spans="1:7" x14ac:dyDescent="0.35">
      <c r="A584" t="s">
        <v>11</v>
      </c>
      <c r="B584">
        <v>66</v>
      </c>
      <c r="C584" s="5">
        <v>41.021000000000001</v>
      </c>
      <c r="D584">
        <f>ROUNDUP(C584/GiaDinh!$C$4-0.0005,0)</f>
        <v>7</v>
      </c>
      <c r="E584">
        <f t="shared" si="9"/>
        <v>6</v>
      </c>
      <c r="F584" s="5">
        <f>D584*GiaDinh!$C$4-C584</f>
        <v>0.9789999999999992</v>
      </c>
      <c r="G584" s="5">
        <f>C584*GiaDinh!$C$6</f>
        <v>96.809559999999991</v>
      </c>
    </row>
    <row r="585" spans="1:7" x14ac:dyDescent="0.35">
      <c r="A585" t="s">
        <v>11</v>
      </c>
      <c r="B585">
        <v>67</v>
      </c>
      <c r="C585" s="5">
        <v>41.021000000000001</v>
      </c>
      <c r="D585">
        <f>ROUNDUP(C585/GiaDinh!$C$4-0.0005,0)</f>
        <v>7</v>
      </c>
      <c r="E585">
        <f t="shared" si="9"/>
        <v>6</v>
      </c>
      <c r="F585" s="5">
        <f>D585*GiaDinh!$C$4-C585</f>
        <v>0.9789999999999992</v>
      </c>
      <c r="G585" s="5">
        <f>C585*GiaDinh!$C$6</f>
        <v>96.809559999999991</v>
      </c>
    </row>
    <row r="586" spans="1:7" x14ac:dyDescent="0.35">
      <c r="A586" t="s">
        <v>11</v>
      </c>
      <c r="B586">
        <v>68</v>
      </c>
      <c r="C586" s="5">
        <v>41.021000000000001</v>
      </c>
      <c r="D586">
        <f>ROUNDUP(C586/GiaDinh!$C$4-0.0005,0)</f>
        <v>7</v>
      </c>
      <c r="E586">
        <f t="shared" si="9"/>
        <v>6</v>
      </c>
      <c r="F586" s="5">
        <f>D586*GiaDinh!$C$4-C586</f>
        <v>0.9789999999999992</v>
      </c>
      <c r="G586" s="5">
        <f>C586*GiaDinh!$C$6</f>
        <v>96.809559999999991</v>
      </c>
    </row>
    <row r="587" spans="1:7" x14ac:dyDescent="0.35">
      <c r="A587" t="s">
        <v>11</v>
      </c>
      <c r="B587">
        <v>69</v>
      </c>
      <c r="C587" s="5">
        <v>41.021000000000001</v>
      </c>
      <c r="D587">
        <f>ROUNDUP(C587/GiaDinh!$C$4-0.0005,0)</f>
        <v>7</v>
      </c>
      <c r="E587">
        <f t="shared" si="9"/>
        <v>6</v>
      </c>
      <c r="F587" s="5">
        <f>D587*GiaDinh!$C$4-C587</f>
        <v>0.9789999999999992</v>
      </c>
      <c r="G587" s="5">
        <f>C587*GiaDinh!$C$6</f>
        <v>96.809559999999991</v>
      </c>
    </row>
    <row r="588" spans="1:7" x14ac:dyDescent="0.35">
      <c r="A588" t="s">
        <v>11</v>
      </c>
      <c r="B588">
        <v>70</v>
      </c>
      <c r="C588" s="5">
        <v>41.021000000000001</v>
      </c>
      <c r="D588">
        <f>ROUNDUP(C588/GiaDinh!$C$4-0.0005,0)</f>
        <v>7</v>
      </c>
      <c r="E588">
        <f t="shared" si="9"/>
        <v>6</v>
      </c>
      <c r="F588" s="5">
        <f>D588*GiaDinh!$C$4-C588</f>
        <v>0.9789999999999992</v>
      </c>
      <c r="G588" s="5">
        <f>C588*GiaDinh!$C$6</f>
        <v>96.809559999999991</v>
      </c>
    </row>
    <row r="589" spans="1:7" x14ac:dyDescent="0.35">
      <c r="A589" t="s">
        <v>11</v>
      </c>
      <c r="B589">
        <v>71</v>
      </c>
      <c r="C589" s="5">
        <v>41.021000000000001</v>
      </c>
      <c r="D589">
        <f>ROUNDUP(C589/GiaDinh!$C$4-0.0005,0)</f>
        <v>7</v>
      </c>
      <c r="E589">
        <f t="shared" si="9"/>
        <v>6</v>
      </c>
      <c r="F589" s="5">
        <f>D589*GiaDinh!$C$4-C589</f>
        <v>0.9789999999999992</v>
      </c>
      <c r="G589" s="5">
        <f>C589*GiaDinh!$C$6</f>
        <v>96.809559999999991</v>
      </c>
    </row>
    <row r="590" spans="1:7" x14ac:dyDescent="0.35">
      <c r="A590" t="s">
        <v>11</v>
      </c>
      <c r="B590">
        <v>72</v>
      </c>
      <c r="C590" s="5">
        <v>41.021000000000001</v>
      </c>
      <c r="D590">
        <f>ROUNDUP(C590/GiaDinh!$C$4-0.0005,0)</f>
        <v>7</v>
      </c>
      <c r="E590">
        <f t="shared" si="9"/>
        <v>6</v>
      </c>
      <c r="F590" s="5">
        <f>D590*GiaDinh!$C$4-C590</f>
        <v>0.9789999999999992</v>
      </c>
      <c r="G590" s="5">
        <f>C590*GiaDinh!$C$6</f>
        <v>96.809559999999991</v>
      </c>
    </row>
    <row r="591" spans="1:7" x14ac:dyDescent="0.35">
      <c r="A591" t="s">
        <v>11</v>
      </c>
      <c r="B591">
        <v>73</v>
      </c>
      <c r="C591" s="5">
        <v>41.021000000000001</v>
      </c>
      <c r="D591">
        <f>ROUNDUP(C591/GiaDinh!$C$4-0.0005,0)</f>
        <v>7</v>
      </c>
      <c r="E591">
        <f t="shared" si="9"/>
        <v>6</v>
      </c>
      <c r="F591" s="5">
        <f>D591*GiaDinh!$C$4-C591</f>
        <v>0.9789999999999992</v>
      </c>
      <c r="G591" s="5">
        <f>C591*GiaDinh!$C$6</f>
        <v>96.809559999999991</v>
      </c>
    </row>
    <row r="592" spans="1:7" x14ac:dyDescent="0.35">
      <c r="A592" t="s">
        <v>11</v>
      </c>
      <c r="B592">
        <v>74</v>
      </c>
      <c r="C592" s="5">
        <v>41.021000000000001</v>
      </c>
      <c r="D592">
        <f>ROUNDUP(C592/GiaDinh!$C$4-0.0005,0)</f>
        <v>7</v>
      </c>
      <c r="E592">
        <f t="shared" si="9"/>
        <v>6</v>
      </c>
      <c r="F592" s="5">
        <f>D592*GiaDinh!$C$4-C592</f>
        <v>0.9789999999999992</v>
      </c>
      <c r="G592" s="5">
        <f>C592*GiaDinh!$C$6</f>
        <v>96.809559999999991</v>
      </c>
    </row>
    <row r="593" spans="1:7" x14ac:dyDescent="0.35">
      <c r="A593" t="s">
        <v>11</v>
      </c>
      <c r="B593">
        <v>75</v>
      </c>
      <c r="C593" s="5">
        <v>41.021000000000001</v>
      </c>
      <c r="D593">
        <f>ROUNDUP(C593/GiaDinh!$C$4-0.0005,0)</f>
        <v>7</v>
      </c>
      <c r="E593">
        <f t="shared" si="9"/>
        <v>6</v>
      </c>
      <c r="F593" s="5">
        <f>D593*GiaDinh!$C$4-C593</f>
        <v>0.9789999999999992</v>
      </c>
      <c r="G593" s="5">
        <f>C593*GiaDinh!$C$6</f>
        <v>96.809559999999991</v>
      </c>
    </row>
    <row r="594" spans="1:7" x14ac:dyDescent="0.35">
      <c r="A594" t="s">
        <v>11</v>
      </c>
      <c r="B594">
        <v>76</v>
      </c>
      <c r="C594" s="5">
        <v>41.021000000000001</v>
      </c>
      <c r="D594">
        <f>ROUNDUP(C594/GiaDinh!$C$4-0.0005,0)</f>
        <v>7</v>
      </c>
      <c r="E594">
        <f t="shared" si="9"/>
        <v>6</v>
      </c>
      <c r="F594" s="5">
        <f>D594*GiaDinh!$C$4-C594</f>
        <v>0.9789999999999992</v>
      </c>
      <c r="G594" s="5">
        <f>C594*GiaDinh!$C$6</f>
        <v>96.809559999999991</v>
      </c>
    </row>
    <row r="595" spans="1:7" x14ac:dyDescent="0.35">
      <c r="A595" t="s">
        <v>11</v>
      </c>
      <c r="B595">
        <v>77</v>
      </c>
      <c r="C595" s="5">
        <v>41.021000000000001</v>
      </c>
      <c r="D595">
        <f>ROUNDUP(C595/GiaDinh!$C$4-0.0005,0)</f>
        <v>7</v>
      </c>
      <c r="E595">
        <f t="shared" si="9"/>
        <v>6</v>
      </c>
      <c r="F595" s="5">
        <f>D595*GiaDinh!$C$4-C595</f>
        <v>0.9789999999999992</v>
      </c>
      <c r="G595" s="5">
        <f>C595*GiaDinh!$C$6</f>
        <v>96.809559999999991</v>
      </c>
    </row>
    <row r="596" spans="1:7" x14ac:dyDescent="0.35">
      <c r="A596" t="s">
        <v>11</v>
      </c>
      <c r="B596">
        <v>78</v>
      </c>
      <c r="C596" s="5">
        <v>41.021000000000001</v>
      </c>
      <c r="D596">
        <f>ROUNDUP(C596/GiaDinh!$C$4-0.0005,0)</f>
        <v>7</v>
      </c>
      <c r="E596">
        <f t="shared" si="9"/>
        <v>6</v>
      </c>
      <c r="F596" s="5">
        <f>D596*GiaDinh!$C$4-C596</f>
        <v>0.9789999999999992</v>
      </c>
      <c r="G596" s="5">
        <f>C596*GiaDinh!$C$6</f>
        <v>96.809559999999991</v>
      </c>
    </row>
    <row r="597" spans="1:7" x14ac:dyDescent="0.35">
      <c r="A597" t="s">
        <v>11</v>
      </c>
      <c r="B597">
        <v>79</v>
      </c>
      <c r="C597" s="5">
        <v>41.021000000000001</v>
      </c>
      <c r="D597">
        <f>ROUNDUP(C597/GiaDinh!$C$4-0.0005,0)</f>
        <v>7</v>
      </c>
      <c r="E597">
        <f t="shared" si="9"/>
        <v>6</v>
      </c>
      <c r="F597" s="5">
        <f>D597*GiaDinh!$C$4-C597</f>
        <v>0.9789999999999992</v>
      </c>
      <c r="G597" s="5">
        <f>C597*GiaDinh!$C$6</f>
        <v>96.809559999999991</v>
      </c>
    </row>
    <row r="598" spans="1:7" x14ac:dyDescent="0.35">
      <c r="A598" t="s">
        <v>11</v>
      </c>
      <c r="B598">
        <v>80</v>
      </c>
      <c r="C598" s="5">
        <v>41.021000000000001</v>
      </c>
      <c r="D598">
        <f>ROUNDUP(C598/GiaDinh!$C$4-0.0005,0)</f>
        <v>7</v>
      </c>
      <c r="E598">
        <f t="shared" si="9"/>
        <v>6</v>
      </c>
      <c r="F598" s="5">
        <f>D598*GiaDinh!$C$4-C598</f>
        <v>0.9789999999999992</v>
      </c>
      <c r="G598" s="5">
        <f>C598*GiaDinh!$C$6</f>
        <v>96.809559999999991</v>
      </c>
    </row>
    <row r="599" spans="1:7" x14ac:dyDescent="0.35">
      <c r="A599" t="s">
        <v>11</v>
      </c>
      <c r="B599">
        <v>81</v>
      </c>
      <c r="C599" s="5">
        <v>41.021000000000001</v>
      </c>
      <c r="D599">
        <f>ROUNDUP(C599/GiaDinh!$C$4-0.0005,0)</f>
        <v>7</v>
      </c>
      <c r="E599">
        <f t="shared" si="9"/>
        <v>6</v>
      </c>
      <c r="F599" s="5">
        <f>D599*GiaDinh!$C$4-C599</f>
        <v>0.9789999999999992</v>
      </c>
      <c r="G599" s="5">
        <f>C599*GiaDinh!$C$6</f>
        <v>96.809559999999991</v>
      </c>
    </row>
    <row r="600" spans="1:7" x14ac:dyDescent="0.35">
      <c r="A600" t="s">
        <v>11</v>
      </c>
      <c r="B600">
        <v>82</v>
      </c>
      <c r="C600" s="5">
        <v>41.021000000000001</v>
      </c>
      <c r="D600">
        <f>ROUNDUP(C600/GiaDinh!$C$4-0.0005,0)</f>
        <v>7</v>
      </c>
      <c r="E600">
        <f t="shared" si="9"/>
        <v>6</v>
      </c>
      <c r="F600" s="5">
        <f>D600*GiaDinh!$C$4-C600</f>
        <v>0.9789999999999992</v>
      </c>
      <c r="G600" s="5">
        <f>C600*GiaDinh!$C$6</f>
        <v>96.809559999999991</v>
      </c>
    </row>
    <row r="601" spans="1:7" x14ac:dyDescent="0.35">
      <c r="A601" t="s">
        <v>11</v>
      </c>
      <c r="B601">
        <v>83</v>
      </c>
      <c r="C601" s="5">
        <v>41.021000000000001</v>
      </c>
      <c r="D601">
        <f>ROUNDUP(C601/GiaDinh!$C$4-0.0005,0)</f>
        <v>7</v>
      </c>
      <c r="E601">
        <f t="shared" si="9"/>
        <v>6</v>
      </c>
      <c r="F601" s="5">
        <f>D601*GiaDinh!$C$4-C601</f>
        <v>0.9789999999999992</v>
      </c>
      <c r="G601" s="5">
        <f>C601*GiaDinh!$C$6</f>
        <v>96.809559999999991</v>
      </c>
    </row>
    <row r="602" spans="1:7" x14ac:dyDescent="0.35">
      <c r="A602" t="s">
        <v>11</v>
      </c>
      <c r="B602">
        <v>84</v>
      </c>
      <c r="C602" s="5">
        <v>41.021000000000001</v>
      </c>
      <c r="D602">
        <f>ROUNDUP(C602/GiaDinh!$C$4-0.0005,0)</f>
        <v>7</v>
      </c>
      <c r="E602">
        <f t="shared" si="9"/>
        <v>6</v>
      </c>
      <c r="F602" s="5">
        <f>D602*GiaDinh!$C$4-C602</f>
        <v>0.9789999999999992</v>
      </c>
      <c r="G602" s="5">
        <f>C602*GiaDinh!$C$6</f>
        <v>96.809559999999991</v>
      </c>
    </row>
    <row r="603" spans="1:7" x14ac:dyDescent="0.35">
      <c r="A603" t="s">
        <v>11</v>
      </c>
      <c r="B603">
        <v>85</v>
      </c>
      <c r="C603" s="5">
        <v>41.021000000000001</v>
      </c>
      <c r="D603">
        <f>ROUNDUP(C603/GiaDinh!$C$4-0.0005,0)</f>
        <v>7</v>
      </c>
      <c r="E603">
        <f t="shared" si="9"/>
        <v>6</v>
      </c>
      <c r="F603" s="5">
        <f>D603*GiaDinh!$C$4-C603</f>
        <v>0.9789999999999992</v>
      </c>
      <c r="G603" s="5">
        <f>C603*GiaDinh!$C$6</f>
        <v>96.809559999999991</v>
      </c>
    </row>
    <row r="604" spans="1:7" x14ac:dyDescent="0.35">
      <c r="A604" t="s">
        <v>11</v>
      </c>
      <c r="B604">
        <v>86</v>
      </c>
      <c r="C604" s="5">
        <v>41.021000000000001</v>
      </c>
      <c r="D604">
        <f>ROUNDUP(C604/GiaDinh!$C$4-0.0005,0)</f>
        <v>7</v>
      </c>
      <c r="E604">
        <f t="shared" si="9"/>
        <v>6</v>
      </c>
      <c r="F604" s="5">
        <f>D604*GiaDinh!$C$4-C604</f>
        <v>0.9789999999999992</v>
      </c>
      <c r="G604" s="5">
        <f>C604*GiaDinh!$C$6</f>
        <v>96.809559999999991</v>
      </c>
    </row>
    <row r="605" spans="1:7" x14ac:dyDescent="0.35">
      <c r="A605" t="s">
        <v>11</v>
      </c>
      <c r="B605">
        <v>87</v>
      </c>
      <c r="C605" s="5">
        <v>41.021000000000001</v>
      </c>
      <c r="D605">
        <f>ROUNDUP(C605/GiaDinh!$C$4-0.0005,0)</f>
        <v>7</v>
      </c>
      <c r="E605">
        <f t="shared" si="9"/>
        <v>6</v>
      </c>
      <c r="F605" s="5">
        <f>D605*GiaDinh!$C$4-C605</f>
        <v>0.9789999999999992</v>
      </c>
      <c r="G605" s="5">
        <f>C605*GiaDinh!$C$6</f>
        <v>96.809559999999991</v>
      </c>
    </row>
    <row r="606" spans="1:7" x14ac:dyDescent="0.35">
      <c r="A606" t="s">
        <v>11</v>
      </c>
      <c r="B606">
        <v>88</v>
      </c>
      <c r="C606" s="5">
        <v>41.021000000000001</v>
      </c>
      <c r="D606">
        <f>ROUNDUP(C606/GiaDinh!$C$4-0.0005,0)</f>
        <v>7</v>
      </c>
      <c r="E606">
        <f t="shared" si="9"/>
        <v>6</v>
      </c>
      <c r="F606" s="5">
        <f>D606*GiaDinh!$C$4-C606</f>
        <v>0.9789999999999992</v>
      </c>
      <c r="G606" s="5">
        <f>C606*GiaDinh!$C$6</f>
        <v>96.809559999999991</v>
      </c>
    </row>
    <row r="607" spans="1:7" x14ac:dyDescent="0.35">
      <c r="A607" t="s">
        <v>11</v>
      </c>
      <c r="B607">
        <v>89</v>
      </c>
      <c r="C607" s="5">
        <v>41.021000000000001</v>
      </c>
      <c r="D607">
        <f>ROUNDUP(C607/GiaDinh!$C$4-0.0005,0)</f>
        <v>7</v>
      </c>
      <c r="E607">
        <f t="shared" si="9"/>
        <v>6</v>
      </c>
      <c r="F607" s="5">
        <f>D607*GiaDinh!$C$4-C607</f>
        <v>0.9789999999999992</v>
      </c>
      <c r="G607" s="5">
        <f>C607*GiaDinh!$C$6</f>
        <v>96.809559999999991</v>
      </c>
    </row>
    <row r="608" spans="1:7" x14ac:dyDescent="0.35">
      <c r="A608" t="s">
        <v>11</v>
      </c>
      <c r="B608">
        <v>90</v>
      </c>
      <c r="C608" s="5">
        <v>41.021000000000001</v>
      </c>
      <c r="D608">
        <f>ROUNDUP(C608/GiaDinh!$C$4-0.0005,0)</f>
        <v>7</v>
      </c>
      <c r="E608">
        <f t="shared" si="9"/>
        <v>6</v>
      </c>
      <c r="F608" s="5">
        <f>D608*GiaDinh!$C$4-C608</f>
        <v>0.9789999999999992</v>
      </c>
      <c r="G608" s="5">
        <f>C608*GiaDinh!$C$6</f>
        <v>96.809559999999991</v>
      </c>
    </row>
    <row r="609" spans="1:7" x14ac:dyDescent="0.35">
      <c r="A609" t="s">
        <v>12</v>
      </c>
      <c r="B609">
        <v>1</v>
      </c>
      <c r="C609" s="5">
        <v>25.187999999999999</v>
      </c>
      <c r="D609">
        <f>ROUNDUP(C609/GiaDinh!$C$4-0.0005,0)</f>
        <v>5</v>
      </c>
      <c r="E609">
        <f t="shared" si="9"/>
        <v>4</v>
      </c>
      <c r="F609" s="5">
        <f>D609*GiaDinh!$C$4-C609</f>
        <v>4.8120000000000012</v>
      </c>
      <c r="G609" s="5">
        <f>C609*GiaDinh!$C$6</f>
        <v>59.443679999999993</v>
      </c>
    </row>
    <row r="610" spans="1:7" x14ac:dyDescent="0.35">
      <c r="A610" t="s">
        <v>12</v>
      </c>
      <c r="B610">
        <v>2</v>
      </c>
      <c r="C610" s="5">
        <v>25.187999999999999</v>
      </c>
      <c r="D610">
        <f>ROUNDUP(C610/GiaDinh!$C$4-0.0005,0)</f>
        <v>5</v>
      </c>
      <c r="E610">
        <f t="shared" si="9"/>
        <v>4</v>
      </c>
      <c r="F610" s="5">
        <f>D610*GiaDinh!$C$4-C610</f>
        <v>4.8120000000000012</v>
      </c>
      <c r="G610" s="5">
        <f>C610*GiaDinh!$C$6</f>
        <v>59.443679999999993</v>
      </c>
    </row>
    <row r="611" spans="1:7" x14ac:dyDescent="0.35">
      <c r="A611" t="s">
        <v>12</v>
      </c>
      <c r="B611">
        <v>3</v>
      </c>
      <c r="C611" s="5">
        <v>25.187999999999999</v>
      </c>
      <c r="D611">
        <f>ROUNDUP(C611/GiaDinh!$C$4-0.0005,0)</f>
        <v>5</v>
      </c>
      <c r="E611">
        <f t="shared" si="9"/>
        <v>4</v>
      </c>
      <c r="F611" s="5">
        <f>D611*GiaDinh!$C$4-C611</f>
        <v>4.8120000000000012</v>
      </c>
      <c r="G611" s="5">
        <f>C611*GiaDinh!$C$6</f>
        <v>59.443679999999993</v>
      </c>
    </row>
    <row r="612" spans="1:7" x14ac:dyDescent="0.35">
      <c r="A612" t="s">
        <v>12</v>
      </c>
      <c r="B612">
        <v>4</v>
      </c>
      <c r="C612" s="5">
        <v>25.231000000000002</v>
      </c>
      <c r="D612">
        <f>ROUNDUP(C612/GiaDinh!$C$4-0.0005,0)</f>
        <v>5</v>
      </c>
      <c r="E612">
        <f t="shared" si="9"/>
        <v>4</v>
      </c>
      <c r="F612" s="5">
        <f>D612*GiaDinh!$C$4-C612</f>
        <v>4.7689999999999984</v>
      </c>
      <c r="G612" s="5">
        <f>C612*GiaDinh!$C$6</f>
        <v>59.545160000000003</v>
      </c>
    </row>
    <row r="613" spans="1:7" x14ac:dyDescent="0.35">
      <c r="A613" t="s">
        <v>12</v>
      </c>
      <c r="B613">
        <v>5</v>
      </c>
      <c r="C613" s="5">
        <v>25.187999999999999</v>
      </c>
      <c r="D613">
        <f>ROUNDUP(C613/GiaDinh!$C$4-0.0005,0)</f>
        <v>5</v>
      </c>
      <c r="E613">
        <f t="shared" si="9"/>
        <v>4</v>
      </c>
      <c r="F613" s="5">
        <f>D613*GiaDinh!$C$4-C613</f>
        <v>4.8120000000000012</v>
      </c>
      <c r="G613" s="5">
        <f>C613*GiaDinh!$C$6</f>
        <v>59.443679999999993</v>
      </c>
    </row>
    <row r="614" spans="1:7" x14ac:dyDescent="0.35">
      <c r="A614" t="s">
        <v>12</v>
      </c>
      <c r="B614">
        <v>6</v>
      </c>
      <c r="C614" s="5">
        <v>25.231000000000002</v>
      </c>
      <c r="D614">
        <f>ROUNDUP(C614/GiaDinh!$C$4-0.0005,0)</f>
        <v>5</v>
      </c>
      <c r="E614">
        <f t="shared" si="9"/>
        <v>4</v>
      </c>
      <c r="F614" s="5">
        <f>D614*GiaDinh!$C$4-C614</f>
        <v>4.7689999999999984</v>
      </c>
      <c r="G614" s="5">
        <f>C614*GiaDinh!$C$6</f>
        <v>59.545160000000003</v>
      </c>
    </row>
    <row r="615" spans="1:7" x14ac:dyDescent="0.35">
      <c r="A615" t="s">
        <v>12</v>
      </c>
      <c r="B615">
        <v>7</v>
      </c>
      <c r="C615" s="5">
        <v>25.187999999999999</v>
      </c>
      <c r="D615">
        <f>ROUNDUP(C615/GiaDinh!$C$4-0.0005,0)</f>
        <v>5</v>
      </c>
      <c r="E615">
        <f t="shared" si="9"/>
        <v>4</v>
      </c>
      <c r="F615" s="5">
        <f>D615*GiaDinh!$C$4-C615</f>
        <v>4.8120000000000012</v>
      </c>
      <c r="G615" s="5">
        <f>C615*GiaDinh!$C$6</f>
        <v>59.443679999999993</v>
      </c>
    </row>
    <row r="616" spans="1:7" x14ac:dyDescent="0.35">
      <c r="A616" t="s">
        <v>12</v>
      </c>
      <c r="B616">
        <v>8</v>
      </c>
      <c r="C616" s="5">
        <v>25.231000000000002</v>
      </c>
      <c r="D616">
        <f>ROUNDUP(C616/GiaDinh!$C$4-0.0005,0)</f>
        <v>5</v>
      </c>
      <c r="E616">
        <f t="shared" si="9"/>
        <v>4</v>
      </c>
      <c r="F616" s="5">
        <f>D616*GiaDinh!$C$4-C616</f>
        <v>4.7689999999999984</v>
      </c>
      <c r="G616" s="5">
        <f>C616*GiaDinh!$C$6</f>
        <v>59.545160000000003</v>
      </c>
    </row>
    <row r="617" spans="1:7" x14ac:dyDescent="0.35">
      <c r="A617" t="s">
        <v>12</v>
      </c>
      <c r="B617">
        <v>9</v>
      </c>
      <c r="C617" s="5">
        <v>25.187999999999999</v>
      </c>
      <c r="D617">
        <f>ROUNDUP(C617/GiaDinh!$C$4-0.0005,0)</f>
        <v>5</v>
      </c>
      <c r="E617">
        <f t="shared" si="9"/>
        <v>4</v>
      </c>
      <c r="F617" s="5">
        <f>D617*GiaDinh!$C$4-C617</f>
        <v>4.8120000000000012</v>
      </c>
      <c r="G617" s="5">
        <f>C617*GiaDinh!$C$6</f>
        <v>59.443679999999993</v>
      </c>
    </row>
    <row r="618" spans="1:7" x14ac:dyDescent="0.35">
      <c r="A618" t="s">
        <v>12</v>
      </c>
      <c r="B618">
        <v>10</v>
      </c>
      <c r="C618" s="5">
        <v>25.231000000000002</v>
      </c>
      <c r="D618">
        <f>ROUNDUP(C618/GiaDinh!$C$4-0.0005,0)</f>
        <v>5</v>
      </c>
      <c r="E618">
        <f t="shared" si="9"/>
        <v>4</v>
      </c>
      <c r="F618" s="5">
        <f>D618*GiaDinh!$C$4-C618</f>
        <v>4.7689999999999984</v>
      </c>
      <c r="G618" s="5">
        <f>C618*GiaDinh!$C$6</f>
        <v>59.545160000000003</v>
      </c>
    </row>
    <row r="619" spans="1:7" x14ac:dyDescent="0.35">
      <c r="A619" t="s">
        <v>12</v>
      </c>
      <c r="B619">
        <v>11</v>
      </c>
      <c r="C619" s="5">
        <v>25.187999999999999</v>
      </c>
      <c r="D619">
        <f>ROUNDUP(C619/GiaDinh!$C$4-0.0005,0)</f>
        <v>5</v>
      </c>
      <c r="E619">
        <f t="shared" si="9"/>
        <v>4</v>
      </c>
      <c r="F619" s="5">
        <f>D619*GiaDinh!$C$4-C619</f>
        <v>4.8120000000000012</v>
      </c>
      <c r="G619" s="5">
        <f>C619*GiaDinh!$C$6</f>
        <v>59.443679999999993</v>
      </c>
    </row>
    <row r="620" spans="1:7" x14ac:dyDescent="0.35">
      <c r="A620" t="s">
        <v>12</v>
      </c>
      <c r="B620">
        <v>12</v>
      </c>
      <c r="C620" s="5">
        <v>25.231000000000002</v>
      </c>
      <c r="D620">
        <f>ROUNDUP(C620/GiaDinh!$C$4-0.0005,0)</f>
        <v>5</v>
      </c>
      <c r="E620">
        <f t="shared" si="9"/>
        <v>4</v>
      </c>
      <c r="F620" s="5">
        <f>D620*GiaDinh!$C$4-C620</f>
        <v>4.7689999999999984</v>
      </c>
      <c r="G620" s="5">
        <f>C620*GiaDinh!$C$6</f>
        <v>59.545160000000003</v>
      </c>
    </row>
    <row r="621" spans="1:7" x14ac:dyDescent="0.35">
      <c r="A621" t="s">
        <v>12</v>
      </c>
      <c r="B621">
        <v>13</v>
      </c>
      <c r="C621" s="5">
        <v>25.187999999999999</v>
      </c>
      <c r="D621">
        <f>ROUNDUP(C621/GiaDinh!$C$4-0.0005,0)</f>
        <v>5</v>
      </c>
      <c r="E621">
        <f t="shared" si="9"/>
        <v>4</v>
      </c>
      <c r="F621" s="5">
        <f>D621*GiaDinh!$C$4-C621</f>
        <v>4.8120000000000012</v>
      </c>
      <c r="G621" s="5">
        <f>C621*GiaDinh!$C$6</f>
        <v>59.443679999999993</v>
      </c>
    </row>
    <row r="622" spans="1:7" x14ac:dyDescent="0.35">
      <c r="A622" t="s">
        <v>12</v>
      </c>
      <c r="B622">
        <v>14</v>
      </c>
      <c r="C622" s="5">
        <v>25.231000000000002</v>
      </c>
      <c r="D622">
        <f>ROUNDUP(C622/GiaDinh!$C$4-0.0005,0)</f>
        <v>5</v>
      </c>
      <c r="E622">
        <f t="shared" si="9"/>
        <v>4</v>
      </c>
      <c r="F622" s="5">
        <f>D622*GiaDinh!$C$4-C622</f>
        <v>4.7689999999999984</v>
      </c>
      <c r="G622" s="5">
        <f>C622*GiaDinh!$C$6</f>
        <v>59.545160000000003</v>
      </c>
    </row>
    <row r="623" spans="1:7" x14ac:dyDescent="0.35">
      <c r="A623" t="s">
        <v>12</v>
      </c>
      <c r="B623">
        <v>15</v>
      </c>
      <c r="C623" s="5">
        <v>25.187999999999999</v>
      </c>
      <c r="D623">
        <f>ROUNDUP(C623/GiaDinh!$C$4-0.0005,0)</f>
        <v>5</v>
      </c>
      <c r="E623">
        <f t="shared" si="9"/>
        <v>4</v>
      </c>
      <c r="F623" s="5">
        <f>D623*GiaDinh!$C$4-C623</f>
        <v>4.8120000000000012</v>
      </c>
      <c r="G623" s="5">
        <f>C623*GiaDinh!$C$6</f>
        <v>59.443679999999993</v>
      </c>
    </row>
    <row r="624" spans="1:7" x14ac:dyDescent="0.35">
      <c r="A624" t="s">
        <v>12</v>
      </c>
      <c r="B624">
        <v>16</v>
      </c>
      <c r="C624" s="5">
        <v>25.231000000000002</v>
      </c>
      <c r="D624">
        <f>ROUNDUP(C624/GiaDinh!$C$4-0.0005,0)</f>
        <v>5</v>
      </c>
      <c r="E624">
        <f t="shared" si="9"/>
        <v>4</v>
      </c>
      <c r="F624" s="5">
        <f>D624*GiaDinh!$C$4-C624</f>
        <v>4.7689999999999984</v>
      </c>
      <c r="G624" s="5">
        <f>C624*GiaDinh!$C$6</f>
        <v>59.545160000000003</v>
      </c>
    </row>
    <row r="625" spans="1:7" x14ac:dyDescent="0.35">
      <c r="A625" t="s">
        <v>12</v>
      </c>
      <c r="B625">
        <v>17</v>
      </c>
      <c r="C625" s="5">
        <v>145.18199999999999</v>
      </c>
      <c r="D625">
        <f>ROUNDUP(C625/GiaDinh!$C$4-0.0005,0)</f>
        <v>25</v>
      </c>
      <c r="E625">
        <f t="shared" si="9"/>
        <v>24</v>
      </c>
      <c r="F625" s="5">
        <f>D625*GiaDinh!$C$4-C625</f>
        <v>4.8180000000000121</v>
      </c>
      <c r="G625" s="5">
        <f>C625*GiaDinh!$C$6</f>
        <v>342.62951999999996</v>
      </c>
    </row>
    <row r="626" spans="1:7" x14ac:dyDescent="0.35">
      <c r="A626" t="s">
        <v>12</v>
      </c>
      <c r="B626">
        <v>18</v>
      </c>
      <c r="C626" s="5">
        <v>145.18199999999999</v>
      </c>
      <c r="D626">
        <f>ROUNDUP(C626/GiaDinh!$C$4-0.0005,0)</f>
        <v>25</v>
      </c>
      <c r="E626">
        <f t="shared" si="9"/>
        <v>24</v>
      </c>
      <c r="F626" s="5">
        <f>D626*GiaDinh!$C$4-C626</f>
        <v>4.8180000000000121</v>
      </c>
      <c r="G626" s="5">
        <f>C626*GiaDinh!$C$6</f>
        <v>342.62951999999996</v>
      </c>
    </row>
    <row r="627" spans="1:7" x14ac:dyDescent="0.35">
      <c r="A627" t="s">
        <v>12</v>
      </c>
      <c r="B627">
        <v>19</v>
      </c>
      <c r="C627" s="5">
        <v>145.18199999999999</v>
      </c>
      <c r="D627">
        <f>ROUNDUP(C627/GiaDinh!$C$4-0.0005,0)</f>
        <v>25</v>
      </c>
      <c r="E627">
        <f t="shared" si="9"/>
        <v>24</v>
      </c>
      <c r="F627" s="5">
        <f>D627*GiaDinh!$C$4-C627</f>
        <v>4.8180000000000121</v>
      </c>
      <c r="G627" s="5">
        <f>C627*GiaDinh!$C$6</f>
        <v>342.62951999999996</v>
      </c>
    </row>
    <row r="628" spans="1:7" x14ac:dyDescent="0.35">
      <c r="A628" t="s">
        <v>12</v>
      </c>
      <c r="B628">
        <v>20</v>
      </c>
      <c r="C628" s="5">
        <v>145.13999999999999</v>
      </c>
      <c r="D628">
        <f>ROUNDUP(C628/GiaDinh!$C$4-0.0005,0)</f>
        <v>25</v>
      </c>
      <c r="E628">
        <f t="shared" si="9"/>
        <v>24</v>
      </c>
      <c r="F628" s="5">
        <f>D628*GiaDinh!$C$4-C628</f>
        <v>4.8600000000000136</v>
      </c>
      <c r="G628" s="5">
        <f>C628*GiaDinh!$C$6</f>
        <v>342.53039999999993</v>
      </c>
    </row>
    <row r="629" spans="1:7" x14ac:dyDescent="0.35">
      <c r="A629" t="s">
        <v>12</v>
      </c>
      <c r="B629">
        <v>21</v>
      </c>
      <c r="C629" s="5">
        <v>145.18199999999999</v>
      </c>
      <c r="D629">
        <f>ROUNDUP(C629/GiaDinh!$C$4-0.0005,0)</f>
        <v>25</v>
      </c>
      <c r="E629">
        <f t="shared" si="9"/>
        <v>24</v>
      </c>
      <c r="F629" s="5">
        <f>D629*GiaDinh!$C$4-C629</f>
        <v>4.8180000000000121</v>
      </c>
      <c r="G629" s="5">
        <f>C629*GiaDinh!$C$6</f>
        <v>342.62951999999996</v>
      </c>
    </row>
    <row r="630" spans="1:7" x14ac:dyDescent="0.35">
      <c r="A630" t="s">
        <v>12</v>
      </c>
      <c r="B630">
        <v>22</v>
      </c>
      <c r="C630" s="5">
        <v>145.13999999999999</v>
      </c>
      <c r="D630">
        <f>ROUNDUP(C630/GiaDinh!$C$4-0.0005,0)</f>
        <v>25</v>
      </c>
      <c r="E630">
        <f t="shared" si="9"/>
        <v>24</v>
      </c>
      <c r="F630" s="5">
        <f>D630*GiaDinh!$C$4-C630</f>
        <v>4.8600000000000136</v>
      </c>
      <c r="G630" s="5">
        <f>C630*GiaDinh!$C$6</f>
        <v>342.53039999999993</v>
      </c>
    </row>
    <row r="631" spans="1:7" x14ac:dyDescent="0.35">
      <c r="A631" t="s">
        <v>12</v>
      </c>
      <c r="B631">
        <v>23</v>
      </c>
      <c r="C631" s="5">
        <v>145.18199999999999</v>
      </c>
      <c r="D631">
        <f>ROUNDUP(C631/GiaDinh!$C$4-0.0005,0)</f>
        <v>25</v>
      </c>
      <c r="E631">
        <f t="shared" si="9"/>
        <v>24</v>
      </c>
      <c r="F631" s="5">
        <f>D631*GiaDinh!$C$4-C631</f>
        <v>4.8180000000000121</v>
      </c>
      <c r="G631" s="5">
        <f>C631*GiaDinh!$C$6</f>
        <v>342.62951999999996</v>
      </c>
    </row>
    <row r="632" spans="1:7" x14ac:dyDescent="0.35">
      <c r="A632" t="s">
        <v>12</v>
      </c>
      <c r="B632">
        <v>24</v>
      </c>
      <c r="C632" s="5">
        <v>145.13999999999999</v>
      </c>
      <c r="D632">
        <f>ROUNDUP(C632/GiaDinh!$C$4-0.0005,0)</f>
        <v>25</v>
      </c>
      <c r="E632">
        <f t="shared" si="9"/>
        <v>24</v>
      </c>
      <c r="F632" s="5">
        <f>D632*GiaDinh!$C$4-C632</f>
        <v>4.8600000000000136</v>
      </c>
      <c r="G632" s="5">
        <f>C632*GiaDinh!$C$6</f>
        <v>342.53039999999993</v>
      </c>
    </row>
    <row r="633" spans="1:7" x14ac:dyDescent="0.35">
      <c r="A633" t="s">
        <v>12</v>
      </c>
      <c r="B633">
        <v>25</v>
      </c>
      <c r="C633" s="5">
        <v>145.18199999999999</v>
      </c>
      <c r="D633">
        <f>ROUNDUP(C633/GiaDinh!$C$4-0.0005,0)</f>
        <v>25</v>
      </c>
      <c r="E633">
        <f t="shared" si="9"/>
        <v>24</v>
      </c>
      <c r="F633" s="5">
        <f>D633*GiaDinh!$C$4-C633</f>
        <v>4.8180000000000121</v>
      </c>
      <c r="G633" s="5">
        <f>C633*GiaDinh!$C$6</f>
        <v>342.62951999999996</v>
      </c>
    </row>
    <row r="634" spans="1:7" x14ac:dyDescent="0.35">
      <c r="A634" t="s">
        <v>12</v>
      </c>
      <c r="B634">
        <v>26</v>
      </c>
      <c r="C634" s="5">
        <v>145.13999999999999</v>
      </c>
      <c r="D634">
        <f>ROUNDUP(C634/GiaDinh!$C$4-0.0005,0)</f>
        <v>25</v>
      </c>
      <c r="E634">
        <f t="shared" si="9"/>
        <v>24</v>
      </c>
      <c r="F634" s="5">
        <f>D634*GiaDinh!$C$4-C634</f>
        <v>4.8600000000000136</v>
      </c>
      <c r="G634" s="5">
        <f>C634*GiaDinh!$C$6</f>
        <v>342.53039999999993</v>
      </c>
    </row>
    <row r="635" spans="1:7" x14ac:dyDescent="0.35">
      <c r="A635" t="s">
        <v>12</v>
      </c>
      <c r="B635">
        <v>27</v>
      </c>
      <c r="C635" s="5">
        <v>145.18199999999999</v>
      </c>
      <c r="D635">
        <f>ROUNDUP(C635/GiaDinh!$C$4-0.0005,0)</f>
        <v>25</v>
      </c>
      <c r="E635">
        <f t="shared" si="9"/>
        <v>24</v>
      </c>
      <c r="F635" s="5">
        <f>D635*GiaDinh!$C$4-C635</f>
        <v>4.8180000000000121</v>
      </c>
      <c r="G635" s="5">
        <f>C635*GiaDinh!$C$6</f>
        <v>342.62951999999996</v>
      </c>
    </row>
    <row r="636" spans="1:7" x14ac:dyDescent="0.35">
      <c r="A636" t="s">
        <v>12</v>
      </c>
      <c r="B636">
        <v>28</v>
      </c>
      <c r="C636" s="5">
        <v>145.13999999999999</v>
      </c>
      <c r="D636">
        <f>ROUNDUP(C636/GiaDinh!$C$4-0.0005,0)</f>
        <v>25</v>
      </c>
      <c r="E636">
        <f t="shared" si="9"/>
        <v>24</v>
      </c>
      <c r="F636" s="5">
        <f>D636*GiaDinh!$C$4-C636</f>
        <v>4.8600000000000136</v>
      </c>
      <c r="G636" s="5">
        <f>C636*GiaDinh!$C$6</f>
        <v>342.53039999999993</v>
      </c>
    </row>
    <row r="637" spans="1:7" x14ac:dyDescent="0.35">
      <c r="A637" t="s">
        <v>12</v>
      </c>
      <c r="B637">
        <v>29</v>
      </c>
      <c r="C637" s="5">
        <v>145.18199999999999</v>
      </c>
      <c r="D637">
        <f>ROUNDUP(C637/GiaDinh!$C$4-0.0005,0)</f>
        <v>25</v>
      </c>
      <c r="E637">
        <f t="shared" si="9"/>
        <v>24</v>
      </c>
      <c r="F637" s="5">
        <f>D637*GiaDinh!$C$4-C637</f>
        <v>4.8180000000000121</v>
      </c>
      <c r="G637" s="5">
        <f>C637*GiaDinh!$C$6</f>
        <v>342.62951999999996</v>
      </c>
    </row>
    <row r="638" spans="1:7" x14ac:dyDescent="0.35">
      <c r="A638" t="s">
        <v>12</v>
      </c>
      <c r="B638">
        <v>30</v>
      </c>
      <c r="C638" s="5">
        <v>145.13999999999999</v>
      </c>
      <c r="D638">
        <f>ROUNDUP(C638/GiaDinh!$C$4-0.0005,0)</f>
        <v>25</v>
      </c>
      <c r="E638">
        <f t="shared" si="9"/>
        <v>24</v>
      </c>
      <c r="F638" s="5">
        <f>D638*GiaDinh!$C$4-C638</f>
        <v>4.8600000000000136</v>
      </c>
      <c r="G638" s="5">
        <f>C638*GiaDinh!$C$6</f>
        <v>342.53039999999993</v>
      </c>
    </row>
    <row r="639" spans="1:7" x14ac:dyDescent="0.35">
      <c r="A639" t="s">
        <v>12</v>
      </c>
      <c r="B639">
        <v>31</v>
      </c>
      <c r="C639" s="5">
        <v>145.18199999999999</v>
      </c>
      <c r="D639">
        <f>ROUNDUP(C639/GiaDinh!$C$4-0.0005,0)</f>
        <v>25</v>
      </c>
      <c r="E639">
        <f t="shared" si="9"/>
        <v>24</v>
      </c>
      <c r="F639" s="5">
        <f>D639*GiaDinh!$C$4-C639</f>
        <v>4.8180000000000121</v>
      </c>
      <c r="G639" s="5">
        <f>C639*GiaDinh!$C$6</f>
        <v>342.62951999999996</v>
      </c>
    </row>
    <row r="640" spans="1:7" x14ac:dyDescent="0.35">
      <c r="A640" t="s">
        <v>12</v>
      </c>
      <c r="B640">
        <v>32</v>
      </c>
      <c r="C640" s="5">
        <v>145.13999999999999</v>
      </c>
      <c r="D640">
        <f>ROUNDUP(C640/GiaDinh!$C$4-0.0005,0)</f>
        <v>25</v>
      </c>
      <c r="E640">
        <f t="shared" si="9"/>
        <v>24</v>
      </c>
      <c r="F640" s="5">
        <f>D640*GiaDinh!$C$4-C640</f>
        <v>4.8600000000000136</v>
      </c>
      <c r="G640" s="5">
        <f>C640*GiaDinh!$C$6</f>
        <v>342.53039999999993</v>
      </c>
    </row>
    <row r="641" spans="1:7" x14ac:dyDescent="0.35">
      <c r="A641" t="s">
        <v>12</v>
      </c>
      <c r="B641">
        <v>33</v>
      </c>
      <c r="C641" s="5">
        <v>145.18199999999999</v>
      </c>
      <c r="D641">
        <f>ROUNDUP(C641/GiaDinh!$C$4-0.0005,0)</f>
        <v>25</v>
      </c>
      <c r="E641">
        <f t="shared" si="9"/>
        <v>24</v>
      </c>
      <c r="F641" s="5">
        <f>D641*GiaDinh!$C$4-C641</f>
        <v>4.8180000000000121</v>
      </c>
      <c r="G641" s="5">
        <f>C641*GiaDinh!$C$6</f>
        <v>342.62951999999996</v>
      </c>
    </row>
    <row r="642" spans="1:7" x14ac:dyDescent="0.35">
      <c r="A642" t="s">
        <v>12</v>
      </c>
      <c r="B642">
        <v>34</v>
      </c>
      <c r="C642" s="5">
        <v>145.13999999999999</v>
      </c>
      <c r="D642">
        <f>ROUNDUP(C642/GiaDinh!$C$4-0.0005,0)</f>
        <v>25</v>
      </c>
      <c r="E642">
        <f t="shared" si="9"/>
        <v>24</v>
      </c>
      <c r="F642" s="5">
        <f>D642*GiaDinh!$C$4-C642</f>
        <v>4.8600000000000136</v>
      </c>
      <c r="G642" s="5">
        <f>C642*GiaDinh!$C$6</f>
        <v>342.53039999999993</v>
      </c>
    </row>
    <row r="643" spans="1:7" x14ac:dyDescent="0.35">
      <c r="A643" t="s">
        <v>12</v>
      </c>
      <c r="B643">
        <v>35</v>
      </c>
      <c r="C643" s="5">
        <v>145.18199999999999</v>
      </c>
      <c r="D643">
        <f>ROUNDUP(C643/GiaDinh!$C$4-0.0005,0)</f>
        <v>25</v>
      </c>
      <c r="E643">
        <f t="shared" si="9"/>
        <v>24</v>
      </c>
      <c r="F643" s="5">
        <f>D643*GiaDinh!$C$4-C643</f>
        <v>4.8180000000000121</v>
      </c>
      <c r="G643" s="5">
        <f>C643*GiaDinh!$C$6</f>
        <v>342.62951999999996</v>
      </c>
    </row>
    <row r="644" spans="1:7" x14ac:dyDescent="0.35">
      <c r="A644" t="s">
        <v>12</v>
      </c>
      <c r="B644">
        <v>36</v>
      </c>
      <c r="C644" s="5">
        <v>145.13999999999999</v>
      </c>
      <c r="D644">
        <f>ROUNDUP(C644/GiaDinh!$C$4-0.0005,0)</f>
        <v>25</v>
      </c>
      <c r="E644">
        <f t="shared" ref="E644:E707" si="10">D644-1</f>
        <v>24</v>
      </c>
      <c r="F644" s="5">
        <f>D644*GiaDinh!$C$4-C644</f>
        <v>4.8600000000000136</v>
      </c>
      <c r="G644" s="5">
        <f>C644*GiaDinh!$C$6</f>
        <v>342.53039999999993</v>
      </c>
    </row>
    <row r="645" spans="1:7" x14ac:dyDescent="0.35">
      <c r="A645" t="s">
        <v>12</v>
      </c>
      <c r="B645">
        <v>37</v>
      </c>
      <c r="C645" s="5">
        <v>145.18199999999999</v>
      </c>
      <c r="D645">
        <f>ROUNDUP(C645/GiaDinh!$C$4-0.0005,0)</f>
        <v>25</v>
      </c>
      <c r="E645">
        <f t="shared" si="10"/>
        <v>24</v>
      </c>
      <c r="F645" s="5">
        <f>D645*GiaDinh!$C$4-C645</f>
        <v>4.8180000000000121</v>
      </c>
      <c r="G645" s="5">
        <f>C645*GiaDinh!$C$6</f>
        <v>342.62951999999996</v>
      </c>
    </row>
    <row r="646" spans="1:7" x14ac:dyDescent="0.35">
      <c r="A646" t="s">
        <v>12</v>
      </c>
      <c r="B646">
        <v>38</v>
      </c>
      <c r="C646" s="5">
        <v>145.13999999999999</v>
      </c>
      <c r="D646">
        <f>ROUNDUP(C646/GiaDinh!$C$4-0.0005,0)</f>
        <v>25</v>
      </c>
      <c r="E646">
        <f t="shared" si="10"/>
        <v>24</v>
      </c>
      <c r="F646" s="5">
        <f>D646*GiaDinh!$C$4-C646</f>
        <v>4.8600000000000136</v>
      </c>
      <c r="G646" s="5">
        <f>C646*GiaDinh!$C$6</f>
        <v>342.53039999999993</v>
      </c>
    </row>
    <row r="647" spans="1:7" x14ac:dyDescent="0.35">
      <c r="A647" t="s">
        <v>12</v>
      </c>
      <c r="B647">
        <v>39</v>
      </c>
      <c r="C647" s="5">
        <v>145.18199999999999</v>
      </c>
      <c r="D647">
        <f>ROUNDUP(C647/GiaDinh!$C$4-0.0005,0)</f>
        <v>25</v>
      </c>
      <c r="E647">
        <f t="shared" si="10"/>
        <v>24</v>
      </c>
      <c r="F647" s="5">
        <f>D647*GiaDinh!$C$4-C647</f>
        <v>4.8180000000000121</v>
      </c>
      <c r="G647" s="5">
        <f>C647*GiaDinh!$C$6</f>
        <v>342.62951999999996</v>
      </c>
    </row>
    <row r="648" spans="1:7" x14ac:dyDescent="0.35">
      <c r="A648" t="s">
        <v>12</v>
      </c>
      <c r="B648">
        <v>40</v>
      </c>
      <c r="C648" s="5">
        <v>145.13999999999999</v>
      </c>
      <c r="D648">
        <f>ROUNDUP(C648/GiaDinh!$C$4-0.0005,0)</f>
        <v>25</v>
      </c>
      <c r="E648">
        <f t="shared" si="10"/>
        <v>24</v>
      </c>
      <c r="F648" s="5">
        <f>D648*GiaDinh!$C$4-C648</f>
        <v>4.8600000000000136</v>
      </c>
      <c r="G648" s="5">
        <f>C648*GiaDinh!$C$6</f>
        <v>342.53039999999993</v>
      </c>
    </row>
    <row r="649" spans="1:7" x14ac:dyDescent="0.35">
      <c r="A649" t="s">
        <v>12</v>
      </c>
      <c r="B649">
        <v>41</v>
      </c>
      <c r="C649" s="5">
        <v>145.18199999999999</v>
      </c>
      <c r="D649">
        <f>ROUNDUP(C649/GiaDinh!$C$4-0.0005,0)</f>
        <v>25</v>
      </c>
      <c r="E649">
        <f t="shared" si="10"/>
        <v>24</v>
      </c>
      <c r="F649" s="5">
        <f>D649*GiaDinh!$C$4-C649</f>
        <v>4.8180000000000121</v>
      </c>
      <c r="G649" s="5">
        <f>C649*GiaDinh!$C$6</f>
        <v>342.62951999999996</v>
      </c>
    </row>
    <row r="650" spans="1:7" x14ac:dyDescent="0.35">
      <c r="A650" t="s">
        <v>12</v>
      </c>
      <c r="B650">
        <v>42</v>
      </c>
      <c r="C650" s="5">
        <v>145.13999999999999</v>
      </c>
      <c r="D650">
        <f>ROUNDUP(C650/GiaDinh!$C$4-0.0005,0)</f>
        <v>25</v>
      </c>
      <c r="E650">
        <f t="shared" si="10"/>
        <v>24</v>
      </c>
      <c r="F650" s="5">
        <f>D650*GiaDinh!$C$4-C650</f>
        <v>4.8600000000000136</v>
      </c>
      <c r="G650" s="5">
        <f>C650*GiaDinh!$C$6</f>
        <v>342.53039999999993</v>
      </c>
    </row>
    <row r="651" spans="1:7" x14ac:dyDescent="0.35">
      <c r="A651" t="s">
        <v>12</v>
      </c>
      <c r="B651">
        <v>43</v>
      </c>
      <c r="C651" s="5">
        <v>145.18199999999999</v>
      </c>
      <c r="D651">
        <f>ROUNDUP(C651/GiaDinh!$C$4-0.0005,0)</f>
        <v>25</v>
      </c>
      <c r="E651">
        <f t="shared" si="10"/>
        <v>24</v>
      </c>
      <c r="F651" s="5">
        <f>D651*GiaDinh!$C$4-C651</f>
        <v>4.8180000000000121</v>
      </c>
      <c r="G651" s="5">
        <f>C651*GiaDinh!$C$6</f>
        <v>342.62951999999996</v>
      </c>
    </row>
    <row r="652" spans="1:7" x14ac:dyDescent="0.35">
      <c r="A652" t="s">
        <v>12</v>
      </c>
      <c r="B652">
        <v>44</v>
      </c>
      <c r="C652" s="5">
        <v>145.13999999999999</v>
      </c>
      <c r="D652">
        <f>ROUNDUP(C652/GiaDinh!$C$4-0.0005,0)</f>
        <v>25</v>
      </c>
      <c r="E652">
        <f t="shared" si="10"/>
        <v>24</v>
      </c>
      <c r="F652" s="5">
        <f>D652*GiaDinh!$C$4-C652</f>
        <v>4.8600000000000136</v>
      </c>
      <c r="G652" s="5">
        <f>C652*GiaDinh!$C$6</f>
        <v>342.53039999999993</v>
      </c>
    </row>
    <row r="653" spans="1:7" x14ac:dyDescent="0.35">
      <c r="A653" t="s">
        <v>12</v>
      </c>
      <c r="B653">
        <v>45</v>
      </c>
      <c r="C653" s="5">
        <v>145.18199999999999</v>
      </c>
      <c r="D653">
        <f>ROUNDUP(C653/GiaDinh!$C$4-0.0005,0)</f>
        <v>25</v>
      </c>
      <c r="E653">
        <f t="shared" si="10"/>
        <v>24</v>
      </c>
      <c r="F653" s="5">
        <f>D653*GiaDinh!$C$4-C653</f>
        <v>4.8180000000000121</v>
      </c>
      <c r="G653" s="5">
        <f>C653*GiaDinh!$C$6</f>
        <v>342.62951999999996</v>
      </c>
    </row>
    <row r="654" spans="1:7" x14ac:dyDescent="0.35">
      <c r="A654" t="s">
        <v>12</v>
      </c>
      <c r="B654">
        <v>46</v>
      </c>
      <c r="C654" s="5">
        <v>145.13999999999999</v>
      </c>
      <c r="D654">
        <f>ROUNDUP(C654/GiaDinh!$C$4-0.0005,0)</f>
        <v>25</v>
      </c>
      <c r="E654">
        <f t="shared" si="10"/>
        <v>24</v>
      </c>
      <c r="F654" s="5">
        <f>D654*GiaDinh!$C$4-C654</f>
        <v>4.8600000000000136</v>
      </c>
      <c r="G654" s="5">
        <f>C654*GiaDinh!$C$6</f>
        <v>342.53039999999993</v>
      </c>
    </row>
    <row r="655" spans="1:7" x14ac:dyDescent="0.35">
      <c r="A655" t="s">
        <v>12</v>
      </c>
      <c r="B655">
        <v>47</v>
      </c>
      <c r="C655" s="5">
        <v>145.13999999999999</v>
      </c>
      <c r="D655">
        <f>ROUNDUP(C655/GiaDinh!$C$4-0.0005,0)</f>
        <v>25</v>
      </c>
      <c r="E655">
        <f t="shared" si="10"/>
        <v>24</v>
      </c>
      <c r="F655" s="5">
        <f>D655*GiaDinh!$C$4-C655</f>
        <v>4.8600000000000136</v>
      </c>
      <c r="G655" s="5">
        <f>C655*GiaDinh!$C$6</f>
        <v>342.53039999999993</v>
      </c>
    </row>
    <row r="656" spans="1:7" x14ac:dyDescent="0.35">
      <c r="A656" t="s">
        <v>12</v>
      </c>
      <c r="B656">
        <v>48</v>
      </c>
      <c r="C656" s="5">
        <v>145.13999999999999</v>
      </c>
      <c r="D656">
        <f>ROUNDUP(C656/GiaDinh!$C$4-0.0005,0)</f>
        <v>25</v>
      </c>
      <c r="E656">
        <f t="shared" si="10"/>
        <v>24</v>
      </c>
      <c r="F656" s="5">
        <f>D656*GiaDinh!$C$4-C656</f>
        <v>4.8600000000000136</v>
      </c>
      <c r="G656" s="5">
        <f>C656*GiaDinh!$C$6</f>
        <v>342.53039999999993</v>
      </c>
    </row>
    <row r="657" spans="1:7" x14ac:dyDescent="0.35">
      <c r="A657" t="s">
        <v>12</v>
      </c>
      <c r="B657">
        <v>49</v>
      </c>
      <c r="C657" s="5">
        <v>145.13999999999999</v>
      </c>
      <c r="D657">
        <f>ROUNDUP(C657/GiaDinh!$C$4-0.0005,0)</f>
        <v>25</v>
      </c>
      <c r="E657">
        <f t="shared" si="10"/>
        <v>24</v>
      </c>
      <c r="F657" s="5">
        <f>D657*GiaDinh!$C$4-C657</f>
        <v>4.8600000000000136</v>
      </c>
      <c r="G657" s="5">
        <f>C657*GiaDinh!$C$6</f>
        <v>342.53039999999993</v>
      </c>
    </row>
    <row r="658" spans="1:7" x14ac:dyDescent="0.35">
      <c r="A658" t="s">
        <v>12</v>
      </c>
      <c r="B658">
        <v>50</v>
      </c>
      <c r="C658" s="5">
        <v>145.18199999999999</v>
      </c>
      <c r="D658">
        <f>ROUNDUP(C658/GiaDinh!$C$4-0.0005,0)</f>
        <v>25</v>
      </c>
      <c r="E658">
        <f t="shared" si="10"/>
        <v>24</v>
      </c>
      <c r="F658" s="5">
        <f>D658*GiaDinh!$C$4-C658</f>
        <v>4.8180000000000121</v>
      </c>
      <c r="G658" s="5">
        <f>C658*GiaDinh!$C$6</f>
        <v>342.62951999999996</v>
      </c>
    </row>
    <row r="659" spans="1:7" x14ac:dyDescent="0.35">
      <c r="A659" t="s">
        <v>12</v>
      </c>
      <c r="B659">
        <v>51</v>
      </c>
      <c r="C659" s="5">
        <v>145.13999999999999</v>
      </c>
      <c r="D659">
        <f>ROUNDUP(C659/GiaDinh!$C$4-0.0005,0)</f>
        <v>25</v>
      </c>
      <c r="E659">
        <f t="shared" si="10"/>
        <v>24</v>
      </c>
      <c r="F659" s="5">
        <f>D659*GiaDinh!$C$4-C659</f>
        <v>4.8600000000000136</v>
      </c>
      <c r="G659" s="5">
        <f>C659*GiaDinh!$C$6</f>
        <v>342.53039999999993</v>
      </c>
    </row>
    <row r="660" spans="1:7" x14ac:dyDescent="0.35">
      <c r="A660" t="s">
        <v>12</v>
      </c>
      <c r="B660">
        <v>52</v>
      </c>
      <c r="C660" s="5">
        <v>145.18199999999999</v>
      </c>
      <c r="D660">
        <f>ROUNDUP(C660/GiaDinh!$C$4-0.0005,0)</f>
        <v>25</v>
      </c>
      <c r="E660">
        <f t="shared" si="10"/>
        <v>24</v>
      </c>
      <c r="F660" s="5">
        <f>D660*GiaDinh!$C$4-C660</f>
        <v>4.8180000000000121</v>
      </c>
      <c r="G660" s="5">
        <f>C660*GiaDinh!$C$6</f>
        <v>342.62951999999996</v>
      </c>
    </row>
    <row r="661" spans="1:7" x14ac:dyDescent="0.35">
      <c r="A661" t="s">
        <v>12</v>
      </c>
      <c r="B661">
        <v>53</v>
      </c>
      <c r="C661" s="5">
        <v>145.13999999999999</v>
      </c>
      <c r="D661">
        <f>ROUNDUP(C661/GiaDinh!$C$4-0.0005,0)</f>
        <v>25</v>
      </c>
      <c r="E661">
        <f t="shared" si="10"/>
        <v>24</v>
      </c>
      <c r="F661" s="5">
        <f>D661*GiaDinh!$C$4-C661</f>
        <v>4.8600000000000136</v>
      </c>
      <c r="G661" s="5">
        <f>C661*GiaDinh!$C$6</f>
        <v>342.53039999999993</v>
      </c>
    </row>
    <row r="662" spans="1:7" x14ac:dyDescent="0.35">
      <c r="A662" t="s">
        <v>12</v>
      </c>
      <c r="B662">
        <v>54</v>
      </c>
      <c r="C662" s="5">
        <v>145.18199999999999</v>
      </c>
      <c r="D662">
        <f>ROUNDUP(C662/GiaDinh!$C$4-0.0005,0)</f>
        <v>25</v>
      </c>
      <c r="E662">
        <f t="shared" si="10"/>
        <v>24</v>
      </c>
      <c r="F662" s="5">
        <f>D662*GiaDinh!$C$4-C662</f>
        <v>4.8180000000000121</v>
      </c>
      <c r="G662" s="5">
        <f>C662*GiaDinh!$C$6</f>
        <v>342.62951999999996</v>
      </c>
    </row>
    <row r="663" spans="1:7" x14ac:dyDescent="0.35">
      <c r="A663" t="s">
        <v>12</v>
      </c>
      <c r="B663">
        <v>55</v>
      </c>
      <c r="C663" s="5">
        <v>145.13999999999999</v>
      </c>
      <c r="D663">
        <f>ROUNDUP(C663/GiaDinh!$C$4-0.0005,0)</f>
        <v>25</v>
      </c>
      <c r="E663">
        <f t="shared" si="10"/>
        <v>24</v>
      </c>
      <c r="F663" s="5">
        <f>D663*GiaDinh!$C$4-C663</f>
        <v>4.8600000000000136</v>
      </c>
      <c r="G663" s="5">
        <f>C663*GiaDinh!$C$6</f>
        <v>342.53039999999993</v>
      </c>
    </row>
    <row r="664" spans="1:7" x14ac:dyDescent="0.35">
      <c r="A664" t="s">
        <v>12</v>
      </c>
      <c r="B664">
        <v>56</v>
      </c>
      <c r="C664" s="5">
        <v>145.18199999999999</v>
      </c>
      <c r="D664">
        <f>ROUNDUP(C664/GiaDinh!$C$4-0.0005,0)</f>
        <v>25</v>
      </c>
      <c r="E664">
        <f t="shared" si="10"/>
        <v>24</v>
      </c>
      <c r="F664" s="5">
        <f>D664*GiaDinh!$C$4-C664</f>
        <v>4.8180000000000121</v>
      </c>
      <c r="G664" s="5">
        <f>C664*GiaDinh!$C$6</f>
        <v>342.62951999999996</v>
      </c>
    </row>
    <row r="665" spans="1:7" x14ac:dyDescent="0.35">
      <c r="A665" t="s">
        <v>12</v>
      </c>
      <c r="B665">
        <v>57</v>
      </c>
      <c r="C665" s="5">
        <v>145.13999999999999</v>
      </c>
      <c r="D665">
        <f>ROUNDUP(C665/GiaDinh!$C$4-0.0005,0)</f>
        <v>25</v>
      </c>
      <c r="E665">
        <f t="shared" si="10"/>
        <v>24</v>
      </c>
      <c r="F665" s="5">
        <f>D665*GiaDinh!$C$4-C665</f>
        <v>4.8600000000000136</v>
      </c>
      <c r="G665" s="5">
        <f>C665*GiaDinh!$C$6</f>
        <v>342.53039999999993</v>
      </c>
    </row>
    <row r="666" spans="1:7" x14ac:dyDescent="0.35">
      <c r="A666" t="s">
        <v>12</v>
      </c>
      <c r="B666">
        <v>58</v>
      </c>
      <c r="C666" s="5">
        <v>145.18199999999999</v>
      </c>
      <c r="D666">
        <f>ROUNDUP(C666/GiaDinh!$C$4-0.0005,0)</f>
        <v>25</v>
      </c>
      <c r="E666">
        <f t="shared" si="10"/>
        <v>24</v>
      </c>
      <c r="F666" s="5">
        <f>D666*GiaDinh!$C$4-C666</f>
        <v>4.8180000000000121</v>
      </c>
      <c r="G666" s="5">
        <f>C666*GiaDinh!$C$6</f>
        <v>342.62951999999996</v>
      </c>
    </row>
    <row r="667" spans="1:7" x14ac:dyDescent="0.35">
      <c r="A667" t="s">
        <v>12</v>
      </c>
      <c r="B667">
        <v>59</v>
      </c>
      <c r="C667" s="5">
        <v>145.13999999999999</v>
      </c>
      <c r="D667">
        <f>ROUNDUP(C667/GiaDinh!$C$4-0.0005,0)</f>
        <v>25</v>
      </c>
      <c r="E667">
        <f t="shared" si="10"/>
        <v>24</v>
      </c>
      <c r="F667" s="5">
        <f>D667*GiaDinh!$C$4-C667</f>
        <v>4.8600000000000136</v>
      </c>
      <c r="G667" s="5">
        <f>C667*GiaDinh!$C$6</f>
        <v>342.53039999999993</v>
      </c>
    </row>
    <row r="668" spans="1:7" x14ac:dyDescent="0.35">
      <c r="A668" t="s">
        <v>12</v>
      </c>
      <c r="B668">
        <v>60</v>
      </c>
      <c r="C668" s="5">
        <v>145.18199999999999</v>
      </c>
      <c r="D668">
        <f>ROUNDUP(C668/GiaDinh!$C$4-0.0005,0)</f>
        <v>25</v>
      </c>
      <c r="E668">
        <f t="shared" si="10"/>
        <v>24</v>
      </c>
      <c r="F668" s="5">
        <f>D668*GiaDinh!$C$4-C668</f>
        <v>4.8180000000000121</v>
      </c>
      <c r="G668" s="5">
        <f>C668*GiaDinh!$C$6</f>
        <v>342.62951999999996</v>
      </c>
    </row>
    <row r="669" spans="1:7" x14ac:dyDescent="0.35">
      <c r="A669" t="s">
        <v>12</v>
      </c>
      <c r="B669">
        <v>61</v>
      </c>
      <c r="C669" s="5">
        <v>145.13999999999999</v>
      </c>
      <c r="D669">
        <f>ROUNDUP(C669/GiaDinh!$C$4-0.0005,0)</f>
        <v>25</v>
      </c>
      <c r="E669">
        <f t="shared" si="10"/>
        <v>24</v>
      </c>
      <c r="F669" s="5">
        <f>D669*GiaDinh!$C$4-C669</f>
        <v>4.8600000000000136</v>
      </c>
      <c r="G669" s="5">
        <f>C669*GiaDinh!$C$6</f>
        <v>342.53039999999993</v>
      </c>
    </row>
    <row r="670" spans="1:7" x14ac:dyDescent="0.35">
      <c r="A670" t="s">
        <v>12</v>
      </c>
      <c r="B670">
        <v>62</v>
      </c>
      <c r="C670" s="5">
        <v>145.18199999999999</v>
      </c>
      <c r="D670">
        <f>ROUNDUP(C670/GiaDinh!$C$4-0.0005,0)</f>
        <v>25</v>
      </c>
      <c r="E670">
        <f t="shared" si="10"/>
        <v>24</v>
      </c>
      <c r="F670" s="5">
        <f>D670*GiaDinh!$C$4-C670</f>
        <v>4.8180000000000121</v>
      </c>
      <c r="G670" s="5">
        <f>C670*GiaDinh!$C$6</f>
        <v>342.62951999999996</v>
      </c>
    </row>
    <row r="671" spans="1:7" x14ac:dyDescent="0.35">
      <c r="A671" t="s">
        <v>12</v>
      </c>
      <c r="B671">
        <v>63</v>
      </c>
      <c r="C671" s="5">
        <v>145.13999999999999</v>
      </c>
      <c r="D671">
        <f>ROUNDUP(C671/GiaDinh!$C$4-0.0005,0)</f>
        <v>25</v>
      </c>
      <c r="E671">
        <f t="shared" si="10"/>
        <v>24</v>
      </c>
      <c r="F671" s="5">
        <f>D671*GiaDinh!$C$4-C671</f>
        <v>4.8600000000000136</v>
      </c>
      <c r="G671" s="5">
        <f>C671*GiaDinh!$C$6</f>
        <v>342.53039999999993</v>
      </c>
    </row>
    <row r="672" spans="1:7" x14ac:dyDescent="0.35">
      <c r="A672" t="s">
        <v>12</v>
      </c>
      <c r="B672">
        <v>64</v>
      </c>
      <c r="C672" s="5">
        <v>145.18199999999999</v>
      </c>
      <c r="D672">
        <f>ROUNDUP(C672/GiaDinh!$C$4-0.0005,0)</f>
        <v>25</v>
      </c>
      <c r="E672">
        <f t="shared" si="10"/>
        <v>24</v>
      </c>
      <c r="F672" s="5">
        <f>D672*GiaDinh!$C$4-C672</f>
        <v>4.8180000000000121</v>
      </c>
      <c r="G672" s="5">
        <f>C672*GiaDinh!$C$6</f>
        <v>342.62951999999996</v>
      </c>
    </row>
    <row r="673" spans="1:7" x14ac:dyDescent="0.35">
      <c r="A673" t="s">
        <v>12</v>
      </c>
      <c r="B673">
        <v>65</v>
      </c>
      <c r="C673" s="5">
        <v>145.13999999999999</v>
      </c>
      <c r="D673">
        <f>ROUNDUP(C673/GiaDinh!$C$4-0.0005,0)</f>
        <v>25</v>
      </c>
      <c r="E673">
        <f t="shared" si="10"/>
        <v>24</v>
      </c>
      <c r="F673" s="5">
        <f>D673*GiaDinh!$C$4-C673</f>
        <v>4.8600000000000136</v>
      </c>
      <c r="G673" s="5">
        <f>C673*GiaDinh!$C$6</f>
        <v>342.53039999999993</v>
      </c>
    </row>
    <row r="674" spans="1:7" x14ac:dyDescent="0.35">
      <c r="A674" t="s">
        <v>12</v>
      </c>
      <c r="B674">
        <v>66</v>
      </c>
      <c r="C674" s="5">
        <v>145.18199999999999</v>
      </c>
      <c r="D674">
        <f>ROUNDUP(C674/GiaDinh!$C$4-0.0005,0)</f>
        <v>25</v>
      </c>
      <c r="E674">
        <f t="shared" si="10"/>
        <v>24</v>
      </c>
      <c r="F674" s="5">
        <f>D674*GiaDinh!$C$4-C674</f>
        <v>4.8180000000000121</v>
      </c>
      <c r="G674" s="5">
        <f>C674*GiaDinh!$C$6</f>
        <v>342.62951999999996</v>
      </c>
    </row>
    <row r="675" spans="1:7" x14ac:dyDescent="0.35">
      <c r="A675" t="s">
        <v>12</v>
      </c>
      <c r="B675">
        <v>67</v>
      </c>
      <c r="C675" s="5">
        <v>145.13999999999999</v>
      </c>
      <c r="D675">
        <f>ROUNDUP(C675/GiaDinh!$C$4-0.0005,0)</f>
        <v>25</v>
      </c>
      <c r="E675">
        <f t="shared" si="10"/>
        <v>24</v>
      </c>
      <c r="F675" s="5">
        <f>D675*GiaDinh!$C$4-C675</f>
        <v>4.8600000000000136</v>
      </c>
      <c r="G675" s="5">
        <f>C675*GiaDinh!$C$6</f>
        <v>342.53039999999993</v>
      </c>
    </row>
    <row r="676" spans="1:7" x14ac:dyDescent="0.35">
      <c r="A676" t="s">
        <v>12</v>
      </c>
      <c r="B676">
        <v>68</v>
      </c>
      <c r="C676" s="5">
        <v>145.18199999999999</v>
      </c>
      <c r="D676">
        <f>ROUNDUP(C676/GiaDinh!$C$4-0.0005,0)</f>
        <v>25</v>
      </c>
      <c r="E676">
        <f t="shared" si="10"/>
        <v>24</v>
      </c>
      <c r="F676" s="5">
        <f>D676*GiaDinh!$C$4-C676</f>
        <v>4.8180000000000121</v>
      </c>
      <c r="G676" s="5">
        <f>C676*GiaDinh!$C$6</f>
        <v>342.62951999999996</v>
      </c>
    </row>
    <row r="677" spans="1:7" x14ac:dyDescent="0.35">
      <c r="A677" t="s">
        <v>12</v>
      </c>
      <c r="B677">
        <v>69</v>
      </c>
      <c r="C677" s="5">
        <v>145.13999999999999</v>
      </c>
      <c r="D677">
        <f>ROUNDUP(C677/GiaDinh!$C$4-0.0005,0)</f>
        <v>25</v>
      </c>
      <c r="E677">
        <f t="shared" si="10"/>
        <v>24</v>
      </c>
      <c r="F677" s="5">
        <f>D677*GiaDinh!$C$4-C677</f>
        <v>4.8600000000000136</v>
      </c>
      <c r="G677" s="5">
        <f>C677*GiaDinh!$C$6</f>
        <v>342.53039999999993</v>
      </c>
    </row>
    <row r="678" spans="1:7" x14ac:dyDescent="0.35">
      <c r="A678" t="s">
        <v>12</v>
      </c>
      <c r="B678">
        <v>70</v>
      </c>
      <c r="C678" s="5">
        <v>145.18199999999999</v>
      </c>
      <c r="D678">
        <f>ROUNDUP(C678/GiaDinh!$C$4-0.0005,0)</f>
        <v>25</v>
      </c>
      <c r="E678">
        <f t="shared" si="10"/>
        <v>24</v>
      </c>
      <c r="F678" s="5">
        <f>D678*GiaDinh!$C$4-C678</f>
        <v>4.8180000000000121</v>
      </c>
      <c r="G678" s="5">
        <f>C678*GiaDinh!$C$6</f>
        <v>342.62951999999996</v>
      </c>
    </row>
    <row r="679" spans="1:7" x14ac:dyDescent="0.35">
      <c r="A679" t="s">
        <v>12</v>
      </c>
      <c r="B679">
        <v>71</v>
      </c>
      <c r="C679" s="5">
        <v>145.13999999999999</v>
      </c>
      <c r="D679">
        <f>ROUNDUP(C679/GiaDinh!$C$4-0.0005,0)</f>
        <v>25</v>
      </c>
      <c r="E679">
        <f t="shared" si="10"/>
        <v>24</v>
      </c>
      <c r="F679" s="5">
        <f>D679*GiaDinh!$C$4-C679</f>
        <v>4.8600000000000136</v>
      </c>
      <c r="G679" s="5">
        <f>C679*GiaDinh!$C$6</f>
        <v>342.53039999999993</v>
      </c>
    </row>
    <row r="680" spans="1:7" x14ac:dyDescent="0.35">
      <c r="A680" t="s">
        <v>12</v>
      </c>
      <c r="B680">
        <v>72</v>
      </c>
      <c r="C680" s="5">
        <v>145.18199999999999</v>
      </c>
      <c r="D680">
        <f>ROUNDUP(C680/GiaDinh!$C$4-0.0005,0)</f>
        <v>25</v>
      </c>
      <c r="E680">
        <f t="shared" si="10"/>
        <v>24</v>
      </c>
      <c r="F680" s="5">
        <f>D680*GiaDinh!$C$4-C680</f>
        <v>4.8180000000000121</v>
      </c>
      <c r="G680" s="5">
        <f>C680*GiaDinh!$C$6</f>
        <v>342.62951999999996</v>
      </c>
    </row>
    <row r="681" spans="1:7" x14ac:dyDescent="0.35">
      <c r="A681" t="s">
        <v>12</v>
      </c>
      <c r="B681">
        <v>73</v>
      </c>
      <c r="C681" s="5">
        <v>145.13999999999999</v>
      </c>
      <c r="D681">
        <f>ROUNDUP(C681/GiaDinh!$C$4-0.0005,0)</f>
        <v>25</v>
      </c>
      <c r="E681">
        <f t="shared" si="10"/>
        <v>24</v>
      </c>
      <c r="F681" s="5">
        <f>D681*GiaDinh!$C$4-C681</f>
        <v>4.8600000000000136</v>
      </c>
      <c r="G681" s="5">
        <f>C681*GiaDinh!$C$6</f>
        <v>342.53039999999993</v>
      </c>
    </row>
    <row r="682" spans="1:7" x14ac:dyDescent="0.35">
      <c r="A682" t="s">
        <v>12</v>
      </c>
      <c r="B682">
        <v>74</v>
      </c>
      <c r="C682" s="5">
        <v>145.18199999999999</v>
      </c>
      <c r="D682">
        <f>ROUNDUP(C682/GiaDinh!$C$4-0.0005,0)</f>
        <v>25</v>
      </c>
      <c r="E682">
        <f t="shared" si="10"/>
        <v>24</v>
      </c>
      <c r="F682" s="5">
        <f>D682*GiaDinh!$C$4-C682</f>
        <v>4.8180000000000121</v>
      </c>
      <c r="G682" s="5">
        <f>C682*GiaDinh!$C$6</f>
        <v>342.62951999999996</v>
      </c>
    </row>
    <row r="683" spans="1:7" x14ac:dyDescent="0.35">
      <c r="A683" t="s">
        <v>12</v>
      </c>
      <c r="B683">
        <v>75</v>
      </c>
      <c r="C683" s="5">
        <v>145.13999999999999</v>
      </c>
      <c r="D683">
        <f>ROUNDUP(C683/GiaDinh!$C$4-0.0005,0)</f>
        <v>25</v>
      </c>
      <c r="E683">
        <f t="shared" si="10"/>
        <v>24</v>
      </c>
      <c r="F683" s="5">
        <f>D683*GiaDinh!$C$4-C683</f>
        <v>4.8600000000000136</v>
      </c>
      <c r="G683" s="5">
        <f>C683*GiaDinh!$C$6</f>
        <v>342.53039999999993</v>
      </c>
    </row>
    <row r="684" spans="1:7" x14ac:dyDescent="0.35">
      <c r="A684" t="s">
        <v>12</v>
      </c>
      <c r="B684">
        <v>76</v>
      </c>
      <c r="C684" s="5">
        <v>145.18199999999999</v>
      </c>
      <c r="D684">
        <f>ROUNDUP(C684/GiaDinh!$C$4-0.0005,0)</f>
        <v>25</v>
      </c>
      <c r="E684">
        <f t="shared" si="10"/>
        <v>24</v>
      </c>
      <c r="F684" s="5">
        <f>D684*GiaDinh!$C$4-C684</f>
        <v>4.8180000000000121</v>
      </c>
      <c r="G684" s="5">
        <f>C684*GiaDinh!$C$6</f>
        <v>342.62951999999996</v>
      </c>
    </row>
    <row r="685" spans="1:7" x14ac:dyDescent="0.35">
      <c r="A685" t="s">
        <v>12</v>
      </c>
      <c r="B685">
        <v>77</v>
      </c>
      <c r="C685" s="5">
        <v>145.18199999999999</v>
      </c>
      <c r="D685">
        <f>ROUNDUP(C685/GiaDinh!$C$4-0.0005,0)</f>
        <v>25</v>
      </c>
      <c r="E685">
        <f t="shared" si="10"/>
        <v>24</v>
      </c>
      <c r="F685" s="5">
        <f>D685*GiaDinh!$C$4-C685</f>
        <v>4.8180000000000121</v>
      </c>
      <c r="G685" s="5">
        <f>C685*GiaDinh!$C$6</f>
        <v>342.62951999999996</v>
      </c>
    </row>
    <row r="686" spans="1:7" x14ac:dyDescent="0.35">
      <c r="A686" t="s">
        <v>12</v>
      </c>
      <c r="B686">
        <v>78</v>
      </c>
      <c r="C686" s="5">
        <v>145.18199999999999</v>
      </c>
      <c r="D686">
        <f>ROUNDUP(C686/GiaDinh!$C$4-0.0005,0)</f>
        <v>25</v>
      </c>
      <c r="E686">
        <f t="shared" si="10"/>
        <v>24</v>
      </c>
      <c r="F686" s="5">
        <f>D686*GiaDinh!$C$4-C686</f>
        <v>4.8180000000000121</v>
      </c>
      <c r="G686" s="5">
        <f>C686*GiaDinh!$C$6</f>
        <v>342.62951999999996</v>
      </c>
    </row>
    <row r="687" spans="1:7" x14ac:dyDescent="0.35">
      <c r="A687" t="s">
        <v>13</v>
      </c>
      <c r="B687">
        <v>1</v>
      </c>
      <c r="C687" s="5">
        <v>57.048000000000002</v>
      </c>
      <c r="D687">
        <f>ROUNDUP(C687/GiaDinh!$C$4-0.0005,0)</f>
        <v>10</v>
      </c>
      <c r="E687">
        <f t="shared" si="10"/>
        <v>9</v>
      </c>
      <c r="F687" s="5">
        <f>D687*GiaDinh!$C$4-C687</f>
        <v>2.9519999999999982</v>
      </c>
      <c r="G687" s="5">
        <f>C687*GiaDinh!$C$6</f>
        <v>134.63327999999998</v>
      </c>
    </row>
    <row r="688" spans="1:7" x14ac:dyDescent="0.35">
      <c r="A688" t="s">
        <v>13</v>
      </c>
      <c r="B688">
        <v>2</v>
      </c>
      <c r="C688" s="5">
        <v>57.048000000000002</v>
      </c>
      <c r="D688">
        <f>ROUNDUP(C688/GiaDinh!$C$4-0.0005,0)</f>
        <v>10</v>
      </c>
      <c r="E688">
        <f t="shared" si="10"/>
        <v>9</v>
      </c>
      <c r="F688" s="5">
        <f>D688*GiaDinh!$C$4-C688</f>
        <v>2.9519999999999982</v>
      </c>
      <c r="G688" s="5">
        <f>C688*GiaDinh!$C$6</f>
        <v>134.63327999999998</v>
      </c>
    </row>
    <row r="689" spans="1:7" x14ac:dyDescent="0.35">
      <c r="A689" t="s">
        <v>13</v>
      </c>
      <c r="B689">
        <v>3</v>
      </c>
      <c r="C689" s="5">
        <v>57.048000000000002</v>
      </c>
      <c r="D689">
        <f>ROUNDUP(C689/GiaDinh!$C$4-0.0005,0)</f>
        <v>10</v>
      </c>
      <c r="E689">
        <f t="shared" si="10"/>
        <v>9</v>
      </c>
      <c r="F689" s="5">
        <f>D689*GiaDinh!$C$4-C689</f>
        <v>2.9519999999999982</v>
      </c>
      <c r="G689" s="5">
        <f>C689*GiaDinh!$C$6</f>
        <v>134.63327999999998</v>
      </c>
    </row>
    <row r="690" spans="1:7" x14ac:dyDescent="0.35">
      <c r="A690" t="s">
        <v>13</v>
      </c>
      <c r="B690">
        <v>4</v>
      </c>
      <c r="C690" s="5">
        <v>57.048000000000002</v>
      </c>
      <c r="D690">
        <f>ROUNDUP(C690/GiaDinh!$C$4-0.0005,0)</f>
        <v>10</v>
      </c>
      <c r="E690">
        <f t="shared" si="10"/>
        <v>9</v>
      </c>
      <c r="F690" s="5">
        <f>D690*GiaDinh!$C$4-C690</f>
        <v>2.9519999999999982</v>
      </c>
      <c r="G690" s="5">
        <f>C690*GiaDinh!$C$6</f>
        <v>134.63327999999998</v>
      </c>
    </row>
    <row r="691" spans="1:7" x14ac:dyDescent="0.35">
      <c r="A691" t="s">
        <v>13</v>
      </c>
      <c r="B691">
        <v>5</v>
      </c>
      <c r="C691" s="5">
        <v>57.048000000000002</v>
      </c>
      <c r="D691">
        <f>ROUNDUP(C691/GiaDinh!$C$4-0.0005,0)</f>
        <v>10</v>
      </c>
      <c r="E691">
        <f t="shared" si="10"/>
        <v>9</v>
      </c>
      <c r="F691" s="5">
        <f>D691*GiaDinh!$C$4-C691</f>
        <v>2.9519999999999982</v>
      </c>
      <c r="G691" s="5">
        <f>C691*GiaDinh!$C$6</f>
        <v>134.63327999999998</v>
      </c>
    </row>
    <row r="692" spans="1:7" x14ac:dyDescent="0.35">
      <c r="A692" t="s">
        <v>13</v>
      </c>
      <c r="B692">
        <v>6</v>
      </c>
      <c r="C692" s="5">
        <v>57.048000000000002</v>
      </c>
      <c r="D692">
        <f>ROUNDUP(C692/GiaDinh!$C$4-0.0005,0)</f>
        <v>10</v>
      </c>
      <c r="E692">
        <f t="shared" si="10"/>
        <v>9</v>
      </c>
      <c r="F692" s="5">
        <f>D692*GiaDinh!$C$4-C692</f>
        <v>2.9519999999999982</v>
      </c>
      <c r="G692" s="5">
        <f>C692*GiaDinh!$C$6</f>
        <v>134.63327999999998</v>
      </c>
    </row>
    <row r="693" spans="1:7" x14ac:dyDescent="0.35">
      <c r="A693" t="s">
        <v>13</v>
      </c>
      <c r="B693">
        <v>7</v>
      </c>
      <c r="C693" s="5">
        <v>57.048000000000002</v>
      </c>
      <c r="D693">
        <f>ROUNDUP(C693/GiaDinh!$C$4-0.0005,0)</f>
        <v>10</v>
      </c>
      <c r="E693">
        <f t="shared" si="10"/>
        <v>9</v>
      </c>
      <c r="F693" s="5">
        <f>D693*GiaDinh!$C$4-C693</f>
        <v>2.9519999999999982</v>
      </c>
      <c r="G693" s="5">
        <f>C693*GiaDinh!$C$6</f>
        <v>134.63327999999998</v>
      </c>
    </row>
    <row r="694" spans="1:7" x14ac:dyDescent="0.35">
      <c r="A694" t="s">
        <v>13</v>
      </c>
      <c r="B694">
        <v>8</v>
      </c>
      <c r="C694" s="5">
        <v>57.048000000000002</v>
      </c>
      <c r="D694">
        <f>ROUNDUP(C694/GiaDinh!$C$4-0.0005,0)</f>
        <v>10</v>
      </c>
      <c r="E694">
        <f t="shared" si="10"/>
        <v>9</v>
      </c>
      <c r="F694" s="5">
        <f>D694*GiaDinh!$C$4-C694</f>
        <v>2.9519999999999982</v>
      </c>
      <c r="G694" s="5">
        <f>C694*GiaDinh!$C$6</f>
        <v>134.63327999999998</v>
      </c>
    </row>
    <row r="695" spans="1:7" x14ac:dyDescent="0.35">
      <c r="A695" t="s">
        <v>13</v>
      </c>
      <c r="B695">
        <v>9</v>
      </c>
      <c r="C695" s="5">
        <v>57.048000000000002</v>
      </c>
      <c r="D695">
        <f>ROUNDUP(C695/GiaDinh!$C$4-0.0005,0)</f>
        <v>10</v>
      </c>
      <c r="E695">
        <f t="shared" si="10"/>
        <v>9</v>
      </c>
      <c r="F695" s="5">
        <f>D695*GiaDinh!$C$4-C695</f>
        <v>2.9519999999999982</v>
      </c>
      <c r="G695" s="5">
        <f>C695*GiaDinh!$C$6</f>
        <v>134.63327999999998</v>
      </c>
    </row>
    <row r="696" spans="1:7" x14ac:dyDescent="0.35">
      <c r="A696" t="s">
        <v>13</v>
      </c>
      <c r="B696">
        <v>10</v>
      </c>
      <c r="C696" s="5">
        <v>57.048000000000002</v>
      </c>
      <c r="D696">
        <f>ROUNDUP(C696/GiaDinh!$C$4-0.0005,0)</f>
        <v>10</v>
      </c>
      <c r="E696">
        <f t="shared" si="10"/>
        <v>9</v>
      </c>
      <c r="F696" s="5">
        <f>D696*GiaDinh!$C$4-C696</f>
        <v>2.9519999999999982</v>
      </c>
      <c r="G696" s="5">
        <f>C696*GiaDinh!$C$6</f>
        <v>134.63327999999998</v>
      </c>
    </row>
    <row r="697" spans="1:7" x14ac:dyDescent="0.35">
      <c r="A697" t="s">
        <v>13</v>
      </c>
      <c r="B697">
        <v>11</v>
      </c>
      <c r="C697" s="5">
        <v>57.048000000000002</v>
      </c>
      <c r="D697">
        <f>ROUNDUP(C697/GiaDinh!$C$4-0.0005,0)</f>
        <v>10</v>
      </c>
      <c r="E697">
        <f t="shared" si="10"/>
        <v>9</v>
      </c>
      <c r="F697" s="5">
        <f>D697*GiaDinh!$C$4-C697</f>
        <v>2.9519999999999982</v>
      </c>
      <c r="G697" s="5">
        <f>C697*GiaDinh!$C$6</f>
        <v>134.63327999999998</v>
      </c>
    </row>
    <row r="698" spans="1:7" x14ac:dyDescent="0.35">
      <c r="A698" t="s">
        <v>13</v>
      </c>
      <c r="B698">
        <v>12</v>
      </c>
      <c r="C698" s="5">
        <v>57.048000000000002</v>
      </c>
      <c r="D698">
        <f>ROUNDUP(C698/GiaDinh!$C$4-0.0005,0)</f>
        <v>10</v>
      </c>
      <c r="E698">
        <f t="shared" si="10"/>
        <v>9</v>
      </c>
      <c r="F698" s="5">
        <f>D698*GiaDinh!$C$4-C698</f>
        <v>2.9519999999999982</v>
      </c>
      <c r="G698" s="5">
        <f>C698*GiaDinh!$C$6</f>
        <v>134.63327999999998</v>
      </c>
    </row>
    <row r="699" spans="1:7" x14ac:dyDescent="0.35">
      <c r="A699" t="s">
        <v>13</v>
      </c>
      <c r="B699">
        <v>13</v>
      </c>
      <c r="C699" s="5">
        <v>57.048000000000002</v>
      </c>
      <c r="D699">
        <f>ROUNDUP(C699/GiaDinh!$C$4-0.0005,0)</f>
        <v>10</v>
      </c>
      <c r="E699">
        <f t="shared" si="10"/>
        <v>9</v>
      </c>
      <c r="F699" s="5">
        <f>D699*GiaDinh!$C$4-C699</f>
        <v>2.9519999999999982</v>
      </c>
      <c r="G699" s="5">
        <f>C699*GiaDinh!$C$6</f>
        <v>134.63327999999998</v>
      </c>
    </row>
    <row r="700" spans="1:7" x14ac:dyDescent="0.35">
      <c r="A700" t="s">
        <v>13</v>
      </c>
      <c r="B700">
        <v>14</v>
      </c>
      <c r="C700" s="5">
        <v>57.048000000000002</v>
      </c>
      <c r="D700">
        <f>ROUNDUP(C700/GiaDinh!$C$4-0.0005,0)</f>
        <v>10</v>
      </c>
      <c r="E700">
        <f t="shared" si="10"/>
        <v>9</v>
      </c>
      <c r="F700" s="5">
        <f>D700*GiaDinh!$C$4-C700</f>
        <v>2.9519999999999982</v>
      </c>
      <c r="G700" s="5">
        <f>C700*GiaDinh!$C$6</f>
        <v>134.63327999999998</v>
      </c>
    </row>
    <row r="701" spans="1:7" x14ac:dyDescent="0.35">
      <c r="A701" t="s">
        <v>13</v>
      </c>
      <c r="B701">
        <v>15</v>
      </c>
      <c r="C701" s="5">
        <v>57.048000000000002</v>
      </c>
      <c r="D701">
        <f>ROUNDUP(C701/GiaDinh!$C$4-0.0005,0)</f>
        <v>10</v>
      </c>
      <c r="E701">
        <f t="shared" si="10"/>
        <v>9</v>
      </c>
      <c r="F701" s="5">
        <f>D701*GiaDinh!$C$4-C701</f>
        <v>2.9519999999999982</v>
      </c>
      <c r="G701" s="5">
        <f>C701*GiaDinh!$C$6</f>
        <v>134.63327999999998</v>
      </c>
    </row>
    <row r="702" spans="1:7" x14ac:dyDescent="0.35">
      <c r="A702" t="s">
        <v>13</v>
      </c>
      <c r="B702">
        <v>16</v>
      </c>
      <c r="C702" s="5">
        <v>57.048000000000002</v>
      </c>
      <c r="D702">
        <f>ROUNDUP(C702/GiaDinh!$C$4-0.0005,0)</f>
        <v>10</v>
      </c>
      <c r="E702">
        <f t="shared" si="10"/>
        <v>9</v>
      </c>
      <c r="F702" s="5">
        <f>D702*GiaDinh!$C$4-C702</f>
        <v>2.9519999999999982</v>
      </c>
      <c r="G702" s="5">
        <f>C702*GiaDinh!$C$6</f>
        <v>134.63327999999998</v>
      </c>
    </row>
    <row r="703" spans="1:7" x14ac:dyDescent="0.35">
      <c r="A703" t="s">
        <v>13</v>
      </c>
      <c r="B703">
        <v>17</v>
      </c>
      <c r="C703" s="5">
        <v>57.048000000000002</v>
      </c>
      <c r="D703">
        <f>ROUNDUP(C703/GiaDinh!$C$4-0.0005,0)</f>
        <v>10</v>
      </c>
      <c r="E703">
        <f t="shared" si="10"/>
        <v>9</v>
      </c>
      <c r="F703" s="5">
        <f>D703*GiaDinh!$C$4-C703</f>
        <v>2.9519999999999982</v>
      </c>
      <c r="G703" s="5">
        <f>C703*GiaDinh!$C$6</f>
        <v>134.63327999999998</v>
      </c>
    </row>
    <row r="704" spans="1:7" x14ac:dyDescent="0.35">
      <c r="A704" t="s">
        <v>13</v>
      </c>
      <c r="B704">
        <v>18</v>
      </c>
      <c r="C704" s="5">
        <v>57.048000000000002</v>
      </c>
      <c r="D704">
        <f>ROUNDUP(C704/GiaDinh!$C$4-0.0005,0)</f>
        <v>10</v>
      </c>
      <c r="E704">
        <f t="shared" si="10"/>
        <v>9</v>
      </c>
      <c r="F704" s="5">
        <f>D704*GiaDinh!$C$4-C704</f>
        <v>2.9519999999999982</v>
      </c>
      <c r="G704" s="5">
        <f>C704*GiaDinh!$C$6</f>
        <v>134.63327999999998</v>
      </c>
    </row>
    <row r="705" spans="1:7" x14ac:dyDescent="0.35">
      <c r="A705" t="s">
        <v>13</v>
      </c>
      <c r="B705">
        <v>19</v>
      </c>
      <c r="C705" s="5">
        <v>57.048000000000002</v>
      </c>
      <c r="D705">
        <f>ROUNDUP(C705/GiaDinh!$C$4-0.0005,0)</f>
        <v>10</v>
      </c>
      <c r="E705">
        <f t="shared" si="10"/>
        <v>9</v>
      </c>
      <c r="F705" s="5">
        <f>D705*GiaDinh!$C$4-C705</f>
        <v>2.9519999999999982</v>
      </c>
      <c r="G705" s="5">
        <f>C705*GiaDinh!$C$6</f>
        <v>134.63327999999998</v>
      </c>
    </row>
    <row r="706" spans="1:7" x14ac:dyDescent="0.35">
      <c r="A706" t="s">
        <v>13</v>
      </c>
      <c r="B706">
        <v>20</v>
      </c>
      <c r="C706" s="5">
        <v>57.048000000000002</v>
      </c>
      <c r="D706">
        <f>ROUNDUP(C706/GiaDinh!$C$4-0.0005,0)</f>
        <v>10</v>
      </c>
      <c r="E706">
        <f t="shared" si="10"/>
        <v>9</v>
      </c>
      <c r="F706" s="5">
        <f>D706*GiaDinh!$C$4-C706</f>
        <v>2.9519999999999982</v>
      </c>
      <c r="G706" s="5">
        <f>C706*GiaDinh!$C$6</f>
        <v>134.63327999999998</v>
      </c>
    </row>
    <row r="707" spans="1:7" x14ac:dyDescent="0.35">
      <c r="A707" t="s">
        <v>13</v>
      </c>
      <c r="B707">
        <v>21</v>
      </c>
      <c r="C707" s="5">
        <v>57.048000000000002</v>
      </c>
      <c r="D707">
        <f>ROUNDUP(C707/GiaDinh!$C$4-0.0005,0)</f>
        <v>10</v>
      </c>
      <c r="E707">
        <f t="shared" si="10"/>
        <v>9</v>
      </c>
      <c r="F707" s="5">
        <f>D707*GiaDinh!$C$4-C707</f>
        <v>2.9519999999999982</v>
      </c>
      <c r="G707" s="5">
        <f>C707*GiaDinh!$C$6</f>
        <v>134.63327999999998</v>
      </c>
    </row>
    <row r="708" spans="1:7" x14ac:dyDescent="0.35">
      <c r="A708" t="s">
        <v>13</v>
      </c>
      <c r="B708">
        <v>22</v>
      </c>
      <c r="C708" s="5">
        <v>57.048000000000002</v>
      </c>
      <c r="D708">
        <f>ROUNDUP(C708/GiaDinh!$C$4-0.0005,0)</f>
        <v>10</v>
      </c>
      <c r="E708">
        <f t="shared" ref="E708:E771" si="11">D708-1</f>
        <v>9</v>
      </c>
      <c r="F708" s="5">
        <f>D708*GiaDinh!$C$4-C708</f>
        <v>2.9519999999999982</v>
      </c>
      <c r="G708" s="5">
        <f>C708*GiaDinh!$C$6</f>
        <v>134.63327999999998</v>
      </c>
    </row>
    <row r="709" spans="1:7" x14ac:dyDescent="0.35">
      <c r="A709" t="s">
        <v>13</v>
      </c>
      <c r="B709">
        <v>23</v>
      </c>
      <c r="C709" s="5">
        <v>57.048000000000002</v>
      </c>
      <c r="D709">
        <f>ROUNDUP(C709/GiaDinh!$C$4-0.0005,0)</f>
        <v>10</v>
      </c>
      <c r="E709">
        <f t="shared" si="11"/>
        <v>9</v>
      </c>
      <c r="F709" s="5">
        <f>D709*GiaDinh!$C$4-C709</f>
        <v>2.9519999999999982</v>
      </c>
      <c r="G709" s="5">
        <f>C709*GiaDinh!$C$6</f>
        <v>134.63327999999998</v>
      </c>
    </row>
    <row r="710" spans="1:7" x14ac:dyDescent="0.35">
      <c r="A710" t="s">
        <v>13</v>
      </c>
      <c r="B710">
        <v>24</v>
      </c>
      <c r="C710" s="5">
        <v>57.048000000000002</v>
      </c>
      <c r="D710">
        <f>ROUNDUP(C710/GiaDinh!$C$4-0.0005,0)</f>
        <v>10</v>
      </c>
      <c r="E710">
        <f t="shared" si="11"/>
        <v>9</v>
      </c>
      <c r="F710" s="5">
        <f>D710*GiaDinh!$C$4-C710</f>
        <v>2.9519999999999982</v>
      </c>
      <c r="G710" s="5">
        <f>C710*GiaDinh!$C$6</f>
        <v>134.63327999999998</v>
      </c>
    </row>
    <row r="711" spans="1:7" x14ac:dyDescent="0.35">
      <c r="A711" t="s">
        <v>13</v>
      </c>
      <c r="B711">
        <v>25</v>
      </c>
      <c r="C711" s="5">
        <v>57.048000000000002</v>
      </c>
      <c r="D711">
        <f>ROUNDUP(C711/GiaDinh!$C$4-0.0005,0)</f>
        <v>10</v>
      </c>
      <c r="E711">
        <f t="shared" si="11"/>
        <v>9</v>
      </c>
      <c r="F711" s="5">
        <f>D711*GiaDinh!$C$4-C711</f>
        <v>2.9519999999999982</v>
      </c>
      <c r="G711" s="5">
        <f>C711*GiaDinh!$C$6</f>
        <v>134.63327999999998</v>
      </c>
    </row>
    <row r="712" spans="1:7" x14ac:dyDescent="0.35">
      <c r="A712" t="s">
        <v>13</v>
      </c>
      <c r="B712">
        <v>26</v>
      </c>
      <c r="C712" s="5">
        <v>57.048000000000002</v>
      </c>
      <c r="D712">
        <f>ROUNDUP(C712/GiaDinh!$C$4-0.0005,0)</f>
        <v>10</v>
      </c>
      <c r="E712">
        <f t="shared" si="11"/>
        <v>9</v>
      </c>
      <c r="F712" s="5">
        <f>D712*GiaDinh!$C$4-C712</f>
        <v>2.9519999999999982</v>
      </c>
      <c r="G712" s="5">
        <f>C712*GiaDinh!$C$6</f>
        <v>134.63327999999998</v>
      </c>
    </row>
    <row r="713" spans="1:7" x14ac:dyDescent="0.35">
      <c r="A713" t="s">
        <v>13</v>
      </c>
      <c r="B713">
        <v>27</v>
      </c>
      <c r="C713" s="5">
        <v>57.048000000000002</v>
      </c>
      <c r="D713">
        <f>ROUNDUP(C713/GiaDinh!$C$4-0.0005,0)</f>
        <v>10</v>
      </c>
      <c r="E713">
        <f t="shared" si="11"/>
        <v>9</v>
      </c>
      <c r="F713" s="5">
        <f>D713*GiaDinh!$C$4-C713</f>
        <v>2.9519999999999982</v>
      </c>
      <c r="G713" s="5">
        <f>C713*GiaDinh!$C$6</f>
        <v>134.63327999999998</v>
      </c>
    </row>
    <row r="714" spans="1:7" x14ac:dyDescent="0.35">
      <c r="A714" t="s">
        <v>13</v>
      </c>
      <c r="B714">
        <v>28</v>
      </c>
      <c r="C714" s="5">
        <v>3.0990000000000002</v>
      </c>
      <c r="D714">
        <f>ROUNDUP(C714/GiaDinh!$C$4-0.0005,0)</f>
        <v>1</v>
      </c>
      <c r="E714">
        <f t="shared" si="11"/>
        <v>0</v>
      </c>
      <c r="F714" s="5">
        <f>D714*GiaDinh!$C$4-C714</f>
        <v>2.9009999999999998</v>
      </c>
      <c r="G714" s="5">
        <f>C714*GiaDinh!$C$6</f>
        <v>7.3136400000000004</v>
      </c>
    </row>
    <row r="715" spans="1:7" x14ac:dyDescent="0.35">
      <c r="A715" t="s">
        <v>13</v>
      </c>
      <c r="B715">
        <v>29</v>
      </c>
      <c r="C715" s="5">
        <v>3.0990000000000002</v>
      </c>
      <c r="D715">
        <f>ROUNDUP(C715/GiaDinh!$C$4-0.0005,0)</f>
        <v>1</v>
      </c>
      <c r="E715">
        <f t="shared" si="11"/>
        <v>0</v>
      </c>
      <c r="F715" s="5">
        <f>D715*GiaDinh!$C$4-C715</f>
        <v>2.9009999999999998</v>
      </c>
      <c r="G715" s="5">
        <f>C715*GiaDinh!$C$6</f>
        <v>7.3136400000000004</v>
      </c>
    </row>
    <row r="716" spans="1:7" x14ac:dyDescent="0.35">
      <c r="A716" t="s">
        <v>13</v>
      </c>
      <c r="B716">
        <v>30</v>
      </c>
      <c r="C716" s="5">
        <v>57.048000000000002</v>
      </c>
      <c r="D716">
        <f>ROUNDUP(C716/GiaDinh!$C$4-0.0005,0)</f>
        <v>10</v>
      </c>
      <c r="E716">
        <f t="shared" si="11"/>
        <v>9</v>
      </c>
      <c r="F716" s="5">
        <f>D716*GiaDinh!$C$4-C716</f>
        <v>2.9519999999999982</v>
      </c>
      <c r="G716" s="5">
        <f>C716*GiaDinh!$C$6</f>
        <v>134.63327999999998</v>
      </c>
    </row>
    <row r="717" spans="1:7" x14ac:dyDescent="0.35">
      <c r="A717" t="s">
        <v>13</v>
      </c>
      <c r="B717">
        <v>31</v>
      </c>
      <c r="C717" s="5">
        <v>3.0990000000000002</v>
      </c>
      <c r="D717">
        <f>ROUNDUP(C717/GiaDinh!$C$4-0.0005,0)</f>
        <v>1</v>
      </c>
      <c r="E717">
        <f t="shared" si="11"/>
        <v>0</v>
      </c>
      <c r="F717" s="5">
        <f>D717*GiaDinh!$C$4-C717</f>
        <v>2.9009999999999998</v>
      </c>
      <c r="G717" s="5">
        <f>C717*GiaDinh!$C$6</f>
        <v>7.3136400000000004</v>
      </c>
    </row>
    <row r="718" spans="1:7" x14ac:dyDescent="0.35">
      <c r="A718" t="s">
        <v>13</v>
      </c>
      <c r="B718">
        <v>32</v>
      </c>
      <c r="C718" s="5">
        <v>3.0990000000000002</v>
      </c>
      <c r="D718">
        <f>ROUNDUP(C718/GiaDinh!$C$4-0.0005,0)</f>
        <v>1</v>
      </c>
      <c r="E718">
        <f t="shared" si="11"/>
        <v>0</v>
      </c>
      <c r="F718" s="5">
        <f>D718*GiaDinh!$C$4-C718</f>
        <v>2.9009999999999998</v>
      </c>
      <c r="G718" s="5">
        <f>C718*GiaDinh!$C$6</f>
        <v>7.3136400000000004</v>
      </c>
    </row>
    <row r="719" spans="1:7" x14ac:dyDescent="0.35">
      <c r="A719" t="s">
        <v>13</v>
      </c>
      <c r="B719">
        <v>33</v>
      </c>
      <c r="C719" s="5">
        <v>181.102</v>
      </c>
      <c r="D719">
        <f>ROUNDUP(C719/GiaDinh!$C$4-0.0005,0)</f>
        <v>31</v>
      </c>
      <c r="E719">
        <f t="shared" si="11"/>
        <v>30</v>
      </c>
      <c r="F719" s="5">
        <f>D719*GiaDinh!$C$4-C719</f>
        <v>4.8979999999999961</v>
      </c>
      <c r="G719" s="5">
        <f>C719*GiaDinh!$C$6</f>
        <v>427.40071999999998</v>
      </c>
    </row>
    <row r="720" spans="1:7" x14ac:dyDescent="0.35">
      <c r="A720" t="s">
        <v>13</v>
      </c>
      <c r="B720">
        <v>34</v>
      </c>
      <c r="C720" s="5">
        <v>181.102</v>
      </c>
      <c r="D720">
        <f>ROUNDUP(C720/GiaDinh!$C$4-0.0005,0)</f>
        <v>31</v>
      </c>
      <c r="E720">
        <f t="shared" si="11"/>
        <v>30</v>
      </c>
      <c r="F720" s="5">
        <f>D720*GiaDinh!$C$4-C720</f>
        <v>4.8979999999999961</v>
      </c>
      <c r="G720" s="5">
        <f>C720*GiaDinh!$C$6</f>
        <v>427.40071999999998</v>
      </c>
    </row>
    <row r="721" spans="1:7" x14ac:dyDescent="0.35">
      <c r="A721" t="s">
        <v>13</v>
      </c>
      <c r="B721">
        <v>35</v>
      </c>
      <c r="C721" s="5">
        <v>181.102</v>
      </c>
      <c r="D721">
        <f>ROUNDUP(C721/GiaDinh!$C$4-0.0005,0)</f>
        <v>31</v>
      </c>
      <c r="E721">
        <f t="shared" si="11"/>
        <v>30</v>
      </c>
      <c r="F721" s="5">
        <f>D721*GiaDinh!$C$4-C721</f>
        <v>4.8979999999999961</v>
      </c>
      <c r="G721" s="5">
        <f>C721*GiaDinh!$C$6</f>
        <v>427.40071999999998</v>
      </c>
    </row>
    <row r="722" spans="1:7" x14ac:dyDescent="0.35">
      <c r="A722" t="s">
        <v>13</v>
      </c>
      <c r="B722">
        <v>36</v>
      </c>
      <c r="C722" s="5">
        <v>181.102</v>
      </c>
      <c r="D722">
        <f>ROUNDUP(C722/GiaDinh!$C$4-0.0005,0)</f>
        <v>31</v>
      </c>
      <c r="E722">
        <f t="shared" si="11"/>
        <v>30</v>
      </c>
      <c r="F722" s="5">
        <f>D722*GiaDinh!$C$4-C722</f>
        <v>4.8979999999999961</v>
      </c>
      <c r="G722" s="5">
        <f>C722*GiaDinh!$C$6</f>
        <v>427.40071999999998</v>
      </c>
    </row>
    <row r="723" spans="1:7" x14ac:dyDescent="0.35">
      <c r="A723" t="s">
        <v>13</v>
      </c>
      <c r="B723">
        <v>37</v>
      </c>
      <c r="C723" s="5">
        <v>181.102</v>
      </c>
      <c r="D723">
        <f>ROUNDUP(C723/GiaDinh!$C$4-0.0005,0)</f>
        <v>31</v>
      </c>
      <c r="E723">
        <f t="shared" si="11"/>
        <v>30</v>
      </c>
      <c r="F723" s="5">
        <f>D723*GiaDinh!$C$4-C723</f>
        <v>4.8979999999999961</v>
      </c>
      <c r="G723" s="5">
        <f>C723*GiaDinh!$C$6</f>
        <v>427.40071999999998</v>
      </c>
    </row>
    <row r="724" spans="1:7" x14ac:dyDescent="0.35">
      <c r="A724" t="s">
        <v>13</v>
      </c>
      <c r="B724">
        <v>38</v>
      </c>
      <c r="C724" s="5">
        <v>181.102</v>
      </c>
      <c r="D724">
        <f>ROUNDUP(C724/GiaDinh!$C$4-0.0005,0)</f>
        <v>31</v>
      </c>
      <c r="E724">
        <f t="shared" si="11"/>
        <v>30</v>
      </c>
      <c r="F724" s="5">
        <f>D724*GiaDinh!$C$4-C724</f>
        <v>4.8979999999999961</v>
      </c>
      <c r="G724" s="5">
        <f>C724*GiaDinh!$C$6</f>
        <v>427.40071999999998</v>
      </c>
    </row>
    <row r="725" spans="1:7" x14ac:dyDescent="0.35">
      <c r="A725" t="s">
        <v>13</v>
      </c>
      <c r="B725">
        <v>39</v>
      </c>
      <c r="C725" s="5">
        <v>181.102</v>
      </c>
      <c r="D725">
        <f>ROUNDUP(C725/GiaDinh!$C$4-0.0005,0)</f>
        <v>31</v>
      </c>
      <c r="E725">
        <f t="shared" si="11"/>
        <v>30</v>
      </c>
      <c r="F725" s="5">
        <f>D725*GiaDinh!$C$4-C725</f>
        <v>4.8979999999999961</v>
      </c>
      <c r="G725" s="5">
        <f>C725*GiaDinh!$C$6</f>
        <v>427.40071999999998</v>
      </c>
    </row>
    <row r="726" spans="1:7" x14ac:dyDescent="0.35">
      <c r="A726" t="s">
        <v>13</v>
      </c>
      <c r="B726">
        <v>40</v>
      </c>
      <c r="C726" s="5">
        <v>181.102</v>
      </c>
      <c r="D726">
        <f>ROUNDUP(C726/GiaDinh!$C$4-0.0005,0)</f>
        <v>31</v>
      </c>
      <c r="E726">
        <f t="shared" si="11"/>
        <v>30</v>
      </c>
      <c r="F726" s="5">
        <f>D726*GiaDinh!$C$4-C726</f>
        <v>4.8979999999999961</v>
      </c>
      <c r="G726" s="5">
        <f>C726*GiaDinh!$C$6</f>
        <v>427.40071999999998</v>
      </c>
    </row>
    <row r="727" spans="1:7" x14ac:dyDescent="0.35">
      <c r="A727" t="s">
        <v>13</v>
      </c>
      <c r="B727">
        <v>41</v>
      </c>
      <c r="C727" s="5">
        <v>181.102</v>
      </c>
      <c r="D727">
        <f>ROUNDUP(C727/GiaDinh!$C$4-0.0005,0)</f>
        <v>31</v>
      </c>
      <c r="E727">
        <f t="shared" si="11"/>
        <v>30</v>
      </c>
      <c r="F727" s="5">
        <f>D727*GiaDinh!$C$4-C727</f>
        <v>4.8979999999999961</v>
      </c>
      <c r="G727" s="5">
        <f>C727*GiaDinh!$C$6</f>
        <v>427.40071999999998</v>
      </c>
    </row>
    <row r="728" spans="1:7" x14ac:dyDescent="0.35">
      <c r="A728" t="s">
        <v>13</v>
      </c>
      <c r="B728">
        <v>42</v>
      </c>
      <c r="C728" s="5">
        <v>181.102</v>
      </c>
      <c r="D728">
        <f>ROUNDUP(C728/GiaDinh!$C$4-0.0005,0)</f>
        <v>31</v>
      </c>
      <c r="E728">
        <f t="shared" si="11"/>
        <v>30</v>
      </c>
      <c r="F728" s="5">
        <f>D728*GiaDinh!$C$4-C728</f>
        <v>4.8979999999999961</v>
      </c>
      <c r="G728" s="5">
        <f>C728*GiaDinh!$C$6</f>
        <v>427.40071999999998</v>
      </c>
    </row>
    <row r="729" spans="1:7" x14ac:dyDescent="0.35">
      <c r="A729" t="s">
        <v>13</v>
      </c>
      <c r="B729">
        <v>43</v>
      </c>
      <c r="C729" s="5">
        <v>181.102</v>
      </c>
      <c r="D729">
        <f>ROUNDUP(C729/GiaDinh!$C$4-0.0005,0)</f>
        <v>31</v>
      </c>
      <c r="E729">
        <f t="shared" si="11"/>
        <v>30</v>
      </c>
      <c r="F729" s="5">
        <f>D729*GiaDinh!$C$4-C729</f>
        <v>4.8979999999999961</v>
      </c>
      <c r="G729" s="5">
        <f>C729*GiaDinh!$C$6</f>
        <v>427.40071999999998</v>
      </c>
    </row>
    <row r="730" spans="1:7" x14ac:dyDescent="0.35">
      <c r="A730" t="s">
        <v>13</v>
      </c>
      <c r="B730">
        <v>44</v>
      </c>
      <c r="C730" s="5">
        <v>181.102</v>
      </c>
      <c r="D730">
        <f>ROUNDUP(C730/GiaDinh!$C$4-0.0005,0)</f>
        <v>31</v>
      </c>
      <c r="E730">
        <f t="shared" si="11"/>
        <v>30</v>
      </c>
      <c r="F730" s="5">
        <f>D730*GiaDinh!$C$4-C730</f>
        <v>4.8979999999999961</v>
      </c>
      <c r="G730" s="5">
        <f>C730*GiaDinh!$C$6</f>
        <v>427.40071999999998</v>
      </c>
    </row>
    <row r="731" spans="1:7" x14ac:dyDescent="0.35">
      <c r="A731" t="s">
        <v>13</v>
      </c>
      <c r="B731">
        <v>45</v>
      </c>
      <c r="C731" s="5">
        <v>181.102</v>
      </c>
      <c r="D731">
        <f>ROUNDUP(C731/GiaDinh!$C$4-0.0005,0)</f>
        <v>31</v>
      </c>
      <c r="E731">
        <f t="shared" si="11"/>
        <v>30</v>
      </c>
      <c r="F731" s="5">
        <f>D731*GiaDinh!$C$4-C731</f>
        <v>4.8979999999999961</v>
      </c>
      <c r="G731" s="5">
        <f>C731*GiaDinh!$C$6</f>
        <v>427.40071999999998</v>
      </c>
    </row>
    <row r="732" spans="1:7" x14ac:dyDescent="0.35">
      <c r="A732" t="s">
        <v>13</v>
      </c>
      <c r="B732">
        <v>46</v>
      </c>
      <c r="C732" s="5">
        <v>181.102</v>
      </c>
      <c r="D732">
        <f>ROUNDUP(C732/GiaDinh!$C$4-0.0005,0)</f>
        <v>31</v>
      </c>
      <c r="E732">
        <f t="shared" si="11"/>
        <v>30</v>
      </c>
      <c r="F732" s="5">
        <f>D732*GiaDinh!$C$4-C732</f>
        <v>4.8979999999999961</v>
      </c>
      <c r="G732" s="5">
        <f>C732*GiaDinh!$C$6</f>
        <v>427.40071999999998</v>
      </c>
    </row>
    <row r="733" spans="1:7" x14ac:dyDescent="0.35">
      <c r="A733" t="s">
        <v>13</v>
      </c>
      <c r="B733">
        <v>47</v>
      </c>
      <c r="C733" s="5">
        <v>181.102</v>
      </c>
      <c r="D733">
        <f>ROUNDUP(C733/GiaDinh!$C$4-0.0005,0)</f>
        <v>31</v>
      </c>
      <c r="E733">
        <f t="shared" si="11"/>
        <v>30</v>
      </c>
      <c r="F733" s="5">
        <f>D733*GiaDinh!$C$4-C733</f>
        <v>4.8979999999999961</v>
      </c>
      <c r="G733" s="5">
        <f>C733*GiaDinh!$C$6</f>
        <v>427.40071999999998</v>
      </c>
    </row>
    <row r="734" spans="1:7" x14ac:dyDescent="0.35">
      <c r="A734" t="s">
        <v>13</v>
      </c>
      <c r="B734">
        <v>48</v>
      </c>
      <c r="C734" s="5">
        <v>181.102</v>
      </c>
      <c r="D734">
        <f>ROUNDUP(C734/GiaDinh!$C$4-0.0005,0)</f>
        <v>31</v>
      </c>
      <c r="E734">
        <f t="shared" si="11"/>
        <v>30</v>
      </c>
      <c r="F734" s="5">
        <f>D734*GiaDinh!$C$4-C734</f>
        <v>4.8979999999999961</v>
      </c>
      <c r="G734" s="5">
        <f>C734*GiaDinh!$C$6</f>
        <v>427.40071999999998</v>
      </c>
    </row>
    <row r="735" spans="1:7" x14ac:dyDescent="0.35">
      <c r="A735" t="s">
        <v>13</v>
      </c>
      <c r="B735">
        <v>49</v>
      </c>
      <c r="C735" s="5">
        <v>181.102</v>
      </c>
      <c r="D735">
        <f>ROUNDUP(C735/GiaDinh!$C$4-0.0005,0)</f>
        <v>31</v>
      </c>
      <c r="E735">
        <f t="shared" si="11"/>
        <v>30</v>
      </c>
      <c r="F735" s="5">
        <f>D735*GiaDinh!$C$4-C735</f>
        <v>4.8979999999999961</v>
      </c>
      <c r="G735" s="5">
        <f>C735*GiaDinh!$C$6</f>
        <v>427.40071999999998</v>
      </c>
    </row>
    <row r="736" spans="1:7" x14ac:dyDescent="0.35">
      <c r="A736" t="s">
        <v>13</v>
      </c>
      <c r="B736">
        <v>50</v>
      </c>
      <c r="C736" s="5">
        <v>181.102</v>
      </c>
      <c r="D736">
        <f>ROUNDUP(C736/GiaDinh!$C$4-0.0005,0)</f>
        <v>31</v>
      </c>
      <c r="E736">
        <f t="shared" si="11"/>
        <v>30</v>
      </c>
      <c r="F736" s="5">
        <f>D736*GiaDinh!$C$4-C736</f>
        <v>4.8979999999999961</v>
      </c>
      <c r="G736" s="5">
        <f>C736*GiaDinh!$C$6</f>
        <v>427.40071999999998</v>
      </c>
    </row>
    <row r="737" spans="1:7" x14ac:dyDescent="0.35">
      <c r="A737" t="s">
        <v>13</v>
      </c>
      <c r="B737">
        <v>51</v>
      </c>
      <c r="C737" s="5">
        <v>181.102</v>
      </c>
      <c r="D737">
        <f>ROUNDUP(C737/GiaDinh!$C$4-0.0005,0)</f>
        <v>31</v>
      </c>
      <c r="E737">
        <f t="shared" si="11"/>
        <v>30</v>
      </c>
      <c r="F737" s="5">
        <f>D737*GiaDinh!$C$4-C737</f>
        <v>4.8979999999999961</v>
      </c>
      <c r="G737" s="5">
        <f>C737*GiaDinh!$C$6</f>
        <v>427.40071999999998</v>
      </c>
    </row>
    <row r="738" spans="1:7" x14ac:dyDescent="0.35">
      <c r="A738" t="s">
        <v>13</v>
      </c>
      <c r="B738">
        <v>52</v>
      </c>
      <c r="C738" s="5">
        <v>181.102</v>
      </c>
      <c r="D738">
        <f>ROUNDUP(C738/GiaDinh!$C$4-0.0005,0)</f>
        <v>31</v>
      </c>
      <c r="E738">
        <f t="shared" si="11"/>
        <v>30</v>
      </c>
      <c r="F738" s="5">
        <f>D738*GiaDinh!$C$4-C738</f>
        <v>4.8979999999999961</v>
      </c>
      <c r="G738" s="5">
        <f>C738*GiaDinh!$C$6</f>
        <v>427.40071999999998</v>
      </c>
    </row>
    <row r="739" spans="1:7" x14ac:dyDescent="0.35">
      <c r="A739" t="s">
        <v>13</v>
      </c>
      <c r="B739">
        <v>53</v>
      </c>
      <c r="C739" s="5">
        <v>181.102</v>
      </c>
      <c r="D739">
        <f>ROUNDUP(C739/GiaDinh!$C$4-0.0005,0)</f>
        <v>31</v>
      </c>
      <c r="E739">
        <f t="shared" si="11"/>
        <v>30</v>
      </c>
      <c r="F739" s="5">
        <f>D739*GiaDinh!$C$4-C739</f>
        <v>4.8979999999999961</v>
      </c>
      <c r="G739" s="5">
        <f>C739*GiaDinh!$C$6</f>
        <v>427.40071999999998</v>
      </c>
    </row>
    <row r="740" spans="1:7" x14ac:dyDescent="0.35">
      <c r="A740" t="s">
        <v>13</v>
      </c>
      <c r="B740">
        <v>54</v>
      </c>
      <c r="C740" s="5">
        <v>181.102</v>
      </c>
      <c r="D740">
        <f>ROUNDUP(C740/GiaDinh!$C$4-0.0005,0)</f>
        <v>31</v>
      </c>
      <c r="E740">
        <f t="shared" si="11"/>
        <v>30</v>
      </c>
      <c r="F740" s="5">
        <f>D740*GiaDinh!$C$4-C740</f>
        <v>4.8979999999999961</v>
      </c>
      <c r="G740" s="5">
        <f>C740*GiaDinh!$C$6</f>
        <v>427.40071999999998</v>
      </c>
    </row>
    <row r="741" spans="1:7" x14ac:dyDescent="0.35">
      <c r="A741" t="s">
        <v>13</v>
      </c>
      <c r="B741">
        <v>55</v>
      </c>
      <c r="C741" s="5">
        <v>181.102</v>
      </c>
      <c r="D741">
        <f>ROUNDUP(C741/GiaDinh!$C$4-0.0005,0)</f>
        <v>31</v>
      </c>
      <c r="E741">
        <f t="shared" si="11"/>
        <v>30</v>
      </c>
      <c r="F741" s="5">
        <f>D741*GiaDinh!$C$4-C741</f>
        <v>4.8979999999999961</v>
      </c>
      <c r="G741" s="5">
        <f>C741*GiaDinh!$C$6</f>
        <v>427.40071999999998</v>
      </c>
    </row>
    <row r="742" spans="1:7" x14ac:dyDescent="0.35">
      <c r="A742" t="s">
        <v>13</v>
      </c>
      <c r="B742">
        <v>56</v>
      </c>
      <c r="C742" s="5">
        <v>181.102</v>
      </c>
      <c r="D742">
        <f>ROUNDUP(C742/GiaDinh!$C$4-0.0005,0)</f>
        <v>31</v>
      </c>
      <c r="E742">
        <f t="shared" si="11"/>
        <v>30</v>
      </c>
      <c r="F742" s="5">
        <f>D742*GiaDinh!$C$4-C742</f>
        <v>4.8979999999999961</v>
      </c>
      <c r="G742" s="5">
        <f>C742*GiaDinh!$C$6</f>
        <v>427.40071999999998</v>
      </c>
    </row>
    <row r="743" spans="1:7" x14ac:dyDescent="0.35">
      <c r="A743" t="s">
        <v>13</v>
      </c>
      <c r="B743">
        <v>57</v>
      </c>
      <c r="C743" s="5">
        <v>181.102</v>
      </c>
      <c r="D743">
        <f>ROUNDUP(C743/GiaDinh!$C$4-0.0005,0)</f>
        <v>31</v>
      </c>
      <c r="E743">
        <f t="shared" si="11"/>
        <v>30</v>
      </c>
      <c r="F743" s="5">
        <f>D743*GiaDinh!$C$4-C743</f>
        <v>4.8979999999999961</v>
      </c>
      <c r="G743" s="5">
        <f>C743*GiaDinh!$C$6</f>
        <v>427.40071999999998</v>
      </c>
    </row>
    <row r="744" spans="1:7" x14ac:dyDescent="0.35">
      <c r="A744" t="s">
        <v>13</v>
      </c>
      <c r="B744">
        <v>58</v>
      </c>
      <c r="C744" s="5">
        <v>181.102</v>
      </c>
      <c r="D744">
        <f>ROUNDUP(C744/GiaDinh!$C$4-0.0005,0)</f>
        <v>31</v>
      </c>
      <c r="E744">
        <f t="shared" si="11"/>
        <v>30</v>
      </c>
      <c r="F744" s="5">
        <f>D744*GiaDinh!$C$4-C744</f>
        <v>4.8979999999999961</v>
      </c>
      <c r="G744" s="5">
        <f>C744*GiaDinh!$C$6</f>
        <v>427.40071999999998</v>
      </c>
    </row>
    <row r="745" spans="1:7" x14ac:dyDescent="0.35">
      <c r="A745" t="s">
        <v>13</v>
      </c>
      <c r="B745">
        <v>59</v>
      </c>
      <c r="C745" s="5">
        <v>181.102</v>
      </c>
      <c r="D745">
        <f>ROUNDUP(C745/GiaDinh!$C$4-0.0005,0)</f>
        <v>31</v>
      </c>
      <c r="E745">
        <f t="shared" si="11"/>
        <v>30</v>
      </c>
      <c r="F745" s="5">
        <f>D745*GiaDinh!$C$4-C745</f>
        <v>4.8979999999999961</v>
      </c>
      <c r="G745" s="5">
        <f>C745*GiaDinh!$C$6</f>
        <v>427.40071999999998</v>
      </c>
    </row>
    <row r="746" spans="1:7" x14ac:dyDescent="0.35">
      <c r="A746" t="s">
        <v>13</v>
      </c>
      <c r="B746">
        <v>60</v>
      </c>
      <c r="C746" s="5">
        <v>181.102</v>
      </c>
      <c r="D746">
        <f>ROUNDUP(C746/GiaDinh!$C$4-0.0005,0)</f>
        <v>31</v>
      </c>
      <c r="E746">
        <f t="shared" si="11"/>
        <v>30</v>
      </c>
      <c r="F746" s="5">
        <f>D746*GiaDinh!$C$4-C746</f>
        <v>4.8979999999999961</v>
      </c>
      <c r="G746" s="5">
        <f>C746*GiaDinh!$C$6</f>
        <v>427.40071999999998</v>
      </c>
    </row>
    <row r="747" spans="1:7" x14ac:dyDescent="0.35">
      <c r="A747" t="s">
        <v>13</v>
      </c>
      <c r="B747">
        <v>61</v>
      </c>
      <c r="C747" s="5">
        <v>181.102</v>
      </c>
      <c r="D747">
        <f>ROUNDUP(C747/GiaDinh!$C$4-0.0005,0)</f>
        <v>31</v>
      </c>
      <c r="E747">
        <f t="shared" si="11"/>
        <v>30</v>
      </c>
      <c r="F747" s="5">
        <f>D747*GiaDinh!$C$4-C747</f>
        <v>4.8979999999999961</v>
      </c>
      <c r="G747" s="5">
        <f>C747*GiaDinh!$C$6</f>
        <v>427.40071999999998</v>
      </c>
    </row>
    <row r="748" spans="1:7" x14ac:dyDescent="0.35">
      <c r="A748" t="s">
        <v>13</v>
      </c>
      <c r="B748">
        <v>62</v>
      </c>
      <c r="C748" s="5">
        <v>181.102</v>
      </c>
      <c r="D748">
        <f>ROUNDUP(C748/GiaDinh!$C$4-0.0005,0)</f>
        <v>31</v>
      </c>
      <c r="E748">
        <f t="shared" si="11"/>
        <v>30</v>
      </c>
      <c r="F748" s="5">
        <f>D748*GiaDinh!$C$4-C748</f>
        <v>4.8979999999999961</v>
      </c>
      <c r="G748" s="5">
        <f>C748*GiaDinh!$C$6</f>
        <v>427.40071999999998</v>
      </c>
    </row>
    <row r="749" spans="1:7" x14ac:dyDescent="0.35">
      <c r="A749" t="s">
        <v>13</v>
      </c>
      <c r="B749">
        <v>63</v>
      </c>
      <c r="C749" s="5">
        <v>181.102</v>
      </c>
      <c r="D749">
        <f>ROUNDUP(C749/GiaDinh!$C$4-0.0005,0)</f>
        <v>31</v>
      </c>
      <c r="E749">
        <f t="shared" si="11"/>
        <v>30</v>
      </c>
      <c r="F749" s="5">
        <f>D749*GiaDinh!$C$4-C749</f>
        <v>4.8979999999999961</v>
      </c>
      <c r="G749" s="5">
        <f>C749*GiaDinh!$C$6</f>
        <v>427.40071999999998</v>
      </c>
    </row>
    <row r="750" spans="1:7" x14ac:dyDescent="0.35">
      <c r="A750" t="s">
        <v>13</v>
      </c>
      <c r="B750">
        <v>64</v>
      </c>
      <c r="C750" s="5">
        <v>181.102</v>
      </c>
      <c r="D750">
        <f>ROUNDUP(C750/GiaDinh!$C$4-0.0005,0)</f>
        <v>31</v>
      </c>
      <c r="E750">
        <f t="shared" si="11"/>
        <v>30</v>
      </c>
      <c r="F750" s="5">
        <f>D750*GiaDinh!$C$4-C750</f>
        <v>4.8979999999999961</v>
      </c>
      <c r="G750" s="5">
        <f>C750*GiaDinh!$C$6</f>
        <v>427.40071999999998</v>
      </c>
    </row>
    <row r="751" spans="1:7" x14ac:dyDescent="0.35">
      <c r="A751" t="s">
        <v>13</v>
      </c>
      <c r="B751">
        <v>65</v>
      </c>
      <c r="C751" s="5">
        <v>181.102</v>
      </c>
      <c r="D751">
        <f>ROUNDUP(C751/GiaDinh!$C$4-0.0005,0)</f>
        <v>31</v>
      </c>
      <c r="E751">
        <f t="shared" si="11"/>
        <v>30</v>
      </c>
      <c r="F751" s="5">
        <f>D751*GiaDinh!$C$4-C751</f>
        <v>4.8979999999999961</v>
      </c>
      <c r="G751" s="5">
        <f>C751*GiaDinh!$C$6</f>
        <v>427.40071999999998</v>
      </c>
    </row>
    <row r="752" spans="1:7" x14ac:dyDescent="0.35">
      <c r="A752" t="s">
        <v>13</v>
      </c>
      <c r="B752">
        <v>66</v>
      </c>
      <c r="C752" s="5">
        <v>181.102</v>
      </c>
      <c r="D752">
        <f>ROUNDUP(C752/GiaDinh!$C$4-0.0005,0)</f>
        <v>31</v>
      </c>
      <c r="E752">
        <f t="shared" si="11"/>
        <v>30</v>
      </c>
      <c r="F752" s="5">
        <f>D752*GiaDinh!$C$4-C752</f>
        <v>4.8979999999999961</v>
      </c>
      <c r="G752" s="5">
        <f>C752*GiaDinh!$C$6</f>
        <v>427.40071999999998</v>
      </c>
    </row>
    <row r="753" spans="1:7" x14ac:dyDescent="0.35">
      <c r="A753" t="s">
        <v>13</v>
      </c>
      <c r="B753">
        <v>67</v>
      </c>
      <c r="C753" s="5">
        <v>181.102</v>
      </c>
      <c r="D753">
        <f>ROUNDUP(C753/GiaDinh!$C$4-0.0005,0)</f>
        <v>31</v>
      </c>
      <c r="E753">
        <f t="shared" si="11"/>
        <v>30</v>
      </c>
      <c r="F753" s="5">
        <f>D753*GiaDinh!$C$4-C753</f>
        <v>4.8979999999999961</v>
      </c>
      <c r="G753" s="5">
        <f>C753*GiaDinh!$C$6</f>
        <v>427.40071999999998</v>
      </c>
    </row>
    <row r="754" spans="1:7" x14ac:dyDescent="0.35">
      <c r="A754" t="s">
        <v>13</v>
      </c>
      <c r="B754">
        <v>68</v>
      </c>
      <c r="C754" s="5">
        <v>181.102</v>
      </c>
      <c r="D754">
        <f>ROUNDUP(C754/GiaDinh!$C$4-0.0005,0)</f>
        <v>31</v>
      </c>
      <c r="E754">
        <f t="shared" si="11"/>
        <v>30</v>
      </c>
      <c r="F754" s="5">
        <f>D754*GiaDinh!$C$4-C754</f>
        <v>4.8979999999999961</v>
      </c>
      <c r="G754" s="5">
        <f>C754*GiaDinh!$C$6</f>
        <v>427.40071999999998</v>
      </c>
    </row>
    <row r="755" spans="1:7" x14ac:dyDescent="0.35">
      <c r="A755" t="s">
        <v>13</v>
      </c>
      <c r="B755">
        <v>69</v>
      </c>
      <c r="C755" s="5">
        <v>181.102</v>
      </c>
      <c r="D755">
        <f>ROUNDUP(C755/GiaDinh!$C$4-0.0005,0)</f>
        <v>31</v>
      </c>
      <c r="E755">
        <f t="shared" si="11"/>
        <v>30</v>
      </c>
      <c r="F755" s="5">
        <f>D755*GiaDinh!$C$4-C755</f>
        <v>4.8979999999999961</v>
      </c>
      <c r="G755" s="5">
        <f>C755*GiaDinh!$C$6</f>
        <v>427.40071999999998</v>
      </c>
    </row>
    <row r="756" spans="1:7" x14ac:dyDescent="0.35">
      <c r="A756" t="s">
        <v>13</v>
      </c>
      <c r="B756">
        <v>70</v>
      </c>
      <c r="C756" s="5">
        <v>181.102</v>
      </c>
      <c r="D756">
        <f>ROUNDUP(C756/GiaDinh!$C$4-0.0005,0)</f>
        <v>31</v>
      </c>
      <c r="E756">
        <f t="shared" si="11"/>
        <v>30</v>
      </c>
      <c r="F756" s="5">
        <f>D756*GiaDinh!$C$4-C756</f>
        <v>4.8979999999999961</v>
      </c>
      <c r="G756" s="5">
        <f>C756*GiaDinh!$C$6</f>
        <v>427.40071999999998</v>
      </c>
    </row>
    <row r="757" spans="1:7" x14ac:dyDescent="0.35">
      <c r="A757" t="s">
        <v>13</v>
      </c>
      <c r="B757">
        <v>71</v>
      </c>
      <c r="C757" s="5">
        <v>181.102</v>
      </c>
      <c r="D757">
        <f>ROUNDUP(C757/GiaDinh!$C$4-0.0005,0)</f>
        <v>31</v>
      </c>
      <c r="E757">
        <f t="shared" si="11"/>
        <v>30</v>
      </c>
      <c r="F757" s="5">
        <f>D757*GiaDinh!$C$4-C757</f>
        <v>4.8979999999999961</v>
      </c>
      <c r="G757" s="5">
        <f>C757*GiaDinh!$C$6</f>
        <v>427.40071999999998</v>
      </c>
    </row>
    <row r="758" spans="1:7" x14ac:dyDescent="0.35">
      <c r="A758" t="s">
        <v>13</v>
      </c>
      <c r="B758">
        <v>72</v>
      </c>
      <c r="C758" s="5">
        <v>181.102</v>
      </c>
      <c r="D758">
        <f>ROUNDUP(C758/GiaDinh!$C$4-0.0005,0)</f>
        <v>31</v>
      </c>
      <c r="E758">
        <f t="shared" si="11"/>
        <v>30</v>
      </c>
      <c r="F758" s="5">
        <f>D758*GiaDinh!$C$4-C758</f>
        <v>4.8979999999999961</v>
      </c>
      <c r="G758" s="5">
        <f>C758*GiaDinh!$C$6</f>
        <v>427.40071999999998</v>
      </c>
    </row>
    <row r="759" spans="1:7" x14ac:dyDescent="0.35">
      <c r="A759" t="s">
        <v>13</v>
      </c>
      <c r="B759">
        <v>73</v>
      </c>
      <c r="C759" s="5">
        <v>181.102</v>
      </c>
      <c r="D759">
        <f>ROUNDUP(C759/GiaDinh!$C$4-0.0005,0)</f>
        <v>31</v>
      </c>
      <c r="E759">
        <f t="shared" si="11"/>
        <v>30</v>
      </c>
      <c r="F759" s="5">
        <f>D759*GiaDinh!$C$4-C759</f>
        <v>4.8979999999999961</v>
      </c>
      <c r="G759" s="5">
        <f>C759*GiaDinh!$C$6</f>
        <v>427.40071999999998</v>
      </c>
    </row>
    <row r="760" spans="1:7" x14ac:dyDescent="0.35">
      <c r="A760" t="s">
        <v>13</v>
      </c>
      <c r="B760">
        <v>74</v>
      </c>
      <c r="C760" s="5">
        <v>181.102</v>
      </c>
      <c r="D760">
        <f>ROUNDUP(C760/GiaDinh!$C$4-0.0005,0)</f>
        <v>31</v>
      </c>
      <c r="E760">
        <f t="shared" si="11"/>
        <v>30</v>
      </c>
      <c r="F760" s="5">
        <f>D760*GiaDinh!$C$4-C760</f>
        <v>4.8979999999999961</v>
      </c>
      <c r="G760" s="5">
        <f>C760*GiaDinh!$C$6</f>
        <v>427.40071999999998</v>
      </c>
    </row>
    <row r="761" spans="1:7" x14ac:dyDescent="0.35">
      <c r="A761" t="s">
        <v>13</v>
      </c>
      <c r="B761">
        <v>75</v>
      </c>
      <c r="C761" s="5">
        <v>181.102</v>
      </c>
      <c r="D761">
        <f>ROUNDUP(C761/GiaDinh!$C$4-0.0005,0)</f>
        <v>31</v>
      </c>
      <c r="E761">
        <f t="shared" si="11"/>
        <v>30</v>
      </c>
      <c r="F761" s="5">
        <f>D761*GiaDinh!$C$4-C761</f>
        <v>4.8979999999999961</v>
      </c>
      <c r="G761" s="5">
        <f>C761*GiaDinh!$C$6</f>
        <v>427.40071999999998</v>
      </c>
    </row>
    <row r="762" spans="1:7" x14ac:dyDescent="0.35">
      <c r="A762" t="s">
        <v>13</v>
      </c>
      <c r="B762">
        <v>76</v>
      </c>
      <c r="C762" s="5">
        <v>181.102</v>
      </c>
      <c r="D762">
        <f>ROUNDUP(C762/GiaDinh!$C$4-0.0005,0)</f>
        <v>31</v>
      </c>
      <c r="E762">
        <f t="shared" si="11"/>
        <v>30</v>
      </c>
      <c r="F762" s="5">
        <f>D762*GiaDinh!$C$4-C762</f>
        <v>4.8979999999999961</v>
      </c>
      <c r="G762" s="5">
        <f>C762*GiaDinh!$C$6</f>
        <v>427.40071999999998</v>
      </c>
    </row>
    <row r="763" spans="1:7" x14ac:dyDescent="0.35">
      <c r="A763" t="s">
        <v>13</v>
      </c>
      <c r="B763">
        <v>77</v>
      </c>
      <c r="C763" s="5">
        <v>181.102</v>
      </c>
      <c r="D763">
        <f>ROUNDUP(C763/GiaDinh!$C$4-0.0005,0)</f>
        <v>31</v>
      </c>
      <c r="E763">
        <f t="shared" si="11"/>
        <v>30</v>
      </c>
      <c r="F763" s="5">
        <f>D763*GiaDinh!$C$4-C763</f>
        <v>4.8979999999999961</v>
      </c>
      <c r="G763" s="5">
        <f>C763*GiaDinh!$C$6</f>
        <v>427.40071999999998</v>
      </c>
    </row>
    <row r="764" spans="1:7" x14ac:dyDescent="0.35">
      <c r="A764" t="s">
        <v>13</v>
      </c>
      <c r="B764">
        <v>78</v>
      </c>
      <c r="C764" s="5">
        <v>181.102</v>
      </c>
      <c r="D764">
        <f>ROUNDUP(C764/GiaDinh!$C$4-0.0005,0)</f>
        <v>31</v>
      </c>
      <c r="E764">
        <f t="shared" si="11"/>
        <v>30</v>
      </c>
      <c r="F764" s="5">
        <f>D764*GiaDinh!$C$4-C764</f>
        <v>4.8979999999999961</v>
      </c>
      <c r="G764" s="5">
        <f>C764*GiaDinh!$C$6</f>
        <v>427.40071999999998</v>
      </c>
    </row>
    <row r="765" spans="1:7" x14ac:dyDescent="0.35">
      <c r="A765" t="s">
        <v>13</v>
      </c>
      <c r="B765">
        <v>79</v>
      </c>
      <c r="C765" s="5">
        <v>181.102</v>
      </c>
      <c r="D765">
        <f>ROUNDUP(C765/GiaDinh!$C$4-0.0005,0)</f>
        <v>31</v>
      </c>
      <c r="E765">
        <f t="shared" si="11"/>
        <v>30</v>
      </c>
      <c r="F765" s="5">
        <f>D765*GiaDinh!$C$4-C765</f>
        <v>4.8979999999999961</v>
      </c>
      <c r="G765" s="5">
        <f>C765*GiaDinh!$C$6</f>
        <v>427.40071999999998</v>
      </c>
    </row>
    <row r="766" spans="1:7" x14ac:dyDescent="0.35">
      <c r="A766" t="s">
        <v>13</v>
      </c>
      <c r="B766">
        <v>80</v>
      </c>
      <c r="C766" s="5">
        <v>181.102</v>
      </c>
      <c r="D766">
        <f>ROUNDUP(C766/GiaDinh!$C$4-0.0005,0)</f>
        <v>31</v>
      </c>
      <c r="E766">
        <f t="shared" si="11"/>
        <v>30</v>
      </c>
      <c r="F766" s="5">
        <f>D766*GiaDinh!$C$4-C766</f>
        <v>4.8979999999999961</v>
      </c>
      <c r="G766" s="5">
        <f>C766*GiaDinh!$C$6</f>
        <v>427.40071999999998</v>
      </c>
    </row>
    <row r="767" spans="1:7" x14ac:dyDescent="0.35">
      <c r="A767" t="s">
        <v>13</v>
      </c>
      <c r="B767">
        <v>81</v>
      </c>
      <c r="C767" s="5">
        <v>181.102</v>
      </c>
      <c r="D767">
        <f>ROUNDUP(C767/GiaDinh!$C$4-0.0005,0)</f>
        <v>31</v>
      </c>
      <c r="E767">
        <f t="shared" si="11"/>
        <v>30</v>
      </c>
      <c r="F767" s="5">
        <f>D767*GiaDinh!$C$4-C767</f>
        <v>4.8979999999999961</v>
      </c>
      <c r="G767" s="5">
        <f>C767*GiaDinh!$C$6</f>
        <v>427.40071999999998</v>
      </c>
    </row>
    <row r="768" spans="1:7" x14ac:dyDescent="0.35">
      <c r="A768" t="s">
        <v>13</v>
      </c>
      <c r="B768">
        <v>82</v>
      </c>
      <c r="C768" s="5">
        <v>181.102</v>
      </c>
      <c r="D768">
        <f>ROUNDUP(C768/GiaDinh!$C$4-0.0005,0)</f>
        <v>31</v>
      </c>
      <c r="E768">
        <f t="shared" si="11"/>
        <v>30</v>
      </c>
      <c r="F768" s="5">
        <f>D768*GiaDinh!$C$4-C768</f>
        <v>4.8979999999999961</v>
      </c>
      <c r="G768" s="5">
        <f>C768*GiaDinh!$C$6</f>
        <v>427.40071999999998</v>
      </c>
    </row>
    <row r="769" spans="1:7" x14ac:dyDescent="0.35">
      <c r="A769" t="s">
        <v>13</v>
      </c>
      <c r="B769">
        <v>83</v>
      </c>
      <c r="C769" s="5">
        <v>181.102</v>
      </c>
      <c r="D769">
        <f>ROUNDUP(C769/GiaDinh!$C$4-0.0005,0)</f>
        <v>31</v>
      </c>
      <c r="E769">
        <f t="shared" si="11"/>
        <v>30</v>
      </c>
      <c r="F769" s="5">
        <f>D769*GiaDinh!$C$4-C769</f>
        <v>4.8979999999999961</v>
      </c>
      <c r="G769" s="5">
        <f>C769*GiaDinh!$C$6</f>
        <v>427.40071999999998</v>
      </c>
    </row>
    <row r="770" spans="1:7" x14ac:dyDescent="0.35">
      <c r="A770" t="s">
        <v>13</v>
      </c>
      <c r="B770">
        <v>84</v>
      </c>
      <c r="C770" s="5">
        <v>181.102</v>
      </c>
      <c r="D770">
        <f>ROUNDUP(C770/GiaDinh!$C$4-0.0005,0)</f>
        <v>31</v>
      </c>
      <c r="E770">
        <f t="shared" si="11"/>
        <v>30</v>
      </c>
      <c r="F770" s="5">
        <f>D770*GiaDinh!$C$4-C770</f>
        <v>4.8979999999999961</v>
      </c>
      <c r="G770" s="5">
        <f>C770*GiaDinh!$C$6</f>
        <v>427.40071999999998</v>
      </c>
    </row>
    <row r="771" spans="1:7" x14ac:dyDescent="0.35">
      <c r="A771" t="s">
        <v>13</v>
      </c>
      <c r="B771">
        <v>85</v>
      </c>
      <c r="C771" s="5">
        <v>181.102</v>
      </c>
      <c r="D771">
        <f>ROUNDUP(C771/GiaDinh!$C$4-0.0005,0)</f>
        <v>31</v>
      </c>
      <c r="E771">
        <f t="shared" si="11"/>
        <v>30</v>
      </c>
      <c r="F771" s="5">
        <f>D771*GiaDinh!$C$4-C771</f>
        <v>4.8979999999999961</v>
      </c>
      <c r="G771" s="5">
        <f>C771*GiaDinh!$C$6</f>
        <v>427.40071999999998</v>
      </c>
    </row>
    <row r="772" spans="1:7" x14ac:dyDescent="0.35">
      <c r="A772" t="s">
        <v>13</v>
      </c>
      <c r="B772">
        <v>86</v>
      </c>
      <c r="C772" s="5">
        <v>181.102</v>
      </c>
      <c r="D772">
        <f>ROUNDUP(C772/GiaDinh!$C$4-0.0005,0)</f>
        <v>31</v>
      </c>
      <c r="E772">
        <f t="shared" ref="E772:E835" si="12">D772-1</f>
        <v>30</v>
      </c>
      <c r="F772" s="5">
        <f>D772*GiaDinh!$C$4-C772</f>
        <v>4.8979999999999961</v>
      </c>
      <c r="G772" s="5">
        <f>C772*GiaDinh!$C$6</f>
        <v>427.40071999999998</v>
      </c>
    </row>
    <row r="773" spans="1:7" x14ac:dyDescent="0.35">
      <c r="A773" t="s">
        <v>13</v>
      </c>
      <c r="B773">
        <v>87</v>
      </c>
      <c r="C773" s="5">
        <v>181.102</v>
      </c>
      <c r="D773">
        <f>ROUNDUP(C773/GiaDinh!$C$4-0.0005,0)</f>
        <v>31</v>
      </c>
      <c r="E773">
        <f t="shared" si="12"/>
        <v>30</v>
      </c>
      <c r="F773" s="5">
        <f>D773*GiaDinh!$C$4-C773</f>
        <v>4.8979999999999961</v>
      </c>
      <c r="G773" s="5">
        <f>C773*GiaDinh!$C$6</f>
        <v>427.40071999999998</v>
      </c>
    </row>
    <row r="774" spans="1:7" x14ac:dyDescent="0.35">
      <c r="A774" t="s">
        <v>13</v>
      </c>
      <c r="B774">
        <v>88</v>
      </c>
      <c r="C774" s="5">
        <v>181.102</v>
      </c>
      <c r="D774">
        <f>ROUNDUP(C774/GiaDinh!$C$4-0.0005,0)</f>
        <v>31</v>
      </c>
      <c r="E774">
        <f t="shared" si="12"/>
        <v>30</v>
      </c>
      <c r="F774" s="5">
        <f>D774*GiaDinh!$C$4-C774</f>
        <v>4.8979999999999961</v>
      </c>
      <c r="G774" s="5">
        <f>C774*GiaDinh!$C$6</f>
        <v>427.40071999999998</v>
      </c>
    </row>
    <row r="775" spans="1:7" x14ac:dyDescent="0.35">
      <c r="A775" t="s">
        <v>13</v>
      </c>
      <c r="B775">
        <v>89</v>
      </c>
      <c r="C775" s="5">
        <v>181.102</v>
      </c>
      <c r="D775">
        <f>ROUNDUP(C775/GiaDinh!$C$4-0.0005,0)</f>
        <v>31</v>
      </c>
      <c r="E775">
        <f t="shared" si="12"/>
        <v>30</v>
      </c>
      <c r="F775" s="5">
        <f>D775*GiaDinh!$C$4-C775</f>
        <v>4.8979999999999961</v>
      </c>
      <c r="G775" s="5">
        <f>C775*GiaDinh!$C$6</f>
        <v>427.40071999999998</v>
      </c>
    </row>
    <row r="776" spans="1:7" x14ac:dyDescent="0.35">
      <c r="A776" t="s">
        <v>13</v>
      </c>
      <c r="B776">
        <v>90</v>
      </c>
      <c r="C776" s="5">
        <v>181.102</v>
      </c>
      <c r="D776">
        <f>ROUNDUP(C776/GiaDinh!$C$4-0.0005,0)</f>
        <v>31</v>
      </c>
      <c r="E776">
        <f t="shared" si="12"/>
        <v>30</v>
      </c>
      <c r="F776" s="5">
        <f>D776*GiaDinh!$C$4-C776</f>
        <v>4.8979999999999961</v>
      </c>
      <c r="G776" s="5">
        <f>C776*GiaDinh!$C$6</f>
        <v>427.40071999999998</v>
      </c>
    </row>
    <row r="777" spans="1:7" x14ac:dyDescent="0.35">
      <c r="A777" t="s">
        <v>13</v>
      </c>
      <c r="B777">
        <v>91</v>
      </c>
      <c r="C777" s="5">
        <v>181.102</v>
      </c>
      <c r="D777">
        <f>ROUNDUP(C777/GiaDinh!$C$4-0.0005,0)</f>
        <v>31</v>
      </c>
      <c r="E777">
        <f t="shared" si="12"/>
        <v>30</v>
      </c>
      <c r="F777" s="5">
        <f>D777*GiaDinh!$C$4-C777</f>
        <v>4.8979999999999961</v>
      </c>
      <c r="G777" s="5">
        <f>C777*GiaDinh!$C$6</f>
        <v>427.40071999999998</v>
      </c>
    </row>
    <row r="778" spans="1:7" x14ac:dyDescent="0.35">
      <c r="A778" t="s">
        <v>13</v>
      </c>
      <c r="B778">
        <v>92</v>
      </c>
      <c r="C778" s="5">
        <v>181.102</v>
      </c>
      <c r="D778">
        <f>ROUNDUP(C778/GiaDinh!$C$4-0.0005,0)</f>
        <v>31</v>
      </c>
      <c r="E778">
        <f t="shared" si="12"/>
        <v>30</v>
      </c>
      <c r="F778" s="5">
        <f>D778*GiaDinh!$C$4-C778</f>
        <v>4.8979999999999961</v>
      </c>
      <c r="G778" s="5">
        <f>C778*GiaDinh!$C$6</f>
        <v>427.40071999999998</v>
      </c>
    </row>
    <row r="779" spans="1:7" x14ac:dyDescent="0.35">
      <c r="A779" t="s">
        <v>14</v>
      </c>
      <c r="B779">
        <v>1</v>
      </c>
      <c r="C779" s="5">
        <v>4.4530000000000003</v>
      </c>
      <c r="D779">
        <f>ROUNDUP(C779/GiaDinh!$C$4-0.0005,0)</f>
        <v>1</v>
      </c>
      <c r="E779">
        <f t="shared" si="12"/>
        <v>0</v>
      </c>
      <c r="F779" s="5">
        <f>D779*GiaDinh!$C$4-C779</f>
        <v>1.5469999999999997</v>
      </c>
      <c r="G779" s="5">
        <f>C779*GiaDinh!$C$6</f>
        <v>10.509080000000001</v>
      </c>
    </row>
    <row r="780" spans="1:7" x14ac:dyDescent="0.35">
      <c r="A780" t="s">
        <v>14</v>
      </c>
      <c r="B780">
        <v>2</v>
      </c>
      <c r="C780" s="5">
        <v>4.4530000000000003</v>
      </c>
      <c r="D780">
        <f>ROUNDUP(C780/GiaDinh!$C$4-0.0005,0)</f>
        <v>1</v>
      </c>
      <c r="E780">
        <f t="shared" si="12"/>
        <v>0</v>
      </c>
      <c r="F780" s="5">
        <f>D780*GiaDinh!$C$4-C780</f>
        <v>1.5469999999999997</v>
      </c>
      <c r="G780" s="5">
        <f>C780*GiaDinh!$C$6</f>
        <v>10.509080000000001</v>
      </c>
    </row>
    <row r="781" spans="1:7" x14ac:dyDescent="0.35">
      <c r="A781" t="s">
        <v>14</v>
      </c>
      <c r="B781">
        <v>3</v>
      </c>
      <c r="C781" s="5">
        <v>54.863999999999997</v>
      </c>
      <c r="D781">
        <f>ROUNDUP(C781/GiaDinh!$C$4-0.0005,0)</f>
        <v>10</v>
      </c>
      <c r="E781">
        <f t="shared" si="12"/>
        <v>9</v>
      </c>
      <c r="F781" s="5">
        <f>D781*GiaDinh!$C$4-C781</f>
        <v>5.1360000000000028</v>
      </c>
      <c r="G781" s="5">
        <f>C781*GiaDinh!$C$6</f>
        <v>129.47904</v>
      </c>
    </row>
    <row r="782" spans="1:7" x14ac:dyDescent="0.35">
      <c r="A782" t="s">
        <v>14</v>
      </c>
      <c r="B782">
        <v>4</v>
      </c>
      <c r="C782" s="5">
        <v>54.847000000000001</v>
      </c>
      <c r="D782">
        <f>ROUNDUP(C782/GiaDinh!$C$4-0.0005,0)</f>
        <v>10</v>
      </c>
      <c r="E782">
        <f t="shared" si="12"/>
        <v>9</v>
      </c>
      <c r="F782" s="5">
        <f>D782*GiaDinh!$C$4-C782</f>
        <v>5.1529999999999987</v>
      </c>
      <c r="G782" s="5">
        <f>C782*GiaDinh!$C$6</f>
        <v>129.43892</v>
      </c>
    </row>
    <row r="783" spans="1:7" x14ac:dyDescent="0.35">
      <c r="A783" t="s">
        <v>14</v>
      </c>
      <c r="B783">
        <v>5</v>
      </c>
      <c r="C783" s="5">
        <v>111.303</v>
      </c>
      <c r="D783">
        <f>ROUNDUP(C783/GiaDinh!$C$4-0.0005,0)</f>
        <v>19</v>
      </c>
      <c r="E783">
        <f t="shared" si="12"/>
        <v>18</v>
      </c>
      <c r="F783" s="5">
        <f>D783*GiaDinh!$C$4-C783</f>
        <v>2.6970000000000027</v>
      </c>
      <c r="G783" s="5">
        <f>C783*GiaDinh!$C$6</f>
        <v>262.67507999999998</v>
      </c>
    </row>
    <row r="784" spans="1:7" x14ac:dyDescent="0.35">
      <c r="A784" t="s">
        <v>14</v>
      </c>
      <c r="B784">
        <v>6</v>
      </c>
      <c r="C784" s="5">
        <v>111.303</v>
      </c>
      <c r="D784">
        <f>ROUNDUP(C784/GiaDinh!$C$4-0.0005,0)</f>
        <v>19</v>
      </c>
      <c r="E784">
        <f t="shared" si="12"/>
        <v>18</v>
      </c>
      <c r="F784" s="5">
        <f>D784*GiaDinh!$C$4-C784</f>
        <v>2.6970000000000027</v>
      </c>
      <c r="G784" s="5">
        <f>C784*GiaDinh!$C$6</f>
        <v>262.67507999999998</v>
      </c>
    </row>
    <row r="785" spans="1:7" x14ac:dyDescent="0.35">
      <c r="A785" t="s">
        <v>14</v>
      </c>
      <c r="B785">
        <v>7</v>
      </c>
      <c r="C785" s="5">
        <v>111.26900000000001</v>
      </c>
      <c r="D785">
        <f>ROUNDUP(C785/GiaDinh!$C$4-0.0005,0)</f>
        <v>19</v>
      </c>
      <c r="E785">
        <f t="shared" si="12"/>
        <v>18</v>
      </c>
      <c r="F785" s="5">
        <f>D785*GiaDinh!$C$4-C785</f>
        <v>2.7309999999999945</v>
      </c>
      <c r="G785" s="5">
        <f>C785*GiaDinh!$C$6</f>
        <v>262.59483999999998</v>
      </c>
    </row>
    <row r="786" spans="1:7" x14ac:dyDescent="0.35">
      <c r="A786" t="s">
        <v>14</v>
      </c>
      <c r="B786">
        <v>8</v>
      </c>
      <c r="C786" s="5">
        <v>111.303</v>
      </c>
      <c r="D786">
        <f>ROUNDUP(C786/GiaDinh!$C$4-0.0005,0)</f>
        <v>19</v>
      </c>
      <c r="E786">
        <f t="shared" si="12"/>
        <v>18</v>
      </c>
      <c r="F786" s="5">
        <f>D786*GiaDinh!$C$4-C786</f>
        <v>2.6970000000000027</v>
      </c>
      <c r="G786" s="5">
        <f>C786*GiaDinh!$C$6</f>
        <v>262.67507999999998</v>
      </c>
    </row>
    <row r="787" spans="1:7" x14ac:dyDescent="0.35">
      <c r="A787" t="s">
        <v>14</v>
      </c>
      <c r="B787">
        <v>9</v>
      </c>
      <c r="C787" s="5">
        <v>111.26900000000001</v>
      </c>
      <c r="D787">
        <f>ROUNDUP(C787/GiaDinh!$C$4-0.0005,0)</f>
        <v>19</v>
      </c>
      <c r="E787">
        <f t="shared" si="12"/>
        <v>18</v>
      </c>
      <c r="F787" s="5">
        <f>D787*GiaDinh!$C$4-C787</f>
        <v>2.7309999999999945</v>
      </c>
      <c r="G787" s="5">
        <f>C787*GiaDinh!$C$6</f>
        <v>262.59483999999998</v>
      </c>
    </row>
    <row r="788" spans="1:7" x14ac:dyDescent="0.35">
      <c r="A788" t="s">
        <v>14</v>
      </c>
      <c r="B788">
        <v>10</v>
      </c>
      <c r="C788" s="5">
        <v>111.303</v>
      </c>
      <c r="D788">
        <f>ROUNDUP(C788/GiaDinh!$C$4-0.0005,0)</f>
        <v>19</v>
      </c>
      <c r="E788">
        <f t="shared" si="12"/>
        <v>18</v>
      </c>
      <c r="F788" s="5">
        <f>D788*GiaDinh!$C$4-C788</f>
        <v>2.6970000000000027</v>
      </c>
      <c r="G788" s="5">
        <f>C788*GiaDinh!$C$6</f>
        <v>262.67507999999998</v>
      </c>
    </row>
    <row r="789" spans="1:7" x14ac:dyDescent="0.35">
      <c r="A789" t="s">
        <v>14</v>
      </c>
      <c r="B789">
        <v>11</v>
      </c>
      <c r="C789" s="5">
        <v>111.26900000000001</v>
      </c>
      <c r="D789">
        <f>ROUNDUP(C789/GiaDinh!$C$4-0.0005,0)</f>
        <v>19</v>
      </c>
      <c r="E789">
        <f t="shared" si="12"/>
        <v>18</v>
      </c>
      <c r="F789" s="5">
        <f>D789*GiaDinh!$C$4-C789</f>
        <v>2.7309999999999945</v>
      </c>
      <c r="G789" s="5">
        <f>C789*GiaDinh!$C$6</f>
        <v>262.59483999999998</v>
      </c>
    </row>
    <row r="790" spans="1:7" x14ac:dyDescent="0.35">
      <c r="A790" t="s">
        <v>14</v>
      </c>
      <c r="B790">
        <v>12</v>
      </c>
      <c r="C790" s="5">
        <v>111.303</v>
      </c>
      <c r="D790">
        <f>ROUNDUP(C790/GiaDinh!$C$4-0.0005,0)</f>
        <v>19</v>
      </c>
      <c r="E790">
        <f t="shared" si="12"/>
        <v>18</v>
      </c>
      <c r="F790" s="5">
        <f>D790*GiaDinh!$C$4-C790</f>
        <v>2.6970000000000027</v>
      </c>
      <c r="G790" s="5">
        <f>C790*GiaDinh!$C$6</f>
        <v>262.67507999999998</v>
      </c>
    </row>
    <row r="791" spans="1:7" x14ac:dyDescent="0.35">
      <c r="A791" t="s">
        <v>14</v>
      </c>
      <c r="B791">
        <v>13</v>
      </c>
      <c r="C791" s="5">
        <v>111.26900000000001</v>
      </c>
      <c r="D791">
        <f>ROUNDUP(C791/GiaDinh!$C$4-0.0005,0)</f>
        <v>19</v>
      </c>
      <c r="E791">
        <f t="shared" si="12"/>
        <v>18</v>
      </c>
      <c r="F791" s="5">
        <f>D791*GiaDinh!$C$4-C791</f>
        <v>2.7309999999999945</v>
      </c>
      <c r="G791" s="5">
        <f>C791*GiaDinh!$C$6</f>
        <v>262.59483999999998</v>
      </c>
    </row>
    <row r="792" spans="1:7" x14ac:dyDescent="0.35">
      <c r="A792" t="s">
        <v>14</v>
      </c>
      <c r="B792">
        <v>14</v>
      </c>
      <c r="C792" s="5">
        <v>111.303</v>
      </c>
      <c r="D792">
        <f>ROUNDUP(C792/GiaDinh!$C$4-0.0005,0)</f>
        <v>19</v>
      </c>
      <c r="E792">
        <f t="shared" si="12"/>
        <v>18</v>
      </c>
      <c r="F792" s="5">
        <f>D792*GiaDinh!$C$4-C792</f>
        <v>2.6970000000000027</v>
      </c>
      <c r="G792" s="5">
        <f>C792*GiaDinh!$C$6</f>
        <v>262.67507999999998</v>
      </c>
    </row>
    <row r="793" spans="1:7" x14ac:dyDescent="0.35">
      <c r="A793" t="s">
        <v>14</v>
      </c>
      <c r="B793">
        <v>15</v>
      </c>
      <c r="C793" s="5">
        <v>111.26900000000001</v>
      </c>
      <c r="D793">
        <f>ROUNDUP(C793/GiaDinh!$C$4-0.0005,0)</f>
        <v>19</v>
      </c>
      <c r="E793">
        <f t="shared" si="12"/>
        <v>18</v>
      </c>
      <c r="F793" s="5">
        <f>D793*GiaDinh!$C$4-C793</f>
        <v>2.7309999999999945</v>
      </c>
      <c r="G793" s="5">
        <f>C793*GiaDinh!$C$6</f>
        <v>262.59483999999998</v>
      </c>
    </row>
    <row r="794" spans="1:7" x14ac:dyDescent="0.35">
      <c r="A794" t="s">
        <v>14</v>
      </c>
      <c r="B794">
        <v>16</v>
      </c>
      <c r="C794" s="5">
        <v>111.303</v>
      </c>
      <c r="D794">
        <f>ROUNDUP(C794/GiaDinh!$C$4-0.0005,0)</f>
        <v>19</v>
      </c>
      <c r="E794">
        <f t="shared" si="12"/>
        <v>18</v>
      </c>
      <c r="F794" s="5">
        <f>D794*GiaDinh!$C$4-C794</f>
        <v>2.6970000000000027</v>
      </c>
      <c r="G794" s="5">
        <f>C794*GiaDinh!$C$6</f>
        <v>262.67507999999998</v>
      </c>
    </row>
    <row r="795" spans="1:7" x14ac:dyDescent="0.35">
      <c r="A795" t="s">
        <v>14</v>
      </c>
      <c r="B795">
        <v>17</v>
      </c>
      <c r="C795" s="5">
        <v>111.26900000000001</v>
      </c>
      <c r="D795">
        <f>ROUNDUP(C795/GiaDinh!$C$4-0.0005,0)</f>
        <v>19</v>
      </c>
      <c r="E795">
        <f t="shared" si="12"/>
        <v>18</v>
      </c>
      <c r="F795" s="5">
        <f>D795*GiaDinh!$C$4-C795</f>
        <v>2.7309999999999945</v>
      </c>
      <c r="G795" s="5">
        <f>C795*GiaDinh!$C$6</f>
        <v>262.59483999999998</v>
      </c>
    </row>
    <row r="796" spans="1:7" x14ac:dyDescent="0.35">
      <c r="A796" t="s">
        <v>14</v>
      </c>
      <c r="B796">
        <v>18</v>
      </c>
      <c r="C796" s="5">
        <v>111.303</v>
      </c>
      <c r="D796">
        <f>ROUNDUP(C796/GiaDinh!$C$4-0.0005,0)</f>
        <v>19</v>
      </c>
      <c r="E796">
        <f t="shared" si="12"/>
        <v>18</v>
      </c>
      <c r="F796" s="5">
        <f>D796*GiaDinh!$C$4-C796</f>
        <v>2.6970000000000027</v>
      </c>
      <c r="G796" s="5">
        <f>C796*GiaDinh!$C$6</f>
        <v>262.67507999999998</v>
      </c>
    </row>
    <row r="797" spans="1:7" x14ac:dyDescent="0.35">
      <c r="A797" t="s">
        <v>14</v>
      </c>
      <c r="B797">
        <v>19</v>
      </c>
      <c r="C797" s="5">
        <v>111.26900000000001</v>
      </c>
      <c r="D797">
        <f>ROUNDUP(C797/GiaDinh!$C$4-0.0005,0)</f>
        <v>19</v>
      </c>
      <c r="E797">
        <f t="shared" si="12"/>
        <v>18</v>
      </c>
      <c r="F797" s="5">
        <f>D797*GiaDinh!$C$4-C797</f>
        <v>2.7309999999999945</v>
      </c>
      <c r="G797" s="5">
        <f>C797*GiaDinh!$C$6</f>
        <v>262.59483999999998</v>
      </c>
    </row>
    <row r="798" spans="1:7" x14ac:dyDescent="0.35">
      <c r="A798" t="s">
        <v>14</v>
      </c>
      <c r="B798">
        <v>20</v>
      </c>
      <c r="C798" s="5">
        <v>111.303</v>
      </c>
      <c r="D798">
        <f>ROUNDUP(C798/GiaDinh!$C$4-0.0005,0)</f>
        <v>19</v>
      </c>
      <c r="E798">
        <f t="shared" si="12"/>
        <v>18</v>
      </c>
      <c r="F798" s="5">
        <f>D798*GiaDinh!$C$4-C798</f>
        <v>2.6970000000000027</v>
      </c>
      <c r="G798" s="5">
        <f>C798*GiaDinh!$C$6</f>
        <v>262.67507999999998</v>
      </c>
    </row>
    <row r="799" spans="1:7" x14ac:dyDescent="0.35">
      <c r="A799" t="s">
        <v>14</v>
      </c>
      <c r="B799">
        <v>21</v>
      </c>
      <c r="C799" s="5">
        <v>111.26900000000001</v>
      </c>
      <c r="D799">
        <f>ROUNDUP(C799/GiaDinh!$C$4-0.0005,0)</f>
        <v>19</v>
      </c>
      <c r="E799">
        <f t="shared" si="12"/>
        <v>18</v>
      </c>
      <c r="F799" s="5">
        <f>D799*GiaDinh!$C$4-C799</f>
        <v>2.7309999999999945</v>
      </c>
      <c r="G799" s="5">
        <f>C799*GiaDinh!$C$6</f>
        <v>262.59483999999998</v>
      </c>
    </row>
    <row r="800" spans="1:7" x14ac:dyDescent="0.35">
      <c r="A800" t="s">
        <v>14</v>
      </c>
      <c r="B800">
        <v>22</v>
      </c>
      <c r="C800" s="5">
        <v>111.303</v>
      </c>
      <c r="D800">
        <f>ROUNDUP(C800/GiaDinh!$C$4-0.0005,0)</f>
        <v>19</v>
      </c>
      <c r="E800">
        <f t="shared" si="12"/>
        <v>18</v>
      </c>
      <c r="F800" s="5">
        <f>D800*GiaDinh!$C$4-C800</f>
        <v>2.6970000000000027</v>
      </c>
      <c r="G800" s="5">
        <f>C800*GiaDinh!$C$6</f>
        <v>262.67507999999998</v>
      </c>
    </row>
    <row r="801" spans="1:7" x14ac:dyDescent="0.35">
      <c r="A801" t="s">
        <v>14</v>
      </c>
      <c r="B801">
        <v>23</v>
      </c>
      <c r="C801" s="5">
        <v>111.26900000000001</v>
      </c>
      <c r="D801">
        <f>ROUNDUP(C801/GiaDinh!$C$4-0.0005,0)</f>
        <v>19</v>
      </c>
      <c r="E801">
        <f t="shared" si="12"/>
        <v>18</v>
      </c>
      <c r="F801" s="5">
        <f>D801*GiaDinh!$C$4-C801</f>
        <v>2.7309999999999945</v>
      </c>
      <c r="G801" s="5">
        <f>C801*GiaDinh!$C$6</f>
        <v>262.59483999999998</v>
      </c>
    </row>
    <row r="802" spans="1:7" x14ac:dyDescent="0.35">
      <c r="A802" t="s">
        <v>14</v>
      </c>
      <c r="B802">
        <v>24</v>
      </c>
      <c r="C802" s="5">
        <v>111.303</v>
      </c>
      <c r="D802">
        <f>ROUNDUP(C802/GiaDinh!$C$4-0.0005,0)</f>
        <v>19</v>
      </c>
      <c r="E802">
        <f t="shared" si="12"/>
        <v>18</v>
      </c>
      <c r="F802" s="5">
        <f>D802*GiaDinh!$C$4-C802</f>
        <v>2.6970000000000027</v>
      </c>
      <c r="G802" s="5">
        <f>C802*GiaDinh!$C$6</f>
        <v>262.67507999999998</v>
      </c>
    </row>
    <row r="803" spans="1:7" x14ac:dyDescent="0.35">
      <c r="A803" t="s">
        <v>14</v>
      </c>
      <c r="B803">
        <v>25</v>
      </c>
      <c r="C803" s="5">
        <v>111.26900000000001</v>
      </c>
      <c r="D803">
        <f>ROUNDUP(C803/GiaDinh!$C$4-0.0005,0)</f>
        <v>19</v>
      </c>
      <c r="E803">
        <f t="shared" si="12"/>
        <v>18</v>
      </c>
      <c r="F803" s="5">
        <f>D803*GiaDinh!$C$4-C803</f>
        <v>2.7309999999999945</v>
      </c>
      <c r="G803" s="5">
        <f>C803*GiaDinh!$C$6</f>
        <v>262.59483999999998</v>
      </c>
    </row>
    <row r="804" spans="1:7" x14ac:dyDescent="0.35">
      <c r="A804" t="s">
        <v>14</v>
      </c>
      <c r="B804">
        <v>26</v>
      </c>
      <c r="C804" s="5">
        <v>111.303</v>
      </c>
      <c r="D804">
        <f>ROUNDUP(C804/GiaDinh!$C$4-0.0005,0)</f>
        <v>19</v>
      </c>
      <c r="E804">
        <f t="shared" si="12"/>
        <v>18</v>
      </c>
      <c r="F804" s="5">
        <f>D804*GiaDinh!$C$4-C804</f>
        <v>2.6970000000000027</v>
      </c>
      <c r="G804" s="5">
        <f>C804*GiaDinh!$C$6</f>
        <v>262.67507999999998</v>
      </c>
    </row>
    <row r="805" spans="1:7" x14ac:dyDescent="0.35">
      <c r="A805" t="s">
        <v>14</v>
      </c>
      <c r="B805">
        <v>27</v>
      </c>
      <c r="C805" s="5">
        <v>111.26900000000001</v>
      </c>
      <c r="D805">
        <f>ROUNDUP(C805/GiaDinh!$C$4-0.0005,0)</f>
        <v>19</v>
      </c>
      <c r="E805">
        <f t="shared" si="12"/>
        <v>18</v>
      </c>
      <c r="F805" s="5">
        <f>D805*GiaDinh!$C$4-C805</f>
        <v>2.7309999999999945</v>
      </c>
      <c r="G805" s="5">
        <f>C805*GiaDinh!$C$6</f>
        <v>262.59483999999998</v>
      </c>
    </row>
    <row r="806" spans="1:7" x14ac:dyDescent="0.35">
      <c r="A806" t="s">
        <v>14</v>
      </c>
      <c r="B806">
        <v>28</v>
      </c>
      <c r="C806" s="5">
        <v>111.303</v>
      </c>
      <c r="D806">
        <f>ROUNDUP(C806/GiaDinh!$C$4-0.0005,0)</f>
        <v>19</v>
      </c>
      <c r="E806">
        <f t="shared" si="12"/>
        <v>18</v>
      </c>
      <c r="F806" s="5">
        <f>D806*GiaDinh!$C$4-C806</f>
        <v>2.6970000000000027</v>
      </c>
      <c r="G806" s="5">
        <f>C806*GiaDinh!$C$6</f>
        <v>262.67507999999998</v>
      </c>
    </row>
    <row r="807" spans="1:7" x14ac:dyDescent="0.35">
      <c r="A807" t="s">
        <v>14</v>
      </c>
      <c r="B807">
        <v>29</v>
      </c>
      <c r="C807" s="5">
        <v>111.26900000000001</v>
      </c>
      <c r="D807">
        <f>ROUNDUP(C807/GiaDinh!$C$4-0.0005,0)</f>
        <v>19</v>
      </c>
      <c r="E807">
        <f t="shared" si="12"/>
        <v>18</v>
      </c>
      <c r="F807" s="5">
        <f>D807*GiaDinh!$C$4-C807</f>
        <v>2.7309999999999945</v>
      </c>
      <c r="G807" s="5">
        <f>C807*GiaDinh!$C$6</f>
        <v>262.59483999999998</v>
      </c>
    </row>
    <row r="808" spans="1:7" x14ac:dyDescent="0.35">
      <c r="A808" t="s">
        <v>14</v>
      </c>
      <c r="B808">
        <v>30</v>
      </c>
      <c r="C808" s="5">
        <v>111.303</v>
      </c>
      <c r="D808">
        <f>ROUNDUP(C808/GiaDinh!$C$4-0.0005,0)</f>
        <v>19</v>
      </c>
      <c r="E808">
        <f t="shared" si="12"/>
        <v>18</v>
      </c>
      <c r="F808" s="5">
        <f>D808*GiaDinh!$C$4-C808</f>
        <v>2.6970000000000027</v>
      </c>
      <c r="G808" s="5">
        <f>C808*GiaDinh!$C$6</f>
        <v>262.67507999999998</v>
      </c>
    </row>
    <row r="809" spans="1:7" x14ac:dyDescent="0.35">
      <c r="A809" t="s">
        <v>14</v>
      </c>
      <c r="B809">
        <v>31</v>
      </c>
      <c r="C809" s="5">
        <v>111.26900000000001</v>
      </c>
      <c r="D809">
        <f>ROUNDUP(C809/GiaDinh!$C$4-0.0005,0)</f>
        <v>19</v>
      </c>
      <c r="E809">
        <f t="shared" si="12"/>
        <v>18</v>
      </c>
      <c r="F809" s="5">
        <f>D809*GiaDinh!$C$4-C809</f>
        <v>2.7309999999999945</v>
      </c>
      <c r="G809" s="5">
        <f>C809*GiaDinh!$C$6</f>
        <v>262.59483999999998</v>
      </c>
    </row>
    <row r="810" spans="1:7" x14ac:dyDescent="0.35">
      <c r="A810" t="s">
        <v>14</v>
      </c>
      <c r="B810">
        <v>32</v>
      </c>
      <c r="C810" s="5">
        <v>111.303</v>
      </c>
      <c r="D810">
        <f>ROUNDUP(C810/GiaDinh!$C$4-0.0005,0)</f>
        <v>19</v>
      </c>
      <c r="E810">
        <f t="shared" si="12"/>
        <v>18</v>
      </c>
      <c r="F810" s="5">
        <f>D810*GiaDinh!$C$4-C810</f>
        <v>2.6970000000000027</v>
      </c>
      <c r="G810" s="5">
        <f>C810*GiaDinh!$C$6</f>
        <v>262.67507999999998</v>
      </c>
    </row>
    <row r="811" spans="1:7" x14ac:dyDescent="0.35">
      <c r="A811" t="s">
        <v>14</v>
      </c>
      <c r="B811">
        <v>33</v>
      </c>
      <c r="C811" s="5">
        <v>111.26900000000001</v>
      </c>
      <c r="D811">
        <f>ROUNDUP(C811/GiaDinh!$C$4-0.0005,0)</f>
        <v>19</v>
      </c>
      <c r="E811">
        <f t="shared" si="12"/>
        <v>18</v>
      </c>
      <c r="F811" s="5">
        <f>D811*GiaDinh!$C$4-C811</f>
        <v>2.7309999999999945</v>
      </c>
      <c r="G811" s="5">
        <f>C811*GiaDinh!$C$6</f>
        <v>262.59483999999998</v>
      </c>
    </row>
    <row r="812" spans="1:7" x14ac:dyDescent="0.35">
      <c r="A812" t="s">
        <v>14</v>
      </c>
      <c r="B812">
        <v>34</v>
      </c>
      <c r="C812" s="5">
        <v>111.26900000000001</v>
      </c>
      <c r="D812">
        <f>ROUNDUP(C812/GiaDinh!$C$4-0.0005,0)</f>
        <v>19</v>
      </c>
      <c r="E812">
        <f t="shared" si="12"/>
        <v>18</v>
      </c>
      <c r="F812" s="5">
        <f>D812*GiaDinh!$C$4-C812</f>
        <v>2.7309999999999945</v>
      </c>
      <c r="G812" s="5">
        <f>C812*GiaDinh!$C$6</f>
        <v>262.59483999999998</v>
      </c>
    </row>
    <row r="813" spans="1:7" x14ac:dyDescent="0.35">
      <c r="A813" t="s">
        <v>14</v>
      </c>
      <c r="B813">
        <v>35</v>
      </c>
      <c r="C813" s="5">
        <v>111.26900000000001</v>
      </c>
      <c r="D813">
        <f>ROUNDUP(C813/GiaDinh!$C$4-0.0005,0)</f>
        <v>19</v>
      </c>
      <c r="E813">
        <f t="shared" si="12"/>
        <v>18</v>
      </c>
      <c r="F813" s="5">
        <f>D813*GiaDinh!$C$4-C813</f>
        <v>2.7309999999999945</v>
      </c>
      <c r="G813" s="5">
        <f>C813*GiaDinh!$C$6</f>
        <v>262.59483999999998</v>
      </c>
    </row>
    <row r="814" spans="1:7" x14ac:dyDescent="0.35">
      <c r="C814" s="5"/>
      <c r="F814" s="5"/>
      <c r="G814" s="5"/>
    </row>
    <row r="815" spans="1:7" x14ac:dyDescent="0.35">
      <c r="C815" s="5"/>
      <c r="F815" s="5"/>
      <c r="G815" s="5"/>
    </row>
    <row r="816" spans="1:7" x14ac:dyDescent="0.35">
      <c r="C816" s="5"/>
      <c r="F816" s="5"/>
      <c r="G816" s="5"/>
    </row>
    <row r="817" spans="3:7" x14ac:dyDescent="0.35">
      <c r="C817" s="5"/>
      <c r="F817" s="5"/>
      <c r="G817" s="5"/>
    </row>
    <row r="818" spans="3:7" x14ac:dyDescent="0.35">
      <c r="C818" s="5"/>
      <c r="F818" s="5"/>
      <c r="G818" s="5"/>
    </row>
    <row r="819" spans="3:7" x14ac:dyDescent="0.35">
      <c r="C819" s="5"/>
      <c r="F819" s="5"/>
      <c r="G819" s="5"/>
    </row>
    <row r="820" spans="3:7" x14ac:dyDescent="0.35">
      <c r="C820" s="5"/>
      <c r="F820" s="5"/>
      <c r="G820" s="5"/>
    </row>
    <row r="821" spans="3:7" x14ac:dyDescent="0.35">
      <c r="C821" s="5"/>
      <c r="F821" s="5"/>
      <c r="G821" s="5"/>
    </row>
    <row r="822" spans="3:7" x14ac:dyDescent="0.35">
      <c r="C822" s="5"/>
      <c r="F822" s="5"/>
      <c r="G822" s="5"/>
    </row>
    <row r="823" spans="3:7" x14ac:dyDescent="0.35">
      <c r="C823" s="5"/>
      <c r="F823" s="5"/>
      <c r="G823" s="5"/>
    </row>
    <row r="824" spans="3:7" x14ac:dyDescent="0.35">
      <c r="C824" s="5"/>
      <c r="F824" s="5"/>
      <c r="G824" s="5"/>
    </row>
    <row r="825" spans="3:7" x14ac:dyDescent="0.35">
      <c r="C825" s="5"/>
      <c r="F825" s="5"/>
      <c r="G825" s="5"/>
    </row>
    <row r="826" spans="3:7" x14ac:dyDescent="0.35">
      <c r="C826" s="5"/>
      <c r="F826" s="5"/>
      <c r="G826" s="5"/>
    </row>
    <row r="827" spans="3:7" x14ac:dyDescent="0.35">
      <c r="C827" s="5"/>
      <c r="F827" s="5"/>
      <c r="G827" s="5"/>
    </row>
    <row r="828" spans="3:7" x14ac:dyDescent="0.35">
      <c r="C828" s="5"/>
      <c r="F828" s="5"/>
      <c r="G828" s="5"/>
    </row>
    <row r="829" spans="3:7" x14ac:dyDescent="0.35">
      <c r="C829" s="5"/>
      <c r="F829" s="5"/>
      <c r="G829" s="5"/>
    </row>
    <row r="830" spans="3:7" x14ac:dyDescent="0.35">
      <c r="C830" s="5"/>
      <c r="F830" s="5"/>
      <c r="G830" s="5"/>
    </row>
    <row r="831" spans="3:7" x14ac:dyDescent="0.35">
      <c r="C831" s="5"/>
      <c r="F831" s="5"/>
      <c r="G831" s="5"/>
    </row>
    <row r="832" spans="3:7" x14ac:dyDescent="0.35">
      <c r="C832" s="5"/>
      <c r="F832" s="5"/>
      <c r="G832" s="5"/>
    </row>
    <row r="833" spans="3:7" x14ac:dyDescent="0.35">
      <c r="C833" s="5"/>
      <c r="F833" s="5"/>
      <c r="G833" s="5"/>
    </row>
    <row r="834" spans="3:7" x14ac:dyDescent="0.35">
      <c r="C834" s="5"/>
      <c r="F834" s="5"/>
      <c r="G834" s="5"/>
    </row>
    <row r="835" spans="3:7" x14ac:dyDescent="0.35">
      <c r="C835" s="5"/>
      <c r="F835" s="5"/>
      <c r="G835" s="5"/>
    </row>
    <row r="836" spans="3:7" x14ac:dyDescent="0.35">
      <c r="C836" s="5"/>
      <c r="F836" s="5"/>
      <c r="G836" s="5"/>
    </row>
    <row r="837" spans="3:7" x14ac:dyDescent="0.35">
      <c r="C837" s="5"/>
      <c r="F837" s="5"/>
      <c r="G837" s="5"/>
    </row>
    <row r="838" spans="3:7" x14ac:dyDescent="0.35">
      <c r="C838" s="5"/>
      <c r="F838" s="5"/>
      <c r="G838" s="5"/>
    </row>
    <row r="839" spans="3:7" x14ac:dyDescent="0.35">
      <c r="C839" s="5"/>
      <c r="F839" s="5"/>
      <c r="G839" s="5"/>
    </row>
    <row r="840" spans="3:7" x14ac:dyDescent="0.35">
      <c r="C840" s="5"/>
      <c r="F840" s="5"/>
      <c r="G840" s="5"/>
    </row>
    <row r="841" spans="3:7" x14ac:dyDescent="0.35">
      <c r="C841" s="5"/>
      <c r="F841" s="5"/>
      <c r="G841" s="5"/>
    </row>
    <row r="842" spans="3:7" x14ac:dyDescent="0.35">
      <c r="C842" s="5"/>
      <c r="F842" s="5"/>
      <c r="G842" s="5"/>
    </row>
    <row r="843" spans="3:7" x14ac:dyDescent="0.35">
      <c r="C843" s="5"/>
      <c r="F843" s="5"/>
      <c r="G843" s="5"/>
    </row>
    <row r="844" spans="3:7" x14ac:dyDescent="0.35">
      <c r="C844" s="5"/>
      <c r="F844" s="5"/>
      <c r="G844" s="5"/>
    </row>
    <row r="845" spans="3:7" x14ac:dyDescent="0.35">
      <c r="C845" s="5"/>
      <c r="F845" s="5"/>
      <c r="G845" s="5"/>
    </row>
    <row r="846" spans="3:7" x14ac:dyDescent="0.35">
      <c r="C846" s="5"/>
      <c r="F846" s="5"/>
      <c r="G846" s="5"/>
    </row>
    <row r="847" spans="3:7" x14ac:dyDescent="0.35">
      <c r="C847" s="5"/>
      <c r="F847" s="5"/>
      <c r="G847" s="5"/>
    </row>
    <row r="848" spans="3:7" x14ac:dyDescent="0.35">
      <c r="C848" s="5"/>
      <c r="F848" s="5"/>
      <c r="G848" s="5"/>
    </row>
    <row r="849" spans="3:7" x14ac:dyDescent="0.35">
      <c r="C849" s="5"/>
      <c r="F849" s="5"/>
      <c r="G849" s="5"/>
    </row>
    <row r="850" spans="3:7" x14ac:dyDescent="0.35">
      <c r="C850" s="5"/>
      <c r="F850" s="5"/>
      <c r="G850" s="5"/>
    </row>
    <row r="851" spans="3:7" x14ac:dyDescent="0.35">
      <c r="C851" s="5"/>
      <c r="F851" s="5"/>
      <c r="G851" s="5"/>
    </row>
    <row r="852" spans="3:7" x14ac:dyDescent="0.35">
      <c r="C852" s="5"/>
      <c r="F852" s="5"/>
      <c r="G852" s="5"/>
    </row>
    <row r="853" spans="3:7" x14ac:dyDescent="0.35">
      <c r="C853" s="5"/>
      <c r="F853" s="5"/>
      <c r="G853" s="5"/>
    </row>
    <row r="854" spans="3:7" x14ac:dyDescent="0.35">
      <c r="C854" s="5"/>
      <c r="F854" s="5"/>
      <c r="G854" s="5"/>
    </row>
    <row r="855" spans="3:7" x14ac:dyDescent="0.35">
      <c r="C855" s="5"/>
      <c r="F855" s="5"/>
      <c r="G855" s="5"/>
    </row>
    <row r="856" spans="3:7" x14ac:dyDescent="0.35">
      <c r="C856" s="5"/>
      <c r="F856" s="5"/>
      <c r="G856" s="5"/>
    </row>
    <row r="857" spans="3:7" x14ac:dyDescent="0.35">
      <c r="C857" s="5"/>
      <c r="F857" s="5"/>
      <c r="G857" s="5"/>
    </row>
    <row r="858" spans="3:7" x14ac:dyDescent="0.35">
      <c r="C858" s="5"/>
      <c r="F858" s="5"/>
      <c r="G858" s="5"/>
    </row>
    <row r="859" spans="3:7" x14ac:dyDescent="0.35">
      <c r="C859" s="5"/>
      <c r="F859" s="5"/>
      <c r="G859" s="5"/>
    </row>
    <row r="860" spans="3:7" x14ac:dyDescent="0.35">
      <c r="C860" s="5"/>
      <c r="F860" s="5"/>
      <c r="G860" s="5"/>
    </row>
    <row r="861" spans="3:7" x14ac:dyDescent="0.35">
      <c r="C861" s="5"/>
      <c r="F861" s="5"/>
      <c r="G861" s="5"/>
    </row>
    <row r="862" spans="3:7" x14ac:dyDescent="0.35">
      <c r="C862" s="5"/>
      <c r="F862" s="5"/>
      <c r="G862" s="5"/>
    </row>
    <row r="863" spans="3:7" x14ac:dyDescent="0.35">
      <c r="C863" s="5"/>
      <c r="F863" s="5"/>
      <c r="G863" s="5"/>
    </row>
    <row r="864" spans="3:7" x14ac:dyDescent="0.35">
      <c r="C864" s="5"/>
      <c r="F864" s="5"/>
      <c r="G864" s="5"/>
    </row>
    <row r="865" spans="3:7" x14ac:dyDescent="0.35">
      <c r="C865" s="5"/>
      <c r="F865" s="5"/>
      <c r="G865" s="5"/>
    </row>
    <row r="866" spans="3:7" x14ac:dyDescent="0.35">
      <c r="C866" s="5"/>
      <c r="F866" s="5"/>
      <c r="G866" s="5"/>
    </row>
    <row r="867" spans="3:7" x14ac:dyDescent="0.35">
      <c r="C867" s="5"/>
      <c r="F867" s="5"/>
      <c r="G867" s="5"/>
    </row>
    <row r="868" spans="3:7" x14ac:dyDescent="0.35">
      <c r="C868" s="5"/>
      <c r="F868" s="5"/>
      <c r="G868" s="5"/>
    </row>
    <row r="869" spans="3:7" x14ac:dyDescent="0.35">
      <c r="C869" s="5"/>
      <c r="F869" s="5"/>
      <c r="G869" s="5"/>
    </row>
    <row r="870" spans="3:7" x14ac:dyDescent="0.35">
      <c r="C870" s="5"/>
      <c r="F870" s="5"/>
      <c r="G870" s="5"/>
    </row>
    <row r="871" spans="3:7" x14ac:dyDescent="0.35">
      <c r="C871" s="5"/>
      <c r="F871" s="5"/>
      <c r="G871" s="5"/>
    </row>
    <row r="872" spans="3:7" x14ac:dyDescent="0.35">
      <c r="C872" s="5"/>
      <c r="F872" s="5"/>
      <c r="G872" s="5"/>
    </row>
    <row r="873" spans="3:7" x14ac:dyDescent="0.35">
      <c r="C873" s="5"/>
      <c r="F873" s="5"/>
      <c r="G873" s="5"/>
    </row>
    <row r="874" spans="3:7" x14ac:dyDescent="0.35">
      <c r="C874" s="5"/>
      <c r="F874" s="5"/>
      <c r="G874" s="5"/>
    </row>
    <row r="875" spans="3:7" x14ac:dyDescent="0.35">
      <c r="C875" s="5"/>
      <c r="F875" s="5"/>
      <c r="G875" s="5"/>
    </row>
    <row r="876" spans="3:7" x14ac:dyDescent="0.35">
      <c r="C876" s="5"/>
      <c r="F876" s="5"/>
      <c r="G876" s="5"/>
    </row>
    <row r="877" spans="3:7" x14ac:dyDescent="0.35">
      <c r="C877" s="5"/>
      <c r="F877" s="5"/>
      <c r="G877" s="5"/>
    </row>
    <row r="878" spans="3:7" x14ac:dyDescent="0.35">
      <c r="C878" s="5"/>
      <c r="F878" s="5"/>
      <c r="G878" s="5"/>
    </row>
    <row r="879" spans="3:7" x14ac:dyDescent="0.35">
      <c r="C879" s="5"/>
      <c r="F879" s="5"/>
      <c r="G879" s="5"/>
    </row>
    <row r="880" spans="3:7" x14ac:dyDescent="0.35">
      <c r="C880" s="5"/>
      <c r="F880" s="5"/>
      <c r="G880" s="5"/>
    </row>
    <row r="881" spans="3:7" x14ac:dyDescent="0.35">
      <c r="C881" s="5"/>
      <c r="F881" s="5"/>
      <c r="G881" s="5"/>
    </row>
    <row r="882" spans="3:7" x14ac:dyDescent="0.35">
      <c r="C882" s="5"/>
      <c r="F882" s="5"/>
      <c r="G882" s="5"/>
    </row>
    <row r="883" spans="3:7" x14ac:dyDescent="0.35">
      <c r="C883" s="5"/>
      <c r="F883" s="5"/>
      <c r="G883" s="5"/>
    </row>
    <row r="884" spans="3:7" x14ac:dyDescent="0.35">
      <c r="C884" s="5"/>
      <c r="F884" s="5"/>
      <c r="G884" s="5"/>
    </row>
    <row r="885" spans="3:7" x14ac:dyDescent="0.35">
      <c r="C885" s="5"/>
      <c r="F885" s="5"/>
      <c r="G885" s="5"/>
    </row>
    <row r="886" spans="3:7" x14ac:dyDescent="0.35">
      <c r="C886" s="5"/>
      <c r="F886" s="5"/>
      <c r="G886" s="5"/>
    </row>
    <row r="887" spans="3:7" x14ac:dyDescent="0.35">
      <c r="C887" s="5"/>
      <c r="F887" s="5"/>
      <c r="G887" s="5"/>
    </row>
    <row r="888" spans="3:7" x14ac:dyDescent="0.35">
      <c r="C888" s="5"/>
      <c r="F888" s="5"/>
      <c r="G888" s="5"/>
    </row>
    <row r="889" spans="3:7" x14ac:dyDescent="0.35">
      <c r="C889" s="5"/>
      <c r="F889" s="5"/>
      <c r="G889" s="5"/>
    </row>
    <row r="890" spans="3:7" x14ac:dyDescent="0.35">
      <c r="C890" s="5"/>
      <c r="F890" s="5"/>
      <c r="G890" s="5"/>
    </row>
    <row r="891" spans="3:7" x14ac:dyDescent="0.35">
      <c r="C891" s="5"/>
      <c r="F891" s="5"/>
      <c r="G891" s="5"/>
    </row>
    <row r="892" spans="3:7" x14ac:dyDescent="0.35">
      <c r="C892" s="5"/>
      <c r="F892" s="5"/>
      <c r="G892" s="5"/>
    </row>
    <row r="893" spans="3:7" x14ac:dyDescent="0.35">
      <c r="C893" s="5"/>
      <c r="F893" s="5"/>
      <c r="G893" s="5"/>
    </row>
    <row r="894" spans="3:7" x14ac:dyDescent="0.35">
      <c r="C894" s="5"/>
      <c r="F894" s="5"/>
      <c r="G894" s="5"/>
    </row>
    <row r="895" spans="3:7" x14ac:dyDescent="0.35">
      <c r="C895" s="5"/>
      <c r="F895" s="5"/>
      <c r="G895" s="5"/>
    </row>
    <row r="896" spans="3:7" x14ac:dyDescent="0.35">
      <c r="C896" s="5"/>
      <c r="F896" s="5"/>
      <c r="G896" s="5"/>
    </row>
    <row r="897" spans="3:7" x14ac:dyDescent="0.35">
      <c r="C897" s="5"/>
      <c r="F897" s="5"/>
      <c r="G897" s="5"/>
    </row>
    <row r="898" spans="3:7" x14ac:dyDescent="0.35">
      <c r="C898" s="5"/>
      <c r="F898" s="5"/>
      <c r="G898" s="5"/>
    </row>
    <row r="899" spans="3:7" x14ac:dyDescent="0.35">
      <c r="C899" s="5"/>
      <c r="F899" s="5"/>
      <c r="G899" s="5"/>
    </row>
    <row r="900" spans="3:7" x14ac:dyDescent="0.35">
      <c r="C900" s="5"/>
      <c r="F900" s="5"/>
      <c r="G900" s="5"/>
    </row>
    <row r="901" spans="3:7" x14ac:dyDescent="0.35">
      <c r="C901" s="5"/>
      <c r="F901" s="5"/>
      <c r="G901" s="5"/>
    </row>
    <row r="902" spans="3:7" x14ac:dyDescent="0.35">
      <c r="C902" s="5"/>
      <c r="F902" s="5"/>
      <c r="G902" s="5"/>
    </row>
    <row r="903" spans="3:7" x14ac:dyDescent="0.35">
      <c r="C903" s="5"/>
      <c r="F903" s="5"/>
      <c r="G903" s="5"/>
    </row>
    <row r="904" spans="3:7" x14ac:dyDescent="0.35">
      <c r="C904" s="5"/>
      <c r="F904" s="5"/>
      <c r="G904" s="5"/>
    </row>
    <row r="905" spans="3:7" x14ac:dyDescent="0.35">
      <c r="C905" s="5"/>
      <c r="F905" s="5"/>
      <c r="G905" s="5"/>
    </row>
    <row r="906" spans="3:7" x14ac:dyDescent="0.35">
      <c r="C906" s="5"/>
      <c r="F906" s="5"/>
      <c r="G906" s="5"/>
    </row>
    <row r="907" spans="3:7" x14ac:dyDescent="0.35">
      <c r="C907" s="5"/>
      <c r="F907" s="5"/>
      <c r="G907" s="5"/>
    </row>
    <row r="908" spans="3:7" x14ac:dyDescent="0.35">
      <c r="C908" s="5"/>
      <c r="F908" s="5"/>
      <c r="G908" s="5"/>
    </row>
    <row r="909" spans="3:7" x14ac:dyDescent="0.35">
      <c r="C909" s="5"/>
      <c r="F909" s="5"/>
      <c r="G909" s="5"/>
    </row>
    <row r="910" spans="3:7" x14ac:dyDescent="0.35">
      <c r="C910" s="5"/>
      <c r="F910" s="5"/>
      <c r="G910" s="5"/>
    </row>
    <row r="911" spans="3:7" x14ac:dyDescent="0.35">
      <c r="C911" s="5"/>
      <c r="F911" s="5"/>
      <c r="G911" s="5"/>
    </row>
    <row r="912" spans="3:7" x14ac:dyDescent="0.35">
      <c r="C912" s="5"/>
      <c r="F912" s="5"/>
      <c r="G912" s="5"/>
    </row>
    <row r="913" spans="3:7" x14ac:dyDescent="0.35">
      <c r="C913" s="5"/>
      <c r="F913" s="5"/>
      <c r="G913" s="5"/>
    </row>
    <row r="914" spans="3:7" x14ac:dyDescent="0.35">
      <c r="C914" s="5"/>
      <c r="F914" s="5"/>
      <c r="G914" s="5"/>
    </row>
    <row r="915" spans="3:7" x14ac:dyDescent="0.35">
      <c r="C915" s="5"/>
      <c r="F915" s="5"/>
      <c r="G915" s="5"/>
    </row>
    <row r="916" spans="3:7" x14ac:dyDescent="0.35">
      <c r="C916" s="5"/>
      <c r="F916" s="5"/>
      <c r="G916" s="5"/>
    </row>
    <row r="917" spans="3:7" x14ac:dyDescent="0.35">
      <c r="C917" s="5"/>
      <c r="F917" s="5"/>
      <c r="G917" s="5"/>
    </row>
    <row r="918" spans="3:7" x14ac:dyDescent="0.35">
      <c r="C918" s="5"/>
      <c r="F918" s="5"/>
      <c r="G918" s="5"/>
    </row>
    <row r="919" spans="3:7" x14ac:dyDescent="0.35">
      <c r="C919" s="5"/>
      <c r="F919" s="5"/>
      <c r="G919" s="5"/>
    </row>
    <row r="920" spans="3:7" x14ac:dyDescent="0.35">
      <c r="C920" s="5"/>
      <c r="F920" s="5"/>
      <c r="G920" s="5"/>
    </row>
    <row r="921" spans="3:7" x14ac:dyDescent="0.35">
      <c r="C921" s="5"/>
      <c r="F921" s="5"/>
      <c r="G921" s="5"/>
    </row>
    <row r="922" spans="3:7" x14ac:dyDescent="0.35">
      <c r="C922" s="5"/>
      <c r="F922" s="5"/>
      <c r="G922" s="5"/>
    </row>
    <row r="923" spans="3:7" x14ac:dyDescent="0.35">
      <c r="C923" s="5"/>
      <c r="F923" s="5"/>
      <c r="G923" s="5"/>
    </row>
    <row r="924" spans="3:7" x14ac:dyDescent="0.35">
      <c r="C924" s="5"/>
      <c r="F924" s="5"/>
      <c r="G924" s="5"/>
    </row>
    <row r="925" spans="3:7" x14ac:dyDescent="0.35">
      <c r="C925" s="5"/>
      <c r="F925" s="5"/>
      <c r="G925" s="5"/>
    </row>
    <row r="926" spans="3:7" x14ac:dyDescent="0.35">
      <c r="C926" s="5"/>
      <c r="F926" s="5"/>
      <c r="G926" s="5"/>
    </row>
    <row r="927" spans="3:7" x14ac:dyDescent="0.35">
      <c r="C927" s="5"/>
      <c r="F927" s="5"/>
      <c r="G927" s="5"/>
    </row>
    <row r="928" spans="3:7" x14ac:dyDescent="0.35">
      <c r="C928" s="5"/>
      <c r="F928" s="5"/>
      <c r="G928" s="5"/>
    </row>
    <row r="929" spans="3:7" x14ac:dyDescent="0.35">
      <c r="C929" s="5"/>
      <c r="F929" s="5"/>
      <c r="G929" s="5"/>
    </row>
    <row r="930" spans="3:7" x14ac:dyDescent="0.35">
      <c r="C930" s="5"/>
      <c r="F930" s="5"/>
      <c r="G930" s="5"/>
    </row>
    <row r="931" spans="3:7" x14ac:dyDescent="0.35">
      <c r="C931" s="5"/>
      <c r="F931" s="5"/>
      <c r="G931" s="5"/>
    </row>
    <row r="932" spans="3:7" x14ac:dyDescent="0.35">
      <c r="C932" s="5"/>
      <c r="F932" s="5"/>
      <c r="G932" s="5"/>
    </row>
    <row r="933" spans="3:7" x14ac:dyDescent="0.35">
      <c r="C933" s="5"/>
      <c r="F933" s="5"/>
      <c r="G933" s="5"/>
    </row>
    <row r="934" spans="3:7" x14ac:dyDescent="0.35">
      <c r="C934" s="5"/>
      <c r="F934" s="5"/>
      <c r="G934" s="5"/>
    </row>
    <row r="935" spans="3:7" x14ac:dyDescent="0.35">
      <c r="C935" s="5"/>
      <c r="F935" s="5"/>
      <c r="G935" s="5"/>
    </row>
    <row r="936" spans="3:7" x14ac:dyDescent="0.35">
      <c r="C936" s="5"/>
      <c r="F936" s="5"/>
      <c r="G936" s="5"/>
    </row>
    <row r="937" spans="3:7" x14ac:dyDescent="0.35">
      <c r="C937" s="5"/>
      <c r="F937" s="5"/>
      <c r="G937" s="5"/>
    </row>
    <row r="938" spans="3:7" x14ac:dyDescent="0.35">
      <c r="C938" s="5"/>
      <c r="F938" s="5"/>
      <c r="G938" s="5"/>
    </row>
    <row r="939" spans="3:7" x14ac:dyDescent="0.35">
      <c r="C939" s="5"/>
      <c r="F939" s="5"/>
      <c r="G939" s="5"/>
    </row>
    <row r="940" spans="3:7" x14ac:dyDescent="0.35">
      <c r="C940" s="5"/>
      <c r="F940" s="5"/>
      <c r="G940" s="5"/>
    </row>
    <row r="941" spans="3:7" x14ac:dyDescent="0.35">
      <c r="C941" s="5"/>
      <c r="F941" s="5"/>
      <c r="G941" s="5"/>
    </row>
    <row r="942" spans="3:7" x14ac:dyDescent="0.35">
      <c r="C942" s="5"/>
      <c r="F942" s="5"/>
      <c r="G942" s="5"/>
    </row>
    <row r="943" spans="3:7" x14ac:dyDescent="0.35">
      <c r="C943" s="5"/>
      <c r="F943" s="5"/>
      <c r="G943" s="5"/>
    </row>
    <row r="944" spans="3:7" x14ac:dyDescent="0.35">
      <c r="C944" s="5"/>
      <c r="F944" s="5"/>
      <c r="G944" s="5"/>
    </row>
    <row r="945" spans="3:7" x14ac:dyDescent="0.35">
      <c r="C945" s="5"/>
      <c r="F945" s="5"/>
      <c r="G945" s="5"/>
    </row>
    <row r="946" spans="3:7" x14ac:dyDescent="0.35">
      <c r="C946" s="5"/>
      <c r="F946" s="5"/>
      <c r="G946" s="5"/>
    </row>
    <row r="947" spans="3:7" x14ac:dyDescent="0.35">
      <c r="C947" s="5"/>
      <c r="F947" s="5"/>
      <c r="G947" s="5"/>
    </row>
    <row r="948" spans="3:7" x14ac:dyDescent="0.35">
      <c r="C948" s="5"/>
      <c r="F948" s="5"/>
      <c r="G948" s="5"/>
    </row>
    <row r="949" spans="3:7" x14ac:dyDescent="0.35">
      <c r="C949" s="5"/>
      <c r="F949" s="5"/>
      <c r="G949" s="5"/>
    </row>
    <row r="950" spans="3:7" x14ac:dyDescent="0.35">
      <c r="C950" s="5"/>
      <c r="F950" s="5"/>
      <c r="G950" s="5"/>
    </row>
    <row r="951" spans="3:7" x14ac:dyDescent="0.35">
      <c r="C951" s="5"/>
      <c r="F951" s="5"/>
      <c r="G951" s="5"/>
    </row>
    <row r="952" spans="3:7" x14ac:dyDescent="0.35">
      <c r="C952" s="5"/>
      <c r="F952" s="5"/>
      <c r="G952" s="5"/>
    </row>
    <row r="953" spans="3:7" x14ac:dyDescent="0.35">
      <c r="C953" s="5"/>
      <c r="F953" s="5"/>
      <c r="G953" s="5"/>
    </row>
    <row r="954" spans="3:7" x14ac:dyDescent="0.35">
      <c r="C954" s="5"/>
      <c r="F954" s="5"/>
      <c r="G954" s="5"/>
    </row>
    <row r="955" spans="3:7" x14ac:dyDescent="0.35">
      <c r="C955" s="5"/>
      <c r="F955" s="5"/>
      <c r="G955" s="5"/>
    </row>
    <row r="956" spans="3:7" x14ac:dyDescent="0.35">
      <c r="C956" s="5"/>
      <c r="F956" s="5"/>
      <c r="G956" s="5"/>
    </row>
    <row r="957" spans="3:7" x14ac:dyDescent="0.35">
      <c r="C957" s="5"/>
      <c r="F957" s="5"/>
      <c r="G957" s="5"/>
    </row>
    <row r="958" spans="3:7" x14ac:dyDescent="0.35">
      <c r="C958" s="5"/>
      <c r="F958" s="5"/>
      <c r="G958" s="5"/>
    </row>
    <row r="959" spans="3:7" x14ac:dyDescent="0.35">
      <c r="C959" s="5"/>
      <c r="F959" s="5"/>
      <c r="G959" s="5"/>
    </row>
    <row r="960" spans="3:7" x14ac:dyDescent="0.35">
      <c r="C960" s="5"/>
      <c r="F960" s="5"/>
      <c r="G960" s="5"/>
    </row>
    <row r="961" spans="3:7" x14ac:dyDescent="0.35">
      <c r="C961" s="5"/>
      <c r="F961" s="5"/>
      <c r="G961" s="5"/>
    </row>
    <row r="962" spans="3:7" x14ac:dyDescent="0.35">
      <c r="C962" s="5"/>
      <c r="F962" s="5"/>
      <c r="G962" s="5"/>
    </row>
    <row r="963" spans="3:7" x14ac:dyDescent="0.35">
      <c r="C963" s="5"/>
      <c r="F963" s="5"/>
      <c r="G963" s="5"/>
    </row>
    <row r="964" spans="3:7" x14ac:dyDescent="0.35">
      <c r="C964" s="5"/>
      <c r="F964" s="5"/>
      <c r="G964" s="5"/>
    </row>
    <row r="965" spans="3:7" x14ac:dyDescent="0.35">
      <c r="C965" s="5"/>
      <c r="F965" s="5"/>
      <c r="G965" s="5"/>
    </row>
    <row r="966" spans="3:7" x14ac:dyDescent="0.35">
      <c r="C966" s="5"/>
      <c r="F966" s="5"/>
      <c r="G966" s="5"/>
    </row>
    <row r="967" spans="3:7" x14ac:dyDescent="0.35">
      <c r="C967" s="5"/>
      <c r="F967" s="5"/>
      <c r="G967" s="5"/>
    </row>
    <row r="968" spans="3:7" x14ac:dyDescent="0.35">
      <c r="C968" s="5"/>
      <c r="F968" s="5"/>
      <c r="G968" s="5"/>
    </row>
    <row r="969" spans="3:7" x14ac:dyDescent="0.35">
      <c r="C969" s="5"/>
      <c r="F969" s="5"/>
      <c r="G969" s="5"/>
    </row>
    <row r="970" spans="3:7" x14ac:dyDescent="0.35">
      <c r="C970" s="5"/>
      <c r="F970" s="5"/>
      <c r="G970" s="5"/>
    </row>
    <row r="971" spans="3:7" x14ac:dyDescent="0.35">
      <c r="C971" s="5"/>
      <c r="F971" s="5"/>
      <c r="G971" s="5"/>
    </row>
    <row r="972" spans="3:7" x14ac:dyDescent="0.35">
      <c r="C972" s="5"/>
      <c r="F972" s="5"/>
      <c r="G972" s="5"/>
    </row>
    <row r="973" spans="3:7" x14ac:dyDescent="0.35">
      <c r="C973" s="5"/>
      <c r="F973" s="5"/>
      <c r="G973" s="5"/>
    </row>
    <row r="974" spans="3:7" x14ac:dyDescent="0.35">
      <c r="C974" s="5"/>
      <c r="F974" s="5"/>
      <c r="G974" s="5"/>
    </row>
    <row r="975" spans="3:7" x14ac:dyDescent="0.35">
      <c r="C975" s="5"/>
      <c r="F975" s="5"/>
      <c r="G975" s="5"/>
    </row>
    <row r="976" spans="3:7" x14ac:dyDescent="0.35">
      <c r="C976" s="5"/>
      <c r="F976" s="5"/>
      <c r="G976" s="5"/>
    </row>
    <row r="977" spans="3:7" x14ac:dyDescent="0.35">
      <c r="C977" s="5"/>
      <c r="F977" s="5"/>
      <c r="G977" s="5"/>
    </row>
    <row r="978" spans="3:7" x14ac:dyDescent="0.35">
      <c r="C978" s="5"/>
      <c r="F978" s="5"/>
      <c r="G978" s="5"/>
    </row>
    <row r="979" spans="3:7" x14ac:dyDescent="0.35">
      <c r="C979" s="5"/>
      <c r="F979" s="5"/>
      <c r="G979" s="5"/>
    </row>
    <row r="980" spans="3:7" x14ac:dyDescent="0.35">
      <c r="C980" s="5"/>
      <c r="F980" s="5"/>
      <c r="G980" s="5"/>
    </row>
    <row r="981" spans="3:7" x14ac:dyDescent="0.35">
      <c r="C981" s="5"/>
      <c r="F981" s="5"/>
      <c r="G981" s="5"/>
    </row>
    <row r="982" spans="3:7" x14ac:dyDescent="0.35">
      <c r="C982" s="5"/>
      <c r="F982" s="5"/>
      <c r="G982" s="5"/>
    </row>
    <row r="983" spans="3:7" x14ac:dyDescent="0.35">
      <c r="C983" s="5"/>
      <c r="F983" s="5"/>
      <c r="G983" s="5"/>
    </row>
    <row r="984" spans="3:7" x14ac:dyDescent="0.35">
      <c r="C984" s="5"/>
      <c r="F984" s="5"/>
      <c r="G984" s="5"/>
    </row>
    <row r="985" spans="3:7" x14ac:dyDescent="0.35">
      <c r="C985" s="5"/>
      <c r="F985" s="5"/>
      <c r="G985" s="5"/>
    </row>
    <row r="986" spans="3:7" x14ac:dyDescent="0.35">
      <c r="C986" s="5"/>
      <c r="F986" s="5"/>
      <c r="G986" s="5"/>
    </row>
    <row r="987" spans="3:7" x14ac:dyDescent="0.35">
      <c r="C987" s="5"/>
      <c r="F987" s="5"/>
      <c r="G987" s="5"/>
    </row>
    <row r="988" spans="3:7" x14ac:dyDescent="0.35">
      <c r="C988" s="5"/>
      <c r="F988" s="5"/>
      <c r="G988" s="5"/>
    </row>
    <row r="989" spans="3:7" x14ac:dyDescent="0.35">
      <c r="C989" s="5"/>
      <c r="F989" s="5"/>
      <c r="G989" s="5"/>
    </row>
    <row r="990" spans="3:7" x14ac:dyDescent="0.35">
      <c r="C990" s="5"/>
      <c r="F990" s="5"/>
      <c r="G990" s="5"/>
    </row>
    <row r="991" spans="3:7" x14ac:dyDescent="0.35">
      <c r="C991" s="5"/>
      <c r="F991" s="5"/>
      <c r="G991" s="5"/>
    </row>
    <row r="992" spans="3:7" x14ac:dyDescent="0.35">
      <c r="C992" s="5"/>
      <c r="F992" s="5"/>
      <c r="G992" s="5"/>
    </row>
    <row r="993" spans="3:7" x14ac:dyDescent="0.35">
      <c r="C993" s="5"/>
      <c r="F993" s="5"/>
      <c r="G993" s="5"/>
    </row>
    <row r="994" spans="3:7" x14ac:dyDescent="0.35">
      <c r="C994" s="5"/>
      <c r="F994" s="5"/>
      <c r="G994" s="5"/>
    </row>
    <row r="995" spans="3:7" x14ac:dyDescent="0.35">
      <c r="C995" s="5"/>
      <c r="F995" s="5"/>
      <c r="G995" s="5"/>
    </row>
    <row r="996" spans="3:7" x14ac:dyDescent="0.35">
      <c r="C996" s="5"/>
      <c r="F996" s="5"/>
      <c r="G996" s="5"/>
    </row>
    <row r="997" spans="3:7" x14ac:dyDescent="0.35">
      <c r="C997" s="5"/>
      <c r="F997" s="5"/>
      <c r="G997" s="5"/>
    </row>
    <row r="998" spans="3:7" x14ac:dyDescent="0.35">
      <c r="C998" s="5"/>
      <c r="F998" s="5"/>
      <c r="G998" s="5"/>
    </row>
    <row r="999" spans="3:7" x14ac:dyDescent="0.35">
      <c r="C999" s="5"/>
      <c r="F999" s="5"/>
      <c r="G999" s="5"/>
    </row>
    <row r="1000" spans="3:7" x14ac:dyDescent="0.35">
      <c r="C1000" s="5"/>
      <c r="F1000" s="5"/>
      <c r="G1000" s="5"/>
    </row>
    <row r="1001" spans="3:7" x14ac:dyDescent="0.35">
      <c r="C1001" s="5"/>
      <c r="F1001" s="5"/>
      <c r="G1001" s="5"/>
    </row>
    <row r="1002" spans="3:7" x14ac:dyDescent="0.35">
      <c r="C1002" s="5"/>
      <c r="F1002" s="5"/>
      <c r="G1002" s="5"/>
    </row>
    <row r="1003" spans="3:7" x14ac:dyDescent="0.35">
      <c r="C1003" s="5"/>
      <c r="F1003" s="5"/>
      <c r="G1003" s="5"/>
    </row>
    <row r="1004" spans="3:7" x14ac:dyDescent="0.35">
      <c r="C1004" s="5"/>
      <c r="F1004" s="5"/>
      <c r="G1004" s="5"/>
    </row>
    <row r="1005" spans="3:7" x14ac:dyDescent="0.35">
      <c r="C1005" s="5"/>
      <c r="F1005" s="5"/>
      <c r="G1005" s="5"/>
    </row>
    <row r="1006" spans="3:7" x14ac:dyDescent="0.35">
      <c r="C1006" s="5"/>
      <c r="F1006" s="5"/>
      <c r="G1006" s="5"/>
    </row>
    <row r="1007" spans="3:7" x14ac:dyDescent="0.35">
      <c r="C1007" s="5"/>
      <c r="F1007" s="5"/>
      <c r="G1007" s="5"/>
    </row>
    <row r="1008" spans="3:7" x14ac:dyDescent="0.35">
      <c r="C1008" s="5"/>
      <c r="F1008" s="5"/>
      <c r="G1008" s="5"/>
    </row>
    <row r="1009" spans="3:7" x14ac:dyDescent="0.35">
      <c r="C1009" s="5"/>
      <c r="F1009" s="5"/>
      <c r="G1009" s="5"/>
    </row>
    <row r="1010" spans="3:7" x14ac:dyDescent="0.35">
      <c r="C1010" s="5"/>
      <c r="F1010" s="5"/>
      <c r="G1010" s="5"/>
    </row>
    <row r="1011" spans="3:7" x14ac:dyDescent="0.35">
      <c r="C1011" s="5"/>
      <c r="F1011" s="5"/>
      <c r="G1011" s="5"/>
    </row>
    <row r="1012" spans="3:7" x14ac:dyDescent="0.35">
      <c r="C1012" s="5"/>
      <c r="F1012" s="5"/>
      <c r="G1012" s="5"/>
    </row>
    <row r="1013" spans="3:7" x14ac:dyDescent="0.35">
      <c r="C1013" s="5"/>
      <c r="F1013" s="5"/>
      <c r="G1013" s="5"/>
    </row>
    <row r="1014" spans="3:7" x14ac:dyDescent="0.35">
      <c r="C1014" s="5"/>
      <c r="F1014" s="5"/>
      <c r="G1014" s="5"/>
    </row>
    <row r="1015" spans="3:7" x14ac:dyDescent="0.35">
      <c r="C1015" s="5"/>
      <c r="F1015" s="5"/>
      <c r="G1015" s="5"/>
    </row>
    <row r="1016" spans="3:7" x14ac:dyDescent="0.35">
      <c r="C1016" s="5"/>
      <c r="F1016" s="5"/>
      <c r="G1016" s="5"/>
    </row>
    <row r="1017" spans="3:7" x14ac:dyDescent="0.35">
      <c r="C1017" s="5"/>
      <c r="F1017" s="5"/>
      <c r="G1017" s="5"/>
    </row>
    <row r="1018" spans="3:7" x14ac:dyDescent="0.35">
      <c r="C1018" s="5"/>
      <c r="F1018" s="5"/>
      <c r="G1018" s="5"/>
    </row>
    <row r="1019" spans="3:7" x14ac:dyDescent="0.35">
      <c r="C1019" s="5"/>
      <c r="F1019" s="5"/>
      <c r="G1019" s="5"/>
    </row>
    <row r="1020" spans="3:7" x14ac:dyDescent="0.35">
      <c r="C1020" s="5"/>
      <c r="F1020" s="5"/>
      <c r="G1020" s="5"/>
    </row>
    <row r="1021" spans="3:7" x14ac:dyDescent="0.35">
      <c r="C1021" s="5"/>
      <c r="F1021" s="5"/>
      <c r="G1021" s="5"/>
    </row>
    <row r="1022" spans="3:7" x14ac:dyDescent="0.35">
      <c r="C1022" s="5"/>
      <c r="F1022" s="5"/>
      <c r="G1022" s="5"/>
    </row>
    <row r="1023" spans="3:7" x14ac:dyDescent="0.35">
      <c r="C1023" s="5"/>
      <c r="F1023" s="5"/>
      <c r="G1023" s="5"/>
    </row>
    <row r="1024" spans="3:7" x14ac:dyDescent="0.35">
      <c r="C1024" s="5"/>
      <c r="F1024" s="5"/>
      <c r="G1024" s="5"/>
    </row>
    <row r="1025" spans="3:7" x14ac:dyDescent="0.35">
      <c r="C1025" s="5"/>
      <c r="F1025" s="5"/>
      <c r="G1025" s="5"/>
    </row>
    <row r="1026" spans="3:7" x14ac:dyDescent="0.35">
      <c r="C1026" s="5"/>
      <c r="F1026" s="5"/>
      <c r="G1026" s="5"/>
    </row>
    <row r="1027" spans="3:7" x14ac:dyDescent="0.35">
      <c r="C1027" s="5"/>
      <c r="F1027" s="5"/>
      <c r="G1027" s="5"/>
    </row>
    <row r="1028" spans="3:7" x14ac:dyDescent="0.35">
      <c r="C1028" s="5"/>
      <c r="F1028" s="5"/>
      <c r="G1028" s="5"/>
    </row>
    <row r="1029" spans="3:7" x14ac:dyDescent="0.35">
      <c r="C1029" s="5"/>
      <c r="F1029" s="5"/>
      <c r="G1029" s="5"/>
    </row>
    <row r="1030" spans="3:7" x14ac:dyDescent="0.35">
      <c r="C1030" s="5"/>
      <c r="F1030" s="5"/>
      <c r="G1030" s="5"/>
    </row>
    <row r="1031" spans="3:7" x14ac:dyDescent="0.35">
      <c r="C1031" s="5"/>
      <c r="F1031" s="5"/>
      <c r="G1031" s="5"/>
    </row>
    <row r="1032" spans="3:7" x14ac:dyDescent="0.35">
      <c r="C1032" s="5"/>
      <c r="F1032" s="5"/>
      <c r="G1032" s="5"/>
    </row>
    <row r="1033" spans="3:7" x14ac:dyDescent="0.35">
      <c r="C1033" s="5"/>
      <c r="F1033" s="5"/>
      <c r="G1033" s="5"/>
    </row>
    <row r="1034" spans="3:7" x14ac:dyDescent="0.35">
      <c r="C1034" s="5"/>
      <c r="F1034" s="5"/>
      <c r="G1034" s="5"/>
    </row>
    <row r="1035" spans="3:7" x14ac:dyDescent="0.35">
      <c r="C1035" s="5"/>
      <c r="F1035" s="5"/>
      <c r="G1035" s="5"/>
    </row>
    <row r="1036" spans="3:7" x14ac:dyDescent="0.35">
      <c r="C1036" s="5"/>
      <c r="F1036" s="5"/>
      <c r="G1036" s="5"/>
    </row>
    <row r="1037" spans="3:7" x14ac:dyDescent="0.35">
      <c r="C1037" s="5"/>
      <c r="F1037" s="5"/>
      <c r="G1037" s="5"/>
    </row>
    <row r="1038" spans="3:7" x14ac:dyDescent="0.35">
      <c r="C1038" s="5"/>
      <c r="F1038" s="5"/>
      <c r="G1038" s="5"/>
    </row>
    <row r="1039" spans="3:7" x14ac:dyDescent="0.35">
      <c r="C1039" s="5"/>
      <c r="F1039" s="5"/>
      <c r="G1039" s="5"/>
    </row>
    <row r="1040" spans="3:7" x14ac:dyDescent="0.35">
      <c r="C1040" s="5"/>
      <c r="F1040" s="5"/>
      <c r="G1040" s="5"/>
    </row>
    <row r="1041" spans="3:7" x14ac:dyDescent="0.35">
      <c r="C1041" s="5"/>
      <c r="F1041" s="5"/>
      <c r="G1041" s="5"/>
    </row>
    <row r="1042" spans="3:7" x14ac:dyDescent="0.35">
      <c r="C1042" s="5"/>
      <c r="F1042" s="5"/>
      <c r="G1042" s="5"/>
    </row>
    <row r="1043" spans="3:7" x14ac:dyDescent="0.35">
      <c r="C1043" s="5"/>
      <c r="F1043" s="5"/>
      <c r="G1043" s="5"/>
    </row>
    <row r="1044" spans="3:7" x14ac:dyDescent="0.35">
      <c r="C1044" s="5"/>
      <c r="F1044" s="5"/>
      <c r="G1044" s="5"/>
    </row>
    <row r="1045" spans="3:7" x14ac:dyDescent="0.35">
      <c r="C1045" s="5"/>
      <c r="F1045" s="5"/>
      <c r="G1045" s="5"/>
    </row>
    <row r="1046" spans="3:7" x14ac:dyDescent="0.35">
      <c r="C1046" s="5"/>
      <c r="F1046" s="5"/>
      <c r="G1046" s="5"/>
    </row>
    <row r="1047" spans="3:7" x14ac:dyDescent="0.35">
      <c r="C1047" s="5"/>
      <c r="F1047" s="5"/>
      <c r="G1047" s="5"/>
    </row>
    <row r="1048" spans="3:7" x14ac:dyDescent="0.35">
      <c r="C1048" s="5"/>
      <c r="F1048" s="5"/>
      <c r="G1048" s="5"/>
    </row>
    <row r="1049" spans="3:7" x14ac:dyDescent="0.35">
      <c r="C1049" s="5"/>
      <c r="F1049" s="5"/>
      <c r="G1049" s="5"/>
    </row>
    <row r="1050" spans="3:7" x14ac:dyDescent="0.35">
      <c r="C1050" s="5"/>
      <c r="F1050" s="5"/>
      <c r="G1050" s="5"/>
    </row>
    <row r="1051" spans="3:7" x14ac:dyDescent="0.35">
      <c r="C1051" s="5"/>
      <c r="F1051" s="5"/>
      <c r="G1051" s="5"/>
    </row>
    <row r="1052" spans="3:7" x14ac:dyDescent="0.35">
      <c r="C1052" s="5"/>
      <c r="F1052" s="5"/>
      <c r="G1052" s="5"/>
    </row>
    <row r="1053" spans="3:7" x14ac:dyDescent="0.35">
      <c r="C1053" s="5"/>
      <c r="F1053" s="5"/>
      <c r="G1053" s="5"/>
    </row>
    <row r="1054" spans="3:7" x14ac:dyDescent="0.35">
      <c r="C1054" s="5"/>
      <c r="F1054" s="5"/>
      <c r="G1054" s="5"/>
    </row>
    <row r="1055" spans="3:7" x14ac:dyDescent="0.35">
      <c r="C1055" s="5"/>
      <c r="F1055" s="5"/>
      <c r="G1055" s="5"/>
    </row>
    <row r="1056" spans="3:7" x14ac:dyDescent="0.35">
      <c r="C1056" s="5"/>
      <c r="F1056" s="5"/>
      <c r="G1056" s="5"/>
    </row>
    <row r="1057" spans="3:7" x14ac:dyDescent="0.35">
      <c r="C1057" s="5"/>
      <c r="F1057" s="5"/>
      <c r="G1057" s="5"/>
    </row>
    <row r="1058" spans="3:7" x14ac:dyDescent="0.35">
      <c r="C1058" s="5"/>
      <c r="F1058" s="5"/>
      <c r="G1058" s="5"/>
    </row>
    <row r="1059" spans="3:7" x14ac:dyDescent="0.35">
      <c r="C1059" s="5"/>
      <c r="F1059" s="5"/>
      <c r="G1059" s="5"/>
    </row>
    <row r="1060" spans="3:7" x14ac:dyDescent="0.35">
      <c r="C1060" s="5"/>
      <c r="F1060" s="5"/>
      <c r="G1060" s="5"/>
    </row>
    <row r="1061" spans="3:7" x14ac:dyDescent="0.35">
      <c r="C1061" s="5"/>
      <c r="F1061" s="5"/>
      <c r="G1061" s="5"/>
    </row>
    <row r="1062" spans="3:7" x14ac:dyDescent="0.35">
      <c r="C1062" s="5"/>
      <c r="F1062" s="5"/>
      <c r="G1062" s="5"/>
    </row>
    <row r="1063" spans="3:7" x14ac:dyDescent="0.35">
      <c r="C1063" s="5"/>
      <c r="F1063" s="5"/>
      <c r="G1063" s="5"/>
    </row>
    <row r="1064" spans="3:7" x14ac:dyDescent="0.35">
      <c r="C1064" s="5"/>
      <c r="F1064" s="5"/>
      <c r="G1064" s="5"/>
    </row>
    <row r="1065" spans="3:7" x14ac:dyDescent="0.35">
      <c r="C1065" s="5"/>
      <c r="F1065" s="5"/>
      <c r="G1065" s="5"/>
    </row>
    <row r="1066" spans="3:7" x14ac:dyDescent="0.35">
      <c r="C1066" s="5"/>
      <c r="F1066" s="5"/>
      <c r="G1066" s="5"/>
    </row>
    <row r="1067" spans="3:7" x14ac:dyDescent="0.35">
      <c r="C1067" s="5"/>
      <c r="F1067" s="5"/>
      <c r="G1067" s="5"/>
    </row>
    <row r="1068" spans="3:7" x14ac:dyDescent="0.35">
      <c r="C1068" s="5"/>
      <c r="F1068" s="5"/>
      <c r="G1068" s="5"/>
    </row>
    <row r="1069" spans="3:7" x14ac:dyDescent="0.35">
      <c r="C1069" s="5"/>
      <c r="F1069" s="5"/>
      <c r="G1069" s="5"/>
    </row>
    <row r="1070" spans="3:7" x14ac:dyDescent="0.35">
      <c r="C1070" s="5"/>
      <c r="F1070" s="5"/>
      <c r="G1070" s="5"/>
    </row>
    <row r="1071" spans="3:7" x14ac:dyDescent="0.35">
      <c r="C1071" s="5"/>
      <c r="F1071" s="5"/>
      <c r="G1071" s="5"/>
    </row>
    <row r="1072" spans="3:7" x14ac:dyDescent="0.35">
      <c r="C1072" s="5"/>
      <c r="F1072" s="5"/>
      <c r="G1072" s="5"/>
    </row>
    <row r="1073" spans="3:7" x14ac:dyDescent="0.35">
      <c r="C1073" s="5"/>
      <c r="F1073" s="5"/>
      <c r="G1073" s="5"/>
    </row>
    <row r="1074" spans="3:7" x14ac:dyDescent="0.35">
      <c r="C1074" s="5"/>
      <c r="F1074" s="5"/>
      <c r="G1074" s="5"/>
    </row>
    <row r="1075" spans="3:7" x14ac:dyDescent="0.35">
      <c r="C1075" s="5"/>
      <c r="F1075" s="5"/>
      <c r="G1075" s="5"/>
    </row>
    <row r="1076" spans="3:7" x14ac:dyDescent="0.35">
      <c r="C1076" s="5"/>
      <c r="F1076" s="5"/>
      <c r="G1076" s="5"/>
    </row>
    <row r="1077" spans="3:7" x14ac:dyDescent="0.35">
      <c r="C1077" s="5"/>
      <c r="F1077" s="5"/>
      <c r="G1077" s="5"/>
    </row>
    <row r="1078" spans="3:7" x14ac:dyDescent="0.35">
      <c r="C1078" s="5"/>
      <c r="F1078" s="5"/>
      <c r="G1078" s="5"/>
    </row>
    <row r="1079" spans="3:7" x14ac:dyDescent="0.35">
      <c r="C1079" s="5"/>
      <c r="F1079" s="5"/>
      <c r="G1079" s="5"/>
    </row>
    <row r="1080" spans="3:7" x14ac:dyDescent="0.35">
      <c r="C1080" s="5"/>
      <c r="F1080" s="5"/>
      <c r="G1080" s="5"/>
    </row>
    <row r="1081" spans="3:7" x14ac:dyDescent="0.35">
      <c r="C1081" s="5"/>
      <c r="F1081" s="5"/>
      <c r="G1081" s="5"/>
    </row>
    <row r="1082" spans="3:7" x14ac:dyDescent="0.35">
      <c r="C1082" s="5"/>
      <c r="F1082" s="5"/>
      <c r="G1082" s="5"/>
    </row>
    <row r="1083" spans="3:7" x14ac:dyDescent="0.35">
      <c r="C1083" s="5"/>
      <c r="F1083" s="5"/>
      <c r="G1083" s="5"/>
    </row>
    <row r="1084" spans="3:7" x14ac:dyDescent="0.35">
      <c r="C1084" s="5"/>
      <c r="F1084" s="5"/>
      <c r="G1084" s="5"/>
    </row>
    <row r="1085" spans="3:7" x14ac:dyDescent="0.35">
      <c r="C1085" s="5"/>
      <c r="F1085" s="5"/>
      <c r="G1085" s="5"/>
    </row>
    <row r="1086" spans="3:7" x14ac:dyDescent="0.35">
      <c r="C1086" s="5"/>
      <c r="F1086" s="5"/>
      <c r="G1086" s="5"/>
    </row>
    <row r="1087" spans="3:7" x14ac:dyDescent="0.35">
      <c r="C1087" s="5"/>
      <c r="F1087" s="5"/>
      <c r="G1087" s="5"/>
    </row>
    <row r="1088" spans="3:7" x14ac:dyDescent="0.35">
      <c r="C1088" s="5"/>
      <c r="F1088" s="5"/>
      <c r="G1088" s="5"/>
    </row>
    <row r="1089" spans="3:7" x14ac:dyDescent="0.35">
      <c r="C1089" s="5"/>
      <c r="F1089" s="5"/>
      <c r="G1089" s="5"/>
    </row>
    <row r="1090" spans="3:7" x14ac:dyDescent="0.35">
      <c r="C1090" s="5"/>
      <c r="F1090" s="5"/>
      <c r="G1090" s="5"/>
    </row>
    <row r="1091" spans="3:7" x14ac:dyDescent="0.35">
      <c r="C1091" s="5"/>
      <c r="F1091" s="5"/>
      <c r="G1091" s="5"/>
    </row>
    <row r="1092" spans="3:7" x14ac:dyDescent="0.35">
      <c r="C1092" s="5"/>
      <c r="F1092" s="5"/>
      <c r="G1092" s="5"/>
    </row>
    <row r="1093" spans="3:7" x14ac:dyDescent="0.35">
      <c r="C1093" s="5"/>
      <c r="F1093" s="5"/>
      <c r="G1093" s="5"/>
    </row>
    <row r="1094" spans="3:7" x14ac:dyDescent="0.35">
      <c r="C1094" s="5"/>
      <c r="F1094" s="5"/>
      <c r="G1094" s="5"/>
    </row>
    <row r="1095" spans="3:7" x14ac:dyDescent="0.35">
      <c r="C1095" s="5"/>
      <c r="F1095" s="5"/>
      <c r="G1095" s="5"/>
    </row>
    <row r="1096" spans="3:7" x14ac:dyDescent="0.35">
      <c r="C1096" s="5"/>
      <c r="F1096" s="5"/>
      <c r="G1096" s="5"/>
    </row>
    <row r="1097" spans="3:7" x14ac:dyDescent="0.35">
      <c r="C1097" s="5"/>
      <c r="F1097" s="5"/>
      <c r="G1097" s="5"/>
    </row>
    <row r="1098" spans="3:7" x14ac:dyDescent="0.35">
      <c r="C1098" s="5"/>
      <c r="F1098" s="5"/>
      <c r="G1098" s="5"/>
    </row>
    <row r="1099" spans="3:7" x14ac:dyDescent="0.35">
      <c r="C1099" s="5"/>
      <c r="F1099" s="5"/>
      <c r="G1099" s="5"/>
    </row>
    <row r="1100" spans="3:7" x14ac:dyDescent="0.35">
      <c r="C1100" s="5"/>
      <c r="F1100" s="5"/>
      <c r="G1100" s="5"/>
    </row>
    <row r="1101" spans="3:7" x14ac:dyDescent="0.35">
      <c r="C1101" s="5"/>
      <c r="F1101" s="5"/>
      <c r="G1101" s="5"/>
    </row>
    <row r="1102" spans="3:7" x14ac:dyDescent="0.35">
      <c r="C1102" s="5"/>
      <c r="F1102" s="5"/>
      <c r="G1102" s="5"/>
    </row>
    <row r="1103" spans="3:7" x14ac:dyDescent="0.35">
      <c r="C1103" s="5"/>
      <c r="F1103" s="5"/>
      <c r="G1103" s="5"/>
    </row>
    <row r="1104" spans="3:7" x14ac:dyDescent="0.35">
      <c r="C1104" s="5"/>
      <c r="F1104" s="5"/>
      <c r="G1104" s="5"/>
    </row>
    <row r="1105" spans="3:7" x14ac:dyDescent="0.35">
      <c r="C1105" s="5"/>
      <c r="F1105" s="5"/>
      <c r="G1105" s="5"/>
    </row>
    <row r="1106" spans="3:7" x14ac:dyDescent="0.35">
      <c r="C1106" s="5"/>
      <c r="F1106" s="5"/>
      <c r="G1106" s="5"/>
    </row>
    <row r="1107" spans="3:7" x14ac:dyDescent="0.35">
      <c r="C1107" s="5"/>
      <c r="F1107" s="5"/>
      <c r="G1107" s="5"/>
    </row>
    <row r="1108" spans="3:7" x14ac:dyDescent="0.35">
      <c r="C1108" s="5"/>
      <c r="F1108" s="5"/>
      <c r="G1108" s="5"/>
    </row>
    <row r="1109" spans="3:7" x14ac:dyDescent="0.35">
      <c r="C1109" s="5"/>
      <c r="F1109" s="5"/>
      <c r="G1109" s="5"/>
    </row>
    <row r="1110" spans="3:7" x14ac:dyDescent="0.35">
      <c r="C1110" s="5"/>
      <c r="F1110" s="5"/>
      <c r="G1110" s="5"/>
    </row>
    <row r="1111" spans="3:7" x14ac:dyDescent="0.35">
      <c r="C1111" s="5"/>
      <c r="F1111" s="5"/>
      <c r="G1111" s="5"/>
    </row>
    <row r="1112" spans="3:7" x14ac:dyDescent="0.35">
      <c r="C1112" s="5"/>
      <c r="F1112" s="5"/>
      <c r="G1112" s="5"/>
    </row>
    <row r="1113" spans="3:7" x14ac:dyDescent="0.35">
      <c r="C1113" s="5"/>
      <c r="F1113" s="5"/>
      <c r="G1113" s="5"/>
    </row>
    <row r="1114" spans="3:7" x14ac:dyDescent="0.35">
      <c r="C1114" s="5"/>
      <c r="F1114" s="5"/>
      <c r="G1114" s="5"/>
    </row>
    <row r="1115" spans="3:7" x14ac:dyDescent="0.35">
      <c r="C1115" s="5"/>
      <c r="F1115" s="5"/>
      <c r="G1115" s="5"/>
    </row>
    <row r="1116" spans="3:7" x14ac:dyDescent="0.35">
      <c r="C1116" s="5"/>
      <c r="F1116" s="5"/>
      <c r="G1116" s="5"/>
    </row>
    <row r="1117" spans="3:7" x14ac:dyDescent="0.35">
      <c r="C1117" s="5"/>
      <c r="F1117" s="5"/>
      <c r="G1117" s="5"/>
    </row>
    <row r="1118" spans="3:7" x14ac:dyDescent="0.35">
      <c r="C1118" s="5"/>
      <c r="F1118" s="5"/>
      <c r="G1118" s="5"/>
    </row>
    <row r="1119" spans="3:7" x14ac:dyDescent="0.35">
      <c r="C1119" s="5"/>
      <c r="F1119" s="5"/>
      <c r="G1119" s="5"/>
    </row>
    <row r="1120" spans="3:7" x14ac:dyDescent="0.35">
      <c r="C1120" s="5"/>
      <c r="F1120" s="5"/>
      <c r="G1120" s="5"/>
    </row>
    <row r="1121" spans="3:7" x14ac:dyDescent="0.35">
      <c r="C1121" s="5"/>
      <c r="F1121" s="5"/>
      <c r="G1121" s="5"/>
    </row>
    <row r="1122" spans="3:7" x14ac:dyDescent="0.35">
      <c r="C1122" s="5"/>
      <c r="F1122" s="5"/>
      <c r="G1122" s="5"/>
    </row>
    <row r="1123" spans="3:7" x14ac:dyDescent="0.35">
      <c r="C1123" s="5"/>
      <c r="F1123" s="5"/>
      <c r="G1123" s="5"/>
    </row>
    <row r="1124" spans="3:7" x14ac:dyDescent="0.35">
      <c r="C1124" s="5"/>
      <c r="F1124" s="5"/>
      <c r="G1124" s="5"/>
    </row>
    <row r="1125" spans="3:7" x14ac:dyDescent="0.35">
      <c r="C1125" s="5"/>
      <c r="F1125" s="5"/>
      <c r="G1125" s="5"/>
    </row>
    <row r="1126" spans="3:7" x14ac:dyDescent="0.35">
      <c r="C1126" s="5"/>
      <c r="F1126" s="5"/>
      <c r="G1126" s="5"/>
    </row>
    <row r="1127" spans="3:7" x14ac:dyDescent="0.35">
      <c r="C1127" s="5"/>
      <c r="F1127" s="5"/>
      <c r="G1127" s="5"/>
    </row>
    <row r="1128" spans="3:7" x14ac:dyDescent="0.35">
      <c r="C1128" s="5"/>
      <c r="F1128" s="5"/>
      <c r="G1128" s="5"/>
    </row>
    <row r="1129" spans="3:7" x14ac:dyDescent="0.35">
      <c r="C1129" s="5"/>
      <c r="F1129" s="5"/>
      <c r="G1129" s="5"/>
    </row>
    <row r="1130" spans="3:7" x14ac:dyDescent="0.35">
      <c r="C1130" s="5"/>
      <c r="F1130" s="5"/>
      <c r="G1130" s="5"/>
    </row>
    <row r="1131" spans="3:7" x14ac:dyDescent="0.35">
      <c r="C1131" s="5"/>
      <c r="F1131" s="5"/>
      <c r="G1131" s="5"/>
    </row>
    <row r="1132" spans="3:7" x14ac:dyDescent="0.35">
      <c r="C1132" s="5"/>
      <c r="F1132" s="5"/>
      <c r="G1132" s="5"/>
    </row>
    <row r="1133" spans="3:7" x14ac:dyDescent="0.35">
      <c r="C1133" s="5"/>
      <c r="F1133" s="5"/>
      <c r="G1133" s="5"/>
    </row>
    <row r="1134" spans="3:7" x14ac:dyDescent="0.35">
      <c r="C1134" s="5"/>
      <c r="F1134" s="5"/>
      <c r="G1134" s="5"/>
    </row>
    <row r="1135" spans="3:7" x14ac:dyDescent="0.35">
      <c r="C1135" s="5"/>
      <c r="F1135" s="5"/>
      <c r="G1135" s="5"/>
    </row>
    <row r="1136" spans="3:7" x14ac:dyDescent="0.35">
      <c r="C1136" s="5"/>
      <c r="F1136" s="5"/>
      <c r="G1136" s="5"/>
    </row>
    <row r="1137" spans="3:7" x14ac:dyDescent="0.35">
      <c r="C1137" s="5"/>
      <c r="F1137" s="5"/>
      <c r="G1137" s="5"/>
    </row>
    <row r="1138" spans="3:7" x14ac:dyDescent="0.35">
      <c r="C1138" s="5"/>
      <c r="F1138" s="5"/>
      <c r="G1138" s="5"/>
    </row>
    <row r="1139" spans="3:7" x14ac:dyDescent="0.35">
      <c r="C1139" s="5"/>
      <c r="F1139" s="5"/>
      <c r="G1139" s="5"/>
    </row>
    <row r="1140" spans="3:7" x14ac:dyDescent="0.35">
      <c r="C1140" s="5"/>
      <c r="F1140" s="5"/>
      <c r="G1140" s="5"/>
    </row>
    <row r="1141" spans="3:7" x14ac:dyDescent="0.35">
      <c r="C1141" s="5"/>
      <c r="F1141" s="5"/>
      <c r="G1141" s="5"/>
    </row>
    <row r="1142" spans="3:7" x14ac:dyDescent="0.35">
      <c r="C1142" s="5"/>
      <c r="F1142" s="5"/>
      <c r="G1142" s="5"/>
    </row>
    <row r="1143" spans="3:7" x14ac:dyDescent="0.35">
      <c r="C1143" s="5"/>
      <c r="F1143" s="5"/>
      <c r="G1143" s="5"/>
    </row>
    <row r="1144" spans="3:7" x14ac:dyDescent="0.35">
      <c r="C1144" s="5"/>
      <c r="F1144" s="5"/>
      <c r="G1144" s="5"/>
    </row>
    <row r="1145" spans="3:7" x14ac:dyDescent="0.35">
      <c r="C1145" s="5"/>
      <c r="F1145" s="5"/>
      <c r="G1145" s="5"/>
    </row>
    <row r="1146" spans="3:7" x14ac:dyDescent="0.35">
      <c r="C1146" s="5"/>
      <c r="F1146" s="5"/>
      <c r="G1146" s="5"/>
    </row>
    <row r="1147" spans="3:7" x14ac:dyDescent="0.35">
      <c r="C1147" s="5"/>
      <c r="F1147" s="5"/>
      <c r="G1147" s="5"/>
    </row>
    <row r="1148" spans="3:7" x14ac:dyDescent="0.35">
      <c r="C1148" s="5"/>
      <c r="F1148" s="5"/>
      <c r="G1148" s="5"/>
    </row>
    <row r="1149" spans="3:7" x14ac:dyDescent="0.35">
      <c r="C1149" s="5"/>
      <c r="F1149" s="5"/>
      <c r="G1149" s="5"/>
    </row>
    <row r="1150" spans="3:7" x14ac:dyDescent="0.35">
      <c r="C1150" s="5"/>
      <c r="F1150" s="5"/>
      <c r="G1150" s="5"/>
    </row>
    <row r="1151" spans="3:7" x14ac:dyDescent="0.35">
      <c r="C1151" s="5"/>
      <c r="F1151" s="5"/>
      <c r="G1151" s="5"/>
    </row>
    <row r="1152" spans="3:7" x14ac:dyDescent="0.35">
      <c r="C1152" s="5"/>
      <c r="F1152" s="5"/>
      <c r="G1152" s="5"/>
    </row>
    <row r="1153" spans="3:7" x14ac:dyDescent="0.35">
      <c r="C1153" s="5"/>
      <c r="F1153" s="5"/>
      <c r="G1153" s="5"/>
    </row>
    <row r="1154" spans="3:7" x14ac:dyDescent="0.35">
      <c r="C1154" s="5"/>
      <c r="F1154" s="5"/>
      <c r="G1154" s="5"/>
    </row>
    <row r="1155" spans="3:7" x14ac:dyDescent="0.35">
      <c r="C1155" s="5"/>
      <c r="F1155" s="5"/>
      <c r="G1155" s="5"/>
    </row>
    <row r="1156" spans="3:7" x14ac:dyDescent="0.35">
      <c r="C1156" s="5"/>
      <c r="F1156" s="5"/>
      <c r="G1156" s="5"/>
    </row>
    <row r="1157" spans="3:7" x14ac:dyDescent="0.35">
      <c r="C1157" s="5"/>
      <c r="F1157" s="5"/>
      <c r="G1157" s="5"/>
    </row>
    <row r="1158" spans="3:7" x14ac:dyDescent="0.35">
      <c r="C1158" s="5"/>
      <c r="F1158" s="5"/>
      <c r="G1158" s="5"/>
    </row>
    <row r="1159" spans="3:7" x14ac:dyDescent="0.35">
      <c r="C1159" s="5"/>
      <c r="F1159" s="5"/>
      <c r="G1159" s="5"/>
    </row>
    <row r="1160" spans="3:7" x14ac:dyDescent="0.35">
      <c r="C1160" s="5"/>
      <c r="F1160" s="5"/>
      <c r="G1160" s="5"/>
    </row>
    <row r="1161" spans="3:7" x14ac:dyDescent="0.35">
      <c r="C1161" s="5"/>
      <c r="F1161" s="5"/>
      <c r="G1161" s="5"/>
    </row>
    <row r="1162" spans="3:7" x14ac:dyDescent="0.35">
      <c r="C1162" s="5"/>
      <c r="F1162" s="5"/>
      <c r="G1162" s="5"/>
    </row>
    <row r="1163" spans="3:7" x14ac:dyDescent="0.35">
      <c r="C1163" s="5"/>
      <c r="F1163" s="5"/>
      <c r="G1163" s="5"/>
    </row>
    <row r="1164" spans="3:7" x14ac:dyDescent="0.35">
      <c r="C1164" s="5"/>
      <c r="F1164" s="5"/>
      <c r="G1164" s="5"/>
    </row>
    <row r="1165" spans="3:7" x14ac:dyDescent="0.35">
      <c r="C1165" s="5"/>
      <c r="F1165" s="5"/>
      <c r="G1165" s="5"/>
    </row>
    <row r="1166" spans="3:7" x14ac:dyDescent="0.35">
      <c r="C1166" s="5"/>
      <c r="F1166" s="5"/>
      <c r="G1166" s="5"/>
    </row>
    <row r="1167" spans="3:7" x14ac:dyDescent="0.35">
      <c r="C1167" s="5"/>
      <c r="F1167" s="5"/>
      <c r="G1167" s="5"/>
    </row>
    <row r="1168" spans="3:7" x14ac:dyDescent="0.35">
      <c r="C1168" s="5"/>
      <c r="F1168" s="5"/>
      <c r="G1168" s="5"/>
    </row>
    <row r="1169" spans="3:7" x14ac:dyDescent="0.35">
      <c r="C1169" s="5"/>
      <c r="F1169" s="5"/>
      <c r="G1169" s="5"/>
    </row>
    <row r="1170" spans="3:7" x14ac:dyDescent="0.35">
      <c r="C1170" s="5"/>
      <c r="F1170" s="5"/>
      <c r="G1170" s="5"/>
    </row>
    <row r="1171" spans="3:7" x14ac:dyDescent="0.35">
      <c r="C1171" s="5"/>
      <c r="F1171" s="5"/>
      <c r="G1171" s="5"/>
    </row>
    <row r="1172" spans="3:7" x14ac:dyDescent="0.35">
      <c r="C1172" s="5"/>
      <c r="F1172" s="5"/>
      <c r="G1172" s="5"/>
    </row>
    <row r="1173" spans="3:7" x14ac:dyDescent="0.35">
      <c r="C1173" s="5"/>
      <c r="F1173" s="5"/>
      <c r="G1173" s="5"/>
    </row>
    <row r="1174" spans="3:7" x14ac:dyDescent="0.35">
      <c r="C1174" s="5"/>
      <c r="F1174" s="5"/>
      <c r="G1174" s="5"/>
    </row>
    <row r="1175" spans="3:7" x14ac:dyDescent="0.35">
      <c r="C1175" s="5"/>
      <c r="F1175" s="5"/>
      <c r="G1175" s="5"/>
    </row>
    <row r="1176" spans="3:7" x14ac:dyDescent="0.35">
      <c r="C1176" s="5"/>
      <c r="F1176" s="5"/>
      <c r="G1176" s="5"/>
    </row>
    <row r="1177" spans="3:7" x14ac:dyDescent="0.35">
      <c r="C1177" s="5"/>
      <c r="F1177" s="5"/>
      <c r="G1177" s="5"/>
    </row>
    <row r="1178" spans="3:7" x14ac:dyDescent="0.35">
      <c r="C1178" s="5"/>
      <c r="F1178" s="5"/>
      <c r="G1178" s="5"/>
    </row>
    <row r="1179" spans="3:7" x14ac:dyDescent="0.35">
      <c r="C1179" s="5"/>
      <c r="F1179" s="5"/>
      <c r="G1179" s="5"/>
    </row>
    <row r="1180" spans="3:7" x14ac:dyDescent="0.35">
      <c r="C1180" s="5"/>
      <c r="F1180" s="5"/>
      <c r="G1180" s="5"/>
    </row>
    <row r="1181" spans="3:7" x14ac:dyDescent="0.35">
      <c r="C1181" s="5"/>
      <c r="F1181" s="5"/>
      <c r="G1181" s="5"/>
    </row>
    <row r="1182" spans="3:7" x14ac:dyDescent="0.35">
      <c r="C1182" s="5"/>
      <c r="F1182" s="5"/>
      <c r="G1182" s="5"/>
    </row>
    <row r="1183" spans="3:7" x14ac:dyDescent="0.35">
      <c r="C1183" s="5"/>
      <c r="F1183" s="5"/>
      <c r="G1183" s="5"/>
    </row>
    <row r="1184" spans="3:7" x14ac:dyDescent="0.35">
      <c r="C1184" s="5"/>
      <c r="F1184" s="5"/>
      <c r="G1184" s="5"/>
    </row>
    <row r="1185" spans="3:7" x14ac:dyDescent="0.35">
      <c r="C1185" s="5"/>
      <c r="F1185" s="5"/>
      <c r="G1185" s="5"/>
    </row>
    <row r="1186" spans="3:7" x14ac:dyDescent="0.35">
      <c r="C1186" s="5"/>
      <c r="F1186" s="5"/>
      <c r="G1186" s="5"/>
    </row>
    <row r="1187" spans="3:7" x14ac:dyDescent="0.35">
      <c r="C1187" s="5"/>
      <c r="F1187" s="5"/>
      <c r="G1187" s="5"/>
    </row>
    <row r="1188" spans="3:7" x14ac:dyDescent="0.35">
      <c r="C1188" s="5"/>
      <c r="F1188" s="5"/>
      <c r="G1188" s="5"/>
    </row>
    <row r="1189" spans="3:7" x14ac:dyDescent="0.35">
      <c r="C1189" s="5"/>
      <c r="F1189" s="5"/>
      <c r="G1189" s="5"/>
    </row>
    <row r="1190" spans="3:7" x14ac:dyDescent="0.35">
      <c r="C1190" s="5"/>
      <c r="F1190" s="5"/>
      <c r="G1190" s="5"/>
    </row>
    <row r="1191" spans="3:7" x14ac:dyDescent="0.35">
      <c r="C1191" s="5"/>
      <c r="F1191" s="5"/>
      <c r="G1191" s="5"/>
    </row>
    <row r="1192" spans="3:7" x14ac:dyDescent="0.35">
      <c r="C1192" s="5"/>
      <c r="F1192" s="5"/>
      <c r="G1192" s="5"/>
    </row>
    <row r="1193" spans="3:7" x14ac:dyDescent="0.35">
      <c r="C1193" s="5"/>
      <c r="F1193" s="5"/>
      <c r="G1193" s="5"/>
    </row>
    <row r="1194" spans="3:7" x14ac:dyDescent="0.35">
      <c r="C1194" s="5"/>
      <c r="F1194" s="5"/>
      <c r="G1194" s="5"/>
    </row>
    <row r="1195" spans="3:7" x14ac:dyDescent="0.35">
      <c r="C1195" s="5"/>
      <c r="F1195" s="5"/>
      <c r="G1195" s="5"/>
    </row>
    <row r="1196" spans="3:7" x14ac:dyDescent="0.35">
      <c r="C1196" s="5"/>
      <c r="F1196" s="5"/>
      <c r="G1196" s="5"/>
    </row>
    <row r="1197" spans="3:7" x14ac:dyDescent="0.35">
      <c r="C1197" s="5"/>
      <c r="F1197" s="5"/>
      <c r="G1197" s="5"/>
    </row>
    <row r="1198" spans="3:7" x14ac:dyDescent="0.35">
      <c r="C1198" s="5"/>
      <c r="F1198" s="5"/>
      <c r="G1198" s="5"/>
    </row>
    <row r="1199" spans="3:7" x14ac:dyDescent="0.35">
      <c r="C1199" s="5"/>
      <c r="F1199" s="5"/>
      <c r="G1199" s="5"/>
    </row>
    <row r="1200" spans="3:7" x14ac:dyDescent="0.35">
      <c r="C1200" s="5"/>
      <c r="F1200" s="5"/>
      <c r="G1200" s="5"/>
    </row>
    <row r="1201" spans="3:7" x14ac:dyDescent="0.35">
      <c r="C1201" s="5"/>
      <c r="F1201" s="5"/>
      <c r="G1201" s="5"/>
    </row>
    <row r="1202" spans="3:7" x14ac:dyDescent="0.35">
      <c r="C1202" s="5"/>
      <c r="F1202" s="5"/>
      <c r="G1202" s="5"/>
    </row>
    <row r="1203" spans="3:7" x14ac:dyDescent="0.35">
      <c r="C1203" s="5"/>
      <c r="F1203" s="5"/>
      <c r="G1203" s="5"/>
    </row>
    <row r="1204" spans="3:7" x14ac:dyDescent="0.35">
      <c r="C1204" s="5"/>
      <c r="F1204" s="5"/>
      <c r="G1204" s="5"/>
    </row>
    <row r="1205" spans="3:7" x14ac:dyDescent="0.35">
      <c r="C1205" s="5"/>
      <c r="F1205" s="5"/>
      <c r="G1205" s="5"/>
    </row>
    <row r="1206" spans="3:7" x14ac:dyDescent="0.35">
      <c r="C1206" s="5"/>
      <c r="F1206" s="5"/>
      <c r="G1206" s="5"/>
    </row>
    <row r="1207" spans="3:7" x14ac:dyDescent="0.35">
      <c r="C1207" s="5"/>
      <c r="F1207" s="5"/>
      <c r="G1207" s="5"/>
    </row>
    <row r="1208" spans="3:7" x14ac:dyDescent="0.35">
      <c r="C1208" s="5"/>
      <c r="F1208" s="5"/>
      <c r="G1208" s="5"/>
    </row>
    <row r="1209" spans="3:7" x14ac:dyDescent="0.35">
      <c r="C1209" s="5"/>
      <c r="F1209" s="5"/>
      <c r="G1209" s="5"/>
    </row>
    <row r="1210" spans="3:7" x14ac:dyDescent="0.35">
      <c r="C1210" s="5"/>
      <c r="F1210" s="5"/>
      <c r="G1210" s="5"/>
    </row>
    <row r="1211" spans="3:7" x14ac:dyDescent="0.35">
      <c r="C1211" s="5"/>
      <c r="F1211" s="5"/>
      <c r="G1211" s="5"/>
    </row>
    <row r="1212" spans="3:7" x14ac:dyDescent="0.35">
      <c r="C1212" s="5"/>
      <c r="F1212" s="5"/>
      <c r="G1212" s="5"/>
    </row>
    <row r="1213" spans="3:7" x14ac:dyDescent="0.35">
      <c r="C1213" s="5"/>
      <c r="F1213" s="5"/>
      <c r="G1213" s="5"/>
    </row>
    <row r="1214" spans="3:7" x14ac:dyDescent="0.35">
      <c r="C1214" s="5"/>
      <c r="F1214" s="5"/>
      <c r="G1214" s="5"/>
    </row>
    <row r="1215" spans="3:7" x14ac:dyDescent="0.35">
      <c r="C1215" s="5"/>
      <c r="F1215" s="5"/>
      <c r="G1215" s="5"/>
    </row>
    <row r="1216" spans="3:7" x14ac:dyDescent="0.35">
      <c r="C1216" s="5"/>
      <c r="F1216" s="5"/>
      <c r="G1216" s="5"/>
    </row>
    <row r="1217" spans="3:7" x14ac:dyDescent="0.35">
      <c r="C1217" s="5"/>
      <c r="F1217" s="5"/>
      <c r="G1217" s="5"/>
    </row>
    <row r="1218" spans="3:7" x14ac:dyDescent="0.35">
      <c r="C1218" s="5"/>
      <c r="F1218" s="5"/>
      <c r="G1218" s="5"/>
    </row>
    <row r="1219" spans="3:7" x14ac:dyDescent="0.35">
      <c r="C1219" s="5"/>
      <c r="F1219" s="5"/>
      <c r="G1219" s="5"/>
    </row>
    <row r="1220" spans="3:7" x14ac:dyDescent="0.35">
      <c r="C1220" s="5"/>
      <c r="F1220" s="5"/>
      <c r="G1220" s="5"/>
    </row>
    <row r="1221" spans="3:7" x14ac:dyDescent="0.35">
      <c r="C1221" s="5"/>
      <c r="F1221" s="5"/>
      <c r="G1221" s="5"/>
    </row>
    <row r="1222" spans="3:7" x14ac:dyDescent="0.35">
      <c r="C1222" s="5"/>
      <c r="F1222" s="5"/>
      <c r="G1222" s="5"/>
    </row>
    <row r="1223" spans="3:7" x14ac:dyDescent="0.35">
      <c r="C1223" s="5"/>
      <c r="F1223" s="5"/>
      <c r="G1223" s="5"/>
    </row>
    <row r="1224" spans="3:7" x14ac:dyDescent="0.35">
      <c r="C1224" s="5"/>
      <c r="F1224" s="5"/>
      <c r="G1224" s="5"/>
    </row>
    <row r="1225" spans="3:7" x14ac:dyDescent="0.35">
      <c r="C1225" s="5"/>
      <c r="F1225" s="5"/>
      <c r="G1225" s="5"/>
    </row>
    <row r="1226" spans="3:7" x14ac:dyDescent="0.35">
      <c r="C1226" s="5"/>
      <c r="F1226" s="5"/>
      <c r="G1226" s="5"/>
    </row>
    <row r="1227" spans="3:7" x14ac:dyDescent="0.35">
      <c r="C1227" s="5"/>
      <c r="F1227" s="5"/>
      <c r="G1227" s="5"/>
    </row>
    <row r="1228" spans="3:7" x14ac:dyDescent="0.35">
      <c r="C1228" s="5"/>
      <c r="F1228" s="5"/>
      <c r="G1228" s="5"/>
    </row>
    <row r="1229" spans="3:7" x14ac:dyDescent="0.35">
      <c r="C1229" s="5"/>
      <c r="F1229" s="5"/>
      <c r="G1229" s="5"/>
    </row>
    <row r="1230" spans="3:7" x14ac:dyDescent="0.35">
      <c r="C1230" s="5"/>
      <c r="F1230" s="5"/>
      <c r="G1230" s="5"/>
    </row>
    <row r="1231" spans="3:7" x14ac:dyDescent="0.35">
      <c r="C1231" s="5"/>
      <c r="F1231" s="5"/>
      <c r="G1231" s="5"/>
    </row>
    <row r="1232" spans="3:7" x14ac:dyDescent="0.35">
      <c r="C1232" s="5"/>
      <c r="F1232" s="5"/>
      <c r="G1232" s="5"/>
    </row>
    <row r="1233" spans="3:7" x14ac:dyDescent="0.35">
      <c r="C1233" s="5"/>
      <c r="F1233" s="5"/>
      <c r="G1233" s="5"/>
    </row>
    <row r="1234" spans="3:7" x14ac:dyDescent="0.35">
      <c r="C1234" s="5"/>
      <c r="F1234" s="5"/>
      <c r="G1234" s="5"/>
    </row>
    <row r="1235" spans="3:7" x14ac:dyDescent="0.35">
      <c r="C1235" s="5"/>
      <c r="F1235" s="5"/>
      <c r="G1235" s="5"/>
    </row>
    <row r="1236" spans="3:7" x14ac:dyDescent="0.35">
      <c r="C1236" s="5"/>
      <c r="F1236" s="5"/>
      <c r="G1236" s="5"/>
    </row>
    <row r="1237" spans="3:7" x14ac:dyDescent="0.35">
      <c r="C1237" s="5"/>
      <c r="F1237" s="5"/>
      <c r="G1237" s="5"/>
    </row>
    <row r="1238" spans="3:7" x14ac:dyDescent="0.35">
      <c r="C1238" s="5"/>
      <c r="F1238" s="5"/>
      <c r="G1238" s="5"/>
    </row>
    <row r="1239" spans="3:7" x14ac:dyDescent="0.35">
      <c r="C1239" s="5"/>
      <c r="F1239" s="5"/>
      <c r="G1239" s="5"/>
    </row>
    <row r="1240" spans="3:7" x14ac:dyDescent="0.35">
      <c r="C1240" s="5"/>
      <c r="F1240" s="5"/>
      <c r="G1240" s="5"/>
    </row>
    <row r="1241" spans="3:7" x14ac:dyDescent="0.35">
      <c r="C1241" s="5"/>
      <c r="F1241" s="5"/>
      <c r="G1241" s="5"/>
    </row>
    <row r="1242" spans="3:7" x14ac:dyDescent="0.35">
      <c r="C1242" s="5"/>
      <c r="F1242" s="5"/>
      <c r="G1242" s="5"/>
    </row>
    <row r="1243" spans="3:7" x14ac:dyDescent="0.35">
      <c r="C1243" s="5"/>
      <c r="F1243" s="5"/>
      <c r="G1243" s="5"/>
    </row>
    <row r="1244" spans="3:7" x14ac:dyDescent="0.35">
      <c r="C1244" s="5"/>
      <c r="F1244" s="5"/>
      <c r="G1244" s="5"/>
    </row>
    <row r="1245" spans="3:7" x14ac:dyDescent="0.35">
      <c r="C1245" s="5"/>
      <c r="F1245" s="5"/>
      <c r="G1245" s="5"/>
    </row>
    <row r="1246" spans="3:7" x14ac:dyDescent="0.35">
      <c r="C1246" s="5"/>
      <c r="F1246" s="5"/>
      <c r="G1246" s="5"/>
    </row>
    <row r="1247" spans="3:7" x14ac:dyDescent="0.35">
      <c r="C1247" s="5"/>
      <c r="F1247" s="5"/>
      <c r="G1247" s="5"/>
    </row>
    <row r="1248" spans="3:7" x14ac:dyDescent="0.35">
      <c r="C1248" s="5"/>
      <c r="F1248" s="5"/>
      <c r="G1248" s="5"/>
    </row>
    <row r="1249" spans="3:7" x14ac:dyDescent="0.35">
      <c r="C1249" s="5"/>
      <c r="F1249" s="5"/>
      <c r="G1249" s="5"/>
    </row>
    <row r="1250" spans="3:7" x14ac:dyDescent="0.35">
      <c r="C1250" s="5"/>
      <c r="F1250" s="5"/>
      <c r="G1250" s="5"/>
    </row>
    <row r="1251" spans="3:7" x14ac:dyDescent="0.35">
      <c r="C1251" s="5"/>
      <c r="F1251" s="5"/>
      <c r="G1251" s="5"/>
    </row>
    <row r="1252" spans="3:7" x14ac:dyDescent="0.35">
      <c r="C1252" s="5"/>
      <c r="F1252" s="5"/>
      <c r="G1252" s="5"/>
    </row>
    <row r="1253" spans="3:7" x14ac:dyDescent="0.35">
      <c r="C1253" s="5"/>
      <c r="F1253" s="5"/>
      <c r="G1253" s="5"/>
    </row>
    <row r="1254" spans="3:7" x14ac:dyDescent="0.35">
      <c r="C1254" s="5"/>
      <c r="F1254" s="5"/>
      <c r="G1254" s="5"/>
    </row>
    <row r="1255" spans="3:7" x14ac:dyDescent="0.35">
      <c r="C1255" s="5"/>
      <c r="F1255" s="5"/>
      <c r="G1255" s="5"/>
    </row>
    <row r="1256" spans="3:7" x14ac:dyDescent="0.35">
      <c r="C1256" s="5"/>
      <c r="F1256" s="5"/>
      <c r="G1256" s="5"/>
    </row>
    <row r="1257" spans="3:7" x14ac:dyDescent="0.35">
      <c r="C1257" s="5"/>
      <c r="F1257" s="5"/>
      <c r="G1257" s="5"/>
    </row>
    <row r="1258" spans="3:7" x14ac:dyDescent="0.35">
      <c r="C1258" s="5"/>
      <c r="F1258" s="5"/>
      <c r="G1258" s="5"/>
    </row>
    <row r="1259" spans="3:7" x14ac:dyDescent="0.35">
      <c r="C1259" s="5"/>
      <c r="F1259" s="5"/>
      <c r="G1259" s="5"/>
    </row>
    <row r="1260" spans="3:7" x14ac:dyDescent="0.35">
      <c r="C1260" s="5"/>
      <c r="F1260" s="5"/>
      <c r="G1260" s="5"/>
    </row>
    <row r="1261" spans="3:7" x14ac:dyDescent="0.35">
      <c r="C1261" s="5"/>
      <c r="F1261" s="5"/>
      <c r="G1261" s="5"/>
    </row>
    <row r="1262" spans="3:7" x14ac:dyDescent="0.35">
      <c r="C1262" s="5"/>
      <c r="F1262" s="5"/>
      <c r="G1262" s="5"/>
    </row>
    <row r="1263" spans="3:7" x14ac:dyDescent="0.35">
      <c r="C1263" s="5"/>
      <c r="F1263" s="5"/>
      <c r="G1263" s="5"/>
    </row>
    <row r="1264" spans="3:7" x14ac:dyDescent="0.35">
      <c r="C1264" s="5"/>
      <c r="F1264" s="5"/>
      <c r="G1264" s="5"/>
    </row>
    <row r="1265" spans="3:7" x14ac:dyDescent="0.35">
      <c r="C1265" s="5"/>
      <c r="F1265" s="5"/>
      <c r="G1265" s="5"/>
    </row>
    <row r="1266" spans="3:7" x14ac:dyDescent="0.35">
      <c r="C1266" s="5"/>
      <c r="F1266" s="5"/>
      <c r="G1266" s="5"/>
    </row>
    <row r="1267" spans="3:7" x14ac:dyDescent="0.35">
      <c r="C1267" s="5"/>
      <c r="F1267" s="5"/>
      <c r="G1267" s="5"/>
    </row>
    <row r="1268" spans="3:7" x14ac:dyDescent="0.35">
      <c r="C1268" s="5"/>
      <c r="F1268" s="5"/>
      <c r="G1268" s="5"/>
    </row>
    <row r="1269" spans="3:7" x14ac:dyDescent="0.35">
      <c r="C1269" s="5"/>
      <c r="F1269" s="5"/>
      <c r="G1269" s="5"/>
    </row>
    <row r="1270" spans="3:7" x14ac:dyDescent="0.35">
      <c r="C1270" s="5"/>
      <c r="F1270" s="5"/>
      <c r="G1270" s="5"/>
    </row>
    <row r="1271" spans="3:7" x14ac:dyDescent="0.35">
      <c r="C1271" s="5"/>
      <c r="F1271" s="5"/>
      <c r="G1271" s="5"/>
    </row>
    <row r="1272" spans="3:7" x14ac:dyDescent="0.35">
      <c r="C1272" s="5"/>
      <c r="F1272" s="5"/>
      <c r="G1272" s="5"/>
    </row>
    <row r="1273" spans="3:7" x14ac:dyDescent="0.35">
      <c r="C1273" s="5"/>
      <c r="F1273" s="5"/>
      <c r="G1273" s="5"/>
    </row>
    <row r="1274" spans="3:7" x14ac:dyDescent="0.35">
      <c r="C1274" s="5"/>
      <c r="F1274" s="5"/>
      <c r="G1274" s="5"/>
    </row>
    <row r="1275" spans="3:7" x14ac:dyDescent="0.35">
      <c r="C1275" s="5"/>
      <c r="F1275" s="5"/>
      <c r="G1275" s="5"/>
    </row>
    <row r="1276" spans="3:7" x14ac:dyDescent="0.35">
      <c r="C1276" s="5"/>
      <c r="F1276" s="5"/>
      <c r="G1276" s="5"/>
    </row>
    <row r="1277" spans="3:7" x14ac:dyDescent="0.35">
      <c r="C1277" s="5"/>
      <c r="F1277" s="5"/>
      <c r="G1277" s="5"/>
    </row>
    <row r="1278" spans="3:7" x14ac:dyDescent="0.35">
      <c r="C1278" s="5"/>
      <c r="F1278" s="5"/>
      <c r="G1278" s="5"/>
    </row>
    <row r="1279" spans="3:7" x14ac:dyDescent="0.35">
      <c r="C1279" s="5"/>
      <c r="F1279" s="5"/>
      <c r="G1279" s="5"/>
    </row>
    <row r="1280" spans="3:7" x14ac:dyDescent="0.35">
      <c r="C1280" s="5"/>
      <c r="F1280" s="5"/>
      <c r="G1280" s="5"/>
    </row>
    <row r="1281" spans="3:7" x14ac:dyDescent="0.35">
      <c r="C1281" s="5"/>
      <c r="F1281" s="5"/>
      <c r="G1281" s="5"/>
    </row>
    <row r="1282" spans="3:7" x14ac:dyDescent="0.35">
      <c r="C1282" s="5"/>
      <c r="F1282" s="5"/>
      <c r="G1282" s="5"/>
    </row>
    <row r="1283" spans="3:7" x14ac:dyDescent="0.35">
      <c r="C1283" s="5"/>
      <c r="F1283" s="5"/>
      <c r="G1283" s="5"/>
    </row>
    <row r="1284" spans="3:7" x14ac:dyDescent="0.35">
      <c r="C1284" s="5"/>
      <c r="F1284" s="5"/>
      <c r="G1284" s="5"/>
    </row>
    <row r="1285" spans="3:7" x14ac:dyDescent="0.35">
      <c r="C1285" s="5"/>
      <c r="F1285" s="5"/>
      <c r="G1285" s="5"/>
    </row>
    <row r="1286" spans="3:7" x14ac:dyDescent="0.35">
      <c r="C1286" s="5"/>
      <c r="F1286" s="5"/>
      <c r="G1286" s="5"/>
    </row>
    <row r="1287" spans="3:7" x14ac:dyDescent="0.35">
      <c r="C1287" s="5"/>
      <c r="F1287" s="5"/>
      <c r="G1287" s="5"/>
    </row>
    <row r="1288" spans="3:7" x14ac:dyDescent="0.35">
      <c r="C1288" s="5"/>
      <c r="F1288" s="5"/>
      <c r="G1288" s="5"/>
    </row>
    <row r="1289" spans="3:7" x14ac:dyDescent="0.35">
      <c r="C1289" s="5"/>
      <c r="F1289" s="5"/>
      <c r="G1289" s="5"/>
    </row>
    <row r="1290" spans="3:7" x14ac:dyDescent="0.35">
      <c r="C1290" s="5"/>
      <c r="F1290" s="5"/>
      <c r="G1290" s="5"/>
    </row>
    <row r="1291" spans="3:7" x14ac:dyDescent="0.35">
      <c r="C1291" s="5"/>
      <c r="F1291" s="5"/>
      <c r="G1291" s="5"/>
    </row>
    <row r="1292" spans="3:7" x14ac:dyDescent="0.35">
      <c r="C1292" s="5"/>
      <c r="F1292" s="5"/>
      <c r="G1292" s="5"/>
    </row>
    <row r="1293" spans="3:7" x14ac:dyDescent="0.35">
      <c r="C1293" s="5"/>
      <c r="F1293" s="5"/>
      <c r="G1293" s="5"/>
    </row>
    <row r="1294" spans="3:7" x14ac:dyDescent="0.35">
      <c r="C1294" s="5"/>
      <c r="F1294" s="5"/>
      <c r="G1294" s="5"/>
    </row>
    <row r="1295" spans="3:7" x14ac:dyDescent="0.35">
      <c r="C1295" s="5"/>
      <c r="F1295" s="5"/>
      <c r="G1295" s="5"/>
    </row>
    <row r="1296" spans="3:7" x14ac:dyDescent="0.35">
      <c r="C1296" s="5"/>
      <c r="F1296" s="5"/>
      <c r="G1296" s="5"/>
    </row>
    <row r="1297" spans="3:7" x14ac:dyDescent="0.35">
      <c r="C1297" s="5"/>
      <c r="F1297" s="5"/>
      <c r="G1297" s="5"/>
    </row>
    <row r="1298" spans="3:7" x14ac:dyDescent="0.35">
      <c r="C1298" s="5"/>
      <c r="F1298" s="5"/>
      <c r="G1298" s="5"/>
    </row>
    <row r="1299" spans="3:7" x14ac:dyDescent="0.35">
      <c r="C1299" s="5"/>
      <c r="F1299" s="5"/>
      <c r="G1299" s="5"/>
    </row>
    <row r="1300" spans="3:7" x14ac:dyDescent="0.35">
      <c r="C1300" s="5"/>
      <c r="F1300" s="5"/>
      <c r="G1300" s="5"/>
    </row>
    <row r="1301" spans="3:7" x14ac:dyDescent="0.35">
      <c r="C1301" s="5"/>
      <c r="F1301" s="5"/>
      <c r="G1301" s="5"/>
    </row>
    <row r="1302" spans="3:7" x14ac:dyDescent="0.35">
      <c r="C1302" s="5"/>
      <c r="F1302" s="5"/>
      <c r="G1302" s="5"/>
    </row>
    <row r="1303" spans="3:7" x14ac:dyDescent="0.35">
      <c r="C1303" s="5"/>
      <c r="F1303" s="5"/>
      <c r="G1303" s="5"/>
    </row>
    <row r="1304" spans="3:7" x14ac:dyDescent="0.35">
      <c r="C1304" s="5"/>
      <c r="F1304" s="5"/>
      <c r="G1304" s="5"/>
    </row>
    <row r="1305" spans="3:7" x14ac:dyDescent="0.35">
      <c r="C1305" s="5"/>
      <c r="F1305" s="5"/>
      <c r="G1305" s="5"/>
    </row>
    <row r="1306" spans="3:7" x14ac:dyDescent="0.35">
      <c r="C1306" s="5"/>
      <c r="F1306" s="5"/>
      <c r="G1306" s="5"/>
    </row>
    <row r="1307" spans="3:7" x14ac:dyDescent="0.35">
      <c r="C1307" s="5"/>
      <c r="F1307" s="5"/>
      <c r="G1307" s="5"/>
    </row>
    <row r="1308" spans="3:7" x14ac:dyDescent="0.35">
      <c r="C1308" s="5"/>
      <c r="F1308" s="5"/>
      <c r="G1308" s="5"/>
    </row>
    <row r="1309" spans="3:7" x14ac:dyDescent="0.35">
      <c r="C1309" s="5"/>
      <c r="F1309" s="5"/>
      <c r="G1309" s="5"/>
    </row>
    <row r="1310" spans="3:7" x14ac:dyDescent="0.35">
      <c r="C1310" s="5"/>
      <c r="F1310" s="5"/>
      <c r="G1310" s="5"/>
    </row>
    <row r="1311" spans="3:7" x14ac:dyDescent="0.35">
      <c r="C1311" s="5"/>
      <c r="F1311" s="5"/>
      <c r="G1311" s="5"/>
    </row>
    <row r="1312" spans="3:7" x14ac:dyDescent="0.35">
      <c r="C1312" s="5"/>
      <c r="F1312" s="5"/>
      <c r="G1312" s="5"/>
    </row>
    <row r="1313" spans="3:7" x14ac:dyDescent="0.35">
      <c r="C1313" s="5"/>
      <c r="F1313" s="5"/>
      <c r="G1313" s="5"/>
    </row>
    <row r="1314" spans="3:7" x14ac:dyDescent="0.35">
      <c r="C1314" s="5"/>
      <c r="F1314" s="5"/>
      <c r="G1314" s="5"/>
    </row>
    <row r="1315" spans="3:7" x14ac:dyDescent="0.35">
      <c r="C1315" s="5"/>
      <c r="F1315" s="5"/>
      <c r="G1315" s="5"/>
    </row>
    <row r="1316" spans="3:7" x14ac:dyDescent="0.35">
      <c r="C1316" s="5"/>
      <c r="F1316" s="5"/>
      <c r="G1316" s="5"/>
    </row>
    <row r="1317" spans="3:7" x14ac:dyDescent="0.35">
      <c r="C1317" s="5"/>
      <c r="F1317" s="5"/>
      <c r="G1317" s="5"/>
    </row>
    <row r="1318" spans="3:7" x14ac:dyDescent="0.35">
      <c r="C1318" s="5"/>
      <c r="F1318" s="5"/>
      <c r="G1318" s="5"/>
    </row>
    <row r="1319" spans="3:7" x14ac:dyDescent="0.35">
      <c r="C1319" s="5"/>
      <c r="F1319" s="5"/>
      <c r="G1319" s="5"/>
    </row>
    <row r="1320" spans="3:7" x14ac:dyDescent="0.35">
      <c r="C1320" s="5"/>
      <c r="F1320" s="5"/>
      <c r="G1320" s="5"/>
    </row>
    <row r="1321" spans="3:7" x14ac:dyDescent="0.35">
      <c r="C1321" s="5"/>
      <c r="F1321" s="5"/>
      <c r="G1321" s="5"/>
    </row>
    <row r="1322" spans="3:7" x14ac:dyDescent="0.35">
      <c r="C1322" s="5"/>
      <c r="F1322" s="5"/>
      <c r="G1322" s="5"/>
    </row>
    <row r="1323" spans="3:7" x14ac:dyDescent="0.35">
      <c r="C1323" s="5"/>
      <c r="F1323" s="5"/>
      <c r="G1323" s="5"/>
    </row>
    <row r="1324" spans="3:7" x14ac:dyDescent="0.35">
      <c r="C1324" s="5"/>
      <c r="F1324" s="5"/>
      <c r="G1324" s="5"/>
    </row>
    <row r="1325" spans="3:7" x14ac:dyDescent="0.35">
      <c r="C1325" s="5"/>
      <c r="F1325" s="5"/>
      <c r="G1325" s="5"/>
    </row>
    <row r="1326" spans="3:7" x14ac:dyDescent="0.35">
      <c r="C1326" s="5"/>
      <c r="F1326" s="5"/>
      <c r="G1326" s="5"/>
    </row>
    <row r="1327" spans="3:7" x14ac:dyDescent="0.35">
      <c r="C1327" s="5"/>
      <c r="F1327" s="5"/>
      <c r="G1327" s="5"/>
    </row>
    <row r="1328" spans="3:7" x14ac:dyDescent="0.35">
      <c r="C1328" s="5"/>
      <c r="F1328" s="5"/>
      <c r="G1328" s="5"/>
    </row>
    <row r="1329" spans="3:7" x14ac:dyDescent="0.35">
      <c r="C1329" s="5"/>
      <c r="F1329" s="5"/>
      <c r="G1329" s="5"/>
    </row>
    <row r="1330" spans="3:7" x14ac:dyDescent="0.35">
      <c r="C1330" s="5"/>
      <c r="F1330" s="5"/>
      <c r="G1330" s="5"/>
    </row>
    <row r="1331" spans="3:7" x14ac:dyDescent="0.35">
      <c r="C1331" s="5"/>
      <c r="F1331" s="5"/>
      <c r="G1331" s="5"/>
    </row>
    <row r="1332" spans="3:7" x14ac:dyDescent="0.35">
      <c r="C1332" s="5"/>
      <c r="F1332" s="5"/>
      <c r="G1332" s="5"/>
    </row>
    <row r="1333" spans="3:7" x14ac:dyDescent="0.35">
      <c r="C1333" s="5"/>
      <c r="F1333" s="5"/>
      <c r="G1333" s="5"/>
    </row>
    <row r="1334" spans="3:7" x14ac:dyDescent="0.35">
      <c r="C1334" s="5"/>
      <c r="F1334" s="5"/>
      <c r="G1334" s="5"/>
    </row>
    <row r="1335" spans="3:7" x14ac:dyDescent="0.35">
      <c r="C1335" s="5"/>
      <c r="F1335" s="5"/>
      <c r="G1335" s="5"/>
    </row>
    <row r="1336" spans="3:7" x14ac:dyDescent="0.35">
      <c r="C1336" s="5"/>
      <c r="F1336" s="5"/>
      <c r="G1336" s="5"/>
    </row>
    <row r="1337" spans="3:7" x14ac:dyDescent="0.35">
      <c r="C1337" s="5"/>
      <c r="F1337" s="5"/>
      <c r="G1337" s="5"/>
    </row>
    <row r="1338" spans="3:7" x14ac:dyDescent="0.35">
      <c r="C1338" s="5"/>
      <c r="F1338" s="5"/>
      <c r="G1338" s="5"/>
    </row>
    <row r="1339" spans="3:7" x14ac:dyDescent="0.35">
      <c r="C1339" s="5"/>
      <c r="F1339" s="5"/>
      <c r="G1339" s="5"/>
    </row>
    <row r="1340" spans="3:7" x14ac:dyDescent="0.35">
      <c r="C1340" s="5"/>
      <c r="F1340" s="5"/>
      <c r="G1340" s="5"/>
    </row>
    <row r="1341" spans="3:7" x14ac:dyDescent="0.35">
      <c r="C1341" s="5"/>
      <c r="F1341" s="5"/>
      <c r="G1341" s="5"/>
    </row>
    <row r="1342" spans="3:7" x14ac:dyDescent="0.35">
      <c r="C1342" s="5"/>
      <c r="F1342" s="5"/>
      <c r="G1342" s="5"/>
    </row>
    <row r="1343" spans="3:7" x14ac:dyDescent="0.35">
      <c r="C1343" s="5"/>
      <c r="F1343" s="5"/>
      <c r="G1343" s="5"/>
    </row>
    <row r="1344" spans="3:7" x14ac:dyDescent="0.35">
      <c r="C1344" s="5"/>
      <c r="F1344" s="5"/>
      <c r="G1344" s="5"/>
    </row>
    <row r="1345" spans="3:7" x14ac:dyDescent="0.35">
      <c r="C1345" s="5"/>
      <c r="F1345" s="5"/>
      <c r="G1345" s="5"/>
    </row>
    <row r="1346" spans="3:7" x14ac:dyDescent="0.35">
      <c r="C1346" s="5"/>
      <c r="F1346" s="5"/>
      <c r="G1346" s="5"/>
    </row>
    <row r="1347" spans="3:7" x14ac:dyDescent="0.35">
      <c r="C1347" s="5"/>
      <c r="F1347" s="5"/>
      <c r="G1347" s="5"/>
    </row>
    <row r="1348" spans="3:7" x14ac:dyDescent="0.35">
      <c r="C1348" s="5"/>
      <c r="F1348" s="5"/>
      <c r="G1348" s="5"/>
    </row>
    <row r="1349" spans="3:7" x14ac:dyDescent="0.35">
      <c r="C1349" s="5"/>
      <c r="F1349" s="5"/>
      <c r="G1349" s="5"/>
    </row>
    <row r="1350" spans="3:7" x14ac:dyDescent="0.35">
      <c r="C1350" s="5"/>
      <c r="F1350" s="5"/>
      <c r="G1350" s="5"/>
    </row>
    <row r="1351" spans="3:7" x14ac:dyDescent="0.35">
      <c r="C1351" s="5"/>
      <c r="F1351" s="5"/>
      <c r="G1351" s="5"/>
    </row>
    <row r="1352" spans="3:7" x14ac:dyDescent="0.35">
      <c r="C1352" s="5"/>
      <c r="F1352" s="5"/>
      <c r="G1352" s="5"/>
    </row>
    <row r="1353" spans="3:7" x14ac:dyDescent="0.35">
      <c r="C1353" s="5"/>
      <c r="F1353" s="5"/>
      <c r="G1353" s="5"/>
    </row>
    <row r="1354" spans="3:7" x14ac:dyDescent="0.35">
      <c r="C1354" s="5"/>
      <c r="F1354" s="5"/>
      <c r="G1354" s="5"/>
    </row>
    <row r="1355" spans="3:7" x14ac:dyDescent="0.35">
      <c r="C1355" s="5"/>
      <c r="F1355" s="5"/>
      <c r="G1355" s="5"/>
    </row>
    <row r="1356" spans="3:7" x14ac:dyDescent="0.35">
      <c r="C1356" s="5"/>
      <c r="F1356" s="5"/>
      <c r="G1356" s="5"/>
    </row>
    <row r="1357" spans="3:7" x14ac:dyDescent="0.35">
      <c r="C1357" s="5"/>
      <c r="F1357" s="5"/>
      <c r="G1357" s="5"/>
    </row>
    <row r="1358" spans="3:7" x14ac:dyDescent="0.35">
      <c r="C1358" s="5"/>
      <c r="F1358" s="5"/>
      <c r="G1358" s="5"/>
    </row>
    <row r="1359" spans="3:7" x14ac:dyDescent="0.35">
      <c r="C1359" s="5"/>
      <c r="F1359" s="5"/>
      <c r="G1359" s="5"/>
    </row>
    <row r="1360" spans="3:7" x14ac:dyDescent="0.35">
      <c r="C1360" s="5"/>
      <c r="F1360" s="5"/>
      <c r="G1360" s="5"/>
    </row>
    <row r="1361" spans="3:7" x14ac:dyDescent="0.35">
      <c r="C1361" s="5"/>
      <c r="F1361" s="5"/>
      <c r="G1361" s="5"/>
    </row>
    <row r="1362" spans="3:7" x14ac:dyDescent="0.35">
      <c r="C1362" s="5"/>
      <c r="F1362" s="5"/>
      <c r="G1362" s="5"/>
    </row>
    <row r="1363" spans="3:7" x14ac:dyDescent="0.35">
      <c r="C1363" s="5"/>
      <c r="F1363" s="5"/>
      <c r="G1363" s="5"/>
    </row>
    <row r="1364" spans="3:7" x14ac:dyDescent="0.35">
      <c r="C1364" s="5"/>
      <c r="F1364" s="5"/>
      <c r="G1364" s="5"/>
    </row>
    <row r="1365" spans="3:7" x14ac:dyDescent="0.35">
      <c r="C1365" s="5"/>
      <c r="F1365" s="5"/>
      <c r="G1365" s="5"/>
    </row>
    <row r="1366" spans="3:7" x14ac:dyDescent="0.35">
      <c r="C1366" s="5"/>
      <c r="F1366" s="5"/>
      <c r="G1366" s="5"/>
    </row>
    <row r="1367" spans="3:7" x14ac:dyDescent="0.35">
      <c r="C1367" s="5"/>
      <c r="F1367" s="5"/>
      <c r="G1367" s="5"/>
    </row>
    <row r="1368" spans="3:7" x14ac:dyDescent="0.35">
      <c r="C1368" s="5"/>
      <c r="F1368" s="5"/>
      <c r="G1368" s="5"/>
    </row>
    <row r="1369" spans="3:7" x14ac:dyDescent="0.35">
      <c r="C1369" s="5"/>
      <c r="F1369" s="5"/>
      <c r="G1369" s="5"/>
    </row>
    <row r="1370" spans="3:7" x14ac:dyDescent="0.35">
      <c r="C1370" s="5"/>
      <c r="F1370" s="5"/>
      <c r="G1370" s="5"/>
    </row>
    <row r="1371" spans="3:7" x14ac:dyDescent="0.35">
      <c r="C1371" s="5"/>
      <c r="F1371" s="5"/>
      <c r="G1371" s="5"/>
    </row>
    <row r="1372" spans="3:7" x14ac:dyDescent="0.35">
      <c r="C1372" s="5"/>
      <c r="F1372" s="5"/>
      <c r="G1372" s="5"/>
    </row>
    <row r="1373" spans="3:7" x14ac:dyDescent="0.35">
      <c r="C1373" s="5"/>
      <c r="F1373" s="5"/>
      <c r="G1373" s="5"/>
    </row>
    <row r="1374" spans="3:7" x14ac:dyDescent="0.35">
      <c r="C1374" s="5"/>
      <c r="F1374" s="5"/>
      <c r="G1374" s="5"/>
    </row>
    <row r="1375" spans="3:7" x14ac:dyDescent="0.35">
      <c r="C1375" s="5"/>
      <c r="F1375" s="5"/>
      <c r="G1375" s="5"/>
    </row>
    <row r="1376" spans="3:7" x14ac:dyDescent="0.35">
      <c r="C1376" s="5"/>
      <c r="F1376" s="5"/>
      <c r="G1376" s="5"/>
    </row>
    <row r="1377" spans="3:7" x14ac:dyDescent="0.35">
      <c r="C1377" s="5"/>
      <c r="F1377" s="5"/>
      <c r="G1377" s="5"/>
    </row>
    <row r="1378" spans="3:7" x14ac:dyDescent="0.35">
      <c r="C1378" s="5"/>
      <c r="F1378" s="5"/>
      <c r="G1378" s="5"/>
    </row>
    <row r="1379" spans="3:7" x14ac:dyDescent="0.35">
      <c r="C1379" s="5"/>
      <c r="F1379" s="5"/>
      <c r="G1379" s="5"/>
    </row>
    <row r="1380" spans="3:7" x14ac:dyDescent="0.35">
      <c r="C1380" s="5"/>
      <c r="F1380" s="5"/>
      <c r="G1380" s="5"/>
    </row>
    <row r="1381" spans="3:7" x14ac:dyDescent="0.35">
      <c r="C1381" s="5"/>
      <c r="F1381" s="5"/>
      <c r="G1381" s="5"/>
    </row>
    <row r="1382" spans="3:7" x14ac:dyDescent="0.35">
      <c r="C1382" s="5"/>
      <c r="F1382" s="5"/>
      <c r="G1382" s="5"/>
    </row>
    <row r="1383" spans="3:7" x14ac:dyDescent="0.35">
      <c r="C1383" s="5"/>
      <c r="F1383" s="5"/>
      <c r="G1383" s="5"/>
    </row>
    <row r="1384" spans="3:7" x14ac:dyDescent="0.35">
      <c r="C1384" s="5"/>
      <c r="F1384" s="5"/>
      <c r="G1384" s="5"/>
    </row>
    <row r="1385" spans="3:7" x14ac:dyDescent="0.35">
      <c r="C1385" s="5"/>
      <c r="F1385" s="5"/>
      <c r="G1385" s="5"/>
    </row>
    <row r="1386" spans="3:7" x14ac:dyDescent="0.35">
      <c r="C1386" s="5"/>
      <c r="F1386" s="5"/>
      <c r="G1386" s="5"/>
    </row>
    <row r="1387" spans="3:7" x14ac:dyDescent="0.35">
      <c r="C1387" s="5"/>
      <c r="F1387" s="5"/>
      <c r="G1387" s="5"/>
    </row>
    <row r="1388" spans="3:7" x14ac:dyDescent="0.35">
      <c r="C1388" s="5"/>
      <c r="F1388" s="5"/>
      <c r="G1388" s="5"/>
    </row>
    <row r="1389" spans="3:7" x14ac:dyDescent="0.35">
      <c r="C1389" s="5"/>
      <c r="F1389" s="5"/>
      <c r="G1389" s="5"/>
    </row>
    <row r="1390" spans="3:7" x14ac:dyDescent="0.35">
      <c r="C1390" s="5"/>
      <c r="F1390" s="5"/>
      <c r="G1390" s="5"/>
    </row>
    <row r="1391" spans="3:7" x14ac:dyDescent="0.35">
      <c r="C1391" s="5"/>
      <c r="F1391" s="5"/>
      <c r="G1391" s="5"/>
    </row>
    <row r="1392" spans="3:7" x14ac:dyDescent="0.35">
      <c r="C1392" s="5"/>
      <c r="F1392" s="5"/>
      <c r="G1392" s="5"/>
    </row>
    <row r="1393" spans="3:7" x14ac:dyDescent="0.35">
      <c r="C1393" s="5"/>
      <c r="F1393" s="5"/>
      <c r="G1393" s="5"/>
    </row>
    <row r="1394" spans="3:7" x14ac:dyDescent="0.35">
      <c r="C1394" s="5"/>
      <c r="F1394" s="5"/>
      <c r="G1394" s="5"/>
    </row>
    <row r="1395" spans="3:7" x14ac:dyDescent="0.35">
      <c r="C1395" s="5"/>
      <c r="F1395" s="5"/>
      <c r="G1395" s="5"/>
    </row>
    <row r="1396" spans="3:7" x14ac:dyDescent="0.35">
      <c r="C1396" s="5"/>
      <c r="F1396" s="5"/>
      <c r="G1396" s="5"/>
    </row>
    <row r="1397" spans="3:7" x14ac:dyDescent="0.35">
      <c r="C1397" s="5"/>
      <c r="F1397" s="5"/>
      <c r="G1397" s="5"/>
    </row>
    <row r="1398" spans="3:7" x14ac:dyDescent="0.35">
      <c r="C1398" s="5"/>
      <c r="F1398" s="5"/>
      <c r="G1398" s="5"/>
    </row>
    <row r="1399" spans="3:7" x14ac:dyDescent="0.35">
      <c r="C1399" s="5"/>
      <c r="F1399" s="5"/>
      <c r="G1399" s="5"/>
    </row>
    <row r="1400" spans="3:7" x14ac:dyDescent="0.35">
      <c r="C1400" s="5"/>
      <c r="F1400" s="5"/>
      <c r="G1400" s="5"/>
    </row>
    <row r="1401" spans="3:7" x14ac:dyDescent="0.35">
      <c r="C1401" s="5"/>
      <c r="F1401" s="5"/>
      <c r="G1401" s="5"/>
    </row>
    <row r="1402" spans="3:7" x14ac:dyDescent="0.35">
      <c r="C1402" s="5"/>
      <c r="F1402" s="5"/>
      <c r="G1402" s="5"/>
    </row>
    <row r="1403" spans="3:7" x14ac:dyDescent="0.35">
      <c r="C1403" s="5"/>
      <c r="F1403" s="5"/>
      <c r="G1403" s="5"/>
    </row>
    <row r="1404" spans="3:7" x14ac:dyDescent="0.35">
      <c r="C1404" s="5"/>
      <c r="F1404" s="5"/>
      <c r="G1404" s="5"/>
    </row>
    <row r="1405" spans="3:7" x14ac:dyDescent="0.35">
      <c r="C1405" s="5"/>
      <c r="F1405" s="5"/>
      <c r="G1405" s="5"/>
    </row>
    <row r="1406" spans="3:7" x14ac:dyDescent="0.35">
      <c r="C1406" s="5"/>
      <c r="F1406" s="5"/>
      <c r="G1406" s="5"/>
    </row>
    <row r="1407" spans="3:7" x14ac:dyDescent="0.35">
      <c r="C1407" s="5"/>
      <c r="F1407" s="5"/>
      <c r="G1407" s="5"/>
    </row>
    <row r="1408" spans="3:7" x14ac:dyDescent="0.35">
      <c r="C1408" s="5"/>
      <c r="F1408" s="5"/>
      <c r="G1408" s="5"/>
    </row>
    <row r="1409" spans="3:7" x14ac:dyDescent="0.35">
      <c r="C1409" s="5"/>
      <c r="F1409" s="5"/>
      <c r="G1409" s="5"/>
    </row>
    <row r="1410" spans="3:7" x14ac:dyDescent="0.35">
      <c r="C1410" s="5"/>
      <c r="F1410" s="5"/>
      <c r="G1410" s="5"/>
    </row>
    <row r="1411" spans="3:7" x14ac:dyDescent="0.35">
      <c r="C1411" s="5"/>
      <c r="F1411" s="5"/>
      <c r="G1411" s="5"/>
    </row>
    <row r="1412" spans="3:7" x14ac:dyDescent="0.35">
      <c r="C1412" s="5"/>
      <c r="F1412" s="5"/>
      <c r="G1412" s="5"/>
    </row>
    <row r="1413" spans="3:7" x14ac:dyDescent="0.35">
      <c r="C1413" s="5"/>
      <c r="F1413" s="5"/>
      <c r="G1413" s="5"/>
    </row>
    <row r="1414" spans="3:7" x14ac:dyDescent="0.35">
      <c r="C1414" s="5"/>
      <c r="F1414" s="5"/>
      <c r="G1414" s="5"/>
    </row>
    <row r="1415" spans="3:7" x14ac:dyDescent="0.35">
      <c r="C1415" s="5"/>
      <c r="F1415" s="5"/>
      <c r="G1415" s="5"/>
    </row>
    <row r="1416" spans="3:7" x14ac:dyDescent="0.35">
      <c r="C1416" s="5"/>
      <c r="F1416" s="5"/>
      <c r="G1416" s="5"/>
    </row>
    <row r="1417" spans="3:7" x14ac:dyDescent="0.35">
      <c r="C1417" s="5"/>
      <c r="F1417" s="5"/>
      <c r="G1417" s="5"/>
    </row>
    <row r="1418" spans="3:7" x14ac:dyDescent="0.35">
      <c r="C1418" s="5"/>
      <c r="F1418" s="5"/>
      <c r="G1418" s="5"/>
    </row>
    <row r="1419" spans="3:7" x14ac:dyDescent="0.35">
      <c r="C1419" s="5"/>
      <c r="F1419" s="5"/>
      <c r="G1419" s="5"/>
    </row>
    <row r="1420" spans="3:7" x14ac:dyDescent="0.35">
      <c r="C1420" s="5"/>
      <c r="F1420" s="5"/>
      <c r="G1420" s="5"/>
    </row>
    <row r="1421" spans="3:7" x14ac:dyDescent="0.35">
      <c r="C1421" s="5"/>
      <c r="F1421" s="5"/>
      <c r="G1421" s="5"/>
    </row>
    <row r="1422" spans="3:7" x14ac:dyDescent="0.35">
      <c r="C1422" s="5"/>
      <c r="F1422" s="5"/>
      <c r="G1422" s="5"/>
    </row>
    <row r="1423" spans="3:7" x14ac:dyDescent="0.35">
      <c r="C1423" s="5"/>
      <c r="F1423" s="5"/>
      <c r="G1423" s="5"/>
    </row>
    <row r="1424" spans="3:7" x14ac:dyDescent="0.35">
      <c r="C1424" s="5"/>
      <c r="F1424" s="5"/>
      <c r="G1424" s="5"/>
    </row>
    <row r="1425" spans="3:7" x14ac:dyDescent="0.35">
      <c r="C1425" s="5"/>
      <c r="F1425" s="5"/>
      <c r="G1425" s="5"/>
    </row>
    <row r="1426" spans="3:7" x14ac:dyDescent="0.35">
      <c r="C1426" s="5"/>
      <c r="F1426" s="5"/>
      <c r="G1426" s="5"/>
    </row>
    <row r="1427" spans="3:7" x14ac:dyDescent="0.35">
      <c r="C1427" s="5"/>
      <c r="F1427" s="5"/>
      <c r="G1427" s="5"/>
    </row>
    <row r="1428" spans="3:7" x14ac:dyDescent="0.35">
      <c r="C1428" s="5"/>
      <c r="F1428" s="5"/>
      <c r="G1428" s="5"/>
    </row>
    <row r="1429" spans="3:7" x14ac:dyDescent="0.35">
      <c r="C1429" s="5"/>
      <c r="F1429" s="5"/>
      <c r="G1429" s="5"/>
    </row>
    <row r="1430" spans="3:7" x14ac:dyDescent="0.35">
      <c r="C1430" s="5"/>
      <c r="F1430" s="5"/>
      <c r="G1430" s="5"/>
    </row>
    <row r="1431" spans="3:7" x14ac:dyDescent="0.35">
      <c r="C1431" s="5"/>
      <c r="F1431" s="5"/>
      <c r="G1431" s="5"/>
    </row>
    <row r="1432" spans="3:7" x14ac:dyDescent="0.35">
      <c r="C1432" s="5"/>
      <c r="F1432" s="5"/>
      <c r="G1432" s="5"/>
    </row>
    <row r="1433" spans="3:7" x14ac:dyDescent="0.35">
      <c r="C1433" s="5"/>
      <c r="F1433" s="5"/>
      <c r="G1433" s="5"/>
    </row>
    <row r="1434" spans="3:7" x14ac:dyDescent="0.35">
      <c r="C1434" s="5"/>
      <c r="F1434" s="5"/>
      <c r="G1434" s="5"/>
    </row>
    <row r="1435" spans="3:7" x14ac:dyDescent="0.35">
      <c r="C1435" s="5"/>
      <c r="F1435" s="5"/>
      <c r="G1435" s="5"/>
    </row>
    <row r="1436" spans="3:7" x14ac:dyDescent="0.35">
      <c r="C1436" s="5"/>
      <c r="F1436" s="5"/>
      <c r="G1436" s="5"/>
    </row>
    <row r="1437" spans="3:7" x14ac:dyDescent="0.35">
      <c r="C1437" s="5"/>
      <c r="F1437" s="5"/>
      <c r="G1437" s="5"/>
    </row>
    <row r="1438" spans="3:7" x14ac:dyDescent="0.35">
      <c r="C1438" s="5"/>
      <c r="F1438" s="5"/>
      <c r="G1438" s="5"/>
    </row>
    <row r="1439" spans="3:7" x14ac:dyDescent="0.35">
      <c r="C1439" s="5"/>
      <c r="F1439" s="5"/>
      <c r="G1439" s="5"/>
    </row>
    <row r="1440" spans="3:7" x14ac:dyDescent="0.35">
      <c r="C1440" s="5"/>
      <c r="F1440" s="5"/>
      <c r="G1440" s="5"/>
    </row>
    <row r="1441" spans="3:7" x14ac:dyDescent="0.35">
      <c r="C1441" s="5"/>
      <c r="F1441" s="5"/>
      <c r="G1441" s="5"/>
    </row>
    <row r="1442" spans="3:7" x14ac:dyDescent="0.35">
      <c r="C1442" s="5"/>
      <c r="F1442" s="5"/>
      <c r="G1442" s="5"/>
    </row>
    <row r="1443" spans="3:7" x14ac:dyDescent="0.35">
      <c r="C1443" s="5"/>
      <c r="F1443" s="5"/>
      <c r="G1443" s="5"/>
    </row>
    <row r="1444" spans="3:7" x14ac:dyDescent="0.35">
      <c r="C1444" s="5"/>
      <c r="F1444" s="5"/>
      <c r="G1444" s="5"/>
    </row>
    <row r="1445" spans="3:7" x14ac:dyDescent="0.35">
      <c r="C1445" s="5"/>
      <c r="F1445" s="5"/>
      <c r="G1445" s="5"/>
    </row>
    <row r="1446" spans="3:7" x14ac:dyDescent="0.35">
      <c r="C1446" s="5"/>
      <c r="F1446" s="5"/>
      <c r="G1446" s="5"/>
    </row>
    <row r="1447" spans="3:7" x14ac:dyDescent="0.35">
      <c r="C1447" s="5"/>
      <c r="F1447" s="5"/>
      <c r="G1447" s="5"/>
    </row>
    <row r="1448" spans="3:7" x14ac:dyDescent="0.35">
      <c r="C1448" s="5"/>
      <c r="F1448" s="5"/>
      <c r="G1448" s="5"/>
    </row>
    <row r="1449" spans="3:7" x14ac:dyDescent="0.35">
      <c r="C1449" s="5"/>
      <c r="F1449" s="5"/>
      <c r="G1449" s="5"/>
    </row>
    <row r="1450" spans="3:7" x14ac:dyDescent="0.35">
      <c r="C1450" s="5"/>
      <c r="F1450" s="5"/>
      <c r="G1450" s="5"/>
    </row>
    <row r="1451" spans="3:7" x14ac:dyDescent="0.35">
      <c r="C1451" s="5"/>
      <c r="F1451" s="5"/>
      <c r="G1451" s="5"/>
    </row>
    <row r="1452" spans="3:7" x14ac:dyDescent="0.35">
      <c r="C1452" s="5"/>
      <c r="F1452" s="5"/>
      <c r="G1452" s="5"/>
    </row>
    <row r="1453" spans="3:7" x14ac:dyDescent="0.35">
      <c r="C1453" s="5"/>
      <c r="F1453" s="5"/>
      <c r="G1453" s="5"/>
    </row>
    <row r="1454" spans="3:7" x14ac:dyDescent="0.35">
      <c r="C1454" s="5"/>
      <c r="F1454" s="5"/>
      <c r="G1454" s="5"/>
    </row>
    <row r="1455" spans="3:7" x14ac:dyDescent="0.35">
      <c r="C1455" s="5"/>
      <c r="F1455" s="5"/>
      <c r="G1455" s="5"/>
    </row>
    <row r="1456" spans="3:7" x14ac:dyDescent="0.35">
      <c r="C1456" s="5"/>
      <c r="F1456" s="5"/>
      <c r="G1456" s="5"/>
    </row>
    <row r="1457" spans="3:7" x14ac:dyDescent="0.35">
      <c r="C1457" s="5"/>
      <c r="F1457" s="5"/>
      <c r="G1457" s="5"/>
    </row>
    <row r="1458" spans="3:7" x14ac:dyDescent="0.35">
      <c r="C1458" s="5"/>
      <c r="F1458" s="5"/>
      <c r="G1458" s="5"/>
    </row>
    <row r="1459" spans="3:7" x14ac:dyDescent="0.35">
      <c r="C1459" s="5"/>
      <c r="F1459" s="5"/>
      <c r="G1459" s="5"/>
    </row>
    <row r="1460" spans="3:7" x14ac:dyDescent="0.35">
      <c r="C1460" s="5"/>
      <c r="F1460" s="5"/>
      <c r="G1460" s="5"/>
    </row>
    <row r="1461" spans="3:7" x14ac:dyDescent="0.35">
      <c r="C1461" s="5"/>
      <c r="F1461" s="5"/>
      <c r="G1461" s="5"/>
    </row>
    <row r="1462" spans="3:7" x14ac:dyDescent="0.35">
      <c r="C1462" s="5"/>
      <c r="F1462" s="5"/>
      <c r="G1462" s="5"/>
    </row>
    <row r="1463" spans="3:7" x14ac:dyDescent="0.35">
      <c r="C1463" s="5"/>
      <c r="F1463" s="5"/>
      <c r="G1463" s="5"/>
    </row>
    <row r="1464" spans="3:7" x14ac:dyDescent="0.35">
      <c r="C1464" s="5"/>
      <c r="F1464" s="5"/>
      <c r="G1464" s="5"/>
    </row>
    <row r="1465" spans="3:7" x14ac:dyDescent="0.35">
      <c r="C1465" s="5"/>
      <c r="F1465" s="5"/>
      <c r="G1465" s="5"/>
    </row>
    <row r="1466" spans="3:7" x14ac:dyDescent="0.35">
      <c r="C1466" s="5"/>
      <c r="F1466" s="5"/>
      <c r="G1466" s="5"/>
    </row>
    <row r="1467" spans="3:7" x14ac:dyDescent="0.35">
      <c r="C1467" s="5"/>
      <c r="F1467" s="5"/>
      <c r="G1467" s="5"/>
    </row>
    <row r="1468" spans="3:7" x14ac:dyDescent="0.35">
      <c r="C1468" s="5"/>
      <c r="F1468" s="5"/>
      <c r="G1468" s="5"/>
    </row>
    <row r="1469" spans="3:7" x14ac:dyDescent="0.35">
      <c r="C1469" s="5"/>
      <c r="F1469" s="5"/>
      <c r="G1469" s="5"/>
    </row>
    <row r="1470" spans="3:7" x14ac:dyDescent="0.35">
      <c r="C1470" s="5"/>
      <c r="F1470" s="5"/>
      <c r="G1470" s="5"/>
    </row>
    <row r="1471" spans="3:7" x14ac:dyDescent="0.35">
      <c r="C1471" s="5"/>
      <c r="F1471" s="5"/>
      <c r="G1471" s="5"/>
    </row>
    <row r="1472" spans="3:7" x14ac:dyDescent="0.35">
      <c r="C1472" s="5"/>
      <c r="F1472" s="5"/>
      <c r="G1472" s="5"/>
    </row>
    <row r="1473" spans="3:7" x14ac:dyDescent="0.35">
      <c r="C1473" s="5"/>
      <c r="F1473" s="5"/>
      <c r="G1473" s="5"/>
    </row>
    <row r="1474" spans="3:7" x14ac:dyDescent="0.35">
      <c r="C1474" s="5"/>
      <c r="F1474" s="5"/>
      <c r="G1474" s="5"/>
    </row>
    <row r="1475" spans="3:7" x14ac:dyDescent="0.35">
      <c r="C1475" s="5"/>
      <c r="F1475" s="5"/>
      <c r="G1475" s="5"/>
    </row>
    <row r="1476" spans="3:7" x14ac:dyDescent="0.35">
      <c r="C1476" s="5"/>
      <c r="F1476" s="5"/>
      <c r="G1476" s="5"/>
    </row>
    <row r="1477" spans="3:7" x14ac:dyDescent="0.35">
      <c r="C1477" s="5"/>
      <c r="F1477" s="5"/>
      <c r="G1477" s="5"/>
    </row>
    <row r="1478" spans="3:7" x14ac:dyDescent="0.35">
      <c r="C1478" s="5"/>
      <c r="F1478" s="5"/>
      <c r="G1478" s="5"/>
    </row>
    <row r="1479" spans="3:7" x14ac:dyDescent="0.35">
      <c r="C1479" s="5"/>
      <c r="F1479" s="5"/>
      <c r="G1479" s="5"/>
    </row>
    <row r="1480" spans="3:7" x14ac:dyDescent="0.35">
      <c r="C1480" s="5"/>
      <c r="F1480" s="5"/>
      <c r="G1480" s="5"/>
    </row>
    <row r="1481" spans="3:7" x14ac:dyDescent="0.35">
      <c r="C1481" s="5"/>
      <c r="F1481" s="5"/>
      <c r="G1481" s="5"/>
    </row>
    <row r="1482" spans="3:7" x14ac:dyDescent="0.35">
      <c r="C1482" s="5"/>
      <c r="F1482" s="5"/>
      <c r="G1482" s="5"/>
    </row>
    <row r="1483" spans="3:7" x14ac:dyDescent="0.35">
      <c r="C1483" s="5"/>
      <c r="F1483" s="5"/>
      <c r="G1483" s="5"/>
    </row>
    <row r="1484" spans="3:7" x14ac:dyDescent="0.35">
      <c r="C1484" s="5"/>
      <c r="F1484" s="5"/>
      <c r="G1484" s="5"/>
    </row>
    <row r="1485" spans="3:7" x14ac:dyDescent="0.35">
      <c r="C1485" s="5"/>
      <c r="F1485" s="5"/>
      <c r="G1485" s="5"/>
    </row>
    <row r="1486" spans="3:7" x14ac:dyDescent="0.35">
      <c r="C1486" s="5"/>
      <c r="F1486" s="5"/>
      <c r="G1486" s="5"/>
    </row>
    <row r="1487" spans="3:7" x14ac:dyDescent="0.35">
      <c r="C1487" s="5"/>
      <c r="F1487" s="5"/>
      <c r="G1487" s="5"/>
    </row>
    <row r="1488" spans="3:7" x14ac:dyDescent="0.35">
      <c r="C1488" s="5"/>
      <c r="F1488" s="5"/>
      <c r="G1488" s="5"/>
    </row>
    <row r="1489" spans="3:7" x14ac:dyDescent="0.35">
      <c r="C1489" s="5"/>
      <c r="F1489" s="5"/>
      <c r="G1489" s="5"/>
    </row>
    <row r="1490" spans="3:7" x14ac:dyDescent="0.35">
      <c r="C1490" s="5"/>
      <c r="F1490" s="5"/>
      <c r="G1490" s="5"/>
    </row>
    <row r="1491" spans="3:7" x14ac:dyDescent="0.35">
      <c r="C1491" s="5"/>
      <c r="F1491" s="5"/>
      <c r="G1491" s="5"/>
    </row>
    <row r="1492" spans="3:7" x14ac:dyDescent="0.35">
      <c r="C1492" s="5"/>
      <c r="F1492" s="5"/>
      <c r="G1492" s="5"/>
    </row>
    <row r="1493" spans="3:7" x14ac:dyDescent="0.35">
      <c r="C1493" s="5"/>
      <c r="F1493" s="5"/>
      <c r="G1493" s="5"/>
    </row>
    <row r="1494" spans="3:7" x14ac:dyDescent="0.35">
      <c r="C1494" s="5"/>
      <c r="F1494" s="5"/>
      <c r="G1494" s="5"/>
    </row>
    <row r="1495" spans="3:7" x14ac:dyDescent="0.35">
      <c r="C1495" s="5"/>
      <c r="F1495" s="5"/>
      <c r="G1495" s="5"/>
    </row>
    <row r="1496" spans="3:7" x14ac:dyDescent="0.35">
      <c r="C1496" s="5"/>
      <c r="F1496" s="5"/>
      <c r="G1496" s="5"/>
    </row>
    <row r="1497" spans="3:7" x14ac:dyDescent="0.35">
      <c r="C1497" s="5"/>
      <c r="F1497" s="5"/>
      <c r="G1497" s="5"/>
    </row>
    <row r="1498" spans="3:7" x14ac:dyDescent="0.35">
      <c r="C1498" s="5"/>
      <c r="F1498" s="5"/>
      <c r="G1498" s="5"/>
    </row>
    <row r="1499" spans="3:7" x14ac:dyDescent="0.35">
      <c r="C1499" s="5"/>
      <c r="F1499" s="5"/>
      <c r="G1499" s="5"/>
    </row>
    <row r="1500" spans="3:7" x14ac:dyDescent="0.35">
      <c r="C1500" s="5"/>
      <c r="F1500" s="5"/>
      <c r="G1500" s="5"/>
    </row>
    <row r="1501" spans="3:7" x14ac:dyDescent="0.35">
      <c r="C1501" s="5"/>
      <c r="F1501" s="5"/>
      <c r="G1501" s="5"/>
    </row>
    <row r="1502" spans="3:7" x14ac:dyDescent="0.35">
      <c r="C1502" s="5"/>
      <c r="F1502" s="5"/>
      <c r="G1502" s="5"/>
    </row>
    <row r="1503" spans="3:7" x14ac:dyDescent="0.35">
      <c r="C1503" s="5"/>
      <c r="F1503" s="5"/>
      <c r="G1503" s="5"/>
    </row>
    <row r="1504" spans="3:7" x14ac:dyDescent="0.35">
      <c r="C1504" s="5"/>
      <c r="F1504" s="5"/>
      <c r="G1504" s="5"/>
    </row>
    <row r="1505" spans="3:7" x14ac:dyDescent="0.35">
      <c r="C1505" s="5"/>
      <c r="F1505" s="5"/>
      <c r="G1505" s="5"/>
    </row>
    <row r="1506" spans="3:7" x14ac:dyDescent="0.35">
      <c r="C1506" s="5"/>
      <c r="F1506" s="5"/>
      <c r="G1506" s="5"/>
    </row>
    <row r="1507" spans="3:7" x14ac:dyDescent="0.35">
      <c r="C1507" s="5"/>
      <c r="F1507" s="5"/>
      <c r="G1507" s="5"/>
    </row>
    <row r="1508" spans="3:7" x14ac:dyDescent="0.35">
      <c r="C1508" s="5"/>
      <c r="F1508" s="5"/>
      <c r="G1508" s="5"/>
    </row>
    <row r="1509" spans="3:7" x14ac:dyDescent="0.35">
      <c r="C1509" s="5"/>
      <c r="F1509" s="5"/>
      <c r="G1509" s="5"/>
    </row>
    <row r="1510" spans="3:7" x14ac:dyDescent="0.35">
      <c r="C1510" s="5"/>
      <c r="F1510" s="5"/>
      <c r="G1510" s="5"/>
    </row>
    <row r="1511" spans="3:7" x14ac:dyDescent="0.35">
      <c r="C1511" s="5"/>
      <c r="F1511" s="5"/>
      <c r="G1511" s="5"/>
    </row>
    <row r="1512" spans="3:7" x14ac:dyDescent="0.35">
      <c r="C1512" s="5"/>
      <c r="F1512" s="5"/>
      <c r="G1512" s="5"/>
    </row>
    <row r="1513" spans="3:7" x14ac:dyDescent="0.35">
      <c r="C1513" s="5"/>
      <c r="F1513" s="5"/>
      <c r="G1513" s="5"/>
    </row>
    <row r="1514" spans="3:7" x14ac:dyDescent="0.35">
      <c r="C1514" s="5"/>
      <c r="F1514" s="5"/>
      <c r="G1514" s="5"/>
    </row>
    <row r="1515" spans="3:7" x14ac:dyDescent="0.35">
      <c r="C1515" s="5"/>
      <c r="F1515" s="5"/>
      <c r="G1515" s="5"/>
    </row>
    <row r="1516" spans="3:7" x14ac:dyDescent="0.35">
      <c r="C1516" s="5"/>
      <c r="F1516" s="5"/>
      <c r="G1516" s="5"/>
    </row>
    <row r="1517" spans="3:7" x14ac:dyDescent="0.35">
      <c r="C1517" s="5"/>
      <c r="F1517" s="5"/>
      <c r="G1517" s="5"/>
    </row>
    <row r="1518" spans="3:7" x14ac:dyDescent="0.35">
      <c r="C1518" s="5"/>
      <c r="F1518" s="5"/>
      <c r="G1518" s="5"/>
    </row>
    <row r="1519" spans="3:7" x14ac:dyDescent="0.35">
      <c r="C1519" s="5"/>
      <c r="F1519" s="5"/>
      <c r="G1519" s="5"/>
    </row>
    <row r="1520" spans="3:7" x14ac:dyDescent="0.35">
      <c r="C1520" s="5"/>
      <c r="F1520" s="5"/>
      <c r="G1520" s="5"/>
    </row>
    <row r="1521" spans="3:7" x14ac:dyDescent="0.35">
      <c r="C1521" s="5"/>
      <c r="F1521" s="5"/>
      <c r="G1521" s="5"/>
    </row>
    <row r="1522" spans="3:7" x14ac:dyDescent="0.35">
      <c r="C1522" s="5"/>
      <c r="F1522" s="5"/>
      <c r="G1522" s="5"/>
    </row>
    <row r="1523" spans="3:7" x14ac:dyDescent="0.35">
      <c r="C1523" s="5"/>
      <c r="F1523" s="5"/>
      <c r="G1523" s="5"/>
    </row>
    <row r="1524" spans="3:7" x14ac:dyDescent="0.35">
      <c r="C1524" s="5"/>
      <c r="F1524" s="5"/>
      <c r="G1524" s="5"/>
    </row>
    <row r="1525" spans="3:7" x14ac:dyDescent="0.35">
      <c r="C1525" s="5"/>
      <c r="F1525" s="5"/>
      <c r="G1525" s="5"/>
    </row>
    <row r="1526" spans="3:7" x14ac:dyDescent="0.35">
      <c r="C1526" s="5"/>
      <c r="F1526" s="5"/>
      <c r="G1526" s="5"/>
    </row>
    <row r="1527" spans="3:7" x14ac:dyDescent="0.35">
      <c r="C1527" s="5"/>
      <c r="F1527" s="5"/>
      <c r="G1527" s="5"/>
    </row>
    <row r="1528" spans="3:7" x14ac:dyDescent="0.35">
      <c r="C1528" s="5"/>
      <c r="F1528" s="5"/>
      <c r="G1528" s="5"/>
    </row>
    <row r="1529" spans="3:7" x14ac:dyDescent="0.35">
      <c r="C1529" s="5"/>
      <c r="F1529" s="5"/>
      <c r="G1529" s="5"/>
    </row>
    <row r="1530" spans="3:7" x14ac:dyDescent="0.35">
      <c r="C1530" s="5"/>
      <c r="F1530" s="5"/>
      <c r="G1530" s="5"/>
    </row>
    <row r="1531" spans="3:7" x14ac:dyDescent="0.35">
      <c r="C1531" s="5"/>
      <c r="F1531" s="5"/>
      <c r="G1531" s="5"/>
    </row>
    <row r="1532" spans="3:7" x14ac:dyDescent="0.35">
      <c r="C1532" s="5"/>
      <c r="F1532" s="5"/>
      <c r="G1532" s="5"/>
    </row>
    <row r="1533" spans="3:7" x14ac:dyDescent="0.35">
      <c r="C1533" s="5"/>
      <c r="F1533" s="5"/>
      <c r="G1533" s="5"/>
    </row>
    <row r="1534" spans="3:7" x14ac:dyDescent="0.35">
      <c r="C1534" s="5"/>
      <c r="F1534" s="5"/>
      <c r="G1534" s="5"/>
    </row>
    <row r="1535" spans="3:7" x14ac:dyDescent="0.35">
      <c r="C1535" s="5"/>
      <c r="F1535" s="5"/>
      <c r="G1535" s="5"/>
    </row>
    <row r="1536" spans="3:7" x14ac:dyDescent="0.35">
      <c r="C1536" s="5"/>
      <c r="F1536" s="5"/>
      <c r="G1536" s="5"/>
    </row>
    <row r="1537" spans="3:7" x14ac:dyDescent="0.35">
      <c r="C1537" s="5"/>
      <c r="F1537" s="5"/>
      <c r="G1537" s="5"/>
    </row>
    <row r="1538" spans="3:7" x14ac:dyDescent="0.35">
      <c r="C1538" s="5"/>
      <c r="F1538" s="5"/>
      <c r="G1538" s="5"/>
    </row>
    <row r="1539" spans="3:7" x14ac:dyDescent="0.35">
      <c r="C1539" s="5"/>
      <c r="F1539" s="5"/>
      <c r="G1539" s="5"/>
    </row>
    <row r="1540" spans="3:7" x14ac:dyDescent="0.35">
      <c r="C1540" s="5"/>
      <c r="F1540" s="5"/>
      <c r="G1540" s="5"/>
    </row>
    <row r="1541" spans="3:7" x14ac:dyDescent="0.35">
      <c r="C1541" s="5"/>
      <c r="F1541" s="5"/>
      <c r="G1541" s="5"/>
    </row>
    <row r="1542" spans="3:7" x14ac:dyDescent="0.35">
      <c r="C1542" s="5"/>
      <c r="F1542" s="5"/>
      <c r="G1542" s="5"/>
    </row>
    <row r="1543" spans="3:7" x14ac:dyDescent="0.35">
      <c r="C1543" s="5"/>
      <c r="F1543" s="5"/>
      <c r="G1543" s="5"/>
    </row>
    <row r="1544" spans="3:7" x14ac:dyDescent="0.35">
      <c r="C1544" s="5"/>
      <c r="F1544" s="5"/>
      <c r="G1544" s="5"/>
    </row>
    <row r="1545" spans="3:7" x14ac:dyDescent="0.35">
      <c r="C1545" s="5"/>
      <c r="F1545" s="5"/>
      <c r="G1545" s="5"/>
    </row>
    <row r="1546" spans="3:7" x14ac:dyDescent="0.35">
      <c r="C1546" s="5"/>
      <c r="F1546" s="5"/>
      <c r="G1546" s="5"/>
    </row>
    <row r="1547" spans="3:7" x14ac:dyDescent="0.35">
      <c r="C1547" s="5"/>
      <c r="F1547" s="5"/>
      <c r="G1547" s="5"/>
    </row>
    <row r="1548" spans="3:7" x14ac:dyDescent="0.35">
      <c r="C1548" s="5"/>
      <c r="F1548" s="5"/>
      <c r="G1548" s="5"/>
    </row>
    <row r="1549" spans="3:7" x14ac:dyDescent="0.35">
      <c r="C1549" s="5"/>
      <c r="F1549" s="5"/>
      <c r="G1549" s="5"/>
    </row>
    <row r="1550" spans="3:7" x14ac:dyDescent="0.35">
      <c r="C1550" s="5"/>
      <c r="F1550" s="5"/>
      <c r="G1550" s="5"/>
    </row>
    <row r="1551" spans="3:7" x14ac:dyDescent="0.35">
      <c r="C1551" s="5"/>
      <c r="F1551" s="5"/>
      <c r="G1551" s="5"/>
    </row>
    <row r="1552" spans="3:7" x14ac:dyDescent="0.35">
      <c r="C1552" s="5"/>
      <c r="F1552" s="5"/>
      <c r="G1552" s="5"/>
    </row>
    <row r="1553" spans="3:7" x14ac:dyDescent="0.35">
      <c r="C1553" s="5"/>
      <c r="F1553" s="5"/>
      <c r="G1553" s="5"/>
    </row>
    <row r="1554" spans="3:7" x14ac:dyDescent="0.35">
      <c r="C1554" s="5"/>
      <c r="F1554" s="5"/>
      <c r="G1554" s="5"/>
    </row>
    <row r="1555" spans="3:7" x14ac:dyDescent="0.35">
      <c r="C1555" s="5"/>
      <c r="F1555" s="5"/>
      <c r="G1555" s="5"/>
    </row>
    <row r="1556" spans="3:7" x14ac:dyDescent="0.35">
      <c r="C1556" s="5"/>
      <c r="F1556" s="5"/>
      <c r="G1556" s="5"/>
    </row>
    <row r="1557" spans="3:7" x14ac:dyDescent="0.35">
      <c r="C1557" s="5"/>
      <c r="F1557" s="5"/>
      <c r="G1557" s="5"/>
    </row>
    <row r="1558" spans="3:7" x14ac:dyDescent="0.35">
      <c r="C1558" s="5"/>
      <c r="F1558" s="5"/>
      <c r="G1558" s="5"/>
    </row>
    <row r="1559" spans="3:7" x14ac:dyDescent="0.35">
      <c r="C1559" s="5"/>
      <c r="F1559" s="5"/>
      <c r="G1559" s="5"/>
    </row>
    <row r="1560" spans="3:7" x14ac:dyDescent="0.35">
      <c r="C1560" s="5"/>
      <c r="F1560" s="5"/>
      <c r="G1560" s="5"/>
    </row>
    <row r="1561" spans="3:7" x14ac:dyDescent="0.35">
      <c r="C1561" s="5"/>
      <c r="F1561" s="5"/>
      <c r="G1561" s="5"/>
    </row>
    <row r="1562" spans="3:7" x14ac:dyDescent="0.35">
      <c r="C1562" s="5"/>
      <c r="F1562" s="5"/>
      <c r="G1562" s="5"/>
    </row>
    <row r="1563" spans="3:7" x14ac:dyDescent="0.35">
      <c r="C1563" s="5"/>
      <c r="F1563" s="5"/>
      <c r="G1563" s="5"/>
    </row>
    <row r="1564" spans="3:7" x14ac:dyDescent="0.35">
      <c r="C1564" s="5"/>
      <c r="F1564" s="5"/>
      <c r="G1564" s="5"/>
    </row>
    <row r="1565" spans="3:7" x14ac:dyDescent="0.35">
      <c r="C1565" s="5"/>
      <c r="F1565" s="5"/>
      <c r="G1565" s="5"/>
    </row>
    <row r="1566" spans="3:7" x14ac:dyDescent="0.35">
      <c r="C1566" s="5"/>
      <c r="F1566" s="5"/>
      <c r="G1566" s="5"/>
    </row>
    <row r="1567" spans="3:7" x14ac:dyDescent="0.35">
      <c r="C1567" s="5"/>
      <c r="F1567" s="5"/>
      <c r="G1567" s="5"/>
    </row>
    <row r="1568" spans="3:7" x14ac:dyDescent="0.35">
      <c r="C1568" s="5"/>
      <c r="F1568" s="5"/>
      <c r="G1568" s="5"/>
    </row>
    <row r="1569" spans="3:7" x14ac:dyDescent="0.35">
      <c r="C1569" s="5"/>
      <c r="F1569" s="5"/>
      <c r="G1569" s="5"/>
    </row>
    <row r="1570" spans="3:7" x14ac:dyDescent="0.35">
      <c r="C1570" s="5"/>
      <c r="F1570" s="5"/>
      <c r="G1570" s="5"/>
    </row>
    <row r="1571" spans="3:7" x14ac:dyDescent="0.35">
      <c r="C1571" s="5"/>
      <c r="F1571" s="5"/>
      <c r="G1571" s="5"/>
    </row>
    <row r="1572" spans="3:7" x14ac:dyDescent="0.35">
      <c r="C1572" s="5"/>
      <c r="F1572" s="5"/>
      <c r="G1572" s="5"/>
    </row>
    <row r="1573" spans="3:7" x14ac:dyDescent="0.35">
      <c r="C1573" s="5"/>
      <c r="F1573" s="5"/>
      <c r="G1573" s="5"/>
    </row>
    <row r="1574" spans="3:7" x14ac:dyDescent="0.35">
      <c r="C1574" s="5"/>
      <c r="F1574" s="5"/>
      <c r="G1574" s="5"/>
    </row>
    <row r="1575" spans="3:7" x14ac:dyDescent="0.35">
      <c r="C1575" s="5"/>
      <c r="F1575" s="5"/>
      <c r="G1575" s="5"/>
    </row>
    <row r="1576" spans="3:7" x14ac:dyDescent="0.35">
      <c r="C1576" s="5"/>
      <c r="F1576" s="5"/>
      <c r="G1576" s="5"/>
    </row>
    <row r="1577" spans="3:7" x14ac:dyDescent="0.35">
      <c r="C1577" s="5"/>
      <c r="F1577" s="5"/>
      <c r="G1577" s="5"/>
    </row>
    <row r="1578" spans="3:7" x14ac:dyDescent="0.35">
      <c r="C1578" s="5"/>
      <c r="F1578" s="5"/>
      <c r="G1578" s="5"/>
    </row>
    <row r="1579" spans="3:7" x14ac:dyDescent="0.35">
      <c r="C1579" s="5"/>
      <c r="F1579" s="5"/>
      <c r="G1579" s="5"/>
    </row>
    <row r="1580" spans="3:7" x14ac:dyDescent="0.35">
      <c r="C1580" s="5"/>
      <c r="F1580" s="5"/>
      <c r="G1580" s="5"/>
    </row>
    <row r="1581" spans="3:7" x14ac:dyDescent="0.35">
      <c r="C1581" s="5"/>
      <c r="F1581" s="5"/>
      <c r="G1581" s="5"/>
    </row>
    <row r="1582" spans="3:7" x14ac:dyDescent="0.35">
      <c r="C1582" s="5"/>
      <c r="F1582" s="5"/>
      <c r="G1582" s="5"/>
    </row>
    <row r="1583" spans="3:7" x14ac:dyDescent="0.35">
      <c r="C1583" s="5"/>
      <c r="F1583" s="5"/>
      <c r="G1583" s="5"/>
    </row>
    <row r="1584" spans="3:7" x14ac:dyDescent="0.35">
      <c r="C1584" s="5"/>
      <c r="F1584" s="5"/>
      <c r="G1584" s="5"/>
    </row>
    <row r="1585" spans="3:7" x14ac:dyDescent="0.35">
      <c r="C1585" s="5"/>
      <c r="F1585" s="5"/>
      <c r="G1585" s="5"/>
    </row>
    <row r="1586" spans="3:7" x14ac:dyDescent="0.35">
      <c r="C1586" s="5"/>
      <c r="F1586" s="5"/>
      <c r="G1586" s="5"/>
    </row>
    <row r="1587" spans="3:7" x14ac:dyDescent="0.35">
      <c r="C1587" s="5"/>
      <c r="F1587" s="5"/>
      <c r="G1587" s="5"/>
    </row>
    <row r="1588" spans="3:7" x14ac:dyDescent="0.35">
      <c r="C1588" s="5"/>
      <c r="F1588" s="5"/>
      <c r="G1588" s="5"/>
    </row>
    <row r="1589" spans="3:7" x14ac:dyDescent="0.35">
      <c r="C1589" s="5"/>
      <c r="F1589" s="5"/>
      <c r="G1589" s="5"/>
    </row>
    <row r="1590" spans="3:7" x14ac:dyDescent="0.35">
      <c r="C1590" s="5"/>
      <c r="F1590" s="5"/>
      <c r="G1590" s="5"/>
    </row>
    <row r="1591" spans="3:7" x14ac:dyDescent="0.35">
      <c r="C1591" s="5"/>
      <c r="F1591" s="5"/>
      <c r="G1591" s="5"/>
    </row>
    <row r="1592" spans="3:7" x14ac:dyDescent="0.35">
      <c r="C1592" s="5"/>
      <c r="F1592" s="5"/>
      <c r="G1592" s="5"/>
    </row>
    <row r="1593" spans="3:7" x14ac:dyDescent="0.35">
      <c r="C1593" s="5"/>
      <c r="F1593" s="5"/>
      <c r="G1593" s="5"/>
    </row>
    <row r="1594" spans="3:7" x14ac:dyDescent="0.35">
      <c r="C1594" s="5"/>
      <c r="F1594" s="5"/>
      <c r="G1594" s="5"/>
    </row>
    <row r="1595" spans="3:7" x14ac:dyDescent="0.35">
      <c r="C1595" s="5"/>
      <c r="F1595" s="5"/>
      <c r="G1595" s="5"/>
    </row>
    <row r="1596" spans="3:7" x14ac:dyDescent="0.35">
      <c r="C1596" s="5"/>
      <c r="F1596" s="5"/>
      <c r="G1596" s="5"/>
    </row>
    <row r="1597" spans="3:7" x14ac:dyDescent="0.35">
      <c r="C1597" s="5"/>
      <c r="F1597" s="5"/>
      <c r="G1597" s="5"/>
    </row>
    <row r="1598" spans="3:7" x14ac:dyDescent="0.35">
      <c r="C1598" s="5"/>
      <c r="F1598" s="5"/>
      <c r="G1598" s="5"/>
    </row>
    <row r="1599" spans="3:7" x14ac:dyDescent="0.35">
      <c r="C1599" s="5"/>
      <c r="F1599" s="5"/>
      <c r="G1599" s="5"/>
    </row>
    <row r="1600" spans="3:7" x14ac:dyDescent="0.35">
      <c r="C1600" s="5"/>
      <c r="F1600" s="5"/>
      <c r="G1600" s="5"/>
    </row>
    <row r="1601" spans="3:7" x14ac:dyDescent="0.35">
      <c r="C1601" s="5"/>
      <c r="F1601" s="5"/>
      <c r="G1601" s="5"/>
    </row>
    <row r="1602" spans="3:7" x14ac:dyDescent="0.35">
      <c r="C1602" s="5"/>
      <c r="F1602" s="5"/>
      <c r="G1602" s="5"/>
    </row>
    <row r="1603" spans="3:7" x14ac:dyDescent="0.35">
      <c r="C1603" s="5"/>
      <c r="F1603" s="5"/>
      <c r="G1603" s="5"/>
    </row>
    <row r="1604" spans="3:7" x14ac:dyDescent="0.35">
      <c r="C1604" s="5"/>
      <c r="F1604" s="5"/>
      <c r="G1604" s="5"/>
    </row>
    <row r="1605" spans="3:7" x14ac:dyDescent="0.35">
      <c r="C1605" s="5"/>
      <c r="F1605" s="5"/>
      <c r="G1605" s="5"/>
    </row>
    <row r="1606" spans="3:7" x14ac:dyDescent="0.35">
      <c r="C1606" s="5"/>
      <c r="F1606" s="5"/>
      <c r="G1606" s="5"/>
    </row>
    <row r="1607" spans="3:7" x14ac:dyDescent="0.35">
      <c r="C1607" s="5"/>
      <c r="F1607" s="5"/>
      <c r="G1607" s="5"/>
    </row>
    <row r="1608" spans="3:7" x14ac:dyDescent="0.35">
      <c r="C1608" s="5"/>
      <c r="F1608" s="5"/>
      <c r="G1608" s="5"/>
    </row>
    <row r="1609" spans="3:7" x14ac:dyDescent="0.35">
      <c r="C1609" s="5"/>
      <c r="F1609" s="5"/>
      <c r="G1609" s="5"/>
    </row>
    <row r="1610" spans="3:7" x14ac:dyDescent="0.35">
      <c r="C1610" s="5"/>
      <c r="F1610" s="5"/>
      <c r="G1610" s="5"/>
    </row>
    <row r="1611" spans="3:7" x14ac:dyDescent="0.35">
      <c r="C1611" s="5"/>
      <c r="F1611" s="5"/>
      <c r="G1611" s="5"/>
    </row>
    <row r="1612" spans="3:7" x14ac:dyDescent="0.35">
      <c r="C1612" s="5"/>
      <c r="F1612" s="5"/>
      <c r="G1612" s="5"/>
    </row>
    <row r="1613" spans="3:7" x14ac:dyDescent="0.35">
      <c r="C1613" s="5"/>
      <c r="F1613" s="5"/>
      <c r="G1613" s="5"/>
    </row>
    <row r="1614" spans="3:7" x14ac:dyDescent="0.35">
      <c r="C1614" s="5"/>
      <c r="F1614" s="5"/>
      <c r="G1614" s="5"/>
    </row>
    <row r="1615" spans="3:7" x14ac:dyDescent="0.35">
      <c r="C1615" s="5"/>
      <c r="F1615" s="5"/>
      <c r="G1615" s="5"/>
    </row>
    <row r="1616" spans="3:7" x14ac:dyDescent="0.35">
      <c r="C1616" s="5"/>
      <c r="F1616" s="5"/>
      <c r="G1616" s="5"/>
    </row>
    <row r="1617" spans="3:7" x14ac:dyDescent="0.35">
      <c r="C1617" s="5"/>
      <c r="F1617" s="5"/>
      <c r="G1617" s="5"/>
    </row>
    <row r="1618" spans="3:7" x14ac:dyDescent="0.35">
      <c r="C1618" s="5"/>
      <c r="F1618" s="5"/>
      <c r="G1618" s="5"/>
    </row>
    <row r="1619" spans="3:7" x14ac:dyDescent="0.35">
      <c r="C1619" s="5"/>
      <c r="F1619" s="5"/>
      <c r="G1619" s="5"/>
    </row>
    <row r="1620" spans="3:7" x14ac:dyDescent="0.35">
      <c r="C1620" s="5"/>
      <c r="F1620" s="5"/>
      <c r="G1620" s="5"/>
    </row>
    <row r="1621" spans="3:7" x14ac:dyDescent="0.35">
      <c r="C1621" s="5"/>
      <c r="F1621" s="5"/>
      <c r="G1621" s="5"/>
    </row>
    <row r="1622" spans="3:7" x14ac:dyDescent="0.35">
      <c r="C1622" s="5"/>
      <c r="F1622" s="5"/>
      <c r="G1622" s="5"/>
    </row>
    <row r="1623" spans="3:7" x14ac:dyDescent="0.35">
      <c r="C1623" s="5"/>
      <c r="F1623" s="5"/>
      <c r="G1623" s="5"/>
    </row>
    <row r="1624" spans="3:7" x14ac:dyDescent="0.35">
      <c r="C1624" s="5"/>
      <c r="F1624" s="5"/>
      <c r="G1624" s="5"/>
    </row>
    <row r="1625" spans="3:7" x14ac:dyDescent="0.35">
      <c r="C1625" s="5"/>
      <c r="F1625" s="5"/>
      <c r="G1625" s="5"/>
    </row>
    <row r="1626" spans="3:7" x14ac:dyDescent="0.35">
      <c r="C1626" s="5"/>
      <c r="F1626" s="5"/>
      <c r="G1626" s="5"/>
    </row>
    <row r="1627" spans="3:7" x14ac:dyDescent="0.35">
      <c r="C1627" s="5"/>
      <c r="F1627" s="5"/>
      <c r="G1627" s="5"/>
    </row>
    <row r="1628" spans="3:7" x14ac:dyDescent="0.35">
      <c r="C1628" s="5"/>
      <c r="F1628" s="5"/>
      <c r="G1628" s="5"/>
    </row>
    <row r="1629" spans="3:7" x14ac:dyDescent="0.35">
      <c r="C1629" s="5"/>
      <c r="F1629" s="5"/>
      <c r="G1629" s="5"/>
    </row>
    <row r="1630" spans="3:7" x14ac:dyDescent="0.35">
      <c r="C1630" s="5"/>
      <c r="F1630" s="5"/>
      <c r="G1630" s="5"/>
    </row>
    <row r="1631" spans="3:7" x14ac:dyDescent="0.35">
      <c r="C1631" s="5"/>
      <c r="F1631" s="5"/>
      <c r="G1631" s="5"/>
    </row>
    <row r="1632" spans="3:7" x14ac:dyDescent="0.35">
      <c r="C1632" s="5"/>
      <c r="F1632" s="5"/>
      <c r="G1632" s="5"/>
    </row>
    <row r="1633" spans="3:7" x14ac:dyDescent="0.35">
      <c r="C1633" s="5"/>
      <c r="F1633" s="5"/>
      <c r="G1633" s="5"/>
    </row>
    <row r="1634" spans="3:7" x14ac:dyDescent="0.35">
      <c r="C1634" s="5"/>
      <c r="F1634" s="5"/>
      <c r="G1634" s="5"/>
    </row>
    <row r="1635" spans="3:7" x14ac:dyDescent="0.35">
      <c r="C1635" s="5"/>
      <c r="F1635" s="5"/>
      <c r="G1635" s="5"/>
    </row>
    <row r="1636" spans="3:7" x14ac:dyDescent="0.35">
      <c r="C1636" s="5"/>
      <c r="F1636" s="5"/>
      <c r="G1636" s="5"/>
    </row>
    <row r="1637" spans="3:7" x14ac:dyDescent="0.35">
      <c r="C1637" s="5"/>
      <c r="F1637" s="5"/>
      <c r="G1637" s="5"/>
    </row>
    <row r="1638" spans="3:7" x14ac:dyDescent="0.35">
      <c r="C1638" s="5"/>
      <c r="F1638" s="5"/>
      <c r="G1638" s="5"/>
    </row>
    <row r="1639" spans="3:7" x14ac:dyDescent="0.35">
      <c r="C1639" s="5"/>
      <c r="F1639" s="5"/>
      <c r="G1639" s="5"/>
    </row>
    <row r="1640" spans="3:7" x14ac:dyDescent="0.35">
      <c r="C1640" s="5"/>
      <c r="F1640" s="5"/>
      <c r="G1640" s="5"/>
    </row>
    <row r="1641" spans="3:7" x14ac:dyDescent="0.35">
      <c r="C1641" s="5"/>
      <c r="F1641" s="5"/>
      <c r="G1641" s="5"/>
    </row>
    <row r="1642" spans="3:7" x14ac:dyDescent="0.35">
      <c r="C1642" s="5"/>
      <c r="F1642" s="5"/>
      <c r="G1642" s="5"/>
    </row>
    <row r="1643" spans="3:7" x14ac:dyDescent="0.35">
      <c r="C1643" s="5"/>
      <c r="F1643" s="5"/>
      <c r="G1643" s="5"/>
    </row>
    <row r="1644" spans="3:7" x14ac:dyDescent="0.35">
      <c r="C1644" s="5"/>
      <c r="F1644" s="5"/>
      <c r="G1644" s="5"/>
    </row>
    <row r="1645" spans="3:7" x14ac:dyDescent="0.35">
      <c r="C1645" s="5"/>
      <c r="F1645" s="5"/>
      <c r="G1645" s="5"/>
    </row>
    <row r="1646" spans="3:7" x14ac:dyDescent="0.35">
      <c r="C1646" s="5"/>
      <c r="F1646" s="5"/>
      <c r="G1646" s="5"/>
    </row>
    <row r="1647" spans="3:7" x14ac:dyDescent="0.35">
      <c r="C1647" s="5"/>
      <c r="F1647" s="5"/>
      <c r="G1647" s="5"/>
    </row>
    <row r="1648" spans="3:7" x14ac:dyDescent="0.35">
      <c r="C1648" s="5"/>
      <c r="F1648" s="5"/>
      <c r="G1648" s="5"/>
    </row>
    <row r="1649" spans="3:7" x14ac:dyDescent="0.35">
      <c r="C1649" s="5"/>
      <c r="F1649" s="5"/>
      <c r="G1649" s="5"/>
    </row>
    <row r="1650" spans="3:7" x14ac:dyDescent="0.35">
      <c r="C1650" s="5"/>
      <c r="F1650" s="5"/>
      <c r="G1650" s="5"/>
    </row>
    <row r="1651" spans="3:7" x14ac:dyDescent="0.35">
      <c r="C1651" s="5"/>
      <c r="F1651" s="5"/>
      <c r="G1651" s="5"/>
    </row>
    <row r="1652" spans="3:7" x14ac:dyDescent="0.35">
      <c r="C1652" s="5"/>
      <c r="F1652" s="5"/>
      <c r="G1652" s="5"/>
    </row>
    <row r="1653" spans="3:7" x14ac:dyDescent="0.35">
      <c r="C1653" s="5"/>
      <c r="F1653" s="5"/>
      <c r="G1653" s="5"/>
    </row>
    <row r="1654" spans="3:7" x14ac:dyDescent="0.35">
      <c r="C1654" s="5"/>
      <c r="F1654" s="5"/>
      <c r="G1654" s="5"/>
    </row>
    <row r="1655" spans="3:7" x14ac:dyDescent="0.35">
      <c r="C1655" s="5"/>
      <c r="F1655" s="5"/>
      <c r="G1655" s="5"/>
    </row>
    <row r="1656" spans="3:7" x14ac:dyDescent="0.35">
      <c r="C1656" s="5"/>
      <c r="F1656" s="5"/>
      <c r="G1656" s="5"/>
    </row>
    <row r="1657" spans="3:7" x14ac:dyDescent="0.35">
      <c r="C1657" s="5"/>
      <c r="F1657" s="5"/>
      <c r="G1657" s="5"/>
    </row>
    <row r="1658" spans="3:7" x14ac:dyDescent="0.35">
      <c r="C1658" s="5"/>
      <c r="F1658" s="5"/>
      <c r="G1658" s="5"/>
    </row>
    <row r="1659" spans="3:7" x14ac:dyDescent="0.35">
      <c r="C1659" s="5"/>
      <c r="F1659" s="5"/>
      <c r="G1659" s="5"/>
    </row>
    <row r="1660" spans="3:7" x14ac:dyDescent="0.35">
      <c r="C1660" s="5"/>
      <c r="F1660" s="5"/>
      <c r="G1660" s="5"/>
    </row>
    <row r="1661" spans="3:7" x14ac:dyDescent="0.35">
      <c r="C1661" s="5"/>
      <c r="F1661" s="5"/>
      <c r="G1661" s="5"/>
    </row>
    <row r="1662" spans="3:7" x14ac:dyDescent="0.35">
      <c r="C1662" s="5"/>
      <c r="F1662" s="5"/>
      <c r="G1662" s="5"/>
    </row>
    <row r="1663" spans="3:7" x14ac:dyDescent="0.35">
      <c r="C1663" s="5"/>
      <c r="F1663" s="5"/>
      <c r="G1663" s="5"/>
    </row>
    <row r="1664" spans="3:7" x14ac:dyDescent="0.35">
      <c r="C1664" s="5"/>
      <c r="F1664" s="5"/>
      <c r="G1664" s="5"/>
    </row>
    <row r="1665" spans="3:7" x14ac:dyDescent="0.35">
      <c r="C1665" s="5"/>
      <c r="F1665" s="5"/>
      <c r="G1665" s="5"/>
    </row>
    <row r="1666" spans="3:7" x14ac:dyDescent="0.35">
      <c r="C1666" s="5"/>
      <c r="F1666" s="5"/>
      <c r="G1666" s="5"/>
    </row>
    <row r="1667" spans="3:7" x14ac:dyDescent="0.35">
      <c r="C1667" s="5"/>
      <c r="F1667" s="5"/>
      <c r="G1667" s="5"/>
    </row>
    <row r="1668" spans="3:7" x14ac:dyDescent="0.35">
      <c r="C1668" s="5"/>
      <c r="F1668" s="5"/>
      <c r="G1668" s="5"/>
    </row>
    <row r="1669" spans="3:7" x14ac:dyDescent="0.35">
      <c r="C1669" s="5"/>
      <c r="F1669" s="5"/>
      <c r="G1669" s="5"/>
    </row>
    <row r="1670" spans="3:7" x14ac:dyDescent="0.35">
      <c r="C1670" s="5"/>
      <c r="F1670" s="5"/>
      <c r="G1670" s="5"/>
    </row>
    <row r="1671" spans="3:7" x14ac:dyDescent="0.35">
      <c r="C1671" s="5"/>
      <c r="F1671" s="5"/>
      <c r="G1671" s="5"/>
    </row>
    <row r="1672" spans="3:7" x14ac:dyDescent="0.35">
      <c r="C1672" s="5"/>
      <c r="F1672" s="5"/>
      <c r="G1672" s="5"/>
    </row>
    <row r="1673" spans="3:7" x14ac:dyDescent="0.35">
      <c r="C1673" s="5"/>
      <c r="F1673" s="5"/>
      <c r="G1673" s="5"/>
    </row>
    <row r="1674" spans="3:7" x14ac:dyDescent="0.35">
      <c r="C1674" s="5"/>
      <c r="F1674" s="5"/>
      <c r="G1674" s="5"/>
    </row>
    <row r="1675" spans="3:7" x14ac:dyDescent="0.35">
      <c r="C1675" s="5"/>
      <c r="F1675" s="5"/>
      <c r="G1675" s="5"/>
    </row>
    <row r="1676" spans="3:7" x14ac:dyDescent="0.35">
      <c r="C1676" s="5"/>
      <c r="F1676" s="5"/>
      <c r="G1676" s="5"/>
    </row>
    <row r="1677" spans="3:7" x14ac:dyDescent="0.35">
      <c r="C1677" s="5"/>
      <c r="F1677" s="5"/>
      <c r="G1677" s="5"/>
    </row>
    <row r="1678" spans="3:7" x14ac:dyDescent="0.35">
      <c r="C1678" s="5"/>
      <c r="F1678" s="5"/>
      <c r="G1678" s="5"/>
    </row>
    <row r="1679" spans="3:7" x14ac:dyDescent="0.35">
      <c r="C1679" s="5"/>
      <c r="F1679" s="5"/>
      <c r="G1679" s="5"/>
    </row>
    <row r="1680" spans="3:7" x14ac:dyDescent="0.35">
      <c r="C1680" s="5"/>
      <c r="F1680" s="5"/>
      <c r="G1680" s="5"/>
    </row>
    <row r="1681" spans="3:7" x14ac:dyDescent="0.35">
      <c r="C1681" s="5"/>
      <c r="F1681" s="5"/>
      <c r="G1681" s="5"/>
    </row>
    <row r="1682" spans="3:7" x14ac:dyDescent="0.35">
      <c r="C1682" s="5"/>
      <c r="F1682" s="5"/>
      <c r="G1682" s="5"/>
    </row>
    <row r="1683" spans="3:7" x14ac:dyDescent="0.35">
      <c r="C1683" s="5"/>
      <c r="F1683" s="5"/>
      <c r="G1683" s="5"/>
    </row>
    <row r="1684" spans="3:7" x14ac:dyDescent="0.35">
      <c r="C1684" s="5"/>
      <c r="F1684" s="5"/>
      <c r="G1684" s="5"/>
    </row>
    <row r="1685" spans="3:7" x14ac:dyDescent="0.35">
      <c r="C1685" s="5"/>
      <c r="F1685" s="5"/>
      <c r="G1685" s="5"/>
    </row>
    <row r="1686" spans="3:7" x14ac:dyDescent="0.35">
      <c r="C1686" s="5"/>
      <c r="F1686" s="5"/>
      <c r="G1686" s="5"/>
    </row>
    <row r="1687" spans="3:7" x14ac:dyDescent="0.35">
      <c r="C1687" s="5"/>
      <c r="F1687" s="5"/>
      <c r="G1687" s="5"/>
    </row>
    <row r="1688" spans="3:7" x14ac:dyDescent="0.35">
      <c r="C1688" s="5"/>
      <c r="F1688" s="5"/>
      <c r="G1688" s="5"/>
    </row>
    <row r="1689" spans="3:7" x14ac:dyDescent="0.35">
      <c r="C1689" s="5"/>
      <c r="F1689" s="5"/>
      <c r="G1689" s="5"/>
    </row>
    <row r="1690" spans="3:7" x14ac:dyDescent="0.35">
      <c r="C1690" s="5"/>
      <c r="F1690" s="5"/>
      <c r="G1690" s="5"/>
    </row>
    <row r="1691" spans="3:7" x14ac:dyDescent="0.35">
      <c r="C1691" s="5"/>
      <c r="F1691" s="5"/>
      <c r="G1691" s="5"/>
    </row>
    <row r="1692" spans="3:7" x14ac:dyDescent="0.35">
      <c r="C1692" s="5"/>
      <c r="F1692" s="5"/>
      <c r="G1692" s="5"/>
    </row>
    <row r="1693" spans="3:7" x14ac:dyDescent="0.35">
      <c r="C1693" s="5"/>
      <c r="F1693" s="5"/>
      <c r="G1693" s="5"/>
    </row>
    <row r="1694" spans="3:7" x14ac:dyDescent="0.35">
      <c r="C1694" s="5"/>
      <c r="F1694" s="5"/>
      <c r="G1694" s="5"/>
    </row>
    <row r="1695" spans="3:7" x14ac:dyDescent="0.35">
      <c r="C1695" s="5"/>
      <c r="F1695" s="5"/>
      <c r="G1695" s="5"/>
    </row>
    <row r="1696" spans="3:7" x14ac:dyDescent="0.35">
      <c r="C1696" s="5"/>
      <c r="F1696" s="5"/>
      <c r="G1696" s="5"/>
    </row>
    <row r="1697" spans="3:7" x14ac:dyDescent="0.35">
      <c r="C1697" s="5"/>
      <c r="F1697" s="5"/>
      <c r="G1697" s="5"/>
    </row>
    <row r="1698" spans="3:7" x14ac:dyDescent="0.35">
      <c r="C1698" s="5"/>
      <c r="F1698" s="5"/>
      <c r="G1698" s="5"/>
    </row>
    <row r="1699" spans="3:7" x14ac:dyDescent="0.35">
      <c r="C1699" s="5"/>
      <c r="F1699" s="5"/>
      <c r="G1699" s="5"/>
    </row>
    <row r="1700" spans="3:7" x14ac:dyDescent="0.35">
      <c r="C1700" s="5"/>
      <c r="F1700" s="5"/>
      <c r="G1700" s="5"/>
    </row>
    <row r="1701" spans="3:7" x14ac:dyDescent="0.35">
      <c r="C1701" s="5"/>
      <c r="F1701" s="5"/>
      <c r="G1701" s="5"/>
    </row>
    <row r="1702" spans="3:7" x14ac:dyDescent="0.35">
      <c r="C1702" s="5"/>
      <c r="F1702" s="5"/>
      <c r="G1702" s="5"/>
    </row>
    <row r="1703" spans="3:7" x14ac:dyDescent="0.35">
      <c r="C1703" s="5"/>
      <c r="F1703" s="5"/>
      <c r="G1703" s="5"/>
    </row>
    <row r="1704" spans="3:7" x14ac:dyDescent="0.35">
      <c r="C1704" s="5"/>
      <c r="F1704" s="5"/>
      <c r="G1704" s="5"/>
    </row>
    <row r="1705" spans="3:7" x14ac:dyDescent="0.35">
      <c r="C1705" s="5"/>
      <c r="F1705" s="5"/>
      <c r="G1705" s="5"/>
    </row>
    <row r="1706" spans="3:7" x14ac:dyDescent="0.35">
      <c r="C1706" s="5"/>
      <c r="F1706" s="5"/>
      <c r="G1706" s="5"/>
    </row>
    <row r="1707" spans="3:7" x14ac:dyDescent="0.35">
      <c r="C1707" s="5"/>
      <c r="F1707" s="5"/>
      <c r="G1707" s="5"/>
    </row>
    <row r="1708" spans="3:7" x14ac:dyDescent="0.35">
      <c r="C1708" s="5"/>
      <c r="F1708" s="5"/>
      <c r="G1708" s="5"/>
    </row>
    <row r="1709" spans="3:7" x14ac:dyDescent="0.35">
      <c r="C1709" s="5"/>
      <c r="F1709" s="5"/>
      <c r="G1709" s="5"/>
    </row>
    <row r="1710" spans="3:7" x14ac:dyDescent="0.35">
      <c r="C1710" s="5"/>
      <c r="F1710" s="5"/>
      <c r="G1710" s="5"/>
    </row>
    <row r="1711" spans="3:7" x14ac:dyDescent="0.35">
      <c r="C1711" s="5"/>
      <c r="F1711" s="5"/>
      <c r="G1711" s="5"/>
    </row>
    <row r="1712" spans="3:7" x14ac:dyDescent="0.35">
      <c r="C1712" s="5"/>
      <c r="F1712" s="5"/>
      <c r="G1712" s="5"/>
    </row>
    <row r="1713" spans="3:7" x14ac:dyDescent="0.35">
      <c r="C1713" s="5"/>
      <c r="F1713" s="5"/>
      <c r="G1713" s="5"/>
    </row>
    <row r="1714" spans="3:7" x14ac:dyDescent="0.35">
      <c r="C1714" s="5"/>
      <c r="F1714" s="5"/>
      <c r="G1714" s="5"/>
    </row>
    <row r="1715" spans="3:7" x14ac:dyDescent="0.35">
      <c r="C1715" s="5"/>
      <c r="F1715" s="5"/>
      <c r="G1715" s="5"/>
    </row>
    <row r="1716" spans="3:7" x14ac:dyDescent="0.35">
      <c r="C1716" s="5"/>
      <c r="F1716" s="5"/>
      <c r="G1716" s="5"/>
    </row>
    <row r="1717" spans="3:7" x14ac:dyDescent="0.35">
      <c r="C1717" s="5"/>
      <c r="F1717" s="5"/>
      <c r="G1717" s="5"/>
    </row>
    <row r="1718" spans="3:7" x14ac:dyDescent="0.35">
      <c r="C1718" s="5"/>
      <c r="F1718" s="5"/>
      <c r="G1718" s="5"/>
    </row>
    <row r="1719" spans="3:7" x14ac:dyDescent="0.35">
      <c r="C1719" s="5"/>
      <c r="F1719" s="5"/>
      <c r="G1719" s="5"/>
    </row>
    <row r="1720" spans="3:7" x14ac:dyDescent="0.35">
      <c r="C1720" s="5"/>
      <c r="F1720" s="5"/>
      <c r="G1720" s="5"/>
    </row>
    <row r="1721" spans="3:7" x14ac:dyDescent="0.35">
      <c r="C1721" s="5"/>
      <c r="F1721" s="5"/>
      <c r="G1721" s="5"/>
    </row>
    <row r="1722" spans="3:7" x14ac:dyDescent="0.35">
      <c r="C1722" s="5"/>
      <c r="F1722" s="5"/>
      <c r="G1722" s="5"/>
    </row>
    <row r="1723" spans="3:7" x14ac:dyDescent="0.35">
      <c r="C1723" s="5"/>
      <c r="F1723" s="5"/>
      <c r="G1723" s="5"/>
    </row>
    <row r="1724" spans="3:7" x14ac:dyDescent="0.35">
      <c r="C1724" s="5"/>
      <c r="F1724" s="5"/>
      <c r="G1724" s="5"/>
    </row>
    <row r="1725" spans="3:7" x14ac:dyDescent="0.35">
      <c r="C1725" s="5"/>
      <c r="F1725" s="5"/>
      <c r="G1725" s="5"/>
    </row>
    <row r="1726" spans="3:7" x14ac:dyDescent="0.35">
      <c r="C1726" s="5"/>
      <c r="F1726" s="5"/>
      <c r="G1726" s="5"/>
    </row>
    <row r="1727" spans="3:7" x14ac:dyDescent="0.35">
      <c r="C1727" s="5"/>
      <c r="F1727" s="5"/>
      <c r="G1727" s="5"/>
    </row>
    <row r="1728" spans="3:7" x14ac:dyDescent="0.35">
      <c r="C1728" s="5"/>
      <c r="F1728" s="5"/>
      <c r="G1728" s="5"/>
    </row>
    <row r="1729" spans="3:7" x14ac:dyDescent="0.35">
      <c r="C1729" s="5"/>
      <c r="F1729" s="5"/>
      <c r="G1729" s="5"/>
    </row>
    <row r="1730" spans="3:7" x14ac:dyDescent="0.35">
      <c r="C1730" s="5"/>
      <c r="F1730" s="5"/>
      <c r="G1730" s="5"/>
    </row>
    <row r="1731" spans="3:7" x14ac:dyDescent="0.35">
      <c r="C1731" s="5"/>
      <c r="F1731" s="5"/>
      <c r="G1731" s="5"/>
    </row>
    <row r="1732" spans="3:7" x14ac:dyDescent="0.35">
      <c r="C1732" s="5"/>
      <c r="F1732" s="5"/>
      <c r="G1732" s="5"/>
    </row>
    <row r="1733" spans="3:7" x14ac:dyDescent="0.35">
      <c r="C1733" s="5"/>
      <c r="F1733" s="5"/>
      <c r="G1733" s="5"/>
    </row>
    <row r="1734" spans="3:7" x14ac:dyDescent="0.35">
      <c r="C1734" s="5"/>
      <c r="F1734" s="5"/>
      <c r="G1734" s="5"/>
    </row>
    <row r="1735" spans="3:7" x14ac:dyDescent="0.35">
      <c r="C1735" s="5"/>
      <c r="F1735" s="5"/>
      <c r="G1735" s="5"/>
    </row>
    <row r="1736" spans="3:7" x14ac:dyDescent="0.35">
      <c r="C1736" s="5"/>
      <c r="F1736" s="5"/>
      <c r="G1736" s="5"/>
    </row>
    <row r="1737" spans="3:7" x14ac:dyDescent="0.35">
      <c r="C1737" s="5"/>
      <c r="F1737" s="5"/>
      <c r="G1737" s="5"/>
    </row>
    <row r="1738" spans="3:7" x14ac:dyDescent="0.35">
      <c r="C1738" s="5"/>
      <c r="F1738" s="5"/>
      <c r="G1738" s="5"/>
    </row>
    <row r="1739" spans="3:7" x14ac:dyDescent="0.35">
      <c r="C1739" s="5"/>
      <c r="F1739" s="5"/>
      <c r="G1739" s="5"/>
    </row>
    <row r="1740" spans="3:7" x14ac:dyDescent="0.35">
      <c r="C1740" s="5"/>
      <c r="F1740" s="5"/>
      <c r="G1740" s="5"/>
    </row>
    <row r="1741" spans="3:7" x14ac:dyDescent="0.35">
      <c r="C1741" s="5"/>
      <c r="F1741" s="5"/>
      <c r="G1741" s="5"/>
    </row>
    <row r="1742" spans="3:7" x14ac:dyDescent="0.35">
      <c r="C1742" s="5"/>
      <c r="F1742" s="5"/>
      <c r="G1742" s="5"/>
    </row>
    <row r="1743" spans="3:7" x14ac:dyDescent="0.35">
      <c r="C1743" s="5"/>
      <c r="F1743" s="5"/>
      <c r="G1743" s="5"/>
    </row>
    <row r="1744" spans="3:7" x14ac:dyDescent="0.35">
      <c r="C1744" s="5"/>
      <c r="F1744" s="5"/>
      <c r="G1744" s="5"/>
    </row>
    <row r="1745" spans="3:7" x14ac:dyDescent="0.35">
      <c r="C1745" s="5"/>
      <c r="F1745" s="5"/>
      <c r="G1745" s="5"/>
    </row>
    <row r="1746" spans="3:7" x14ac:dyDescent="0.35">
      <c r="C1746" s="5"/>
      <c r="F1746" s="5"/>
      <c r="G1746" s="5"/>
    </row>
    <row r="1747" spans="3:7" x14ac:dyDescent="0.35">
      <c r="C1747" s="5"/>
      <c r="F1747" s="5"/>
      <c r="G1747" s="5"/>
    </row>
    <row r="1748" spans="3:7" x14ac:dyDescent="0.35">
      <c r="C1748" s="5"/>
      <c r="F1748" s="5"/>
      <c r="G1748" s="5"/>
    </row>
    <row r="1749" spans="3:7" x14ac:dyDescent="0.35">
      <c r="C1749" s="5"/>
      <c r="F1749" s="5"/>
      <c r="G1749" s="5"/>
    </row>
    <row r="1750" spans="3:7" x14ac:dyDescent="0.35">
      <c r="C1750" s="5"/>
      <c r="F1750" s="5"/>
      <c r="G1750" s="5"/>
    </row>
    <row r="1751" spans="3:7" x14ac:dyDescent="0.35">
      <c r="C1751" s="5"/>
      <c r="F1751" s="5"/>
      <c r="G1751" s="5"/>
    </row>
    <row r="1752" spans="3:7" x14ac:dyDescent="0.35">
      <c r="C1752" s="5"/>
      <c r="F1752" s="5"/>
      <c r="G1752" s="5"/>
    </row>
    <row r="1753" spans="3:7" x14ac:dyDescent="0.35">
      <c r="C1753" s="5"/>
      <c r="F1753" s="5"/>
      <c r="G1753" s="5"/>
    </row>
    <row r="1754" spans="3:7" x14ac:dyDescent="0.35">
      <c r="C1754" s="5"/>
      <c r="F1754" s="5"/>
      <c r="G1754" s="5"/>
    </row>
    <row r="1755" spans="3:7" x14ac:dyDescent="0.35">
      <c r="C1755" s="5"/>
      <c r="F1755" s="5"/>
      <c r="G1755" s="5"/>
    </row>
    <row r="1756" spans="3:7" x14ac:dyDescent="0.35">
      <c r="C1756" s="5"/>
      <c r="F1756" s="5"/>
      <c r="G1756" s="5"/>
    </row>
    <row r="1757" spans="3:7" x14ac:dyDescent="0.35">
      <c r="C1757" s="5"/>
      <c r="F1757" s="5"/>
      <c r="G1757" s="5"/>
    </row>
    <row r="1758" spans="3:7" x14ac:dyDescent="0.35">
      <c r="C1758" s="5"/>
      <c r="F1758" s="5"/>
      <c r="G1758" s="5"/>
    </row>
    <row r="1759" spans="3:7" x14ac:dyDescent="0.35">
      <c r="C1759" s="5"/>
      <c r="F1759" s="5"/>
      <c r="G1759" s="5"/>
    </row>
    <row r="1760" spans="3:7" x14ac:dyDescent="0.35">
      <c r="C1760" s="5"/>
      <c r="F1760" s="5"/>
      <c r="G1760" s="5"/>
    </row>
    <row r="1761" spans="3:7" x14ac:dyDescent="0.35">
      <c r="C1761" s="5"/>
      <c r="F1761" s="5"/>
      <c r="G1761" s="5"/>
    </row>
    <row r="1762" spans="3:7" x14ac:dyDescent="0.35">
      <c r="C1762" s="5"/>
      <c r="F1762" s="5"/>
      <c r="G1762" s="5"/>
    </row>
    <row r="1763" spans="3:7" x14ac:dyDescent="0.35">
      <c r="C1763" s="5"/>
      <c r="F1763" s="5"/>
      <c r="G1763" s="5"/>
    </row>
    <row r="1764" spans="3:7" x14ac:dyDescent="0.35">
      <c r="C1764" s="5"/>
      <c r="F1764" s="5"/>
      <c r="G1764" s="5"/>
    </row>
    <row r="1765" spans="3:7" x14ac:dyDescent="0.35">
      <c r="C1765" s="5"/>
      <c r="F1765" s="5"/>
      <c r="G1765" s="5"/>
    </row>
    <row r="1766" spans="3:7" x14ac:dyDescent="0.35">
      <c r="C1766" s="5"/>
      <c r="F1766" s="5"/>
      <c r="G1766" s="5"/>
    </row>
    <row r="1767" spans="3:7" x14ac:dyDescent="0.35">
      <c r="C1767" s="5"/>
      <c r="F1767" s="5"/>
      <c r="G1767" s="5"/>
    </row>
    <row r="1768" spans="3:7" x14ac:dyDescent="0.35">
      <c r="C1768" s="5"/>
      <c r="F1768" s="5"/>
      <c r="G1768" s="5"/>
    </row>
    <row r="1769" spans="3:7" x14ac:dyDescent="0.35">
      <c r="C1769" s="5"/>
      <c r="F1769" s="5"/>
      <c r="G1769" s="5"/>
    </row>
    <row r="1770" spans="3:7" x14ac:dyDescent="0.35">
      <c r="C1770" s="5"/>
      <c r="F1770" s="5"/>
      <c r="G1770" s="5"/>
    </row>
    <row r="1771" spans="3:7" x14ac:dyDescent="0.35">
      <c r="C1771" s="5"/>
      <c r="F1771" s="5"/>
      <c r="G1771" s="5"/>
    </row>
    <row r="1772" spans="3:7" x14ac:dyDescent="0.35">
      <c r="C1772" s="5"/>
      <c r="F1772" s="5"/>
      <c r="G1772" s="5"/>
    </row>
    <row r="1773" spans="3:7" x14ac:dyDescent="0.35">
      <c r="C1773" s="5"/>
      <c r="F1773" s="5"/>
      <c r="G1773" s="5"/>
    </row>
    <row r="1774" spans="3:7" x14ac:dyDescent="0.35">
      <c r="C1774" s="5"/>
      <c r="F1774" s="5"/>
      <c r="G1774" s="5"/>
    </row>
    <row r="1775" spans="3:7" x14ac:dyDescent="0.35">
      <c r="C1775" s="5"/>
      <c r="F1775" s="5"/>
      <c r="G1775" s="5"/>
    </row>
    <row r="1776" spans="3:7" x14ac:dyDescent="0.35">
      <c r="C1776" s="5"/>
      <c r="F1776" s="5"/>
      <c r="G1776" s="5"/>
    </row>
    <row r="1777" spans="3:7" x14ac:dyDescent="0.35">
      <c r="C1777" s="5"/>
      <c r="F1777" s="5"/>
      <c r="G1777" s="5"/>
    </row>
    <row r="1778" spans="3:7" x14ac:dyDescent="0.35">
      <c r="C1778" s="5"/>
      <c r="F1778" s="5"/>
      <c r="G1778" s="5"/>
    </row>
    <row r="1779" spans="3:7" x14ac:dyDescent="0.35">
      <c r="C1779" s="5"/>
      <c r="F1779" s="5"/>
      <c r="G1779" s="5"/>
    </row>
    <row r="1780" spans="3:7" x14ac:dyDescent="0.35">
      <c r="C1780" s="5"/>
      <c r="F1780" s="5"/>
      <c r="G1780" s="5"/>
    </row>
    <row r="1781" spans="3:7" x14ac:dyDescent="0.35">
      <c r="C1781" s="5"/>
      <c r="F1781" s="5"/>
      <c r="G1781" s="5"/>
    </row>
    <row r="1782" spans="3:7" x14ac:dyDescent="0.35">
      <c r="C1782" s="5"/>
      <c r="F1782" s="5"/>
      <c r="G1782" s="5"/>
    </row>
    <row r="1783" spans="3:7" x14ac:dyDescent="0.35">
      <c r="C1783" s="5"/>
      <c r="F1783" s="5"/>
      <c r="G1783" s="5"/>
    </row>
    <row r="1784" spans="3:7" x14ac:dyDescent="0.35">
      <c r="C1784" s="5"/>
      <c r="F1784" s="5"/>
      <c r="G1784" s="5"/>
    </row>
    <row r="1785" spans="3:7" x14ac:dyDescent="0.35">
      <c r="C1785" s="5"/>
      <c r="F1785" s="5"/>
      <c r="G1785" s="5"/>
    </row>
    <row r="1786" spans="3:7" x14ac:dyDescent="0.35">
      <c r="C1786" s="5"/>
      <c r="F1786" s="5"/>
      <c r="G1786" s="5"/>
    </row>
    <row r="1787" spans="3:7" x14ac:dyDescent="0.35">
      <c r="C1787" s="5"/>
      <c r="F1787" s="5"/>
      <c r="G1787" s="5"/>
    </row>
    <row r="1788" spans="3:7" x14ac:dyDescent="0.35">
      <c r="C1788" s="5"/>
      <c r="F1788" s="5"/>
      <c r="G1788" s="5"/>
    </row>
    <row r="1789" spans="3:7" x14ac:dyDescent="0.35">
      <c r="C1789" s="5"/>
      <c r="F1789" s="5"/>
      <c r="G1789" s="5"/>
    </row>
    <row r="1790" spans="3:7" x14ac:dyDescent="0.35">
      <c r="C1790" s="5"/>
      <c r="F1790" s="5"/>
      <c r="G1790" s="5"/>
    </row>
    <row r="1791" spans="3:7" x14ac:dyDescent="0.35">
      <c r="C1791" s="5"/>
      <c r="F1791" s="5"/>
      <c r="G1791" s="5"/>
    </row>
    <row r="1792" spans="3:7" x14ac:dyDescent="0.35">
      <c r="C1792" s="5"/>
      <c r="F1792" s="5"/>
      <c r="G1792" s="5"/>
    </row>
    <row r="1793" spans="3:7" x14ac:dyDescent="0.35">
      <c r="C1793" s="5"/>
      <c r="F1793" s="5"/>
      <c r="G1793" s="5"/>
    </row>
    <row r="1794" spans="3:7" x14ac:dyDescent="0.35">
      <c r="C1794" s="5"/>
      <c r="F1794" s="5"/>
      <c r="G1794" s="5"/>
    </row>
    <row r="1795" spans="3:7" x14ac:dyDescent="0.35">
      <c r="C1795" s="5"/>
      <c r="F1795" s="5"/>
      <c r="G1795" s="5"/>
    </row>
    <row r="1796" spans="3:7" x14ac:dyDescent="0.35">
      <c r="C1796" s="5"/>
      <c r="F1796" s="5"/>
      <c r="G1796" s="5"/>
    </row>
    <row r="1797" spans="3:7" x14ac:dyDescent="0.35">
      <c r="C1797" s="5"/>
      <c r="F1797" s="5"/>
      <c r="G1797" s="5"/>
    </row>
    <row r="1798" spans="3:7" x14ac:dyDescent="0.35">
      <c r="C1798" s="5"/>
      <c r="F1798" s="5"/>
      <c r="G1798" s="5"/>
    </row>
    <row r="1799" spans="3:7" x14ac:dyDescent="0.35">
      <c r="C1799" s="5"/>
      <c r="F1799" s="5"/>
      <c r="G1799" s="5"/>
    </row>
    <row r="1800" spans="3:7" x14ac:dyDescent="0.35">
      <c r="C1800" s="5"/>
      <c r="F1800" s="5"/>
      <c r="G1800" s="5"/>
    </row>
    <row r="1801" spans="3:7" x14ac:dyDescent="0.35">
      <c r="C1801" s="5"/>
      <c r="F1801" s="5"/>
      <c r="G1801" s="5"/>
    </row>
    <row r="1802" spans="3:7" x14ac:dyDescent="0.35">
      <c r="C1802" s="5"/>
      <c r="F1802" s="5"/>
      <c r="G1802" s="5"/>
    </row>
    <row r="1803" spans="3:7" x14ac:dyDescent="0.35">
      <c r="C1803" s="5"/>
      <c r="F1803" s="5"/>
      <c r="G1803" s="5"/>
    </row>
    <row r="1804" spans="3:7" x14ac:dyDescent="0.35">
      <c r="C1804" s="5"/>
      <c r="F1804" s="5"/>
      <c r="G1804" s="5"/>
    </row>
    <row r="1805" spans="3:7" x14ac:dyDescent="0.35">
      <c r="C1805" s="5"/>
      <c r="F1805" s="5"/>
      <c r="G1805" s="5"/>
    </row>
    <row r="1806" spans="3:7" x14ac:dyDescent="0.35">
      <c r="C1806" s="5"/>
      <c r="F1806" s="5"/>
      <c r="G1806" s="5"/>
    </row>
    <row r="1807" spans="3:7" x14ac:dyDescent="0.35">
      <c r="C1807" s="5"/>
      <c r="F1807" s="5"/>
      <c r="G1807" s="5"/>
    </row>
    <row r="1808" spans="3:7" x14ac:dyDescent="0.35">
      <c r="C1808" s="5"/>
      <c r="F1808" s="5"/>
      <c r="G1808" s="5"/>
    </row>
    <row r="1809" spans="3:7" x14ac:dyDescent="0.35">
      <c r="C1809" s="5"/>
      <c r="F1809" s="5"/>
      <c r="G1809" s="5"/>
    </row>
    <row r="1810" spans="3:7" x14ac:dyDescent="0.35">
      <c r="C1810" s="5"/>
      <c r="F1810" s="5"/>
      <c r="G1810" s="5"/>
    </row>
    <row r="1811" spans="3:7" x14ac:dyDescent="0.35">
      <c r="C1811" s="5"/>
      <c r="F1811" s="5"/>
      <c r="G1811" s="5"/>
    </row>
    <row r="1812" spans="3:7" x14ac:dyDescent="0.35">
      <c r="C1812" s="5"/>
      <c r="F1812" s="5"/>
      <c r="G1812" s="5"/>
    </row>
    <row r="1813" spans="3:7" x14ac:dyDescent="0.35">
      <c r="C1813" s="5"/>
      <c r="F1813" s="5"/>
      <c r="G1813" s="5"/>
    </row>
    <row r="1814" spans="3:7" x14ac:dyDescent="0.35">
      <c r="C1814" s="5"/>
      <c r="F1814" s="5"/>
      <c r="G1814" s="5"/>
    </row>
    <row r="1815" spans="3:7" x14ac:dyDescent="0.35">
      <c r="C1815" s="5"/>
      <c r="F1815" s="5"/>
      <c r="G1815" s="5"/>
    </row>
    <row r="1816" spans="3:7" x14ac:dyDescent="0.35">
      <c r="C1816" s="5"/>
      <c r="F1816" s="5"/>
      <c r="G1816" s="5"/>
    </row>
    <row r="1817" spans="3:7" x14ac:dyDescent="0.35">
      <c r="C1817" s="5"/>
      <c r="F1817" s="5"/>
      <c r="G1817" s="5"/>
    </row>
    <row r="1818" spans="3:7" x14ac:dyDescent="0.35">
      <c r="C1818" s="5"/>
      <c r="F1818" s="5"/>
      <c r="G1818" s="5"/>
    </row>
    <row r="1819" spans="3:7" x14ac:dyDescent="0.35">
      <c r="C1819" s="5"/>
      <c r="F1819" s="5"/>
      <c r="G1819" s="5"/>
    </row>
    <row r="1820" spans="3:7" x14ac:dyDescent="0.35">
      <c r="C1820" s="5"/>
      <c r="F1820" s="5"/>
      <c r="G1820" s="5"/>
    </row>
    <row r="1821" spans="3:7" x14ac:dyDescent="0.35">
      <c r="C1821" s="5"/>
      <c r="F1821" s="5"/>
      <c r="G1821" s="5"/>
    </row>
    <row r="1822" spans="3:7" x14ac:dyDescent="0.35">
      <c r="C1822" s="5"/>
      <c r="F1822" s="5"/>
      <c r="G1822" s="5"/>
    </row>
    <row r="1823" spans="3:7" x14ac:dyDescent="0.35">
      <c r="C1823" s="5"/>
      <c r="F1823" s="5"/>
      <c r="G1823" s="5"/>
    </row>
    <row r="1824" spans="3:7" x14ac:dyDescent="0.35">
      <c r="C1824" s="5"/>
      <c r="F1824" s="5"/>
      <c r="G1824" s="5"/>
    </row>
    <row r="1825" spans="3:7" x14ac:dyDescent="0.35">
      <c r="C1825" s="5"/>
      <c r="F1825" s="5"/>
      <c r="G1825" s="5"/>
    </row>
    <row r="1826" spans="3:7" x14ac:dyDescent="0.35">
      <c r="C1826" s="5"/>
      <c r="F1826" s="5"/>
      <c r="G1826" s="5"/>
    </row>
    <row r="1827" spans="3:7" x14ac:dyDescent="0.35">
      <c r="C1827" s="5"/>
      <c r="F1827" s="5"/>
      <c r="G1827" s="5"/>
    </row>
    <row r="1828" spans="3:7" x14ac:dyDescent="0.35">
      <c r="C1828" s="5"/>
      <c r="F1828" s="5"/>
      <c r="G1828" s="5"/>
    </row>
    <row r="1829" spans="3:7" x14ac:dyDescent="0.35">
      <c r="C1829" s="5"/>
      <c r="F1829" s="5"/>
      <c r="G1829" s="5"/>
    </row>
    <row r="1830" spans="3:7" x14ac:dyDescent="0.35">
      <c r="C1830" s="5"/>
      <c r="F1830" s="5"/>
      <c r="G1830" s="5"/>
    </row>
    <row r="1831" spans="3:7" x14ac:dyDescent="0.35">
      <c r="C1831" s="5"/>
      <c r="F1831" s="5"/>
      <c r="G1831" s="5"/>
    </row>
    <row r="1832" spans="3:7" x14ac:dyDescent="0.35">
      <c r="C1832" s="5"/>
      <c r="F1832" s="5"/>
      <c r="G1832" s="5"/>
    </row>
    <row r="1833" spans="3:7" x14ac:dyDescent="0.35">
      <c r="C1833" s="5"/>
      <c r="F1833" s="5"/>
      <c r="G1833" s="5"/>
    </row>
    <row r="1834" spans="3:7" x14ac:dyDescent="0.35">
      <c r="C1834" s="5"/>
      <c r="F1834" s="5"/>
      <c r="G1834" s="5"/>
    </row>
    <row r="1835" spans="3:7" x14ac:dyDescent="0.35">
      <c r="C1835" s="5"/>
      <c r="F1835" s="5"/>
      <c r="G1835" s="5"/>
    </row>
    <row r="1836" spans="3:7" x14ac:dyDescent="0.35">
      <c r="C1836" s="5"/>
      <c r="F1836" s="5"/>
      <c r="G1836" s="5"/>
    </row>
    <row r="1837" spans="3:7" x14ac:dyDescent="0.35">
      <c r="C1837" s="5"/>
      <c r="F1837" s="5"/>
      <c r="G1837" s="5"/>
    </row>
    <row r="1838" spans="3:7" x14ac:dyDescent="0.35">
      <c r="C1838" s="5"/>
      <c r="F1838" s="5"/>
      <c r="G1838" s="5"/>
    </row>
    <row r="1839" spans="3:7" x14ac:dyDescent="0.35">
      <c r="C1839" s="5"/>
      <c r="F1839" s="5"/>
      <c r="G1839" s="5"/>
    </row>
    <row r="1840" spans="3:7" x14ac:dyDescent="0.35">
      <c r="C1840" s="5"/>
      <c r="F1840" s="5"/>
      <c r="G1840" s="5"/>
    </row>
    <row r="1841" spans="3:7" x14ac:dyDescent="0.35">
      <c r="C1841" s="5"/>
      <c r="F1841" s="5"/>
      <c r="G1841" s="5"/>
    </row>
    <row r="1842" spans="3:7" x14ac:dyDescent="0.35">
      <c r="C1842" s="5"/>
      <c r="F1842" s="5"/>
      <c r="G1842" s="5"/>
    </row>
    <row r="1843" spans="3:7" x14ac:dyDescent="0.35">
      <c r="C1843" s="5"/>
      <c r="F1843" s="5"/>
      <c r="G1843" s="5"/>
    </row>
    <row r="1844" spans="3:7" x14ac:dyDescent="0.35">
      <c r="C1844" s="5"/>
      <c r="F1844" s="5"/>
      <c r="G1844" s="5"/>
    </row>
    <row r="1845" spans="3:7" x14ac:dyDescent="0.35">
      <c r="C1845" s="5"/>
      <c r="F1845" s="5"/>
      <c r="G1845" s="5"/>
    </row>
    <row r="1846" spans="3:7" x14ac:dyDescent="0.35">
      <c r="C1846" s="5"/>
      <c r="F1846" s="5"/>
      <c r="G1846" s="5"/>
    </row>
    <row r="1847" spans="3:7" x14ac:dyDescent="0.35">
      <c r="C1847" s="5"/>
      <c r="F1847" s="5"/>
      <c r="G1847" s="5"/>
    </row>
    <row r="1848" spans="3:7" x14ac:dyDescent="0.35">
      <c r="C1848" s="5"/>
      <c r="F1848" s="5"/>
      <c r="G1848" s="5"/>
    </row>
    <row r="1849" spans="3:7" x14ac:dyDescent="0.35">
      <c r="C1849" s="5"/>
      <c r="F1849" s="5"/>
      <c r="G1849" s="5"/>
    </row>
    <row r="1850" spans="3:7" x14ac:dyDescent="0.35">
      <c r="C1850" s="5"/>
      <c r="F1850" s="5"/>
      <c r="G1850" s="5"/>
    </row>
    <row r="1851" spans="3:7" x14ac:dyDescent="0.35">
      <c r="C1851" s="5"/>
      <c r="F1851" s="5"/>
      <c r="G1851" s="5"/>
    </row>
    <row r="1852" spans="3:7" x14ac:dyDescent="0.35">
      <c r="C1852" s="5"/>
      <c r="F1852" s="5"/>
      <c r="G1852" s="5"/>
    </row>
    <row r="1853" spans="3:7" x14ac:dyDescent="0.35">
      <c r="C1853" s="5"/>
      <c r="F1853" s="5"/>
      <c r="G1853" s="5"/>
    </row>
    <row r="1854" spans="3:7" x14ac:dyDescent="0.35">
      <c r="C1854" s="5"/>
      <c r="F1854" s="5"/>
      <c r="G1854" s="5"/>
    </row>
    <row r="1855" spans="3:7" x14ac:dyDescent="0.35">
      <c r="C1855" s="5"/>
      <c r="F1855" s="5"/>
      <c r="G1855" s="5"/>
    </row>
    <row r="1856" spans="3:7" x14ac:dyDescent="0.35">
      <c r="C1856" s="5"/>
      <c r="F1856" s="5"/>
      <c r="G1856" s="5"/>
    </row>
    <row r="1857" spans="3:7" x14ac:dyDescent="0.35">
      <c r="C1857" s="5"/>
      <c r="F1857" s="5"/>
      <c r="G1857" s="5"/>
    </row>
    <row r="1858" spans="3:7" x14ac:dyDescent="0.35">
      <c r="C1858" s="5"/>
      <c r="F1858" s="5"/>
      <c r="G1858" s="5"/>
    </row>
    <row r="1859" spans="3:7" x14ac:dyDescent="0.35">
      <c r="C1859" s="5"/>
      <c r="F1859" s="5"/>
      <c r="G1859" s="5"/>
    </row>
    <row r="1860" spans="3:7" x14ac:dyDescent="0.35">
      <c r="C1860" s="5"/>
      <c r="F1860" s="5"/>
      <c r="G1860" s="5"/>
    </row>
    <row r="1861" spans="3:7" x14ac:dyDescent="0.35">
      <c r="C1861" s="5"/>
      <c r="F1861" s="5"/>
      <c r="G1861" s="5"/>
    </row>
    <row r="1862" spans="3:7" x14ac:dyDescent="0.35">
      <c r="C1862" s="5"/>
      <c r="F1862" s="5"/>
      <c r="G1862" s="5"/>
    </row>
    <row r="1863" spans="3:7" x14ac:dyDescent="0.35">
      <c r="C1863" s="5"/>
      <c r="F1863" s="5"/>
      <c r="G1863" s="5"/>
    </row>
    <row r="1864" spans="3:7" x14ac:dyDescent="0.35">
      <c r="C1864" s="5"/>
      <c r="F1864" s="5"/>
      <c r="G1864" s="5"/>
    </row>
    <row r="1865" spans="3:7" x14ac:dyDescent="0.35">
      <c r="C1865" s="5"/>
      <c r="F1865" s="5"/>
      <c r="G1865" s="5"/>
    </row>
    <row r="1866" spans="3:7" x14ac:dyDescent="0.35">
      <c r="C1866" s="5"/>
      <c r="F1866" s="5"/>
      <c r="G1866" s="5"/>
    </row>
    <row r="1867" spans="3:7" x14ac:dyDescent="0.35">
      <c r="C1867" s="5"/>
      <c r="F1867" s="5"/>
      <c r="G1867" s="5"/>
    </row>
    <row r="1868" spans="3:7" x14ac:dyDescent="0.35">
      <c r="C1868" s="5"/>
      <c r="F1868" s="5"/>
      <c r="G1868" s="5"/>
    </row>
    <row r="1869" spans="3:7" x14ac:dyDescent="0.35">
      <c r="C1869" s="5"/>
      <c r="F1869" s="5"/>
      <c r="G1869" s="5"/>
    </row>
    <row r="1870" spans="3:7" x14ac:dyDescent="0.35">
      <c r="C1870" s="5"/>
      <c r="F1870" s="5"/>
      <c r="G1870" s="5"/>
    </row>
    <row r="1871" spans="3:7" x14ac:dyDescent="0.35">
      <c r="C1871" s="5"/>
      <c r="F1871" s="5"/>
      <c r="G1871" s="5"/>
    </row>
    <row r="1872" spans="3:7" x14ac:dyDescent="0.35">
      <c r="C1872" s="5"/>
      <c r="F1872" s="5"/>
      <c r="G1872" s="5"/>
    </row>
    <row r="1873" spans="3:7" x14ac:dyDescent="0.35">
      <c r="C1873" s="5"/>
      <c r="F1873" s="5"/>
      <c r="G1873" s="5"/>
    </row>
    <row r="1874" spans="3:7" x14ac:dyDescent="0.35">
      <c r="C1874" s="5"/>
      <c r="F1874" s="5"/>
      <c r="G1874" s="5"/>
    </row>
    <row r="1875" spans="3:7" x14ac:dyDescent="0.35">
      <c r="C1875" s="5"/>
      <c r="F1875" s="5"/>
      <c r="G1875" s="5"/>
    </row>
    <row r="1876" spans="3:7" x14ac:dyDescent="0.35">
      <c r="C1876" s="5"/>
      <c r="F1876" s="5"/>
      <c r="G1876" s="5"/>
    </row>
    <row r="1877" spans="3:7" x14ac:dyDescent="0.35">
      <c r="C1877" s="5"/>
      <c r="F1877" s="5"/>
      <c r="G1877" s="5"/>
    </row>
    <row r="1878" spans="3:7" x14ac:dyDescent="0.35">
      <c r="C1878" s="5"/>
      <c r="F1878" s="5"/>
      <c r="G1878" s="5"/>
    </row>
    <row r="1879" spans="3:7" x14ac:dyDescent="0.35">
      <c r="C1879" s="5"/>
      <c r="F1879" s="5"/>
      <c r="G1879" s="5"/>
    </row>
    <row r="1880" spans="3:7" x14ac:dyDescent="0.35">
      <c r="C1880" s="5"/>
      <c r="F1880" s="5"/>
      <c r="G1880" s="5"/>
    </row>
    <row r="1881" spans="3:7" x14ac:dyDescent="0.35">
      <c r="C1881" s="5"/>
      <c r="F1881" s="5"/>
      <c r="G1881" s="5"/>
    </row>
    <row r="1882" spans="3:7" x14ac:dyDescent="0.35">
      <c r="C1882" s="5"/>
      <c r="F1882" s="5"/>
      <c r="G1882" s="5"/>
    </row>
    <row r="1883" spans="3:7" x14ac:dyDescent="0.35">
      <c r="C1883" s="5"/>
      <c r="F1883" s="5"/>
      <c r="G1883" s="5"/>
    </row>
    <row r="1884" spans="3:7" x14ac:dyDescent="0.35">
      <c r="C1884" s="5"/>
      <c r="F1884" s="5"/>
      <c r="G1884" s="5"/>
    </row>
    <row r="1885" spans="3:7" x14ac:dyDescent="0.35">
      <c r="C1885" s="5"/>
      <c r="F1885" s="5"/>
      <c r="G1885" s="5"/>
    </row>
    <row r="1886" spans="3:7" x14ac:dyDescent="0.35">
      <c r="C1886" s="5"/>
      <c r="F1886" s="5"/>
      <c r="G1886" s="5"/>
    </row>
    <row r="1887" spans="3:7" x14ac:dyDescent="0.35">
      <c r="C1887" s="5"/>
      <c r="F1887" s="5"/>
      <c r="G1887" s="5"/>
    </row>
    <row r="1888" spans="3:7" x14ac:dyDescent="0.35">
      <c r="C1888" s="5"/>
      <c r="F1888" s="5"/>
      <c r="G1888" s="5"/>
    </row>
    <row r="1889" spans="3:7" x14ac:dyDescent="0.35">
      <c r="C1889" s="5"/>
      <c r="F1889" s="5"/>
      <c r="G1889" s="5"/>
    </row>
    <row r="1890" spans="3:7" x14ac:dyDescent="0.35">
      <c r="C1890" s="5"/>
      <c r="F1890" s="5"/>
      <c r="G1890" s="5"/>
    </row>
    <row r="1891" spans="3:7" x14ac:dyDescent="0.35">
      <c r="C1891" s="5"/>
      <c r="F1891" s="5"/>
      <c r="G1891" s="5"/>
    </row>
    <row r="1892" spans="3:7" x14ac:dyDescent="0.35">
      <c r="C1892" s="5"/>
      <c r="F1892" s="5"/>
      <c r="G1892" s="5"/>
    </row>
    <row r="1893" spans="3:7" x14ac:dyDescent="0.35">
      <c r="C1893" s="5"/>
      <c r="F1893" s="5"/>
      <c r="G1893" s="5"/>
    </row>
    <row r="1894" spans="3:7" x14ac:dyDescent="0.35">
      <c r="C1894" s="5"/>
      <c r="F1894" s="5"/>
      <c r="G1894" s="5"/>
    </row>
    <row r="1895" spans="3:7" x14ac:dyDescent="0.35">
      <c r="C1895" s="5"/>
      <c r="F1895" s="5"/>
      <c r="G1895" s="5"/>
    </row>
    <row r="1896" spans="3:7" x14ac:dyDescent="0.35">
      <c r="C1896" s="5"/>
      <c r="F1896" s="5"/>
      <c r="G1896" s="5"/>
    </row>
    <row r="1897" spans="3:7" x14ac:dyDescent="0.35">
      <c r="C1897" s="5"/>
      <c r="F1897" s="5"/>
      <c r="G1897" s="5"/>
    </row>
    <row r="1898" spans="3:7" x14ac:dyDescent="0.35">
      <c r="C1898" s="5"/>
      <c r="F1898" s="5"/>
      <c r="G1898" s="5"/>
    </row>
    <row r="1899" spans="3:7" x14ac:dyDescent="0.35">
      <c r="C1899" s="5"/>
      <c r="F1899" s="5"/>
      <c r="G1899" s="5"/>
    </row>
    <row r="1900" spans="3:7" x14ac:dyDescent="0.35">
      <c r="C1900" s="5"/>
      <c r="F1900" s="5"/>
      <c r="G1900" s="5"/>
    </row>
    <row r="1901" spans="3:7" x14ac:dyDescent="0.35">
      <c r="C1901" s="5"/>
      <c r="F1901" s="5"/>
      <c r="G1901" s="5"/>
    </row>
    <row r="1902" spans="3:7" x14ac:dyDescent="0.35">
      <c r="C1902" s="5"/>
      <c r="F1902" s="5"/>
      <c r="G1902" s="5"/>
    </row>
    <row r="1903" spans="3:7" x14ac:dyDescent="0.35">
      <c r="C1903" s="5"/>
      <c r="F1903" s="5"/>
      <c r="G1903" s="5"/>
    </row>
    <row r="1904" spans="3:7" x14ac:dyDescent="0.35">
      <c r="C1904" s="5"/>
      <c r="F1904" s="5"/>
      <c r="G1904" s="5"/>
    </row>
    <row r="1905" spans="3:7" x14ac:dyDescent="0.35">
      <c r="C1905" s="5"/>
      <c r="F1905" s="5"/>
      <c r="G1905" s="5"/>
    </row>
    <row r="1906" spans="3:7" x14ac:dyDescent="0.35">
      <c r="C1906" s="5"/>
      <c r="F1906" s="5"/>
      <c r="G1906" s="5"/>
    </row>
    <row r="1907" spans="3:7" x14ac:dyDescent="0.35">
      <c r="C1907" s="5"/>
      <c r="F1907" s="5"/>
      <c r="G1907" s="5"/>
    </row>
    <row r="1908" spans="3:7" x14ac:dyDescent="0.35">
      <c r="C1908" s="5"/>
      <c r="F1908" s="5"/>
      <c r="G1908" s="5"/>
    </row>
    <row r="1909" spans="3:7" x14ac:dyDescent="0.35">
      <c r="C1909" s="5"/>
      <c r="F1909" s="5"/>
      <c r="G1909" s="5"/>
    </row>
    <row r="1910" spans="3:7" x14ac:dyDescent="0.35">
      <c r="C1910" s="5"/>
      <c r="F1910" s="5"/>
      <c r="G1910" s="5"/>
    </row>
    <row r="1911" spans="3:7" x14ac:dyDescent="0.35">
      <c r="C1911" s="5"/>
      <c r="F1911" s="5"/>
      <c r="G1911" s="5"/>
    </row>
    <row r="1912" spans="3:7" x14ac:dyDescent="0.35">
      <c r="C1912" s="5"/>
      <c r="F1912" s="5"/>
      <c r="G1912" s="5"/>
    </row>
    <row r="1913" spans="3:7" x14ac:dyDescent="0.35">
      <c r="C1913" s="5"/>
      <c r="F1913" s="5"/>
      <c r="G1913" s="5"/>
    </row>
    <row r="1914" spans="3:7" x14ac:dyDescent="0.35">
      <c r="C1914" s="5"/>
      <c r="F1914" s="5"/>
      <c r="G1914" s="5"/>
    </row>
    <row r="1915" spans="3:7" x14ac:dyDescent="0.35">
      <c r="C1915" s="5"/>
      <c r="F1915" s="5"/>
      <c r="G1915" s="5"/>
    </row>
    <row r="1916" spans="3:7" x14ac:dyDescent="0.35">
      <c r="C1916" s="5"/>
      <c r="F1916" s="5"/>
      <c r="G1916" s="5"/>
    </row>
    <row r="1917" spans="3:7" x14ac:dyDescent="0.35">
      <c r="C1917" s="5"/>
      <c r="F1917" s="5"/>
      <c r="G1917" s="5"/>
    </row>
    <row r="1918" spans="3:7" x14ac:dyDescent="0.35">
      <c r="C1918" s="5"/>
      <c r="F1918" s="5"/>
      <c r="G1918" s="5"/>
    </row>
    <row r="1919" spans="3:7" x14ac:dyDescent="0.35">
      <c r="C1919" s="5"/>
      <c r="F1919" s="5"/>
      <c r="G1919" s="5"/>
    </row>
    <row r="1920" spans="3:7" x14ac:dyDescent="0.35">
      <c r="C1920" s="5"/>
      <c r="F1920" s="5"/>
      <c r="G1920" s="5"/>
    </row>
    <row r="1921" spans="3:7" x14ac:dyDescent="0.35">
      <c r="C1921" s="5"/>
      <c r="F1921" s="5"/>
      <c r="G1921" s="5"/>
    </row>
    <row r="1922" spans="3:7" x14ac:dyDescent="0.35">
      <c r="C1922" s="5"/>
      <c r="F1922" s="5"/>
      <c r="G1922" s="5"/>
    </row>
    <row r="1923" spans="3:7" x14ac:dyDescent="0.35">
      <c r="C1923" s="5"/>
      <c r="F1923" s="5"/>
      <c r="G1923" s="5"/>
    </row>
    <row r="1924" spans="3:7" x14ac:dyDescent="0.35">
      <c r="C1924" s="5"/>
      <c r="F1924" s="5"/>
      <c r="G1924" s="5"/>
    </row>
    <row r="1925" spans="3:7" x14ac:dyDescent="0.35">
      <c r="C1925" s="5"/>
      <c r="F1925" s="5"/>
      <c r="G1925" s="5"/>
    </row>
    <row r="1926" spans="3:7" x14ac:dyDescent="0.35">
      <c r="C1926" s="5"/>
      <c r="F1926" s="5"/>
      <c r="G1926" s="5"/>
    </row>
    <row r="1927" spans="3:7" x14ac:dyDescent="0.35">
      <c r="C1927" s="5"/>
      <c r="F1927" s="5"/>
      <c r="G1927" s="5"/>
    </row>
    <row r="1928" spans="3:7" x14ac:dyDescent="0.35">
      <c r="C1928" s="5"/>
      <c r="F1928" s="5"/>
      <c r="G1928" s="5"/>
    </row>
    <row r="1929" spans="3:7" x14ac:dyDescent="0.35">
      <c r="C1929" s="5"/>
      <c r="F1929" s="5"/>
      <c r="G1929" s="5"/>
    </row>
    <row r="1930" spans="3:7" x14ac:dyDescent="0.35">
      <c r="C1930" s="5"/>
      <c r="F1930" s="5"/>
      <c r="G1930" s="5"/>
    </row>
    <row r="1931" spans="3:7" x14ac:dyDescent="0.35">
      <c r="C1931" s="5"/>
      <c r="F1931" s="5"/>
      <c r="G1931" s="5"/>
    </row>
    <row r="1932" spans="3:7" x14ac:dyDescent="0.35">
      <c r="C1932" s="5"/>
      <c r="F1932" s="5"/>
      <c r="G1932" s="5"/>
    </row>
    <row r="1933" spans="3:7" x14ac:dyDescent="0.35">
      <c r="C1933" s="5"/>
      <c r="F1933" s="5"/>
      <c r="G1933" s="5"/>
    </row>
    <row r="1934" spans="3:7" x14ac:dyDescent="0.35">
      <c r="C1934" s="5"/>
      <c r="F1934" s="5"/>
      <c r="G1934" s="5"/>
    </row>
    <row r="1935" spans="3:7" x14ac:dyDescent="0.35">
      <c r="C1935" s="5"/>
      <c r="F1935" s="5"/>
      <c r="G1935" s="5"/>
    </row>
    <row r="1936" spans="3:7" x14ac:dyDescent="0.35">
      <c r="C1936" s="5"/>
      <c r="F1936" s="5"/>
      <c r="G1936" s="5"/>
    </row>
    <row r="1937" spans="3:7" x14ac:dyDescent="0.35">
      <c r="C1937" s="5"/>
      <c r="F1937" s="5"/>
      <c r="G1937" s="5"/>
    </row>
    <row r="1938" spans="3:7" x14ac:dyDescent="0.35">
      <c r="C1938" s="5"/>
      <c r="F1938" s="5"/>
      <c r="G1938" s="5"/>
    </row>
    <row r="1939" spans="3:7" x14ac:dyDescent="0.35">
      <c r="C1939" s="5"/>
      <c r="F1939" s="5"/>
      <c r="G1939" s="5"/>
    </row>
    <row r="1940" spans="3:7" x14ac:dyDescent="0.35">
      <c r="C1940" s="5"/>
      <c r="F1940" s="5"/>
      <c r="G1940" s="5"/>
    </row>
    <row r="1941" spans="3:7" x14ac:dyDescent="0.35">
      <c r="C1941" s="5"/>
      <c r="F1941" s="5"/>
      <c r="G1941" s="5"/>
    </row>
    <row r="1942" spans="3:7" x14ac:dyDescent="0.35">
      <c r="C1942" s="5"/>
      <c r="F1942" s="5"/>
      <c r="G1942" s="5"/>
    </row>
    <row r="1943" spans="3:7" x14ac:dyDescent="0.35">
      <c r="C1943" s="5"/>
      <c r="F1943" s="5"/>
      <c r="G1943" s="5"/>
    </row>
    <row r="1944" spans="3:7" x14ac:dyDescent="0.35">
      <c r="C1944" s="5"/>
      <c r="F1944" s="5"/>
      <c r="G1944" s="5"/>
    </row>
    <row r="1945" spans="3:7" x14ac:dyDescent="0.35">
      <c r="C1945" s="5"/>
      <c r="F1945" s="5"/>
      <c r="G1945" s="5"/>
    </row>
    <row r="1946" spans="3:7" x14ac:dyDescent="0.35">
      <c r="C1946" s="5"/>
      <c r="F1946" s="5"/>
      <c r="G1946" s="5"/>
    </row>
    <row r="1947" spans="3:7" x14ac:dyDescent="0.35">
      <c r="C1947" s="5"/>
      <c r="F1947" s="5"/>
      <c r="G1947" s="5"/>
    </row>
    <row r="1948" spans="3:7" x14ac:dyDescent="0.35">
      <c r="C1948" s="5"/>
      <c r="F1948" s="5"/>
      <c r="G1948" s="5"/>
    </row>
    <row r="1949" spans="3:7" x14ac:dyDescent="0.35">
      <c r="C1949" s="5"/>
      <c r="F1949" s="5"/>
      <c r="G1949" s="5"/>
    </row>
    <row r="1950" spans="3:7" x14ac:dyDescent="0.35">
      <c r="C1950" s="5"/>
      <c r="F1950" s="5"/>
      <c r="G1950" s="5"/>
    </row>
    <row r="1951" spans="3:7" x14ac:dyDescent="0.35">
      <c r="C1951" s="5"/>
      <c r="F1951" s="5"/>
      <c r="G1951" s="5"/>
    </row>
    <row r="1952" spans="3:7" x14ac:dyDescent="0.35">
      <c r="C1952" s="5"/>
      <c r="F1952" s="5"/>
      <c r="G1952" s="5"/>
    </row>
    <row r="1953" spans="3:7" x14ac:dyDescent="0.35">
      <c r="C1953" s="5"/>
      <c r="F1953" s="5"/>
      <c r="G1953" s="5"/>
    </row>
    <row r="1954" spans="3:7" x14ac:dyDescent="0.35">
      <c r="C1954" s="5"/>
      <c r="F1954" s="5"/>
      <c r="G1954" s="5"/>
    </row>
    <row r="1955" spans="3:7" x14ac:dyDescent="0.35">
      <c r="C1955" s="5"/>
      <c r="F1955" s="5"/>
      <c r="G1955" s="5"/>
    </row>
    <row r="1956" spans="3:7" x14ac:dyDescent="0.35">
      <c r="C1956" s="5"/>
      <c r="F1956" s="5"/>
      <c r="G1956" s="5"/>
    </row>
    <row r="1957" spans="3:7" x14ac:dyDescent="0.35">
      <c r="C1957" s="5"/>
      <c r="F1957" s="5"/>
      <c r="G1957" s="5"/>
    </row>
    <row r="1958" spans="3:7" x14ac:dyDescent="0.35">
      <c r="C1958" s="5"/>
      <c r="F1958" s="5"/>
      <c r="G1958" s="5"/>
    </row>
    <row r="1959" spans="3:7" x14ac:dyDescent="0.35">
      <c r="C1959" s="5"/>
      <c r="F1959" s="5"/>
      <c r="G1959" s="5"/>
    </row>
    <row r="1960" spans="3:7" x14ac:dyDescent="0.35">
      <c r="C1960" s="5"/>
      <c r="F1960" s="5"/>
      <c r="G1960" s="5"/>
    </row>
    <row r="1961" spans="3:7" x14ac:dyDescent="0.35">
      <c r="C1961" s="5"/>
      <c r="F1961" s="5"/>
      <c r="G1961" s="5"/>
    </row>
    <row r="1962" spans="3:7" x14ac:dyDescent="0.35">
      <c r="C1962" s="5"/>
      <c r="F1962" s="5"/>
      <c r="G1962" s="5"/>
    </row>
    <row r="1963" spans="3:7" x14ac:dyDescent="0.35">
      <c r="C1963" s="5"/>
      <c r="F1963" s="5"/>
      <c r="G1963" s="5"/>
    </row>
    <row r="1964" spans="3:7" x14ac:dyDescent="0.35">
      <c r="C1964" s="5"/>
      <c r="F1964" s="5"/>
      <c r="G1964" s="5"/>
    </row>
    <row r="1965" spans="3:7" x14ac:dyDescent="0.35">
      <c r="C1965" s="5"/>
      <c r="F1965" s="5"/>
      <c r="G1965" s="5"/>
    </row>
    <row r="1966" spans="3:7" x14ac:dyDescent="0.35">
      <c r="C1966" s="5"/>
      <c r="F1966" s="5"/>
      <c r="G1966" s="5"/>
    </row>
    <row r="1967" spans="3:7" x14ac:dyDescent="0.35">
      <c r="C1967" s="5"/>
      <c r="F1967" s="5"/>
      <c r="G1967" s="5"/>
    </row>
    <row r="1968" spans="3:7" x14ac:dyDescent="0.35">
      <c r="C1968" s="5"/>
      <c r="F1968" s="5"/>
      <c r="G1968" s="5"/>
    </row>
    <row r="1969" spans="3:7" x14ac:dyDescent="0.35">
      <c r="C1969" s="5"/>
      <c r="F1969" s="5"/>
      <c r="G1969" s="5"/>
    </row>
    <row r="1970" spans="3:7" x14ac:dyDescent="0.35">
      <c r="C1970" s="5"/>
      <c r="F1970" s="5"/>
      <c r="G1970" s="5"/>
    </row>
    <row r="1971" spans="3:7" x14ac:dyDescent="0.35">
      <c r="C1971" s="5"/>
      <c r="F1971" s="5"/>
      <c r="G1971" s="5"/>
    </row>
    <row r="1972" spans="3:7" x14ac:dyDescent="0.35">
      <c r="C1972" s="5"/>
      <c r="F1972" s="5"/>
      <c r="G1972" s="5"/>
    </row>
    <row r="1973" spans="3:7" x14ac:dyDescent="0.35">
      <c r="C1973" s="5"/>
      <c r="F1973" s="5"/>
      <c r="G1973" s="5"/>
    </row>
    <row r="1974" spans="3:7" x14ac:dyDescent="0.35">
      <c r="C1974" s="5"/>
      <c r="F1974" s="5"/>
      <c r="G1974" s="5"/>
    </row>
    <row r="1975" spans="3:7" x14ac:dyDescent="0.35">
      <c r="C1975" s="5"/>
      <c r="F1975" s="5"/>
      <c r="G1975" s="5"/>
    </row>
    <row r="1976" spans="3:7" x14ac:dyDescent="0.35">
      <c r="C1976" s="5"/>
      <c r="F1976" s="5"/>
      <c r="G1976" s="5"/>
    </row>
    <row r="1977" spans="3:7" x14ac:dyDescent="0.35">
      <c r="C1977" s="5"/>
      <c r="F1977" s="5"/>
      <c r="G1977" s="5"/>
    </row>
    <row r="1978" spans="3:7" x14ac:dyDescent="0.35">
      <c r="C1978" s="5"/>
      <c r="F1978" s="5"/>
      <c r="G1978" s="5"/>
    </row>
    <row r="1979" spans="3:7" x14ac:dyDescent="0.35">
      <c r="C1979" s="5"/>
      <c r="F1979" s="5"/>
      <c r="G1979" s="5"/>
    </row>
    <row r="1980" spans="3:7" x14ac:dyDescent="0.35">
      <c r="C1980" s="5"/>
      <c r="F1980" s="5"/>
      <c r="G1980" s="5"/>
    </row>
    <row r="1981" spans="3:7" x14ac:dyDescent="0.35">
      <c r="C1981" s="5"/>
      <c r="F1981" s="5"/>
      <c r="G1981" s="5"/>
    </row>
    <row r="1982" spans="3:7" x14ac:dyDescent="0.35">
      <c r="C1982" s="5"/>
      <c r="F1982" s="5"/>
      <c r="G1982" s="5"/>
    </row>
    <row r="1983" spans="3:7" x14ac:dyDescent="0.35">
      <c r="C1983" s="5"/>
      <c r="F1983" s="5"/>
      <c r="G1983" s="5"/>
    </row>
    <row r="1984" spans="3:7" x14ac:dyDescent="0.35">
      <c r="C1984" s="5"/>
      <c r="F1984" s="5"/>
      <c r="G1984" s="5"/>
    </row>
    <row r="1985" spans="3:7" x14ac:dyDescent="0.35">
      <c r="C1985" s="5"/>
      <c r="F1985" s="5"/>
      <c r="G1985" s="5"/>
    </row>
    <row r="1986" spans="3:7" x14ac:dyDescent="0.35">
      <c r="C1986" s="5"/>
      <c r="F1986" s="5"/>
      <c r="G1986" s="5"/>
    </row>
    <row r="1987" spans="3:7" x14ac:dyDescent="0.35">
      <c r="C1987" s="5"/>
      <c r="F1987" s="5"/>
      <c r="G1987" s="5"/>
    </row>
    <row r="1988" spans="3:7" x14ac:dyDescent="0.35">
      <c r="C1988" s="5"/>
      <c r="F1988" s="5"/>
      <c r="G1988" s="5"/>
    </row>
    <row r="1989" spans="3:7" x14ac:dyDescent="0.35">
      <c r="C1989" s="5"/>
      <c r="F1989" s="5"/>
      <c r="G1989" s="5"/>
    </row>
    <row r="1990" spans="3:7" x14ac:dyDescent="0.35">
      <c r="C1990" s="5"/>
      <c r="F1990" s="5"/>
      <c r="G1990" s="5"/>
    </row>
    <row r="1991" spans="3:7" x14ac:dyDescent="0.35">
      <c r="C1991" s="5"/>
      <c r="F1991" s="5"/>
      <c r="G1991" s="5"/>
    </row>
    <row r="1992" spans="3:7" x14ac:dyDescent="0.35">
      <c r="C1992" s="5"/>
      <c r="F1992" s="5"/>
      <c r="G1992" s="5"/>
    </row>
    <row r="1993" spans="3:7" x14ac:dyDescent="0.35">
      <c r="C1993" s="5"/>
      <c r="F1993" s="5"/>
      <c r="G1993" s="5"/>
    </row>
    <row r="1994" spans="3:7" x14ac:dyDescent="0.35">
      <c r="C1994" s="5"/>
      <c r="F1994" s="5"/>
      <c r="G1994" s="5"/>
    </row>
    <row r="1995" spans="3:7" x14ac:dyDescent="0.35">
      <c r="C1995" s="5"/>
      <c r="F1995" s="5"/>
      <c r="G1995" s="5"/>
    </row>
    <row r="1996" spans="3:7" x14ac:dyDescent="0.35">
      <c r="C1996" s="5"/>
      <c r="F1996" s="5"/>
      <c r="G1996" s="5"/>
    </row>
    <row r="1997" spans="3:7" x14ac:dyDescent="0.35">
      <c r="C1997" s="5"/>
      <c r="F1997" s="5"/>
      <c r="G1997" s="5"/>
    </row>
    <row r="1998" spans="3:7" x14ac:dyDescent="0.35">
      <c r="C1998" s="5"/>
      <c r="F1998" s="5"/>
      <c r="G1998" s="5"/>
    </row>
    <row r="1999" spans="3:7" x14ac:dyDescent="0.35">
      <c r="C1999" s="5"/>
      <c r="F1999" s="5"/>
      <c r="G1999" s="5"/>
    </row>
    <row r="2000" spans="3:7" x14ac:dyDescent="0.35">
      <c r="C2000" s="5"/>
      <c r="F2000" s="5"/>
      <c r="G2000"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00"/>
  <sheetViews>
    <sheetView workbookViewId="0"/>
  </sheetViews>
  <sheetFormatPr defaultRowHeight="15.5" x14ac:dyDescent="0.35"/>
  <cols>
    <col min="1" max="1" width="8.83203125" customWidth="1"/>
    <col min="2" max="2" width="9.83203125" customWidth="1"/>
    <col min="3" max="3" width="18.83203125" customWidth="1"/>
    <col min="4" max="4" width="15.83203125" customWidth="1"/>
    <col min="5" max="5" width="24.83203125" customWidth="1"/>
    <col min="6" max="6" width="22.83203125" customWidth="1"/>
    <col min="7" max="7" width="18.83203125" customWidth="1"/>
    <col min="8" max="8" width="30.83203125" customWidth="1"/>
    <col min="9" max="9" width="15.83203125" customWidth="1"/>
  </cols>
  <sheetData>
    <row r="1" spans="1:8" ht="17" customHeight="1" x14ac:dyDescent="0.4">
      <c r="A1" s="1" t="s">
        <v>143</v>
      </c>
    </row>
    <row r="3" spans="1:8" s="3" customFormat="1" x14ac:dyDescent="0.35">
      <c r="A3" s="3" t="s">
        <v>136</v>
      </c>
      <c r="B3" s="3" t="s">
        <v>137</v>
      </c>
      <c r="C3" s="3" t="s">
        <v>138</v>
      </c>
      <c r="D3" s="3" t="s">
        <v>139</v>
      </c>
      <c r="E3" s="3" t="s">
        <v>144</v>
      </c>
      <c r="F3" s="3" t="s">
        <v>145</v>
      </c>
      <c r="G3" s="3" t="s">
        <v>146</v>
      </c>
      <c r="H3" s="3" t="s">
        <v>142</v>
      </c>
    </row>
    <row r="4" spans="1:8" x14ac:dyDescent="0.35">
      <c r="A4" t="s">
        <v>6</v>
      </c>
      <c r="B4">
        <v>1</v>
      </c>
      <c r="C4" s="5">
        <v>95.822000000000003</v>
      </c>
      <c r="D4">
        <f>ROUNDUP(C4/GiaDinh!$C$5-0.0005,0)</f>
        <v>16</v>
      </c>
      <c r="E4">
        <f t="shared" ref="E4:E35" si="0">D4-1</f>
        <v>15</v>
      </c>
      <c r="F4">
        <v>78</v>
      </c>
      <c r="G4">
        <f t="shared" ref="G4:G35" si="1">F4</f>
        <v>78</v>
      </c>
      <c r="H4" s="5">
        <f>C4*GiaDinh!$C$7</f>
        <v>288.42421999999999</v>
      </c>
    </row>
    <row r="5" spans="1:8" x14ac:dyDescent="0.35">
      <c r="A5" t="s">
        <v>6</v>
      </c>
      <c r="B5">
        <v>2</v>
      </c>
      <c r="C5" s="5">
        <v>95.822000000000003</v>
      </c>
      <c r="D5">
        <f>ROUNDUP(C5/GiaDinh!$C$5-0.0005,0)</f>
        <v>16</v>
      </c>
      <c r="E5">
        <f t="shared" si="0"/>
        <v>15</v>
      </c>
      <c r="F5">
        <v>78</v>
      </c>
      <c r="G5">
        <f t="shared" si="1"/>
        <v>78</v>
      </c>
      <c r="H5" s="5">
        <f>C5*GiaDinh!$C$7</f>
        <v>288.42421999999999</v>
      </c>
    </row>
    <row r="6" spans="1:8" x14ac:dyDescent="0.35">
      <c r="A6" t="s">
        <v>6</v>
      </c>
      <c r="B6">
        <v>3</v>
      </c>
      <c r="C6" s="5">
        <v>95.822000000000003</v>
      </c>
      <c r="D6">
        <f>ROUNDUP(C6/GiaDinh!$C$5-0.0005,0)</f>
        <v>16</v>
      </c>
      <c r="E6">
        <f t="shared" si="0"/>
        <v>15</v>
      </c>
      <c r="F6">
        <v>78</v>
      </c>
      <c r="G6">
        <f t="shared" si="1"/>
        <v>78</v>
      </c>
      <c r="H6" s="5">
        <f>C6*GiaDinh!$C$7</f>
        <v>288.42421999999999</v>
      </c>
    </row>
    <row r="7" spans="1:8" x14ac:dyDescent="0.35">
      <c r="A7" t="s">
        <v>6</v>
      </c>
      <c r="B7">
        <v>4</v>
      </c>
      <c r="C7" s="5">
        <v>95.822000000000003</v>
      </c>
      <c r="D7">
        <f>ROUNDUP(C7/GiaDinh!$C$5-0.0005,0)</f>
        <v>16</v>
      </c>
      <c r="E7">
        <f t="shared" si="0"/>
        <v>15</v>
      </c>
      <c r="F7">
        <v>78</v>
      </c>
      <c r="G7">
        <f t="shared" si="1"/>
        <v>78</v>
      </c>
      <c r="H7" s="5">
        <f>C7*GiaDinh!$C$7</f>
        <v>288.42421999999999</v>
      </c>
    </row>
    <row r="8" spans="1:8" x14ac:dyDescent="0.35">
      <c r="A8" t="s">
        <v>6</v>
      </c>
      <c r="B8">
        <v>5</v>
      </c>
      <c r="C8" s="5">
        <v>95.822000000000003</v>
      </c>
      <c r="D8">
        <f>ROUNDUP(C8/GiaDinh!$C$5-0.0005,0)</f>
        <v>16</v>
      </c>
      <c r="E8">
        <f t="shared" si="0"/>
        <v>15</v>
      </c>
      <c r="F8">
        <v>77</v>
      </c>
      <c r="G8">
        <f t="shared" si="1"/>
        <v>77</v>
      </c>
      <c r="H8" s="5">
        <f>C8*GiaDinh!$C$7</f>
        <v>288.42421999999999</v>
      </c>
    </row>
    <row r="9" spans="1:8" x14ac:dyDescent="0.35">
      <c r="A9" t="s">
        <v>6</v>
      </c>
      <c r="B9">
        <v>6</v>
      </c>
      <c r="C9" s="5">
        <v>95.822000000000003</v>
      </c>
      <c r="D9">
        <f>ROUNDUP(C9/GiaDinh!$C$5-0.0005,0)</f>
        <v>16</v>
      </c>
      <c r="E9">
        <f t="shared" si="0"/>
        <v>15</v>
      </c>
      <c r="F9">
        <v>78</v>
      </c>
      <c r="G9">
        <f t="shared" si="1"/>
        <v>78</v>
      </c>
      <c r="H9" s="5">
        <f>C9*GiaDinh!$C$7</f>
        <v>288.42421999999999</v>
      </c>
    </row>
    <row r="10" spans="1:8" x14ac:dyDescent="0.35">
      <c r="A10" t="s">
        <v>6</v>
      </c>
      <c r="B10">
        <v>7</v>
      </c>
      <c r="C10" s="5">
        <v>95.822000000000003</v>
      </c>
      <c r="D10">
        <f>ROUNDUP(C10/GiaDinh!$C$5-0.0005,0)</f>
        <v>16</v>
      </c>
      <c r="E10">
        <f t="shared" si="0"/>
        <v>15</v>
      </c>
      <c r="F10">
        <v>78</v>
      </c>
      <c r="G10">
        <f t="shared" si="1"/>
        <v>78</v>
      </c>
      <c r="H10" s="5">
        <f>C10*GiaDinh!$C$7</f>
        <v>288.42421999999999</v>
      </c>
    </row>
    <row r="11" spans="1:8" x14ac:dyDescent="0.35">
      <c r="A11" t="s">
        <v>6</v>
      </c>
      <c r="B11">
        <v>8</v>
      </c>
      <c r="C11" s="5">
        <v>95.822000000000003</v>
      </c>
      <c r="D11">
        <f>ROUNDUP(C11/GiaDinh!$C$5-0.0005,0)</f>
        <v>16</v>
      </c>
      <c r="E11">
        <f t="shared" si="0"/>
        <v>15</v>
      </c>
      <c r="F11">
        <v>78</v>
      </c>
      <c r="G11">
        <f t="shared" si="1"/>
        <v>78</v>
      </c>
      <c r="H11" s="5">
        <f>C11*GiaDinh!$C$7</f>
        <v>288.42421999999999</v>
      </c>
    </row>
    <row r="12" spans="1:8" x14ac:dyDescent="0.35">
      <c r="A12" t="s">
        <v>6</v>
      </c>
      <c r="B12">
        <v>9</v>
      </c>
      <c r="C12" s="5">
        <v>76.453999999999994</v>
      </c>
      <c r="D12">
        <f>ROUNDUP(C12/GiaDinh!$C$5-0.0005,0)</f>
        <v>13</v>
      </c>
      <c r="E12">
        <f t="shared" si="0"/>
        <v>12</v>
      </c>
      <c r="F12">
        <v>62</v>
      </c>
      <c r="G12">
        <f t="shared" si="1"/>
        <v>62</v>
      </c>
      <c r="H12" s="5">
        <f>C12*GiaDinh!$C$7</f>
        <v>230.12653999999998</v>
      </c>
    </row>
    <row r="13" spans="1:8" x14ac:dyDescent="0.35">
      <c r="A13" t="s">
        <v>7</v>
      </c>
      <c r="B13">
        <v>1</v>
      </c>
      <c r="C13" s="5">
        <v>39.140999999999998</v>
      </c>
      <c r="D13">
        <f>ROUNDUP(C13/GiaDinh!$C$5-0.0005,0)</f>
        <v>7</v>
      </c>
      <c r="E13">
        <f t="shared" si="0"/>
        <v>6</v>
      </c>
      <c r="F13">
        <v>32</v>
      </c>
      <c r="G13">
        <f t="shared" si="1"/>
        <v>32</v>
      </c>
      <c r="H13" s="5">
        <f>C13*GiaDinh!$C$7</f>
        <v>117.81440999999998</v>
      </c>
    </row>
    <row r="14" spans="1:8" x14ac:dyDescent="0.35">
      <c r="A14" t="s">
        <v>7</v>
      </c>
      <c r="B14">
        <v>2</v>
      </c>
      <c r="C14" s="5">
        <v>39.140999999999998</v>
      </c>
      <c r="D14">
        <f>ROUNDUP(C14/GiaDinh!$C$5-0.0005,0)</f>
        <v>7</v>
      </c>
      <c r="E14">
        <f t="shared" si="0"/>
        <v>6</v>
      </c>
      <c r="F14">
        <v>32</v>
      </c>
      <c r="G14">
        <f t="shared" si="1"/>
        <v>32</v>
      </c>
      <c r="H14" s="5">
        <f>C14*GiaDinh!$C$7</f>
        <v>117.81440999999998</v>
      </c>
    </row>
    <row r="15" spans="1:8" x14ac:dyDescent="0.35">
      <c r="A15" t="s">
        <v>7</v>
      </c>
      <c r="B15">
        <v>3</v>
      </c>
      <c r="C15" s="5">
        <v>93.256</v>
      </c>
      <c r="D15">
        <f>ROUNDUP(C15/GiaDinh!$C$5-0.0005,0)</f>
        <v>16</v>
      </c>
      <c r="E15">
        <f t="shared" si="0"/>
        <v>15</v>
      </c>
      <c r="F15">
        <v>76</v>
      </c>
      <c r="G15">
        <f t="shared" si="1"/>
        <v>76</v>
      </c>
      <c r="H15" s="5">
        <f>C15*GiaDinh!$C$7</f>
        <v>280.70056</v>
      </c>
    </row>
    <row r="16" spans="1:8" x14ac:dyDescent="0.35">
      <c r="A16" t="s">
        <v>7</v>
      </c>
      <c r="B16">
        <v>4</v>
      </c>
      <c r="C16" s="5">
        <v>93.256</v>
      </c>
      <c r="D16">
        <f>ROUNDUP(C16/GiaDinh!$C$5-0.0005,0)</f>
        <v>16</v>
      </c>
      <c r="E16">
        <f t="shared" si="0"/>
        <v>15</v>
      </c>
      <c r="F16">
        <v>76</v>
      </c>
      <c r="G16">
        <f t="shared" si="1"/>
        <v>76</v>
      </c>
      <c r="H16" s="5">
        <f>C16*GiaDinh!$C$7</f>
        <v>280.70056</v>
      </c>
    </row>
    <row r="17" spans="1:8" x14ac:dyDescent="0.35">
      <c r="A17" t="s">
        <v>7</v>
      </c>
      <c r="B17">
        <v>5</v>
      </c>
      <c r="C17" s="5">
        <v>93.256</v>
      </c>
      <c r="D17">
        <f>ROUNDUP(C17/GiaDinh!$C$5-0.0005,0)</f>
        <v>16</v>
      </c>
      <c r="E17">
        <f t="shared" si="0"/>
        <v>15</v>
      </c>
      <c r="F17">
        <v>76</v>
      </c>
      <c r="G17">
        <f t="shared" si="1"/>
        <v>76</v>
      </c>
      <c r="H17" s="5">
        <f>C17*GiaDinh!$C$7</f>
        <v>280.70056</v>
      </c>
    </row>
    <row r="18" spans="1:8" x14ac:dyDescent="0.35">
      <c r="A18" t="s">
        <v>7</v>
      </c>
      <c r="B18">
        <v>6</v>
      </c>
      <c r="C18" s="5">
        <v>93.256</v>
      </c>
      <c r="D18">
        <f>ROUNDUP(C18/GiaDinh!$C$5-0.0005,0)</f>
        <v>16</v>
      </c>
      <c r="E18">
        <f t="shared" si="0"/>
        <v>15</v>
      </c>
      <c r="F18">
        <v>76</v>
      </c>
      <c r="G18">
        <f t="shared" si="1"/>
        <v>76</v>
      </c>
      <c r="H18" s="5">
        <f>C18*GiaDinh!$C$7</f>
        <v>280.70056</v>
      </c>
    </row>
    <row r="19" spans="1:8" x14ac:dyDescent="0.35">
      <c r="A19" t="s">
        <v>7</v>
      </c>
      <c r="B19">
        <v>7</v>
      </c>
      <c r="C19" s="5">
        <v>93.256</v>
      </c>
      <c r="D19">
        <f>ROUNDUP(C19/GiaDinh!$C$5-0.0005,0)</f>
        <v>16</v>
      </c>
      <c r="E19">
        <f t="shared" si="0"/>
        <v>15</v>
      </c>
      <c r="F19">
        <v>76</v>
      </c>
      <c r="G19">
        <f t="shared" si="1"/>
        <v>76</v>
      </c>
      <c r="H19" s="5">
        <f>C19*GiaDinh!$C$7</f>
        <v>280.70056</v>
      </c>
    </row>
    <row r="20" spans="1:8" x14ac:dyDescent="0.35">
      <c r="A20" t="s">
        <v>7</v>
      </c>
      <c r="B20">
        <v>8</v>
      </c>
      <c r="C20" s="5">
        <v>93.256</v>
      </c>
      <c r="D20">
        <f>ROUNDUP(C20/GiaDinh!$C$5-0.0005,0)</f>
        <v>16</v>
      </c>
      <c r="E20">
        <f t="shared" si="0"/>
        <v>15</v>
      </c>
      <c r="F20">
        <v>76</v>
      </c>
      <c r="G20">
        <f t="shared" si="1"/>
        <v>76</v>
      </c>
      <c r="H20" s="5">
        <f>C20*GiaDinh!$C$7</f>
        <v>280.70056</v>
      </c>
    </row>
    <row r="21" spans="1:8" x14ac:dyDescent="0.35">
      <c r="A21" t="s">
        <v>7</v>
      </c>
      <c r="B21">
        <v>9</v>
      </c>
      <c r="C21" s="5">
        <v>93.256</v>
      </c>
      <c r="D21">
        <f>ROUNDUP(C21/GiaDinh!$C$5-0.0005,0)</f>
        <v>16</v>
      </c>
      <c r="E21">
        <f t="shared" si="0"/>
        <v>15</v>
      </c>
      <c r="F21">
        <v>74</v>
      </c>
      <c r="G21">
        <f t="shared" si="1"/>
        <v>74</v>
      </c>
      <c r="H21" s="5">
        <f>C21*GiaDinh!$C$7</f>
        <v>280.70056</v>
      </c>
    </row>
    <row r="22" spans="1:8" x14ac:dyDescent="0.35">
      <c r="A22" t="s">
        <v>7</v>
      </c>
      <c r="B22">
        <v>10</v>
      </c>
      <c r="C22" s="5">
        <v>93.256</v>
      </c>
      <c r="D22">
        <f>ROUNDUP(C22/GiaDinh!$C$5-0.0005,0)</f>
        <v>16</v>
      </c>
      <c r="E22">
        <f t="shared" si="0"/>
        <v>15</v>
      </c>
      <c r="F22">
        <v>74</v>
      </c>
      <c r="G22">
        <f t="shared" si="1"/>
        <v>74</v>
      </c>
      <c r="H22" s="5">
        <f>C22*GiaDinh!$C$7</f>
        <v>280.70056</v>
      </c>
    </row>
    <row r="23" spans="1:8" x14ac:dyDescent="0.35">
      <c r="A23" t="s">
        <v>8</v>
      </c>
      <c r="B23">
        <v>1</v>
      </c>
      <c r="C23" s="5">
        <v>93.242999999999995</v>
      </c>
      <c r="D23">
        <f>ROUNDUP(C23/GiaDinh!$C$5-0.0005,0)</f>
        <v>16</v>
      </c>
      <c r="E23">
        <f t="shared" si="0"/>
        <v>15</v>
      </c>
      <c r="F23">
        <v>76</v>
      </c>
      <c r="G23">
        <f t="shared" si="1"/>
        <v>76</v>
      </c>
      <c r="H23" s="5">
        <f>C23*GiaDinh!$C$7</f>
        <v>280.66142999999994</v>
      </c>
    </row>
    <row r="24" spans="1:8" x14ac:dyDescent="0.35">
      <c r="A24" t="s">
        <v>8</v>
      </c>
      <c r="B24">
        <v>2</v>
      </c>
      <c r="C24" s="5">
        <v>93.242999999999995</v>
      </c>
      <c r="D24">
        <f>ROUNDUP(C24/GiaDinh!$C$5-0.0005,0)</f>
        <v>16</v>
      </c>
      <c r="E24">
        <f t="shared" si="0"/>
        <v>15</v>
      </c>
      <c r="F24">
        <v>76</v>
      </c>
      <c r="G24">
        <f t="shared" si="1"/>
        <v>76</v>
      </c>
      <c r="H24" s="5">
        <f>C24*GiaDinh!$C$7</f>
        <v>280.66142999999994</v>
      </c>
    </row>
    <row r="25" spans="1:8" x14ac:dyDescent="0.35">
      <c r="A25" t="s">
        <v>8</v>
      </c>
      <c r="B25">
        <v>3</v>
      </c>
      <c r="C25" s="5">
        <v>93.242999999999995</v>
      </c>
      <c r="D25">
        <f>ROUNDUP(C25/GiaDinh!$C$5-0.0005,0)</f>
        <v>16</v>
      </c>
      <c r="E25">
        <f t="shared" si="0"/>
        <v>15</v>
      </c>
      <c r="F25">
        <v>76</v>
      </c>
      <c r="G25">
        <f t="shared" si="1"/>
        <v>76</v>
      </c>
      <c r="H25" s="5">
        <f>C25*GiaDinh!$C$7</f>
        <v>280.66142999999994</v>
      </c>
    </row>
    <row r="26" spans="1:8" x14ac:dyDescent="0.35">
      <c r="A26" t="s">
        <v>8</v>
      </c>
      <c r="B26">
        <v>4</v>
      </c>
      <c r="C26" s="5">
        <v>93.242999999999995</v>
      </c>
      <c r="D26">
        <f>ROUNDUP(C26/GiaDinh!$C$5-0.0005,0)</f>
        <v>16</v>
      </c>
      <c r="E26">
        <f t="shared" si="0"/>
        <v>15</v>
      </c>
      <c r="F26">
        <v>76</v>
      </c>
      <c r="G26">
        <f t="shared" si="1"/>
        <v>76</v>
      </c>
      <c r="H26" s="5">
        <f>C26*GiaDinh!$C$7</f>
        <v>280.66142999999994</v>
      </c>
    </row>
    <row r="27" spans="1:8" x14ac:dyDescent="0.35">
      <c r="A27" t="s">
        <v>8</v>
      </c>
      <c r="B27">
        <v>5</v>
      </c>
      <c r="C27" s="5">
        <v>93.242999999999995</v>
      </c>
      <c r="D27">
        <f>ROUNDUP(C27/GiaDinh!$C$5-0.0005,0)</f>
        <v>16</v>
      </c>
      <c r="E27">
        <f t="shared" si="0"/>
        <v>15</v>
      </c>
      <c r="F27">
        <v>76</v>
      </c>
      <c r="G27">
        <f t="shared" si="1"/>
        <v>76</v>
      </c>
      <c r="H27" s="5">
        <f>C27*GiaDinh!$C$7</f>
        <v>280.66142999999994</v>
      </c>
    </row>
    <row r="28" spans="1:8" x14ac:dyDescent="0.35">
      <c r="A28" t="s">
        <v>8</v>
      </c>
      <c r="B28">
        <v>6</v>
      </c>
      <c r="C28" s="5">
        <v>93.242999999999995</v>
      </c>
      <c r="D28">
        <f>ROUNDUP(C28/GiaDinh!$C$5-0.0005,0)</f>
        <v>16</v>
      </c>
      <c r="E28">
        <f t="shared" si="0"/>
        <v>15</v>
      </c>
      <c r="F28">
        <v>76</v>
      </c>
      <c r="G28">
        <f t="shared" si="1"/>
        <v>76</v>
      </c>
      <c r="H28" s="5">
        <f>C28*GiaDinh!$C$7</f>
        <v>280.66142999999994</v>
      </c>
    </row>
    <row r="29" spans="1:8" x14ac:dyDescent="0.35">
      <c r="A29" t="s">
        <v>8</v>
      </c>
      <c r="B29">
        <v>7</v>
      </c>
      <c r="C29" s="5">
        <v>93.242999999999995</v>
      </c>
      <c r="D29">
        <f>ROUNDUP(C29/GiaDinh!$C$5-0.0005,0)</f>
        <v>16</v>
      </c>
      <c r="E29">
        <f t="shared" si="0"/>
        <v>15</v>
      </c>
      <c r="F29">
        <v>76</v>
      </c>
      <c r="G29">
        <f t="shared" si="1"/>
        <v>76</v>
      </c>
      <c r="H29" s="5">
        <f>C29*GiaDinh!$C$7</f>
        <v>280.66142999999994</v>
      </c>
    </row>
    <row r="30" spans="1:8" x14ac:dyDescent="0.35">
      <c r="A30" t="s">
        <v>8</v>
      </c>
      <c r="B30">
        <v>8</v>
      </c>
      <c r="C30" s="5">
        <v>93.242999999999995</v>
      </c>
      <c r="D30">
        <f>ROUNDUP(C30/GiaDinh!$C$5-0.0005,0)</f>
        <v>16</v>
      </c>
      <c r="E30">
        <f t="shared" si="0"/>
        <v>15</v>
      </c>
      <c r="F30">
        <v>76</v>
      </c>
      <c r="G30">
        <f t="shared" si="1"/>
        <v>76</v>
      </c>
      <c r="H30" s="5">
        <f>C30*GiaDinh!$C$7</f>
        <v>280.66142999999994</v>
      </c>
    </row>
    <row r="31" spans="1:8" x14ac:dyDescent="0.35">
      <c r="A31" t="s">
        <v>8</v>
      </c>
      <c r="B31">
        <v>9</v>
      </c>
      <c r="C31" s="5">
        <v>93.242999999999995</v>
      </c>
      <c r="D31">
        <f>ROUNDUP(C31/GiaDinh!$C$5-0.0005,0)</f>
        <v>16</v>
      </c>
      <c r="E31">
        <f t="shared" si="0"/>
        <v>15</v>
      </c>
      <c r="F31">
        <v>76</v>
      </c>
      <c r="G31">
        <f t="shared" si="1"/>
        <v>76</v>
      </c>
      <c r="H31" s="5">
        <f>C31*GiaDinh!$C$7</f>
        <v>280.66142999999994</v>
      </c>
    </row>
    <row r="32" spans="1:8" x14ac:dyDescent="0.35">
      <c r="A32" t="s">
        <v>8</v>
      </c>
      <c r="B32">
        <v>10</v>
      </c>
      <c r="C32" s="5">
        <v>18.960999999999999</v>
      </c>
      <c r="D32">
        <f>ROUNDUP(C32/GiaDinh!$C$5-0.0005,0)</f>
        <v>4</v>
      </c>
      <c r="E32">
        <f t="shared" si="0"/>
        <v>3</v>
      </c>
      <c r="F32">
        <v>16</v>
      </c>
      <c r="G32">
        <f t="shared" si="1"/>
        <v>16</v>
      </c>
      <c r="H32" s="5">
        <f>C32*GiaDinh!$C$7</f>
        <v>57.07260999999999</v>
      </c>
    </row>
    <row r="33" spans="1:8" x14ac:dyDescent="0.35">
      <c r="A33" t="s">
        <v>8</v>
      </c>
      <c r="B33">
        <v>11</v>
      </c>
      <c r="C33" s="5">
        <v>74.281999999999996</v>
      </c>
      <c r="D33">
        <f>ROUNDUP(C33/GiaDinh!$C$5-0.0005,0)</f>
        <v>13</v>
      </c>
      <c r="E33">
        <f t="shared" si="0"/>
        <v>12</v>
      </c>
      <c r="F33">
        <v>60</v>
      </c>
      <c r="G33">
        <f t="shared" si="1"/>
        <v>60</v>
      </c>
      <c r="H33" s="5">
        <f>C33*GiaDinh!$C$7</f>
        <v>223.58881999999997</v>
      </c>
    </row>
    <row r="34" spans="1:8" x14ac:dyDescent="0.35">
      <c r="A34" t="s">
        <v>8</v>
      </c>
      <c r="B34">
        <v>12</v>
      </c>
      <c r="C34" s="5">
        <v>74.281999999999996</v>
      </c>
      <c r="D34">
        <f>ROUNDUP(C34/GiaDinh!$C$5-0.0005,0)</f>
        <v>13</v>
      </c>
      <c r="E34">
        <f t="shared" si="0"/>
        <v>12</v>
      </c>
      <c r="F34">
        <v>60</v>
      </c>
      <c r="G34">
        <f t="shared" si="1"/>
        <v>60</v>
      </c>
      <c r="H34" s="5">
        <f>C34*GiaDinh!$C$7</f>
        <v>223.58881999999997</v>
      </c>
    </row>
    <row r="35" spans="1:8" x14ac:dyDescent="0.35">
      <c r="A35" t="s">
        <v>8</v>
      </c>
      <c r="B35">
        <v>13</v>
      </c>
      <c r="C35" s="5">
        <v>74.281999999999996</v>
      </c>
      <c r="D35">
        <f>ROUNDUP(C35/GiaDinh!$C$5-0.0005,0)</f>
        <v>13</v>
      </c>
      <c r="E35">
        <f t="shared" si="0"/>
        <v>12</v>
      </c>
      <c r="F35">
        <v>60</v>
      </c>
      <c r="G35">
        <f t="shared" si="1"/>
        <v>60</v>
      </c>
      <c r="H35" s="5">
        <f>C35*GiaDinh!$C$7</f>
        <v>223.58881999999997</v>
      </c>
    </row>
    <row r="36" spans="1:8" x14ac:dyDescent="0.35">
      <c r="A36" t="s">
        <v>9</v>
      </c>
      <c r="B36">
        <v>1</v>
      </c>
      <c r="C36" s="5">
        <v>111.925</v>
      </c>
      <c r="D36">
        <f>ROUNDUP(C36/GiaDinh!$C$5-0.0005,0)</f>
        <v>19</v>
      </c>
      <c r="E36">
        <f t="shared" ref="E36:E67" si="2">D36-1</f>
        <v>18</v>
      </c>
      <c r="F36">
        <v>90</v>
      </c>
      <c r="G36">
        <f t="shared" ref="G36:G67" si="3">F36</f>
        <v>90</v>
      </c>
      <c r="H36" s="5">
        <f>C36*GiaDinh!$C$7</f>
        <v>336.89424999999994</v>
      </c>
    </row>
    <row r="37" spans="1:8" x14ac:dyDescent="0.35">
      <c r="A37" t="s">
        <v>9</v>
      </c>
      <c r="B37">
        <v>2</v>
      </c>
      <c r="C37" s="5">
        <v>111.925</v>
      </c>
      <c r="D37">
        <f>ROUNDUP(C37/GiaDinh!$C$5-0.0005,0)</f>
        <v>19</v>
      </c>
      <c r="E37">
        <f t="shared" si="2"/>
        <v>18</v>
      </c>
      <c r="F37">
        <v>90</v>
      </c>
      <c r="G37">
        <f t="shared" si="3"/>
        <v>90</v>
      </c>
      <c r="H37" s="5">
        <f>C37*GiaDinh!$C$7</f>
        <v>336.89424999999994</v>
      </c>
    </row>
    <row r="38" spans="1:8" x14ac:dyDescent="0.35">
      <c r="A38" t="s">
        <v>9</v>
      </c>
      <c r="B38">
        <v>3</v>
      </c>
      <c r="C38" s="5">
        <v>111.925</v>
      </c>
      <c r="D38">
        <f>ROUNDUP(C38/GiaDinh!$C$5-0.0005,0)</f>
        <v>19</v>
      </c>
      <c r="E38">
        <f t="shared" si="2"/>
        <v>18</v>
      </c>
      <c r="F38">
        <v>90</v>
      </c>
      <c r="G38">
        <f t="shared" si="3"/>
        <v>90</v>
      </c>
      <c r="H38" s="5">
        <f>C38*GiaDinh!$C$7</f>
        <v>336.89424999999994</v>
      </c>
    </row>
    <row r="39" spans="1:8" x14ac:dyDescent="0.35">
      <c r="A39" t="s">
        <v>9</v>
      </c>
      <c r="B39">
        <v>4</v>
      </c>
      <c r="C39" s="5">
        <v>111.925</v>
      </c>
      <c r="D39">
        <f>ROUNDUP(C39/GiaDinh!$C$5-0.0005,0)</f>
        <v>19</v>
      </c>
      <c r="E39">
        <f t="shared" si="2"/>
        <v>18</v>
      </c>
      <c r="F39">
        <v>90</v>
      </c>
      <c r="G39">
        <f t="shared" si="3"/>
        <v>90</v>
      </c>
      <c r="H39" s="5">
        <f>C39*GiaDinh!$C$7</f>
        <v>336.89424999999994</v>
      </c>
    </row>
    <row r="40" spans="1:8" x14ac:dyDescent="0.35">
      <c r="A40" t="s">
        <v>9</v>
      </c>
      <c r="B40">
        <v>5</v>
      </c>
      <c r="C40" s="5">
        <v>147.07</v>
      </c>
      <c r="D40">
        <f>ROUNDUP(C40/GiaDinh!$C$5-0.0005,0)</f>
        <v>25</v>
      </c>
      <c r="E40">
        <f t="shared" si="2"/>
        <v>24</v>
      </c>
      <c r="F40">
        <v>118</v>
      </c>
      <c r="G40">
        <f t="shared" si="3"/>
        <v>118</v>
      </c>
      <c r="H40" s="5">
        <f>C40*GiaDinh!$C$7</f>
        <v>442.68069999999994</v>
      </c>
    </row>
    <row r="41" spans="1:8" x14ac:dyDescent="0.35">
      <c r="A41" t="s">
        <v>9</v>
      </c>
      <c r="B41">
        <v>6</v>
      </c>
      <c r="C41" s="5">
        <v>147.07</v>
      </c>
      <c r="D41">
        <f>ROUNDUP(C41/GiaDinh!$C$5-0.0005,0)</f>
        <v>25</v>
      </c>
      <c r="E41">
        <f t="shared" si="2"/>
        <v>24</v>
      </c>
      <c r="F41">
        <v>118</v>
      </c>
      <c r="G41">
        <f t="shared" si="3"/>
        <v>118</v>
      </c>
      <c r="H41" s="5">
        <f>C41*GiaDinh!$C$7</f>
        <v>442.68069999999994</v>
      </c>
    </row>
    <row r="42" spans="1:8" x14ac:dyDescent="0.35">
      <c r="A42" t="s">
        <v>9</v>
      </c>
      <c r="B42">
        <v>7</v>
      </c>
      <c r="C42" s="5">
        <v>147.07</v>
      </c>
      <c r="D42">
        <f>ROUNDUP(C42/GiaDinh!$C$5-0.0005,0)</f>
        <v>25</v>
      </c>
      <c r="E42">
        <f t="shared" si="2"/>
        <v>24</v>
      </c>
      <c r="F42">
        <v>118</v>
      </c>
      <c r="G42">
        <f t="shared" si="3"/>
        <v>118</v>
      </c>
      <c r="H42" s="5">
        <f>C42*GiaDinh!$C$7</f>
        <v>442.68069999999994</v>
      </c>
    </row>
    <row r="43" spans="1:8" x14ac:dyDescent="0.35">
      <c r="A43" t="s">
        <v>9</v>
      </c>
      <c r="B43">
        <v>8</v>
      </c>
      <c r="C43" s="5">
        <v>147.07</v>
      </c>
      <c r="D43">
        <f>ROUNDUP(C43/GiaDinh!$C$5-0.0005,0)</f>
        <v>25</v>
      </c>
      <c r="E43">
        <f t="shared" si="2"/>
        <v>24</v>
      </c>
      <c r="F43">
        <v>118</v>
      </c>
      <c r="G43">
        <f t="shared" si="3"/>
        <v>118</v>
      </c>
      <c r="H43" s="5">
        <f>C43*GiaDinh!$C$7</f>
        <v>442.68069999999994</v>
      </c>
    </row>
    <row r="44" spans="1:8" x14ac:dyDescent="0.35">
      <c r="A44" t="s">
        <v>9</v>
      </c>
      <c r="B44">
        <v>9</v>
      </c>
      <c r="C44" s="5">
        <v>166.036</v>
      </c>
      <c r="D44">
        <f>ROUNDUP(C44/GiaDinh!$C$5-0.0005,0)</f>
        <v>28</v>
      </c>
      <c r="E44">
        <f t="shared" si="2"/>
        <v>27</v>
      </c>
      <c r="F44">
        <v>134</v>
      </c>
      <c r="G44">
        <f t="shared" si="3"/>
        <v>134</v>
      </c>
      <c r="H44" s="5">
        <f>C44*GiaDinh!$C$7</f>
        <v>499.76835999999997</v>
      </c>
    </row>
    <row r="45" spans="1:8" x14ac:dyDescent="0.35">
      <c r="A45" t="s">
        <v>9</v>
      </c>
      <c r="B45">
        <v>10</v>
      </c>
      <c r="C45" s="5">
        <v>166.036</v>
      </c>
      <c r="D45">
        <f>ROUNDUP(C45/GiaDinh!$C$5-0.0005,0)</f>
        <v>28</v>
      </c>
      <c r="E45">
        <f t="shared" si="2"/>
        <v>27</v>
      </c>
      <c r="F45">
        <v>134</v>
      </c>
      <c r="G45">
        <f t="shared" si="3"/>
        <v>134</v>
      </c>
      <c r="H45" s="5">
        <f>C45*GiaDinh!$C$7</f>
        <v>499.76835999999997</v>
      </c>
    </row>
    <row r="46" spans="1:8" x14ac:dyDescent="0.35">
      <c r="A46" t="s">
        <v>9</v>
      </c>
      <c r="B46">
        <v>11</v>
      </c>
      <c r="C46" s="5">
        <v>166.036</v>
      </c>
      <c r="D46">
        <f>ROUNDUP(C46/GiaDinh!$C$5-0.0005,0)</f>
        <v>28</v>
      </c>
      <c r="E46">
        <f t="shared" si="2"/>
        <v>27</v>
      </c>
      <c r="F46">
        <v>134</v>
      </c>
      <c r="G46">
        <f t="shared" si="3"/>
        <v>134</v>
      </c>
      <c r="H46" s="5">
        <f>C46*GiaDinh!$C$7</f>
        <v>499.76835999999997</v>
      </c>
    </row>
    <row r="47" spans="1:8" x14ac:dyDescent="0.35">
      <c r="A47" t="s">
        <v>9</v>
      </c>
      <c r="B47">
        <v>12</v>
      </c>
      <c r="C47" s="5">
        <v>166.036</v>
      </c>
      <c r="D47">
        <f>ROUNDUP(C47/GiaDinh!$C$5-0.0005,0)</f>
        <v>28</v>
      </c>
      <c r="E47">
        <f t="shared" si="2"/>
        <v>27</v>
      </c>
      <c r="F47">
        <v>134</v>
      </c>
      <c r="G47">
        <f t="shared" si="3"/>
        <v>134</v>
      </c>
      <c r="H47" s="5">
        <f>C47*GiaDinh!$C$7</f>
        <v>499.76835999999997</v>
      </c>
    </row>
    <row r="48" spans="1:8" x14ac:dyDescent="0.35">
      <c r="A48" t="s">
        <v>9</v>
      </c>
      <c r="B48">
        <v>13</v>
      </c>
      <c r="C48" s="5">
        <v>166.036</v>
      </c>
      <c r="D48">
        <f>ROUNDUP(C48/GiaDinh!$C$5-0.0005,0)</f>
        <v>28</v>
      </c>
      <c r="E48">
        <f t="shared" si="2"/>
        <v>27</v>
      </c>
      <c r="F48">
        <v>134</v>
      </c>
      <c r="G48">
        <f t="shared" si="3"/>
        <v>134</v>
      </c>
      <c r="H48" s="5">
        <f>C48*GiaDinh!$C$7</f>
        <v>499.76835999999997</v>
      </c>
    </row>
    <row r="49" spans="1:8" x14ac:dyDescent="0.35">
      <c r="A49" t="s">
        <v>9</v>
      </c>
      <c r="B49">
        <v>14</v>
      </c>
      <c r="C49" s="5">
        <v>166.036</v>
      </c>
      <c r="D49">
        <f>ROUNDUP(C49/GiaDinh!$C$5-0.0005,0)</f>
        <v>28</v>
      </c>
      <c r="E49">
        <f t="shared" si="2"/>
        <v>27</v>
      </c>
      <c r="F49">
        <v>134</v>
      </c>
      <c r="G49">
        <f t="shared" si="3"/>
        <v>134</v>
      </c>
      <c r="H49" s="5">
        <f>C49*GiaDinh!$C$7</f>
        <v>499.76835999999997</v>
      </c>
    </row>
    <row r="50" spans="1:8" x14ac:dyDescent="0.35">
      <c r="A50" t="s">
        <v>9</v>
      </c>
      <c r="B50">
        <v>15</v>
      </c>
      <c r="C50" s="5">
        <v>166.036</v>
      </c>
      <c r="D50">
        <f>ROUNDUP(C50/GiaDinh!$C$5-0.0005,0)</f>
        <v>28</v>
      </c>
      <c r="E50">
        <f t="shared" si="2"/>
        <v>27</v>
      </c>
      <c r="F50">
        <v>134</v>
      </c>
      <c r="G50">
        <f t="shared" si="3"/>
        <v>134</v>
      </c>
      <c r="H50" s="5">
        <f>C50*GiaDinh!$C$7</f>
        <v>499.76835999999997</v>
      </c>
    </row>
    <row r="51" spans="1:8" x14ac:dyDescent="0.35">
      <c r="A51" t="s">
        <v>9</v>
      </c>
      <c r="B51">
        <v>16</v>
      </c>
      <c r="C51" s="5">
        <v>166.036</v>
      </c>
      <c r="D51">
        <f>ROUNDUP(C51/GiaDinh!$C$5-0.0005,0)</f>
        <v>28</v>
      </c>
      <c r="E51">
        <f t="shared" si="2"/>
        <v>27</v>
      </c>
      <c r="F51">
        <v>134</v>
      </c>
      <c r="G51">
        <f t="shared" si="3"/>
        <v>134</v>
      </c>
      <c r="H51" s="5">
        <f>C51*GiaDinh!$C$7</f>
        <v>499.76835999999997</v>
      </c>
    </row>
    <row r="52" spans="1:8" x14ac:dyDescent="0.35">
      <c r="A52" t="s">
        <v>9</v>
      </c>
      <c r="B52">
        <v>17</v>
      </c>
      <c r="C52" s="5">
        <v>166.036</v>
      </c>
      <c r="D52">
        <f>ROUNDUP(C52/GiaDinh!$C$5-0.0005,0)</f>
        <v>28</v>
      </c>
      <c r="E52">
        <f t="shared" si="2"/>
        <v>27</v>
      </c>
      <c r="F52">
        <v>134</v>
      </c>
      <c r="G52">
        <f t="shared" si="3"/>
        <v>134</v>
      </c>
      <c r="H52" s="5">
        <f>C52*GiaDinh!$C$7</f>
        <v>499.76835999999997</v>
      </c>
    </row>
    <row r="53" spans="1:8" x14ac:dyDescent="0.35">
      <c r="A53" t="s">
        <v>9</v>
      </c>
      <c r="B53">
        <v>18</v>
      </c>
      <c r="C53" s="5">
        <v>166.036</v>
      </c>
      <c r="D53">
        <f>ROUNDUP(C53/GiaDinh!$C$5-0.0005,0)</f>
        <v>28</v>
      </c>
      <c r="E53">
        <f t="shared" si="2"/>
        <v>27</v>
      </c>
      <c r="F53">
        <v>134</v>
      </c>
      <c r="G53">
        <f t="shared" si="3"/>
        <v>134</v>
      </c>
      <c r="H53" s="5">
        <f>C53*GiaDinh!$C$7</f>
        <v>499.76835999999997</v>
      </c>
    </row>
    <row r="54" spans="1:8" x14ac:dyDescent="0.35">
      <c r="A54" t="s">
        <v>9</v>
      </c>
      <c r="B54">
        <v>19</v>
      </c>
      <c r="C54" s="5">
        <v>166.036</v>
      </c>
      <c r="D54">
        <f>ROUNDUP(C54/GiaDinh!$C$5-0.0005,0)</f>
        <v>28</v>
      </c>
      <c r="E54">
        <f t="shared" si="2"/>
        <v>27</v>
      </c>
      <c r="F54">
        <v>134</v>
      </c>
      <c r="G54">
        <f t="shared" si="3"/>
        <v>134</v>
      </c>
      <c r="H54" s="5">
        <f>C54*GiaDinh!$C$7</f>
        <v>499.76835999999997</v>
      </c>
    </row>
    <row r="55" spans="1:8" x14ac:dyDescent="0.35">
      <c r="A55" t="s">
        <v>9</v>
      </c>
      <c r="B55">
        <v>20</v>
      </c>
      <c r="C55" s="5">
        <v>166.036</v>
      </c>
      <c r="D55">
        <f>ROUNDUP(C55/GiaDinh!$C$5-0.0005,0)</f>
        <v>28</v>
      </c>
      <c r="E55">
        <f t="shared" si="2"/>
        <v>27</v>
      </c>
      <c r="F55">
        <v>134</v>
      </c>
      <c r="G55">
        <f t="shared" si="3"/>
        <v>134</v>
      </c>
      <c r="H55" s="5">
        <f>C55*GiaDinh!$C$7</f>
        <v>499.76835999999997</v>
      </c>
    </row>
    <row r="56" spans="1:8" x14ac:dyDescent="0.35">
      <c r="A56" t="s">
        <v>9</v>
      </c>
      <c r="B56">
        <v>21</v>
      </c>
      <c r="C56" s="5">
        <v>74.290999999999997</v>
      </c>
      <c r="D56">
        <f>ROUNDUP(C56/GiaDinh!$C$5-0.0005,0)</f>
        <v>13</v>
      </c>
      <c r="E56">
        <f t="shared" si="2"/>
        <v>12</v>
      </c>
      <c r="F56">
        <v>60</v>
      </c>
      <c r="G56">
        <f t="shared" si="3"/>
        <v>60</v>
      </c>
      <c r="H56" s="5">
        <f>C56*GiaDinh!$C$7</f>
        <v>223.61590999999999</v>
      </c>
    </row>
    <row r="57" spans="1:8" x14ac:dyDescent="0.35">
      <c r="A57" t="s">
        <v>9</v>
      </c>
      <c r="B57">
        <v>22</v>
      </c>
      <c r="C57" s="5">
        <v>74.290999999999997</v>
      </c>
      <c r="D57">
        <f>ROUNDUP(C57/GiaDinh!$C$5-0.0005,0)</f>
        <v>13</v>
      </c>
      <c r="E57">
        <f t="shared" si="2"/>
        <v>12</v>
      </c>
      <c r="F57">
        <v>60</v>
      </c>
      <c r="G57">
        <f t="shared" si="3"/>
        <v>60</v>
      </c>
      <c r="H57" s="5">
        <f>C57*GiaDinh!$C$7</f>
        <v>223.61590999999999</v>
      </c>
    </row>
    <row r="58" spans="1:8" x14ac:dyDescent="0.35">
      <c r="A58" t="s">
        <v>9</v>
      </c>
      <c r="B58">
        <v>23</v>
      </c>
      <c r="C58" s="5">
        <v>74.290999999999997</v>
      </c>
      <c r="D58">
        <f>ROUNDUP(C58/GiaDinh!$C$5-0.0005,0)</f>
        <v>13</v>
      </c>
      <c r="E58">
        <f t="shared" si="2"/>
        <v>12</v>
      </c>
      <c r="F58">
        <v>60</v>
      </c>
      <c r="G58">
        <f t="shared" si="3"/>
        <v>60</v>
      </c>
      <c r="H58" s="5">
        <f>C58*GiaDinh!$C$7</f>
        <v>223.61590999999999</v>
      </c>
    </row>
    <row r="59" spans="1:8" x14ac:dyDescent="0.35">
      <c r="A59" t="s">
        <v>9</v>
      </c>
      <c r="B59">
        <v>24</v>
      </c>
      <c r="C59" s="5">
        <v>74.290999999999997</v>
      </c>
      <c r="D59">
        <f>ROUNDUP(C59/GiaDinh!$C$5-0.0005,0)</f>
        <v>13</v>
      </c>
      <c r="E59">
        <f t="shared" si="2"/>
        <v>12</v>
      </c>
      <c r="F59">
        <v>60</v>
      </c>
      <c r="G59">
        <f t="shared" si="3"/>
        <v>60</v>
      </c>
      <c r="H59" s="5">
        <f>C59*GiaDinh!$C$7</f>
        <v>223.61590999999999</v>
      </c>
    </row>
    <row r="60" spans="1:8" x14ac:dyDescent="0.35">
      <c r="A60" t="s">
        <v>9</v>
      </c>
      <c r="B60">
        <v>25</v>
      </c>
      <c r="C60" s="5">
        <v>74.290999999999997</v>
      </c>
      <c r="D60">
        <f>ROUNDUP(C60/GiaDinh!$C$5-0.0005,0)</f>
        <v>13</v>
      </c>
      <c r="E60">
        <f t="shared" si="2"/>
        <v>12</v>
      </c>
      <c r="F60">
        <v>60</v>
      </c>
      <c r="G60">
        <f t="shared" si="3"/>
        <v>60</v>
      </c>
      <c r="H60" s="5">
        <f>C60*GiaDinh!$C$7</f>
        <v>223.61590999999999</v>
      </c>
    </row>
    <row r="61" spans="1:8" x14ac:dyDescent="0.35">
      <c r="A61" t="s">
        <v>9</v>
      </c>
      <c r="B61">
        <v>26</v>
      </c>
      <c r="C61" s="5">
        <v>74.290999999999997</v>
      </c>
      <c r="D61">
        <f>ROUNDUP(C61/GiaDinh!$C$5-0.0005,0)</f>
        <v>13</v>
      </c>
      <c r="E61">
        <f t="shared" si="2"/>
        <v>12</v>
      </c>
      <c r="F61">
        <v>60</v>
      </c>
      <c r="G61">
        <f t="shared" si="3"/>
        <v>60</v>
      </c>
      <c r="H61" s="5">
        <f>C61*GiaDinh!$C$7</f>
        <v>223.61590999999999</v>
      </c>
    </row>
    <row r="62" spans="1:8" x14ac:dyDescent="0.35">
      <c r="A62" t="s">
        <v>9</v>
      </c>
      <c r="B62">
        <v>27</v>
      </c>
      <c r="C62" s="5">
        <v>74.290999999999997</v>
      </c>
      <c r="D62">
        <f>ROUNDUP(C62/GiaDinh!$C$5-0.0005,0)</f>
        <v>13</v>
      </c>
      <c r="E62">
        <f t="shared" si="2"/>
        <v>12</v>
      </c>
      <c r="F62">
        <v>60</v>
      </c>
      <c r="G62">
        <f t="shared" si="3"/>
        <v>60</v>
      </c>
      <c r="H62" s="5">
        <f>C62*GiaDinh!$C$7</f>
        <v>223.61590999999999</v>
      </c>
    </row>
    <row r="63" spans="1:8" x14ac:dyDescent="0.35">
      <c r="A63" t="s">
        <v>10</v>
      </c>
      <c r="B63">
        <v>1</v>
      </c>
      <c r="C63" s="5">
        <v>145.97399999999999</v>
      </c>
      <c r="D63">
        <f>ROUNDUP(C63/GiaDinh!$C$5-0.0005,0)</f>
        <v>25</v>
      </c>
      <c r="E63">
        <f t="shared" si="2"/>
        <v>24</v>
      </c>
      <c r="F63">
        <v>118</v>
      </c>
      <c r="G63">
        <f t="shared" si="3"/>
        <v>118</v>
      </c>
      <c r="H63" s="5">
        <f>C63*GiaDinh!$C$7</f>
        <v>439.38173999999992</v>
      </c>
    </row>
    <row r="64" spans="1:8" x14ac:dyDescent="0.35">
      <c r="A64" t="s">
        <v>10</v>
      </c>
      <c r="B64">
        <v>2</v>
      </c>
      <c r="C64" s="5">
        <v>145.97399999999999</v>
      </c>
      <c r="D64">
        <f>ROUNDUP(C64/GiaDinh!$C$5-0.0005,0)</f>
        <v>25</v>
      </c>
      <c r="E64">
        <f t="shared" si="2"/>
        <v>24</v>
      </c>
      <c r="F64">
        <v>118</v>
      </c>
      <c r="G64">
        <f t="shared" si="3"/>
        <v>118</v>
      </c>
      <c r="H64" s="5">
        <f>C64*GiaDinh!$C$7</f>
        <v>439.38173999999992</v>
      </c>
    </row>
    <row r="65" spans="1:8" x14ac:dyDescent="0.35">
      <c r="A65" t="s">
        <v>10</v>
      </c>
      <c r="B65">
        <v>3</v>
      </c>
      <c r="C65" s="5">
        <v>145.97399999999999</v>
      </c>
      <c r="D65">
        <f>ROUNDUP(C65/GiaDinh!$C$5-0.0005,0)</f>
        <v>25</v>
      </c>
      <c r="E65">
        <f t="shared" si="2"/>
        <v>24</v>
      </c>
      <c r="F65">
        <v>118</v>
      </c>
      <c r="G65">
        <f t="shared" si="3"/>
        <v>118</v>
      </c>
      <c r="H65" s="5">
        <f>C65*GiaDinh!$C$7</f>
        <v>439.38173999999992</v>
      </c>
    </row>
    <row r="66" spans="1:8" x14ac:dyDescent="0.35">
      <c r="A66" t="s">
        <v>10</v>
      </c>
      <c r="B66">
        <v>4</v>
      </c>
      <c r="C66" s="5">
        <v>145.97399999999999</v>
      </c>
      <c r="D66">
        <f>ROUNDUP(C66/GiaDinh!$C$5-0.0005,0)</f>
        <v>25</v>
      </c>
      <c r="E66">
        <f t="shared" si="2"/>
        <v>24</v>
      </c>
      <c r="F66">
        <v>118</v>
      </c>
      <c r="G66">
        <f t="shared" si="3"/>
        <v>118</v>
      </c>
      <c r="H66" s="5">
        <f>C66*GiaDinh!$C$7</f>
        <v>439.38173999999992</v>
      </c>
    </row>
    <row r="67" spans="1:8" x14ac:dyDescent="0.35">
      <c r="A67" t="s">
        <v>10</v>
      </c>
      <c r="B67">
        <v>5</v>
      </c>
      <c r="C67" s="5">
        <v>145.97399999999999</v>
      </c>
      <c r="D67">
        <f>ROUNDUP(C67/GiaDinh!$C$5-0.0005,0)</f>
        <v>25</v>
      </c>
      <c r="E67">
        <f t="shared" si="2"/>
        <v>24</v>
      </c>
      <c r="F67">
        <v>118</v>
      </c>
      <c r="G67">
        <f t="shared" si="3"/>
        <v>118</v>
      </c>
      <c r="H67" s="5">
        <f>C67*GiaDinh!$C$7</f>
        <v>439.38173999999992</v>
      </c>
    </row>
    <row r="68" spans="1:8" x14ac:dyDescent="0.35">
      <c r="A68" t="s">
        <v>10</v>
      </c>
      <c r="B68">
        <v>6</v>
      </c>
      <c r="C68" s="5">
        <v>145.97399999999999</v>
      </c>
      <c r="D68">
        <f>ROUNDUP(C68/GiaDinh!$C$5-0.0005,0)</f>
        <v>25</v>
      </c>
      <c r="E68">
        <f t="shared" ref="E68:E99" si="4">D68-1</f>
        <v>24</v>
      </c>
      <c r="F68">
        <v>118</v>
      </c>
      <c r="G68">
        <f t="shared" ref="G68:G99" si="5">F68</f>
        <v>118</v>
      </c>
      <c r="H68" s="5">
        <f>C68*GiaDinh!$C$7</f>
        <v>439.38173999999992</v>
      </c>
    </row>
    <row r="69" spans="1:8" x14ac:dyDescent="0.35">
      <c r="A69" t="s">
        <v>10</v>
      </c>
      <c r="B69">
        <v>7</v>
      </c>
      <c r="C69" s="5">
        <v>145.97399999999999</v>
      </c>
      <c r="D69">
        <f>ROUNDUP(C69/GiaDinh!$C$5-0.0005,0)</f>
        <v>25</v>
      </c>
      <c r="E69">
        <f t="shared" si="4"/>
        <v>24</v>
      </c>
      <c r="F69">
        <v>118</v>
      </c>
      <c r="G69">
        <f t="shared" si="5"/>
        <v>118</v>
      </c>
      <c r="H69" s="5">
        <f>C69*GiaDinh!$C$7</f>
        <v>439.38173999999992</v>
      </c>
    </row>
    <row r="70" spans="1:8" x14ac:dyDescent="0.35">
      <c r="A70" t="s">
        <v>10</v>
      </c>
      <c r="B70">
        <v>8</v>
      </c>
      <c r="C70" s="5">
        <v>145.97399999999999</v>
      </c>
      <c r="D70">
        <f>ROUNDUP(C70/GiaDinh!$C$5-0.0005,0)</f>
        <v>25</v>
      </c>
      <c r="E70">
        <f t="shared" si="4"/>
        <v>24</v>
      </c>
      <c r="F70">
        <v>118</v>
      </c>
      <c r="G70">
        <f t="shared" si="5"/>
        <v>118</v>
      </c>
      <c r="H70" s="5">
        <f>C70*GiaDinh!$C$7</f>
        <v>439.38173999999992</v>
      </c>
    </row>
    <row r="71" spans="1:8" x14ac:dyDescent="0.35">
      <c r="A71" t="s">
        <v>10</v>
      </c>
      <c r="B71">
        <v>9</v>
      </c>
      <c r="C71" s="5">
        <v>145.97399999999999</v>
      </c>
      <c r="D71">
        <f>ROUNDUP(C71/GiaDinh!$C$5-0.0005,0)</f>
        <v>25</v>
      </c>
      <c r="E71">
        <f t="shared" si="4"/>
        <v>24</v>
      </c>
      <c r="F71">
        <v>118</v>
      </c>
      <c r="G71">
        <f t="shared" si="5"/>
        <v>118</v>
      </c>
      <c r="H71" s="5">
        <f>C71*GiaDinh!$C$7</f>
        <v>439.38173999999992</v>
      </c>
    </row>
    <row r="72" spans="1:8" x14ac:dyDescent="0.35">
      <c r="A72" t="s">
        <v>10</v>
      </c>
      <c r="B72">
        <v>10</v>
      </c>
      <c r="C72" s="5">
        <v>145.97399999999999</v>
      </c>
      <c r="D72">
        <f>ROUNDUP(C72/GiaDinh!$C$5-0.0005,0)</f>
        <v>25</v>
      </c>
      <c r="E72">
        <f t="shared" si="4"/>
        <v>24</v>
      </c>
      <c r="F72">
        <v>118</v>
      </c>
      <c r="G72">
        <f t="shared" si="5"/>
        <v>118</v>
      </c>
      <c r="H72" s="5">
        <f>C72*GiaDinh!$C$7</f>
        <v>439.38173999999992</v>
      </c>
    </row>
    <row r="73" spans="1:8" x14ac:dyDescent="0.35">
      <c r="A73" t="s">
        <v>10</v>
      </c>
      <c r="B73">
        <v>11</v>
      </c>
      <c r="C73" s="5">
        <v>145.97399999999999</v>
      </c>
      <c r="D73">
        <f>ROUNDUP(C73/GiaDinh!$C$5-0.0005,0)</f>
        <v>25</v>
      </c>
      <c r="E73">
        <f t="shared" si="4"/>
        <v>24</v>
      </c>
      <c r="F73">
        <v>118</v>
      </c>
      <c r="G73">
        <f t="shared" si="5"/>
        <v>118</v>
      </c>
      <c r="H73" s="5">
        <f>C73*GiaDinh!$C$7</f>
        <v>439.38173999999992</v>
      </c>
    </row>
    <row r="74" spans="1:8" x14ac:dyDescent="0.35">
      <c r="A74" t="s">
        <v>10</v>
      </c>
      <c r="B74">
        <v>12</v>
      </c>
      <c r="C74" s="5">
        <v>145.97399999999999</v>
      </c>
      <c r="D74">
        <f>ROUNDUP(C74/GiaDinh!$C$5-0.0005,0)</f>
        <v>25</v>
      </c>
      <c r="E74">
        <f t="shared" si="4"/>
        <v>24</v>
      </c>
      <c r="F74">
        <v>118</v>
      </c>
      <c r="G74">
        <f t="shared" si="5"/>
        <v>118</v>
      </c>
      <c r="H74" s="5">
        <f>C74*GiaDinh!$C$7</f>
        <v>439.38173999999992</v>
      </c>
    </row>
    <row r="75" spans="1:8" x14ac:dyDescent="0.35">
      <c r="A75" t="s">
        <v>10</v>
      </c>
      <c r="B75">
        <v>13</v>
      </c>
      <c r="C75" s="5">
        <v>145.97399999999999</v>
      </c>
      <c r="D75">
        <f>ROUNDUP(C75/GiaDinh!$C$5-0.0005,0)</f>
        <v>25</v>
      </c>
      <c r="E75">
        <f t="shared" si="4"/>
        <v>24</v>
      </c>
      <c r="F75">
        <v>118</v>
      </c>
      <c r="G75">
        <f t="shared" si="5"/>
        <v>118</v>
      </c>
      <c r="H75" s="5">
        <f>C75*GiaDinh!$C$7</f>
        <v>439.38173999999992</v>
      </c>
    </row>
    <row r="76" spans="1:8" x14ac:dyDescent="0.35">
      <c r="A76" t="s">
        <v>10</v>
      </c>
      <c r="B76">
        <v>14</v>
      </c>
      <c r="C76" s="5">
        <v>145.97399999999999</v>
      </c>
      <c r="D76">
        <f>ROUNDUP(C76/GiaDinh!$C$5-0.0005,0)</f>
        <v>25</v>
      </c>
      <c r="E76">
        <f t="shared" si="4"/>
        <v>24</v>
      </c>
      <c r="F76">
        <v>118</v>
      </c>
      <c r="G76">
        <f t="shared" si="5"/>
        <v>118</v>
      </c>
      <c r="H76" s="5">
        <f>C76*GiaDinh!$C$7</f>
        <v>439.38173999999992</v>
      </c>
    </row>
    <row r="77" spans="1:8" x14ac:dyDescent="0.35">
      <c r="A77" t="s">
        <v>10</v>
      </c>
      <c r="B77">
        <v>15</v>
      </c>
      <c r="C77" s="5">
        <v>145.97399999999999</v>
      </c>
      <c r="D77">
        <f>ROUNDUP(C77/GiaDinh!$C$5-0.0005,0)</f>
        <v>25</v>
      </c>
      <c r="E77">
        <f t="shared" si="4"/>
        <v>24</v>
      </c>
      <c r="F77">
        <v>118</v>
      </c>
      <c r="G77">
        <f t="shared" si="5"/>
        <v>118</v>
      </c>
      <c r="H77" s="5">
        <f>C77*GiaDinh!$C$7</f>
        <v>439.38173999999992</v>
      </c>
    </row>
    <row r="78" spans="1:8" x14ac:dyDescent="0.35">
      <c r="A78" t="s">
        <v>10</v>
      </c>
      <c r="B78">
        <v>16</v>
      </c>
      <c r="C78" s="5">
        <v>145.97399999999999</v>
      </c>
      <c r="D78">
        <f>ROUNDUP(C78/GiaDinh!$C$5-0.0005,0)</f>
        <v>25</v>
      </c>
      <c r="E78">
        <f t="shared" si="4"/>
        <v>24</v>
      </c>
      <c r="F78">
        <v>118</v>
      </c>
      <c r="G78">
        <f t="shared" si="5"/>
        <v>118</v>
      </c>
      <c r="H78" s="5">
        <f>C78*GiaDinh!$C$7</f>
        <v>439.38173999999992</v>
      </c>
    </row>
    <row r="79" spans="1:8" x14ac:dyDescent="0.35">
      <c r="A79" t="s">
        <v>10</v>
      </c>
      <c r="B79">
        <v>17</v>
      </c>
      <c r="C79" s="5">
        <v>145.97399999999999</v>
      </c>
      <c r="D79">
        <f>ROUNDUP(C79/GiaDinh!$C$5-0.0005,0)</f>
        <v>25</v>
      </c>
      <c r="E79">
        <f t="shared" si="4"/>
        <v>24</v>
      </c>
      <c r="F79">
        <v>118</v>
      </c>
      <c r="G79">
        <f t="shared" si="5"/>
        <v>118</v>
      </c>
      <c r="H79" s="5">
        <f>C79*GiaDinh!$C$7</f>
        <v>439.38173999999992</v>
      </c>
    </row>
    <row r="80" spans="1:8" x14ac:dyDescent="0.35">
      <c r="A80" t="s">
        <v>10</v>
      </c>
      <c r="B80">
        <v>18</v>
      </c>
      <c r="C80" s="5">
        <v>145.97399999999999</v>
      </c>
      <c r="D80">
        <f>ROUNDUP(C80/GiaDinh!$C$5-0.0005,0)</f>
        <v>25</v>
      </c>
      <c r="E80">
        <f t="shared" si="4"/>
        <v>24</v>
      </c>
      <c r="F80">
        <v>118</v>
      </c>
      <c r="G80">
        <f t="shared" si="5"/>
        <v>118</v>
      </c>
      <c r="H80" s="5">
        <f>C80*GiaDinh!$C$7</f>
        <v>439.38173999999992</v>
      </c>
    </row>
    <row r="81" spans="1:8" x14ac:dyDescent="0.35">
      <c r="A81" t="s">
        <v>10</v>
      </c>
      <c r="B81">
        <v>19</v>
      </c>
      <c r="C81" s="5">
        <v>36.508000000000003</v>
      </c>
      <c r="D81">
        <f>ROUNDUP(C81/GiaDinh!$C$5-0.0005,0)</f>
        <v>7</v>
      </c>
      <c r="E81">
        <f t="shared" si="4"/>
        <v>6</v>
      </c>
      <c r="F81">
        <v>30</v>
      </c>
      <c r="G81">
        <f t="shared" si="5"/>
        <v>30</v>
      </c>
      <c r="H81" s="5">
        <f>C81*GiaDinh!$C$7</f>
        <v>109.88908000000001</v>
      </c>
    </row>
    <row r="82" spans="1:8" x14ac:dyDescent="0.35">
      <c r="A82" t="s">
        <v>10</v>
      </c>
      <c r="B82">
        <v>20</v>
      </c>
      <c r="C82" s="5">
        <v>183.608</v>
      </c>
      <c r="D82">
        <f>ROUNDUP(C82/GiaDinh!$C$5-0.0005,0)</f>
        <v>31</v>
      </c>
      <c r="E82">
        <f t="shared" si="4"/>
        <v>30</v>
      </c>
      <c r="F82">
        <v>148</v>
      </c>
      <c r="G82">
        <f t="shared" si="5"/>
        <v>148</v>
      </c>
      <c r="H82" s="5">
        <f>C82*GiaDinh!$C$7</f>
        <v>552.66007999999999</v>
      </c>
    </row>
    <row r="83" spans="1:8" x14ac:dyDescent="0.35">
      <c r="A83" t="s">
        <v>10</v>
      </c>
      <c r="B83">
        <v>21</v>
      </c>
      <c r="C83" s="5">
        <v>183.608</v>
      </c>
      <c r="D83">
        <f>ROUNDUP(C83/GiaDinh!$C$5-0.0005,0)</f>
        <v>31</v>
      </c>
      <c r="E83">
        <f t="shared" si="4"/>
        <v>30</v>
      </c>
      <c r="F83">
        <v>148</v>
      </c>
      <c r="G83">
        <f t="shared" si="5"/>
        <v>148</v>
      </c>
      <c r="H83" s="5">
        <f>C83*GiaDinh!$C$7</f>
        <v>552.66007999999999</v>
      </c>
    </row>
    <row r="84" spans="1:8" x14ac:dyDescent="0.35">
      <c r="A84" t="s">
        <v>10</v>
      </c>
      <c r="B84">
        <v>22</v>
      </c>
      <c r="C84" s="5">
        <v>183.608</v>
      </c>
      <c r="D84">
        <f>ROUNDUP(C84/GiaDinh!$C$5-0.0005,0)</f>
        <v>31</v>
      </c>
      <c r="E84">
        <f t="shared" si="4"/>
        <v>30</v>
      </c>
      <c r="F84">
        <v>148</v>
      </c>
      <c r="G84">
        <f t="shared" si="5"/>
        <v>148</v>
      </c>
      <c r="H84" s="5">
        <f>C84*GiaDinh!$C$7</f>
        <v>552.66007999999999</v>
      </c>
    </row>
    <row r="85" spans="1:8" x14ac:dyDescent="0.35">
      <c r="A85" t="s">
        <v>10</v>
      </c>
      <c r="B85">
        <v>23</v>
      </c>
      <c r="C85" s="5">
        <v>183.608</v>
      </c>
      <c r="D85">
        <f>ROUNDUP(C85/GiaDinh!$C$5-0.0005,0)</f>
        <v>31</v>
      </c>
      <c r="E85">
        <f t="shared" si="4"/>
        <v>30</v>
      </c>
      <c r="F85">
        <v>148</v>
      </c>
      <c r="G85">
        <f t="shared" si="5"/>
        <v>148</v>
      </c>
      <c r="H85" s="5">
        <f>C85*GiaDinh!$C$7</f>
        <v>552.66007999999999</v>
      </c>
    </row>
    <row r="86" spans="1:8" x14ac:dyDescent="0.35">
      <c r="A86" t="s">
        <v>10</v>
      </c>
      <c r="B86">
        <v>24</v>
      </c>
      <c r="C86" s="5">
        <v>183.608</v>
      </c>
      <c r="D86">
        <f>ROUNDUP(C86/GiaDinh!$C$5-0.0005,0)</f>
        <v>31</v>
      </c>
      <c r="E86">
        <f t="shared" si="4"/>
        <v>30</v>
      </c>
      <c r="F86">
        <v>148</v>
      </c>
      <c r="G86">
        <f t="shared" si="5"/>
        <v>148</v>
      </c>
      <c r="H86" s="5">
        <f>C86*GiaDinh!$C$7</f>
        <v>552.66007999999999</v>
      </c>
    </row>
    <row r="87" spans="1:8" x14ac:dyDescent="0.35">
      <c r="A87" t="s">
        <v>10</v>
      </c>
      <c r="B87">
        <v>25</v>
      </c>
      <c r="C87" s="5">
        <v>183.608</v>
      </c>
      <c r="D87">
        <f>ROUNDUP(C87/GiaDinh!$C$5-0.0005,0)</f>
        <v>31</v>
      </c>
      <c r="E87">
        <f t="shared" si="4"/>
        <v>30</v>
      </c>
      <c r="F87">
        <v>148</v>
      </c>
      <c r="G87">
        <f t="shared" si="5"/>
        <v>148</v>
      </c>
      <c r="H87" s="5">
        <f>C87*GiaDinh!$C$7</f>
        <v>552.66007999999999</v>
      </c>
    </row>
    <row r="88" spans="1:8" x14ac:dyDescent="0.35">
      <c r="A88" t="s">
        <v>10</v>
      </c>
      <c r="B88">
        <v>26</v>
      </c>
      <c r="C88" s="5">
        <v>183.608</v>
      </c>
      <c r="D88">
        <f>ROUNDUP(C88/GiaDinh!$C$5-0.0005,0)</f>
        <v>31</v>
      </c>
      <c r="E88">
        <f t="shared" si="4"/>
        <v>30</v>
      </c>
      <c r="F88">
        <v>148</v>
      </c>
      <c r="G88">
        <f t="shared" si="5"/>
        <v>148</v>
      </c>
      <c r="H88" s="5">
        <f>C88*GiaDinh!$C$7</f>
        <v>552.66007999999999</v>
      </c>
    </row>
    <row r="89" spans="1:8" x14ac:dyDescent="0.35">
      <c r="A89" t="s">
        <v>10</v>
      </c>
      <c r="B89">
        <v>27</v>
      </c>
      <c r="C89" s="5">
        <v>183.608</v>
      </c>
      <c r="D89">
        <f>ROUNDUP(C89/GiaDinh!$C$5-0.0005,0)</f>
        <v>31</v>
      </c>
      <c r="E89">
        <f t="shared" si="4"/>
        <v>30</v>
      </c>
      <c r="F89">
        <v>148</v>
      </c>
      <c r="G89">
        <f t="shared" si="5"/>
        <v>148</v>
      </c>
      <c r="H89" s="5">
        <f>C89*GiaDinh!$C$7</f>
        <v>552.66007999999999</v>
      </c>
    </row>
    <row r="90" spans="1:8" x14ac:dyDescent="0.35">
      <c r="A90" t="s">
        <v>11</v>
      </c>
      <c r="B90">
        <v>1</v>
      </c>
      <c r="C90" s="5">
        <v>110.80800000000001</v>
      </c>
      <c r="D90">
        <f>ROUNDUP(C90/GiaDinh!$C$5-0.0005,0)</f>
        <v>19</v>
      </c>
      <c r="E90">
        <f t="shared" si="4"/>
        <v>18</v>
      </c>
      <c r="F90">
        <v>90</v>
      </c>
      <c r="G90">
        <f t="shared" si="5"/>
        <v>90</v>
      </c>
      <c r="H90" s="5">
        <f>C90*GiaDinh!$C$7</f>
        <v>333.53208000000001</v>
      </c>
    </row>
    <row r="91" spans="1:8" x14ac:dyDescent="0.35">
      <c r="A91" t="s">
        <v>11</v>
      </c>
      <c r="B91">
        <v>2</v>
      </c>
      <c r="C91" s="5">
        <v>110.80800000000001</v>
      </c>
      <c r="D91">
        <f>ROUNDUP(C91/GiaDinh!$C$5-0.0005,0)</f>
        <v>19</v>
      </c>
      <c r="E91">
        <f t="shared" si="4"/>
        <v>18</v>
      </c>
      <c r="F91">
        <v>90</v>
      </c>
      <c r="G91">
        <f t="shared" si="5"/>
        <v>90</v>
      </c>
      <c r="H91" s="5">
        <f>C91*GiaDinh!$C$7</f>
        <v>333.53208000000001</v>
      </c>
    </row>
    <row r="92" spans="1:8" x14ac:dyDescent="0.35">
      <c r="A92" t="s">
        <v>11</v>
      </c>
      <c r="B92">
        <v>3</v>
      </c>
      <c r="C92" s="5">
        <v>110.80800000000001</v>
      </c>
      <c r="D92">
        <f>ROUNDUP(C92/GiaDinh!$C$5-0.0005,0)</f>
        <v>19</v>
      </c>
      <c r="E92">
        <f t="shared" si="4"/>
        <v>18</v>
      </c>
      <c r="F92">
        <v>90</v>
      </c>
      <c r="G92">
        <f t="shared" si="5"/>
        <v>90</v>
      </c>
      <c r="H92" s="5">
        <f>C92*GiaDinh!$C$7</f>
        <v>333.53208000000001</v>
      </c>
    </row>
    <row r="93" spans="1:8" x14ac:dyDescent="0.35">
      <c r="A93" t="s">
        <v>11</v>
      </c>
      <c r="B93">
        <v>4</v>
      </c>
      <c r="C93" s="5">
        <v>110.80800000000001</v>
      </c>
      <c r="D93">
        <f>ROUNDUP(C93/GiaDinh!$C$5-0.0005,0)</f>
        <v>19</v>
      </c>
      <c r="E93">
        <f t="shared" si="4"/>
        <v>18</v>
      </c>
      <c r="F93">
        <v>90</v>
      </c>
      <c r="G93">
        <f t="shared" si="5"/>
        <v>90</v>
      </c>
      <c r="H93" s="5">
        <f>C93*GiaDinh!$C$7</f>
        <v>333.53208000000001</v>
      </c>
    </row>
    <row r="94" spans="1:8" x14ac:dyDescent="0.35">
      <c r="A94" t="s">
        <v>11</v>
      </c>
      <c r="B94">
        <v>5</v>
      </c>
      <c r="C94" s="5">
        <v>110.80800000000001</v>
      </c>
      <c r="D94">
        <f>ROUNDUP(C94/GiaDinh!$C$5-0.0005,0)</f>
        <v>19</v>
      </c>
      <c r="E94">
        <f t="shared" si="4"/>
        <v>18</v>
      </c>
      <c r="F94">
        <v>90</v>
      </c>
      <c r="G94">
        <f t="shared" si="5"/>
        <v>90</v>
      </c>
      <c r="H94" s="5">
        <f>C94*GiaDinh!$C$7</f>
        <v>333.53208000000001</v>
      </c>
    </row>
    <row r="95" spans="1:8" x14ac:dyDescent="0.35">
      <c r="A95" t="s">
        <v>11</v>
      </c>
      <c r="B95">
        <v>6</v>
      </c>
      <c r="C95" s="5">
        <v>110.80800000000001</v>
      </c>
      <c r="D95">
        <f>ROUNDUP(C95/GiaDinh!$C$5-0.0005,0)</f>
        <v>19</v>
      </c>
      <c r="E95">
        <f t="shared" si="4"/>
        <v>18</v>
      </c>
      <c r="F95">
        <v>90</v>
      </c>
      <c r="G95">
        <f t="shared" si="5"/>
        <v>90</v>
      </c>
      <c r="H95" s="5">
        <f>C95*GiaDinh!$C$7</f>
        <v>333.53208000000001</v>
      </c>
    </row>
    <row r="96" spans="1:8" x14ac:dyDescent="0.35">
      <c r="A96" t="s">
        <v>11</v>
      </c>
      <c r="B96">
        <v>7</v>
      </c>
      <c r="C96" s="5">
        <v>110.80800000000001</v>
      </c>
      <c r="D96">
        <f>ROUNDUP(C96/GiaDinh!$C$5-0.0005,0)</f>
        <v>19</v>
      </c>
      <c r="E96">
        <f t="shared" si="4"/>
        <v>18</v>
      </c>
      <c r="F96">
        <v>90</v>
      </c>
      <c r="G96">
        <f t="shared" si="5"/>
        <v>90</v>
      </c>
      <c r="H96" s="5">
        <f>C96*GiaDinh!$C$7</f>
        <v>333.53208000000001</v>
      </c>
    </row>
    <row r="97" spans="1:8" x14ac:dyDescent="0.35">
      <c r="A97" t="s">
        <v>11</v>
      </c>
      <c r="B97">
        <v>8</v>
      </c>
      <c r="C97" s="5">
        <v>110.80800000000001</v>
      </c>
      <c r="D97">
        <f>ROUNDUP(C97/GiaDinh!$C$5-0.0005,0)</f>
        <v>19</v>
      </c>
      <c r="E97">
        <f t="shared" si="4"/>
        <v>18</v>
      </c>
      <c r="F97">
        <v>89</v>
      </c>
      <c r="G97">
        <f t="shared" si="5"/>
        <v>89</v>
      </c>
      <c r="H97" s="5">
        <f>C97*GiaDinh!$C$7</f>
        <v>333.53208000000001</v>
      </c>
    </row>
    <row r="98" spans="1:8" x14ac:dyDescent="0.35">
      <c r="A98" t="s">
        <v>11</v>
      </c>
      <c r="B98">
        <v>9</v>
      </c>
      <c r="C98" s="5">
        <v>75.671000000000006</v>
      </c>
      <c r="D98">
        <f>ROUNDUP(C98/GiaDinh!$C$5-0.0005,0)</f>
        <v>13</v>
      </c>
      <c r="E98">
        <f t="shared" si="4"/>
        <v>12</v>
      </c>
      <c r="F98">
        <v>60</v>
      </c>
      <c r="G98">
        <f t="shared" si="5"/>
        <v>60</v>
      </c>
      <c r="H98" s="5">
        <f>C98*GiaDinh!$C$7</f>
        <v>227.76971</v>
      </c>
    </row>
    <row r="99" spans="1:8" x14ac:dyDescent="0.35">
      <c r="A99" t="s">
        <v>11</v>
      </c>
      <c r="B99">
        <v>10</v>
      </c>
      <c r="C99" s="5">
        <v>75.671000000000006</v>
      </c>
      <c r="D99">
        <f>ROUNDUP(C99/GiaDinh!$C$5-0.0005,0)</f>
        <v>13</v>
      </c>
      <c r="E99">
        <f t="shared" si="4"/>
        <v>12</v>
      </c>
      <c r="F99">
        <v>60</v>
      </c>
      <c r="G99">
        <f t="shared" si="5"/>
        <v>60</v>
      </c>
      <c r="H99" s="5">
        <f>C99*GiaDinh!$C$7</f>
        <v>227.76971</v>
      </c>
    </row>
    <row r="100" spans="1:8" x14ac:dyDescent="0.35">
      <c r="A100" t="s">
        <v>11</v>
      </c>
      <c r="B100">
        <v>11</v>
      </c>
      <c r="C100" s="5">
        <v>75.671000000000006</v>
      </c>
      <c r="D100">
        <f>ROUNDUP(C100/GiaDinh!$C$5-0.0005,0)</f>
        <v>13</v>
      </c>
      <c r="E100">
        <f t="shared" ref="E100:E131" si="6">D100-1</f>
        <v>12</v>
      </c>
      <c r="F100">
        <v>60</v>
      </c>
      <c r="G100">
        <f t="shared" ref="G100:G131" si="7">F100</f>
        <v>60</v>
      </c>
      <c r="H100" s="5">
        <f>C100*GiaDinh!$C$7</f>
        <v>227.76971</v>
      </c>
    </row>
    <row r="101" spans="1:8" x14ac:dyDescent="0.35">
      <c r="A101" t="s">
        <v>11</v>
      </c>
      <c r="B101">
        <v>12</v>
      </c>
      <c r="C101" s="5">
        <v>75.671000000000006</v>
      </c>
      <c r="D101">
        <f>ROUNDUP(C101/GiaDinh!$C$5-0.0005,0)</f>
        <v>13</v>
      </c>
      <c r="E101">
        <f t="shared" si="6"/>
        <v>12</v>
      </c>
      <c r="F101">
        <v>60</v>
      </c>
      <c r="G101">
        <f t="shared" si="7"/>
        <v>60</v>
      </c>
      <c r="H101" s="5">
        <f>C101*GiaDinh!$C$7</f>
        <v>227.76971</v>
      </c>
    </row>
    <row r="102" spans="1:8" x14ac:dyDescent="0.35">
      <c r="A102" t="s">
        <v>11</v>
      </c>
      <c r="B102">
        <v>13</v>
      </c>
      <c r="C102" s="5">
        <v>75.671000000000006</v>
      </c>
      <c r="D102">
        <f>ROUNDUP(C102/GiaDinh!$C$5-0.0005,0)</f>
        <v>13</v>
      </c>
      <c r="E102">
        <f t="shared" si="6"/>
        <v>12</v>
      </c>
      <c r="F102">
        <v>60</v>
      </c>
      <c r="G102">
        <f t="shared" si="7"/>
        <v>60</v>
      </c>
      <c r="H102" s="5">
        <f>C102*GiaDinh!$C$7</f>
        <v>227.76971</v>
      </c>
    </row>
    <row r="103" spans="1:8" x14ac:dyDescent="0.35">
      <c r="A103" t="s">
        <v>11</v>
      </c>
      <c r="B103">
        <v>14</v>
      </c>
      <c r="C103" s="5">
        <v>75.671000000000006</v>
      </c>
      <c r="D103">
        <f>ROUNDUP(C103/GiaDinh!$C$5-0.0005,0)</f>
        <v>13</v>
      </c>
      <c r="E103">
        <f t="shared" si="6"/>
        <v>12</v>
      </c>
      <c r="F103">
        <v>60</v>
      </c>
      <c r="G103">
        <f t="shared" si="7"/>
        <v>60</v>
      </c>
      <c r="H103" s="5">
        <f>C103*GiaDinh!$C$7</f>
        <v>227.76971</v>
      </c>
    </row>
    <row r="104" spans="1:8" x14ac:dyDescent="0.35">
      <c r="A104" t="s">
        <v>11</v>
      </c>
      <c r="B104">
        <v>15</v>
      </c>
      <c r="C104" s="5">
        <v>75.671000000000006</v>
      </c>
      <c r="D104">
        <f>ROUNDUP(C104/GiaDinh!$C$5-0.0005,0)</f>
        <v>13</v>
      </c>
      <c r="E104">
        <f t="shared" si="6"/>
        <v>12</v>
      </c>
      <c r="F104">
        <v>60</v>
      </c>
      <c r="G104">
        <f t="shared" si="7"/>
        <v>60</v>
      </c>
      <c r="H104" s="5">
        <f>C104*GiaDinh!$C$7</f>
        <v>227.76971</v>
      </c>
    </row>
    <row r="105" spans="1:8" x14ac:dyDescent="0.35">
      <c r="A105" t="s">
        <v>11</v>
      </c>
      <c r="B105">
        <v>16</v>
      </c>
      <c r="C105" s="5">
        <v>75.671000000000006</v>
      </c>
      <c r="D105">
        <f>ROUNDUP(C105/GiaDinh!$C$5-0.0005,0)</f>
        <v>13</v>
      </c>
      <c r="E105">
        <f t="shared" si="6"/>
        <v>12</v>
      </c>
      <c r="F105">
        <v>60</v>
      </c>
      <c r="G105">
        <f t="shared" si="7"/>
        <v>60</v>
      </c>
      <c r="H105" s="5">
        <f>C105*GiaDinh!$C$7</f>
        <v>227.76971</v>
      </c>
    </row>
    <row r="106" spans="1:8" x14ac:dyDescent="0.35">
      <c r="A106" t="s">
        <v>11</v>
      </c>
      <c r="B106">
        <v>17</v>
      </c>
      <c r="C106" s="5">
        <v>75.671000000000006</v>
      </c>
      <c r="D106">
        <f>ROUNDUP(C106/GiaDinh!$C$5-0.0005,0)</f>
        <v>13</v>
      </c>
      <c r="E106">
        <f t="shared" si="6"/>
        <v>12</v>
      </c>
      <c r="F106">
        <v>60</v>
      </c>
      <c r="G106">
        <f t="shared" si="7"/>
        <v>60</v>
      </c>
      <c r="H106" s="5">
        <f>C106*GiaDinh!$C$7</f>
        <v>227.76971</v>
      </c>
    </row>
    <row r="107" spans="1:8" x14ac:dyDescent="0.35">
      <c r="A107" t="s">
        <v>11</v>
      </c>
      <c r="B107">
        <v>18</v>
      </c>
      <c r="C107" s="5">
        <v>75.671000000000006</v>
      </c>
      <c r="D107">
        <f>ROUNDUP(C107/GiaDinh!$C$5-0.0005,0)</f>
        <v>13</v>
      </c>
      <c r="E107">
        <f t="shared" si="6"/>
        <v>12</v>
      </c>
      <c r="F107">
        <v>60</v>
      </c>
      <c r="G107">
        <f t="shared" si="7"/>
        <v>60</v>
      </c>
      <c r="H107" s="5">
        <f>C107*GiaDinh!$C$7</f>
        <v>227.76971</v>
      </c>
    </row>
    <row r="108" spans="1:8" x14ac:dyDescent="0.35">
      <c r="A108" t="s">
        <v>11</v>
      </c>
      <c r="B108">
        <v>19</v>
      </c>
      <c r="C108" s="5">
        <v>75.671000000000006</v>
      </c>
      <c r="D108">
        <f>ROUNDUP(C108/GiaDinh!$C$5-0.0005,0)</f>
        <v>13</v>
      </c>
      <c r="E108">
        <f t="shared" si="6"/>
        <v>12</v>
      </c>
      <c r="F108">
        <v>60</v>
      </c>
      <c r="G108">
        <f t="shared" si="7"/>
        <v>60</v>
      </c>
      <c r="H108" s="5">
        <f>C108*GiaDinh!$C$7</f>
        <v>227.76971</v>
      </c>
    </row>
    <row r="109" spans="1:8" x14ac:dyDescent="0.35">
      <c r="A109" t="s">
        <v>11</v>
      </c>
      <c r="B109">
        <v>20</v>
      </c>
      <c r="C109" s="5">
        <v>75.671000000000006</v>
      </c>
      <c r="D109">
        <f>ROUNDUP(C109/GiaDinh!$C$5-0.0005,0)</f>
        <v>13</v>
      </c>
      <c r="E109">
        <f t="shared" si="6"/>
        <v>12</v>
      </c>
      <c r="F109">
        <v>60</v>
      </c>
      <c r="G109">
        <f t="shared" si="7"/>
        <v>60</v>
      </c>
      <c r="H109" s="5">
        <f>C109*GiaDinh!$C$7</f>
        <v>227.76971</v>
      </c>
    </row>
    <row r="110" spans="1:8" x14ac:dyDescent="0.35">
      <c r="A110" t="s">
        <v>12</v>
      </c>
      <c r="B110">
        <v>1</v>
      </c>
      <c r="C110" s="5">
        <v>94.7</v>
      </c>
      <c r="D110">
        <f>ROUNDUP(C110/GiaDinh!$C$5-0.0005,0)</f>
        <v>16</v>
      </c>
      <c r="E110">
        <f t="shared" si="6"/>
        <v>15</v>
      </c>
      <c r="F110">
        <v>78</v>
      </c>
      <c r="G110">
        <f t="shared" si="7"/>
        <v>78</v>
      </c>
      <c r="H110" s="5">
        <f>C110*GiaDinh!$C$7</f>
        <v>285.04699999999997</v>
      </c>
    </row>
    <row r="111" spans="1:8" x14ac:dyDescent="0.35">
      <c r="A111" t="s">
        <v>12</v>
      </c>
      <c r="B111">
        <v>2</v>
      </c>
      <c r="C111" s="5">
        <v>94.7</v>
      </c>
      <c r="D111">
        <f>ROUNDUP(C111/GiaDinh!$C$5-0.0005,0)</f>
        <v>16</v>
      </c>
      <c r="E111">
        <f t="shared" si="6"/>
        <v>15</v>
      </c>
      <c r="F111">
        <v>78</v>
      </c>
      <c r="G111">
        <f t="shared" si="7"/>
        <v>78</v>
      </c>
      <c r="H111" s="5">
        <f>C111*GiaDinh!$C$7</f>
        <v>285.04699999999997</v>
      </c>
    </row>
    <row r="112" spans="1:8" x14ac:dyDescent="0.35">
      <c r="A112" t="s">
        <v>12</v>
      </c>
      <c r="B112">
        <v>3</v>
      </c>
      <c r="C112" s="5">
        <v>94.7</v>
      </c>
      <c r="D112">
        <f>ROUNDUP(C112/GiaDinh!$C$5-0.0005,0)</f>
        <v>16</v>
      </c>
      <c r="E112">
        <f t="shared" si="6"/>
        <v>15</v>
      </c>
      <c r="F112">
        <v>78</v>
      </c>
      <c r="G112">
        <f t="shared" si="7"/>
        <v>78</v>
      </c>
      <c r="H112" s="5">
        <f>C112*GiaDinh!$C$7</f>
        <v>285.04699999999997</v>
      </c>
    </row>
    <row r="113" spans="1:8" x14ac:dyDescent="0.35">
      <c r="A113" t="s">
        <v>12</v>
      </c>
      <c r="B113">
        <v>4</v>
      </c>
      <c r="C113" s="5">
        <v>94.7</v>
      </c>
      <c r="D113">
        <f>ROUNDUP(C113/GiaDinh!$C$5-0.0005,0)</f>
        <v>16</v>
      </c>
      <c r="E113">
        <f t="shared" si="6"/>
        <v>15</v>
      </c>
      <c r="F113">
        <v>78</v>
      </c>
      <c r="G113">
        <f t="shared" si="7"/>
        <v>78</v>
      </c>
      <c r="H113" s="5">
        <f>C113*GiaDinh!$C$7</f>
        <v>285.04699999999997</v>
      </c>
    </row>
    <row r="114" spans="1:8" x14ac:dyDescent="0.35">
      <c r="A114" t="s">
        <v>12</v>
      </c>
      <c r="B114">
        <v>5</v>
      </c>
      <c r="C114" s="5">
        <v>94.7</v>
      </c>
      <c r="D114">
        <f>ROUNDUP(C114/GiaDinh!$C$5-0.0005,0)</f>
        <v>16</v>
      </c>
      <c r="E114">
        <f t="shared" si="6"/>
        <v>15</v>
      </c>
      <c r="F114">
        <v>78</v>
      </c>
      <c r="G114">
        <f t="shared" si="7"/>
        <v>78</v>
      </c>
      <c r="H114" s="5">
        <f>C114*GiaDinh!$C$7</f>
        <v>285.04699999999997</v>
      </c>
    </row>
    <row r="115" spans="1:8" x14ac:dyDescent="0.35">
      <c r="A115" t="s">
        <v>12</v>
      </c>
      <c r="B115">
        <v>6</v>
      </c>
      <c r="C115" s="5">
        <v>75.712999999999994</v>
      </c>
      <c r="D115">
        <f>ROUNDUP(C115/GiaDinh!$C$5-0.0005,0)</f>
        <v>13</v>
      </c>
      <c r="E115">
        <f t="shared" si="6"/>
        <v>12</v>
      </c>
      <c r="F115">
        <v>62</v>
      </c>
      <c r="G115">
        <f t="shared" si="7"/>
        <v>62</v>
      </c>
      <c r="H115" s="5">
        <f>C115*GiaDinh!$C$7</f>
        <v>227.89612999999997</v>
      </c>
    </row>
    <row r="116" spans="1:8" x14ac:dyDescent="0.35">
      <c r="A116" t="s">
        <v>12</v>
      </c>
      <c r="B116">
        <v>7</v>
      </c>
      <c r="C116" s="5">
        <v>75.712999999999994</v>
      </c>
      <c r="D116">
        <f>ROUNDUP(C116/GiaDinh!$C$5-0.0005,0)</f>
        <v>13</v>
      </c>
      <c r="E116">
        <f t="shared" si="6"/>
        <v>12</v>
      </c>
      <c r="F116">
        <v>62</v>
      </c>
      <c r="G116">
        <f t="shared" si="7"/>
        <v>62</v>
      </c>
      <c r="H116" s="5">
        <f>C116*GiaDinh!$C$7</f>
        <v>227.89612999999997</v>
      </c>
    </row>
    <row r="117" spans="1:8" x14ac:dyDescent="0.35">
      <c r="A117" t="s">
        <v>12</v>
      </c>
      <c r="B117">
        <v>8</v>
      </c>
      <c r="C117" s="5">
        <v>75.712999999999994</v>
      </c>
      <c r="D117">
        <f>ROUNDUP(C117/GiaDinh!$C$5-0.0005,0)</f>
        <v>13</v>
      </c>
      <c r="E117">
        <f t="shared" si="6"/>
        <v>12</v>
      </c>
      <c r="F117">
        <v>62</v>
      </c>
      <c r="G117">
        <f t="shared" si="7"/>
        <v>62</v>
      </c>
      <c r="H117" s="5">
        <f>C117*GiaDinh!$C$7</f>
        <v>227.89612999999997</v>
      </c>
    </row>
    <row r="118" spans="1:8" x14ac:dyDescent="0.35">
      <c r="A118" t="s">
        <v>12</v>
      </c>
      <c r="B118">
        <v>9</v>
      </c>
      <c r="C118" s="5">
        <v>75.712999999999994</v>
      </c>
      <c r="D118">
        <f>ROUNDUP(C118/GiaDinh!$C$5-0.0005,0)</f>
        <v>13</v>
      </c>
      <c r="E118">
        <f t="shared" si="6"/>
        <v>12</v>
      </c>
      <c r="F118">
        <v>62</v>
      </c>
      <c r="G118">
        <f t="shared" si="7"/>
        <v>62</v>
      </c>
      <c r="H118" s="5">
        <f>C118*GiaDinh!$C$7</f>
        <v>227.89612999999997</v>
      </c>
    </row>
    <row r="119" spans="1:8" x14ac:dyDescent="0.35">
      <c r="A119" t="s">
        <v>12</v>
      </c>
      <c r="B119">
        <v>10</v>
      </c>
      <c r="C119" s="5">
        <v>75.712999999999994</v>
      </c>
      <c r="D119">
        <f>ROUNDUP(C119/GiaDinh!$C$5-0.0005,0)</f>
        <v>13</v>
      </c>
      <c r="E119">
        <f t="shared" si="6"/>
        <v>12</v>
      </c>
      <c r="F119">
        <v>62</v>
      </c>
      <c r="G119">
        <f t="shared" si="7"/>
        <v>62</v>
      </c>
      <c r="H119" s="5">
        <f>C119*GiaDinh!$C$7</f>
        <v>227.89612999999997</v>
      </c>
    </row>
    <row r="120" spans="1:8" x14ac:dyDescent="0.35">
      <c r="A120" t="s">
        <v>12</v>
      </c>
      <c r="B120">
        <v>11</v>
      </c>
      <c r="C120" s="5">
        <v>75.712999999999994</v>
      </c>
      <c r="D120">
        <f>ROUNDUP(C120/GiaDinh!$C$5-0.0005,0)</f>
        <v>13</v>
      </c>
      <c r="E120">
        <f t="shared" si="6"/>
        <v>12</v>
      </c>
      <c r="F120">
        <v>62</v>
      </c>
      <c r="G120">
        <f t="shared" si="7"/>
        <v>62</v>
      </c>
      <c r="H120" s="5">
        <f>C120*GiaDinh!$C$7</f>
        <v>227.89612999999997</v>
      </c>
    </row>
    <row r="121" spans="1:8" x14ac:dyDescent="0.35">
      <c r="A121" t="s">
        <v>12</v>
      </c>
      <c r="B121">
        <v>12</v>
      </c>
      <c r="C121" s="5">
        <v>75.712999999999994</v>
      </c>
      <c r="D121">
        <f>ROUNDUP(C121/GiaDinh!$C$5-0.0005,0)</f>
        <v>13</v>
      </c>
      <c r="E121">
        <f t="shared" si="6"/>
        <v>12</v>
      </c>
      <c r="F121">
        <v>62</v>
      </c>
      <c r="G121">
        <f t="shared" si="7"/>
        <v>62</v>
      </c>
      <c r="H121" s="5">
        <f>C121*GiaDinh!$C$7</f>
        <v>227.89612999999997</v>
      </c>
    </row>
    <row r="122" spans="1:8" x14ac:dyDescent="0.35">
      <c r="A122" t="s">
        <v>12</v>
      </c>
      <c r="B122">
        <v>13</v>
      </c>
      <c r="C122" s="5">
        <v>75.712999999999994</v>
      </c>
      <c r="D122">
        <f>ROUNDUP(C122/GiaDinh!$C$5-0.0005,0)</f>
        <v>13</v>
      </c>
      <c r="E122">
        <f t="shared" si="6"/>
        <v>12</v>
      </c>
      <c r="F122">
        <v>62</v>
      </c>
      <c r="G122">
        <f t="shared" si="7"/>
        <v>62</v>
      </c>
      <c r="H122" s="5">
        <f>C122*GiaDinh!$C$7</f>
        <v>227.89612999999997</v>
      </c>
    </row>
    <row r="123" spans="1:8" x14ac:dyDescent="0.35">
      <c r="A123" t="s">
        <v>12</v>
      </c>
      <c r="B123">
        <v>14</v>
      </c>
      <c r="C123" s="5">
        <v>75.712999999999994</v>
      </c>
      <c r="D123">
        <f>ROUNDUP(C123/GiaDinh!$C$5-0.0005,0)</f>
        <v>13</v>
      </c>
      <c r="E123">
        <f t="shared" si="6"/>
        <v>12</v>
      </c>
      <c r="F123">
        <v>62</v>
      </c>
      <c r="G123">
        <f t="shared" si="7"/>
        <v>62</v>
      </c>
      <c r="H123" s="5">
        <f>C123*GiaDinh!$C$7</f>
        <v>227.89612999999997</v>
      </c>
    </row>
    <row r="124" spans="1:8" x14ac:dyDescent="0.35">
      <c r="A124" t="s">
        <v>12</v>
      </c>
      <c r="B124">
        <v>15</v>
      </c>
      <c r="C124" s="5">
        <v>75.712999999999994</v>
      </c>
      <c r="D124">
        <f>ROUNDUP(C124/GiaDinh!$C$5-0.0005,0)</f>
        <v>13</v>
      </c>
      <c r="E124">
        <f t="shared" si="6"/>
        <v>12</v>
      </c>
      <c r="F124">
        <v>62</v>
      </c>
      <c r="G124">
        <f t="shared" si="7"/>
        <v>62</v>
      </c>
      <c r="H124" s="5">
        <f>C124*GiaDinh!$C$7</f>
        <v>227.89612999999997</v>
      </c>
    </row>
    <row r="125" spans="1:8" x14ac:dyDescent="0.35">
      <c r="A125" t="s">
        <v>12</v>
      </c>
      <c r="B125">
        <v>16</v>
      </c>
      <c r="C125" s="5">
        <v>75.712999999999994</v>
      </c>
      <c r="D125">
        <f>ROUNDUP(C125/GiaDinh!$C$5-0.0005,0)</f>
        <v>13</v>
      </c>
      <c r="E125">
        <f t="shared" si="6"/>
        <v>12</v>
      </c>
      <c r="F125">
        <v>62</v>
      </c>
      <c r="G125">
        <f t="shared" si="7"/>
        <v>62</v>
      </c>
      <c r="H125" s="5">
        <f>C125*GiaDinh!$C$7</f>
        <v>227.89612999999997</v>
      </c>
    </row>
    <row r="126" spans="1:8" x14ac:dyDescent="0.35">
      <c r="A126" t="s">
        <v>12</v>
      </c>
      <c r="B126">
        <v>17</v>
      </c>
      <c r="C126" s="5">
        <v>75.712999999999994</v>
      </c>
      <c r="D126">
        <f>ROUNDUP(C126/GiaDinh!$C$5-0.0005,0)</f>
        <v>13</v>
      </c>
      <c r="E126">
        <f t="shared" si="6"/>
        <v>12</v>
      </c>
      <c r="F126">
        <v>62</v>
      </c>
      <c r="G126">
        <f t="shared" si="7"/>
        <v>62</v>
      </c>
      <c r="H126" s="5">
        <f>C126*GiaDinh!$C$7</f>
        <v>227.89612999999997</v>
      </c>
    </row>
    <row r="127" spans="1:8" x14ac:dyDescent="0.35">
      <c r="A127" t="s">
        <v>12</v>
      </c>
      <c r="B127">
        <v>18</v>
      </c>
      <c r="C127" s="5">
        <v>75.712999999999994</v>
      </c>
      <c r="D127">
        <f>ROUNDUP(C127/GiaDinh!$C$5-0.0005,0)</f>
        <v>13</v>
      </c>
      <c r="E127">
        <f t="shared" si="6"/>
        <v>12</v>
      </c>
      <c r="F127">
        <v>62</v>
      </c>
      <c r="G127">
        <f t="shared" si="7"/>
        <v>62</v>
      </c>
      <c r="H127" s="5">
        <f>C127*GiaDinh!$C$7</f>
        <v>227.89612999999997</v>
      </c>
    </row>
    <row r="128" spans="1:8" x14ac:dyDescent="0.35">
      <c r="A128" t="s">
        <v>12</v>
      </c>
      <c r="B128">
        <v>19</v>
      </c>
      <c r="C128" s="5">
        <v>75.712999999999994</v>
      </c>
      <c r="D128">
        <f>ROUNDUP(C128/GiaDinh!$C$5-0.0005,0)</f>
        <v>13</v>
      </c>
      <c r="E128">
        <f t="shared" si="6"/>
        <v>12</v>
      </c>
      <c r="F128">
        <v>62</v>
      </c>
      <c r="G128">
        <f t="shared" si="7"/>
        <v>62</v>
      </c>
      <c r="H128" s="5">
        <f>C128*GiaDinh!$C$7</f>
        <v>227.89612999999997</v>
      </c>
    </row>
    <row r="129" spans="1:8" x14ac:dyDescent="0.35">
      <c r="A129" t="s">
        <v>12</v>
      </c>
      <c r="B129">
        <v>20</v>
      </c>
      <c r="C129" s="5">
        <v>75.712999999999994</v>
      </c>
      <c r="D129">
        <f>ROUNDUP(C129/GiaDinh!$C$5-0.0005,0)</f>
        <v>13</v>
      </c>
      <c r="E129">
        <f t="shared" si="6"/>
        <v>12</v>
      </c>
      <c r="F129">
        <v>62</v>
      </c>
      <c r="G129">
        <f t="shared" si="7"/>
        <v>62</v>
      </c>
      <c r="H129" s="5">
        <f>C129*GiaDinh!$C$7</f>
        <v>227.89612999999997</v>
      </c>
    </row>
    <row r="130" spans="1:8" x14ac:dyDescent="0.35">
      <c r="A130" t="s">
        <v>12</v>
      </c>
      <c r="B130">
        <v>21</v>
      </c>
      <c r="C130" s="5">
        <v>75.712999999999994</v>
      </c>
      <c r="D130">
        <f>ROUNDUP(C130/GiaDinh!$C$5-0.0005,0)</f>
        <v>13</v>
      </c>
      <c r="E130">
        <f t="shared" si="6"/>
        <v>12</v>
      </c>
      <c r="F130">
        <v>62</v>
      </c>
      <c r="G130">
        <f t="shared" si="7"/>
        <v>62</v>
      </c>
      <c r="H130" s="5">
        <f>C130*GiaDinh!$C$7</f>
        <v>227.89612999999997</v>
      </c>
    </row>
    <row r="131" spans="1:8" x14ac:dyDescent="0.35">
      <c r="A131" t="s">
        <v>12</v>
      </c>
      <c r="B131">
        <v>22</v>
      </c>
      <c r="C131" s="5">
        <v>75.712999999999994</v>
      </c>
      <c r="D131">
        <f>ROUNDUP(C131/GiaDinh!$C$5-0.0005,0)</f>
        <v>13</v>
      </c>
      <c r="E131">
        <f t="shared" si="6"/>
        <v>12</v>
      </c>
      <c r="F131">
        <v>62</v>
      </c>
      <c r="G131">
        <f t="shared" si="7"/>
        <v>62</v>
      </c>
      <c r="H131" s="5">
        <f>C131*GiaDinh!$C$7</f>
        <v>227.89612999999997</v>
      </c>
    </row>
    <row r="132" spans="1:8" x14ac:dyDescent="0.35">
      <c r="A132" t="s">
        <v>12</v>
      </c>
      <c r="B132">
        <v>23</v>
      </c>
      <c r="C132" s="5">
        <v>75.712999999999994</v>
      </c>
      <c r="D132">
        <f>ROUNDUP(C132/GiaDinh!$C$5-0.0005,0)</f>
        <v>13</v>
      </c>
      <c r="E132">
        <f t="shared" ref="E132:E163" si="8">D132-1</f>
        <v>12</v>
      </c>
      <c r="F132">
        <v>62</v>
      </c>
      <c r="G132">
        <f t="shared" ref="G132:G163" si="9">F132</f>
        <v>62</v>
      </c>
      <c r="H132" s="5">
        <f>C132*GiaDinh!$C$7</f>
        <v>227.89612999999997</v>
      </c>
    </row>
    <row r="133" spans="1:8" x14ac:dyDescent="0.35">
      <c r="A133" t="s">
        <v>12</v>
      </c>
      <c r="B133">
        <v>24</v>
      </c>
      <c r="C133" s="5">
        <v>75.712999999999994</v>
      </c>
      <c r="D133">
        <f>ROUNDUP(C133/GiaDinh!$C$5-0.0005,0)</f>
        <v>13</v>
      </c>
      <c r="E133">
        <f t="shared" si="8"/>
        <v>12</v>
      </c>
      <c r="F133">
        <v>62</v>
      </c>
      <c r="G133">
        <f t="shared" si="9"/>
        <v>62</v>
      </c>
      <c r="H133" s="5">
        <f>C133*GiaDinh!$C$7</f>
        <v>227.89612999999997</v>
      </c>
    </row>
    <row r="134" spans="1:8" x14ac:dyDescent="0.35">
      <c r="A134" t="s">
        <v>12</v>
      </c>
      <c r="B134">
        <v>25</v>
      </c>
      <c r="C134" s="5">
        <v>75.712999999999994</v>
      </c>
      <c r="D134">
        <f>ROUNDUP(C134/GiaDinh!$C$5-0.0005,0)</f>
        <v>13</v>
      </c>
      <c r="E134">
        <f t="shared" si="8"/>
        <v>12</v>
      </c>
      <c r="F134">
        <v>62</v>
      </c>
      <c r="G134">
        <f t="shared" si="9"/>
        <v>62</v>
      </c>
      <c r="H134" s="5">
        <f>C134*GiaDinh!$C$7</f>
        <v>227.89612999999997</v>
      </c>
    </row>
    <row r="135" spans="1:8" x14ac:dyDescent="0.35">
      <c r="A135" t="s">
        <v>13</v>
      </c>
      <c r="B135">
        <v>1</v>
      </c>
      <c r="C135" s="5">
        <v>74.295000000000002</v>
      </c>
      <c r="D135">
        <f>ROUNDUP(C135/GiaDinh!$C$5-0.0005,0)</f>
        <v>13</v>
      </c>
      <c r="E135">
        <f t="shared" si="8"/>
        <v>12</v>
      </c>
      <c r="F135">
        <v>60</v>
      </c>
      <c r="G135">
        <f t="shared" si="9"/>
        <v>60</v>
      </c>
      <c r="H135" s="5">
        <f>C135*GiaDinh!$C$7</f>
        <v>223.62795</v>
      </c>
    </row>
    <row r="136" spans="1:8" x14ac:dyDescent="0.35">
      <c r="A136" t="s">
        <v>13</v>
      </c>
      <c r="B136">
        <v>2</v>
      </c>
      <c r="C136" s="5">
        <v>74.295000000000002</v>
      </c>
      <c r="D136">
        <f>ROUNDUP(C136/GiaDinh!$C$5-0.0005,0)</f>
        <v>13</v>
      </c>
      <c r="E136">
        <f t="shared" si="8"/>
        <v>12</v>
      </c>
      <c r="F136">
        <v>60</v>
      </c>
      <c r="G136">
        <f t="shared" si="9"/>
        <v>60</v>
      </c>
      <c r="H136" s="5">
        <f>C136*GiaDinh!$C$7</f>
        <v>223.62795</v>
      </c>
    </row>
    <row r="137" spans="1:8" x14ac:dyDescent="0.35">
      <c r="A137" t="s">
        <v>13</v>
      </c>
      <c r="B137">
        <v>3</v>
      </c>
      <c r="C137" s="5">
        <v>74.295000000000002</v>
      </c>
      <c r="D137">
        <f>ROUNDUP(C137/GiaDinh!$C$5-0.0005,0)</f>
        <v>13</v>
      </c>
      <c r="E137">
        <f t="shared" si="8"/>
        <v>12</v>
      </c>
      <c r="F137">
        <v>60</v>
      </c>
      <c r="G137">
        <f t="shared" si="9"/>
        <v>60</v>
      </c>
      <c r="H137" s="5">
        <f>C137*GiaDinh!$C$7</f>
        <v>223.62795</v>
      </c>
    </row>
    <row r="138" spans="1:8" x14ac:dyDescent="0.35">
      <c r="A138" t="s">
        <v>13</v>
      </c>
      <c r="B138">
        <v>4</v>
      </c>
      <c r="C138" s="5">
        <v>74.295000000000002</v>
      </c>
      <c r="D138">
        <f>ROUNDUP(C138/GiaDinh!$C$5-0.0005,0)</f>
        <v>13</v>
      </c>
      <c r="E138">
        <f t="shared" si="8"/>
        <v>12</v>
      </c>
      <c r="F138">
        <v>60</v>
      </c>
      <c r="G138">
        <f t="shared" si="9"/>
        <v>60</v>
      </c>
      <c r="H138" s="5">
        <f>C138*GiaDinh!$C$7</f>
        <v>223.62795</v>
      </c>
    </row>
    <row r="139" spans="1:8" x14ac:dyDescent="0.35">
      <c r="A139" t="s">
        <v>13</v>
      </c>
      <c r="B139">
        <v>5</v>
      </c>
      <c r="C139" s="5">
        <v>74.295000000000002</v>
      </c>
      <c r="D139">
        <f>ROUNDUP(C139/GiaDinh!$C$5-0.0005,0)</f>
        <v>13</v>
      </c>
      <c r="E139">
        <f t="shared" si="8"/>
        <v>12</v>
      </c>
      <c r="F139">
        <v>60</v>
      </c>
      <c r="G139">
        <f t="shared" si="9"/>
        <v>60</v>
      </c>
      <c r="H139" s="5">
        <f>C139*GiaDinh!$C$7</f>
        <v>223.62795</v>
      </c>
    </row>
    <row r="140" spans="1:8" x14ac:dyDescent="0.35">
      <c r="A140" t="s">
        <v>13</v>
      </c>
      <c r="B140">
        <v>6</v>
      </c>
      <c r="C140" s="5">
        <v>74.295000000000002</v>
      </c>
      <c r="D140">
        <f>ROUNDUP(C140/GiaDinh!$C$5-0.0005,0)</f>
        <v>13</v>
      </c>
      <c r="E140">
        <f t="shared" si="8"/>
        <v>12</v>
      </c>
      <c r="F140">
        <v>60</v>
      </c>
      <c r="G140">
        <f t="shared" si="9"/>
        <v>60</v>
      </c>
      <c r="H140" s="5">
        <f>C140*GiaDinh!$C$7</f>
        <v>223.62795</v>
      </c>
    </row>
    <row r="141" spans="1:8" x14ac:dyDescent="0.35">
      <c r="A141" t="s">
        <v>13</v>
      </c>
      <c r="B141">
        <v>7</v>
      </c>
      <c r="C141" s="5">
        <v>74.295000000000002</v>
      </c>
      <c r="D141">
        <f>ROUNDUP(C141/GiaDinh!$C$5-0.0005,0)</f>
        <v>13</v>
      </c>
      <c r="E141">
        <f t="shared" si="8"/>
        <v>12</v>
      </c>
      <c r="F141">
        <v>60</v>
      </c>
      <c r="G141">
        <f t="shared" si="9"/>
        <v>60</v>
      </c>
      <c r="H141" s="5">
        <f>C141*GiaDinh!$C$7</f>
        <v>223.62795</v>
      </c>
    </row>
    <row r="142" spans="1:8" x14ac:dyDescent="0.35">
      <c r="A142" t="s">
        <v>13</v>
      </c>
      <c r="B142">
        <v>8</v>
      </c>
      <c r="C142" s="5">
        <v>74.295000000000002</v>
      </c>
      <c r="D142">
        <f>ROUNDUP(C142/GiaDinh!$C$5-0.0005,0)</f>
        <v>13</v>
      </c>
      <c r="E142">
        <f t="shared" si="8"/>
        <v>12</v>
      </c>
      <c r="F142">
        <v>60</v>
      </c>
      <c r="G142">
        <f t="shared" si="9"/>
        <v>60</v>
      </c>
      <c r="H142" s="5">
        <f>C142*GiaDinh!$C$7</f>
        <v>223.62795</v>
      </c>
    </row>
    <row r="143" spans="1:8" x14ac:dyDescent="0.35">
      <c r="A143" t="s">
        <v>13</v>
      </c>
      <c r="B143">
        <v>9</v>
      </c>
      <c r="C143" s="5">
        <v>74.295000000000002</v>
      </c>
      <c r="D143">
        <f>ROUNDUP(C143/GiaDinh!$C$5-0.0005,0)</f>
        <v>13</v>
      </c>
      <c r="E143">
        <f t="shared" si="8"/>
        <v>12</v>
      </c>
      <c r="F143">
        <v>60</v>
      </c>
      <c r="G143">
        <f t="shared" si="9"/>
        <v>60</v>
      </c>
      <c r="H143" s="5">
        <f>C143*GiaDinh!$C$7</f>
        <v>223.62795</v>
      </c>
    </row>
    <row r="144" spans="1:8" x14ac:dyDescent="0.35">
      <c r="A144" t="s">
        <v>13</v>
      </c>
      <c r="B144">
        <v>10</v>
      </c>
      <c r="C144" s="5">
        <v>74.295000000000002</v>
      </c>
      <c r="D144">
        <f>ROUNDUP(C144/GiaDinh!$C$5-0.0005,0)</f>
        <v>13</v>
      </c>
      <c r="E144">
        <f t="shared" si="8"/>
        <v>12</v>
      </c>
      <c r="F144">
        <v>60</v>
      </c>
      <c r="G144">
        <f t="shared" si="9"/>
        <v>60</v>
      </c>
      <c r="H144" s="5">
        <f>C144*GiaDinh!$C$7</f>
        <v>223.62795</v>
      </c>
    </row>
    <row r="145" spans="1:8" x14ac:dyDescent="0.35">
      <c r="A145" t="s">
        <v>13</v>
      </c>
      <c r="B145">
        <v>11</v>
      </c>
      <c r="C145" s="5">
        <v>74.295000000000002</v>
      </c>
      <c r="D145">
        <f>ROUNDUP(C145/GiaDinh!$C$5-0.0005,0)</f>
        <v>13</v>
      </c>
      <c r="E145">
        <f t="shared" si="8"/>
        <v>12</v>
      </c>
      <c r="F145">
        <v>60</v>
      </c>
      <c r="G145">
        <f t="shared" si="9"/>
        <v>60</v>
      </c>
      <c r="H145" s="5">
        <f>C145*GiaDinh!$C$7</f>
        <v>223.62795</v>
      </c>
    </row>
    <row r="146" spans="1:8" x14ac:dyDescent="0.35">
      <c r="A146" t="s">
        <v>13</v>
      </c>
      <c r="B146">
        <v>12</v>
      </c>
      <c r="C146" s="5">
        <v>108.306</v>
      </c>
      <c r="D146">
        <f>ROUNDUP(C146/GiaDinh!$C$5-0.0005,0)</f>
        <v>19</v>
      </c>
      <c r="E146">
        <f t="shared" si="8"/>
        <v>18</v>
      </c>
      <c r="F146">
        <v>88</v>
      </c>
      <c r="G146">
        <f t="shared" si="9"/>
        <v>88</v>
      </c>
      <c r="H146" s="5">
        <f>C146*GiaDinh!$C$7</f>
        <v>326.00106</v>
      </c>
    </row>
    <row r="147" spans="1:8" x14ac:dyDescent="0.35">
      <c r="A147" t="s">
        <v>13</v>
      </c>
      <c r="B147">
        <v>13</v>
      </c>
      <c r="C147" s="5">
        <v>108.306</v>
      </c>
      <c r="D147">
        <f>ROUNDUP(C147/GiaDinh!$C$5-0.0005,0)</f>
        <v>19</v>
      </c>
      <c r="E147">
        <f t="shared" si="8"/>
        <v>18</v>
      </c>
      <c r="F147">
        <v>88</v>
      </c>
      <c r="G147">
        <f t="shared" si="9"/>
        <v>88</v>
      </c>
      <c r="H147" s="5">
        <f>C147*GiaDinh!$C$7</f>
        <v>326.00106</v>
      </c>
    </row>
    <row r="148" spans="1:8" x14ac:dyDescent="0.35">
      <c r="A148" t="s">
        <v>13</v>
      </c>
      <c r="B148">
        <v>14</v>
      </c>
      <c r="C148" s="5">
        <v>108.306</v>
      </c>
      <c r="D148">
        <f>ROUNDUP(C148/GiaDinh!$C$5-0.0005,0)</f>
        <v>19</v>
      </c>
      <c r="E148">
        <f t="shared" si="8"/>
        <v>18</v>
      </c>
      <c r="F148">
        <v>88</v>
      </c>
      <c r="G148">
        <f t="shared" si="9"/>
        <v>88</v>
      </c>
      <c r="H148" s="5">
        <f>C148*GiaDinh!$C$7</f>
        <v>326.00106</v>
      </c>
    </row>
    <row r="149" spans="1:8" x14ac:dyDescent="0.35">
      <c r="A149" t="s">
        <v>13</v>
      </c>
      <c r="B149">
        <v>15</v>
      </c>
      <c r="C149" s="5">
        <v>108.306</v>
      </c>
      <c r="D149">
        <f>ROUNDUP(C149/GiaDinh!$C$5-0.0005,0)</f>
        <v>19</v>
      </c>
      <c r="E149">
        <f t="shared" si="8"/>
        <v>18</v>
      </c>
      <c r="F149">
        <v>88</v>
      </c>
      <c r="G149">
        <f t="shared" si="9"/>
        <v>88</v>
      </c>
      <c r="H149" s="5">
        <f>C149*GiaDinh!$C$7</f>
        <v>326.00106</v>
      </c>
    </row>
    <row r="150" spans="1:8" x14ac:dyDescent="0.35">
      <c r="A150" t="s">
        <v>13</v>
      </c>
      <c r="B150">
        <v>16</v>
      </c>
      <c r="C150" s="5">
        <v>108.306</v>
      </c>
      <c r="D150">
        <f>ROUNDUP(C150/GiaDinh!$C$5-0.0005,0)</f>
        <v>19</v>
      </c>
      <c r="E150">
        <f t="shared" si="8"/>
        <v>18</v>
      </c>
      <c r="F150">
        <v>88</v>
      </c>
      <c r="G150">
        <f t="shared" si="9"/>
        <v>88</v>
      </c>
      <c r="H150" s="5">
        <f>C150*GiaDinh!$C$7</f>
        <v>326.00106</v>
      </c>
    </row>
    <row r="151" spans="1:8" x14ac:dyDescent="0.35">
      <c r="A151" t="s">
        <v>13</v>
      </c>
      <c r="B151">
        <v>17</v>
      </c>
      <c r="C151" s="5">
        <v>108.306</v>
      </c>
      <c r="D151">
        <f>ROUNDUP(C151/GiaDinh!$C$5-0.0005,0)</f>
        <v>19</v>
      </c>
      <c r="E151">
        <f t="shared" si="8"/>
        <v>18</v>
      </c>
      <c r="F151">
        <v>88</v>
      </c>
      <c r="G151">
        <f t="shared" si="9"/>
        <v>88</v>
      </c>
      <c r="H151" s="5">
        <f>C151*GiaDinh!$C$7</f>
        <v>326.00106</v>
      </c>
    </row>
    <row r="152" spans="1:8" x14ac:dyDescent="0.35">
      <c r="A152" t="s">
        <v>13</v>
      </c>
      <c r="B152">
        <v>18</v>
      </c>
      <c r="C152" s="5">
        <v>108.306</v>
      </c>
      <c r="D152">
        <f>ROUNDUP(C152/GiaDinh!$C$5-0.0005,0)</f>
        <v>19</v>
      </c>
      <c r="E152">
        <f t="shared" si="8"/>
        <v>18</v>
      </c>
      <c r="F152">
        <v>88</v>
      </c>
      <c r="G152">
        <f t="shared" si="9"/>
        <v>88</v>
      </c>
      <c r="H152" s="5">
        <f>C152*GiaDinh!$C$7</f>
        <v>326.00106</v>
      </c>
    </row>
    <row r="153" spans="1:8" x14ac:dyDescent="0.35">
      <c r="A153" t="s">
        <v>13</v>
      </c>
      <c r="B153">
        <v>19</v>
      </c>
      <c r="C153" s="5">
        <v>108.306</v>
      </c>
      <c r="D153">
        <f>ROUNDUP(C153/GiaDinh!$C$5-0.0005,0)</f>
        <v>19</v>
      </c>
      <c r="E153">
        <f t="shared" si="8"/>
        <v>18</v>
      </c>
      <c r="F153">
        <v>88</v>
      </c>
      <c r="G153">
        <f t="shared" si="9"/>
        <v>88</v>
      </c>
      <c r="H153" s="5">
        <f>C153*GiaDinh!$C$7</f>
        <v>326.00106</v>
      </c>
    </row>
    <row r="154" spans="1:8" x14ac:dyDescent="0.35">
      <c r="A154" t="s">
        <v>13</v>
      </c>
      <c r="B154">
        <v>20</v>
      </c>
      <c r="C154" s="5">
        <v>108.306</v>
      </c>
      <c r="D154">
        <f>ROUNDUP(C154/GiaDinh!$C$5-0.0005,0)</f>
        <v>19</v>
      </c>
      <c r="E154">
        <f t="shared" si="8"/>
        <v>18</v>
      </c>
      <c r="F154">
        <v>88</v>
      </c>
      <c r="G154">
        <f t="shared" si="9"/>
        <v>88</v>
      </c>
      <c r="H154" s="5">
        <f>C154*GiaDinh!$C$7</f>
        <v>326.00106</v>
      </c>
    </row>
    <row r="155" spans="1:8" x14ac:dyDescent="0.35">
      <c r="A155" t="s">
        <v>13</v>
      </c>
      <c r="B155">
        <v>21</v>
      </c>
      <c r="C155" s="5">
        <v>108.306</v>
      </c>
      <c r="D155">
        <f>ROUNDUP(C155/GiaDinh!$C$5-0.0005,0)</f>
        <v>19</v>
      </c>
      <c r="E155">
        <f t="shared" si="8"/>
        <v>18</v>
      </c>
      <c r="F155">
        <v>88</v>
      </c>
      <c r="G155">
        <f t="shared" si="9"/>
        <v>88</v>
      </c>
      <c r="H155" s="5">
        <f>C155*GiaDinh!$C$7</f>
        <v>326.00106</v>
      </c>
    </row>
    <row r="156" spans="1:8" x14ac:dyDescent="0.35">
      <c r="A156" t="s">
        <v>13</v>
      </c>
      <c r="B156">
        <v>22</v>
      </c>
      <c r="C156" s="5">
        <v>36.5</v>
      </c>
      <c r="D156">
        <f>ROUNDUP(C156/GiaDinh!$C$5-0.0005,0)</f>
        <v>7</v>
      </c>
      <c r="E156">
        <f t="shared" si="8"/>
        <v>6</v>
      </c>
      <c r="F156">
        <v>30</v>
      </c>
      <c r="G156">
        <f t="shared" si="9"/>
        <v>30</v>
      </c>
      <c r="H156" s="5">
        <f>C156*GiaDinh!$C$7</f>
        <v>109.86499999999999</v>
      </c>
    </row>
    <row r="157" spans="1:8" x14ac:dyDescent="0.35">
      <c r="A157" t="s">
        <v>13</v>
      </c>
      <c r="B157">
        <v>23</v>
      </c>
      <c r="C157" s="5">
        <v>74.295000000000002</v>
      </c>
      <c r="D157">
        <f>ROUNDUP(C157/GiaDinh!$C$5-0.0005,0)</f>
        <v>13</v>
      </c>
      <c r="E157">
        <f t="shared" si="8"/>
        <v>12</v>
      </c>
      <c r="F157">
        <v>60</v>
      </c>
      <c r="G157">
        <f t="shared" si="9"/>
        <v>60</v>
      </c>
      <c r="H157" s="5">
        <f>C157*GiaDinh!$C$7</f>
        <v>223.62795</v>
      </c>
    </row>
    <row r="158" spans="1:8" x14ac:dyDescent="0.35">
      <c r="A158" t="s">
        <v>13</v>
      </c>
      <c r="B158">
        <v>24</v>
      </c>
      <c r="C158" s="5">
        <v>74.295000000000002</v>
      </c>
      <c r="D158">
        <f>ROUNDUP(C158/GiaDinh!$C$5-0.0005,0)</f>
        <v>13</v>
      </c>
      <c r="E158">
        <f t="shared" si="8"/>
        <v>12</v>
      </c>
      <c r="F158">
        <v>60</v>
      </c>
      <c r="G158">
        <f t="shared" si="9"/>
        <v>60</v>
      </c>
      <c r="H158" s="5">
        <f>C158*GiaDinh!$C$7</f>
        <v>223.62795</v>
      </c>
    </row>
    <row r="159" spans="1:8" x14ac:dyDescent="0.35">
      <c r="A159" t="s">
        <v>13</v>
      </c>
      <c r="B159">
        <v>25</v>
      </c>
      <c r="C159" s="5">
        <v>74.295000000000002</v>
      </c>
      <c r="D159">
        <f>ROUNDUP(C159/GiaDinh!$C$5-0.0005,0)</f>
        <v>13</v>
      </c>
      <c r="E159">
        <f t="shared" si="8"/>
        <v>12</v>
      </c>
      <c r="F159">
        <v>60</v>
      </c>
      <c r="G159">
        <f t="shared" si="9"/>
        <v>60</v>
      </c>
      <c r="H159" s="5">
        <f>C159*GiaDinh!$C$7</f>
        <v>223.62795</v>
      </c>
    </row>
    <row r="160" spans="1:8" x14ac:dyDescent="0.35">
      <c r="A160" t="s">
        <v>13</v>
      </c>
      <c r="B160">
        <v>26</v>
      </c>
      <c r="C160" s="5">
        <v>74.295000000000002</v>
      </c>
      <c r="D160">
        <f>ROUNDUP(C160/GiaDinh!$C$5-0.0005,0)</f>
        <v>13</v>
      </c>
      <c r="E160">
        <f t="shared" si="8"/>
        <v>12</v>
      </c>
      <c r="F160">
        <v>60</v>
      </c>
      <c r="G160">
        <f t="shared" si="9"/>
        <v>60</v>
      </c>
      <c r="H160" s="5">
        <f>C160*GiaDinh!$C$7</f>
        <v>223.62795</v>
      </c>
    </row>
    <row r="161" spans="1:8" x14ac:dyDescent="0.35">
      <c r="A161" t="s">
        <v>13</v>
      </c>
      <c r="B161">
        <v>27</v>
      </c>
      <c r="C161" s="5">
        <v>74.295000000000002</v>
      </c>
      <c r="D161">
        <f>ROUNDUP(C161/GiaDinh!$C$5-0.0005,0)</f>
        <v>13</v>
      </c>
      <c r="E161">
        <f t="shared" si="8"/>
        <v>12</v>
      </c>
      <c r="F161">
        <v>60</v>
      </c>
      <c r="G161">
        <f t="shared" si="9"/>
        <v>60</v>
      </c>
      <c r="H161" s="5">
        <f>C161*GiaDinh!$C$7</f>
        <v>223.62795</v>
      </c>
    </row>
    <row r="162" spans="1:8" x14ac:dyDescent="0.35">
      <c r="A162" t="s">
        <v>13</v>
      </c>
      <c r="B162">
        <v>28</v>
      </c>
      <c r="C162" s="5">
        <v>74.295000000000002</v>
      </c>
      <c r="D162">
        <f>ROUNDUP(C162/GiaDinh!$C$5-0.0005,0)</f>
        <v>13</v>
      </c>
      <c r="E162">
        <f t="shared" si="8"/>
        <v>12</v>
      </c>
      <c r="F162">
        <v>60</v>
      </c>
      <c r="G162">
        <f t="shared" si="9"/>
        <v>60</v>
      </c>
      <c r="H162" s="5">
        <f>C162*GiaDinh!$C$7</f>
        <v>223.62795</v>
      </c>
    </row>
    <row r="163" spans="1:8" x14ac:dyDescent="0.35">
      <c r="A163" t="s">
        <v>13</v>
      </c>
      <c r="B163">
        <v>29</v>
      </c>
      <c r="C163" s="5">
        <v>74.295000000000002</v>
      </c>
      <c r="D163">
        <f>ROUNDUP(C163/GiaDinh!$C$5-0.0005,0)</f>
        <v>13</v>
      </c>
      <c r="E163">
        <f t="shared" si="8"/>
        <v>12</v>
      </c>
      <c r="F163">
        <v>60</v>
      </c>
      <c r="G163">
        <f t="shared" si="9"/>
        <v>60</v>
      </c>
      <c r="H163" s="5">
        <f>C163*GiaDinh!$C$7</f>
        <v>223.62795</v>
      </c>
    </row>
    <row r="164" spans="1:8" x14ac:dyDescent="0.35">
      <c r="A164" t="s">
        <v>13</v>
      </c>
      <c r="B164">
        <v>30</v>
      </c>
      <c r="C164" s="5">
        <v>74.295000000000002</v>
      </c>
      <c r="D164">
        <f>ROUNDUP(C164/GiaDinh!$C$5-0.0005,0)</f>
        <v>13</v>
      </c>
      <c r="E164">
        <f t="shared" ref="E164:E195" si="10">D164-1</f>
        <v>12</v>
      </c>
      <c r="F164">
        <v>60</v>
      </c>
      <c r="G164">
        <f t="shared" ref="G164:G195" si="11">F164</f>
        <v>60</v>
      </c>
      <c r="H164" s="5">
        <f>C164*GiaDinh!$C$7</f>
        <v>223.62795</v>
      </c>
    </row>
    <row r="165" spans="1:8" x14ac:dyDescent="0.35">
      <c r="A165" t="s">
        <v>13</v>
      </c>
      <c r="B165">
        <v>31</v>
      </c>
      <c r="C165" s="5">
        <v>74.295000000000002</v>
      </c>
      <c r="D165">
        <f>ROUNDUP(C165/GiaDinh!$C$5-0.0005,0)</f>
        <v>13</v>
      </c>
      <c r="E165">
        <f t="shared" si="10"/>
        <v>12</v>
      </c>
      <c r="F165">
        <v>60</v>
      </c>
      <c r="G165">
        <f t="shared" si="11"/>
        <v>60</v>
      </c>
      <c r="H165" s="5">
        <f>C165*GiaDinh!$C$7</f>
        <v>223.62795</v>
      </c>
    </row>
    <row r="166" spans="1:8" x14ac:dyDescent="0.35">
      <c r="A166" t="s">
        <v>13</v>
      </c>
      <c r="B166">
        <v>32</v>
      </c>
      <c r="C166" s="5">
        <v>74.295000000000002</v>
      </c>
      <c r="D166">
        <f>ROUNDUP(C166/GiaDinh!$C$5-0.0005,0)</f>
        <v>13</v>
      </c>
      <c r="E166">
        <f t="shared" si="10"/>
        <v>12</v>
      </c>
      <c r="F166">
        <v>60</v>
      </c>
      <c r="G166">
        <f t="shared" si="11"/>
        <v>60</v>
      </c>
      <c r="H166" s="5">
        <f>C166*GiaDinh!$C$7</f>
        <v>223.62795</v>
      </c>
    </row>
    <row r="167" spans="1:8" x14ac:dyDescent="0.35">
      <c r="A167" t="s">
        <v>13</v>
      </c>
      <c r="B167">
        <v>33</v>
      </c>
      <c r="C167" s="5">
        <v>74.295000000000002</v>
      </c>
      <c r="D167">
        <f>ROUNDUP(C167/GiaDinh!$C$5-0.0005,0)</f>
        <v>13</v>
      </c>
      <c r="E167">
        <f t="shared" si="10"/>
        <v>12</v>
      </c>
      <c r="F167">
        <v>60</v>
      </c>
      <c r="G167">
        <f t="shared" si="11"/>
        <v>60</v>
      </c>
      <c r="H167" s="5">
        <f>C167*GiaDinh!$C$7</f>
        <v>223.62795</v>
      </c>
    </row>
    <row r="168" spans="1:8" x14ac:dyDescent="0.35">
      <c r="A168" t="s">
        <v>14</v>
      </c>
      <c r="B168">
        <v>1</v>
      </c>
      <c r="C168" s="5">
        <v>38.015000000000001</v>
      </c>
      <c r="D168">
        <f>ROUNDUP(C168/GiaDinh!$C$5-0.0005,0)</f>
        <v>7</v>
      </c>
      <c r="E168">
        <f t="shared" si="10"/>
        <v>6</v>
      </c>
      <c r="F168">
        <v>32</v>
      </c>
      <c r="G168">
        <f t="shared" si="11"/>
        <v>32</v>
      </c>
      <c r="H168" s="5">
        <f>C168*GiaDinh!$C$7</f>
        <v>114.42514999999999</v>
      </c>
    </row>
    <row r="169" spans="1:8" x14ac:dyDescent="0.35">
      <c r="A169" t="s">
        <v>14</v>
      </c>
      <c r="B169">
        <v>2</v>
      </c>
      <c r="C169" s="5">
        <v>38.015000000000001</v>
      </c>
      <c r="D169">
        <f>ROUNDUP(C169/GiaDinh!$C$5-0.0005,0)</f>
        <v>7</v>
      </c>
      <c r="E169">
        <f t="shared" si="10"/>
        <v>6</v>
      </c>
      <c r="F169">
        <v>32</v>
      </c>
      <c r="G169">
        <f t="shared" si="11"/>
        <v>32</v>
      </c>
      <c r="H169" s="5">
        <f>C169*GiaDinh!$C$7</f>
        <v>114.42514999999999</v>
      </c>
    </row>
    <row r="170" spans="1:8" x14ac:dyDescent="0.35">
      <c r="A170" t="s">
        <v>14</v>
      </c>
      <c r="B170">
        <v>3</v>
      </c>
      <c r="C170" s="5">
        <v>38.015000000000001</v>
      </c>
      <c r="D170">
        <f>ROUNDUP(C170/GiaDinh!$C$5-0.0005,0)</f>
        <v>7</v>
      </c>
      <c r="E170">
        <f t="shared" si="10"/>
        <v>6</v>
      </c>
      <c r="F170">
        <v>32</v>
      </c>
      <c r="G170">
        <f t="shared" si="11"/>
        <v>32</v>
      </c>
      <c r="H170" s="5">
        <f>C170*GiaDinh!$C$7</f>
        <v>114.42514999999999</v>
      </c>
    </row>
    <row r="171" spans="1:8" x14ac:dyDescent="0.35">
      <c r="A171" t="s">
        <v>14</v>
      </c>
      <c r="B171">
        <v>4</v>
      </c>
      <c r="C171" s="5">
        <v>38.015000000000001</v>
      </c>
      <c r="D171">
        <f>ROUNDUP(C171/GiaDinh!$C$5-0.0005,0)</f>
        <v>7</v>
      </c>
      <c r="E171">
        <f t="shared" si="10"/>
        <v>6</v>
      </c>
      <c r="F171">
        <v>32</v>
      </c>
      <c r="G171">
        <f t="shared" si="11"/>
        <v>32</v>
      </c>
      <c r="H171" s="5">
        <f>C171*GiaDinh!$C$7</f>
        <v>114.42514999999999</v>
      </c>
    </row>
    <row r="172" spans="1:8" x14ac:dyDescent="0.35">
      <c r="A172" t="s">
        <v>14</v>
      </c>
      <c r="B172">
        <v>5</v>
      </c>
      <c r="C172" s="5">
        <v>38.015000000000001</v>
      </c>
      <c r="D172">
        <f>ROUNDUP(C172/GiaDinh!$C$5-0.0005,0)</f>
        <v>7</v>
      </c>
      <c r="E172">
        <f t="shared" si="10"/>
        <v>6</v>
      </c>
      <c r="F172">
        <v>32</v>
      </c>
      <c r="G172">
        <f t="shared" si="11"/>
        <v>32</v>
      </c>
      <c r="H172" s="5">
        <f>C172*GiaDinh!$C$7</f>
        <v>114.42514999999999</v>
      </c>
    </row>
    <row r="173" spans="1:8" x14ac:dyDescent="0.35">
      <c r="A173" t="s">
        <v>14</v>
      </c>
      <c r="B173">
        <v>6</v>
      </c>
      <c r="C173" s="5">
        <v>38.015000000000001</v>
      </c>
      <c r="D173">
        <f>ROUNDUP(C173/GiaDinh!$C$5-0.0005,0)</f>
        <v>7</v>
      </c>
      <c r="E173">
        <f t="shared" si="10"/>
        <v>6</v>
      </c>
      <c r="F173">
        <v>32</v>
      </c>
      <c r="G173">
        <f t="shared" si="11"/>
        <v>32</v>
      </c>
      <c r="H173" s="5">
        <f>C173*GiaDinh!$C$7</f>
        <v>114.42514999999999</v>
      </c>
    </row>
    <row r="174" spans="1:8" x14ac:dyDescent="0.35">
      <c r="A174" t="s">
        <v>14</v>
      </c>
      <c r="B174">
        <v>7</v>
      </c>
      <c r="C174" s="5">
        <v>38.015000000000001</v>
      </c>
      <c r="D174">
        <f>ROUNDUP(C174/GiaDinh!$C$5-0.0005,0)</f>
        <v>7</v>
      </c>
      <c r="E174">
        <f t="shared" si="10"/>
        <v>6</v>
      </c>
      <c r="F174">
        <v>32</v>
      </c>
      <c r="G174">
        <f t="shared" si="11"/>
        <v>32</v>
      </c>
      <c r="H174" s="5">
        <f>C174*GiaDinh!$C$7</f>
        <v>114.42514999999999</v>
      </c>
    </row>
    <row r="175" spans="1:8" x14ac:dyDescent="0.35">
      <c r="A175" t="s">
        <v>14</v>
      </c>
      <c r="B175">
        <v>8</v>
      </c>
      <c r="C175" s="5">
        <v>38.015000000000001</v>
      </c>
      <c r="D175">
        <f>ROUNDUP(C175/GiaDinh!$C$5-0.0005,0)</f>
        <v>7</v>
      </c>
      <c r="E175">
        <f t="shared" si="10"/>
        <v>6</v>
      </c>
      <c r="F175">
        <v>32</v>
      </c>
      <c r="G175">
        <f t="shared" si="11"/>
        <v>32</v>
      </c>
      <c r="H175" s="5">
        <f>C175*GiaDinh!$C$7</f>
        <v>114.42514999999999</v>
      </c>
    </row>
    <row r="176" spans="1:8" x14ac:dyDescent="0.35">
      <c r="A176" t="s">
        <v>14</v>
      </c>
      <c r="B176">
        <v>9</v>
      </c>
      <c r="C176" s="5">
        <v>38.015000000000001</v>
      </c>
      <c r="D176">
        <f>ROUNDUP(C176/GiaDinh!$C$5-0.0005,0)</f>
        <v>7</v>
      </c>
      <c r="E176">
        <f t="shared" si="10"/>
        <v>6</v>
      </c>
      <c r="F176">
        <v>32</v>
      </c>
      <c r="G176">
        <f t="shared" si="11"/>
        <v>32</v>
      </c>
      <c r="H176" s="5">
        <f>C176*GiaDinh!$C$7</f>
        <v>114.42514999999999</v>
      </c>
    </row>
    <row r="177" spans="1:8" x14ac:dyDescent="0.35">
      <c r="A177" t="s">
        <v>14</v>
      </c>
      <c r="B177">
        <v>10</v>
      </c>
      <c r="C177" s="5">
        <v>38.015000000000001</v>
      </c>
      <c r="D177">
        <f>ROUNDUP(C177/GiaDinh!$C$5-0.0005,0)</f>
        <v>7</v>
      </c>
      <c r="E177">
        <f t="shared" si="10"/>
        <v>6</v>
      </c>
      <c r="F177">
        <v>32</v>
      </c>
      <c r="G177">
        <f t="shared" si="11"/>
        <v>32</v>
      </c>
      <c r="H177" s="5">
        <f>C177*GiaDinh!$C$7</f>
        <v>114.42514999999999</v>
      </c>
    </row>
    <row r="178" spans="1:8" x14ac:dyDescent="0.35">
      <c r="A178" t="s">
        <v>14</v>
      </c>
      <c r="B178">
        <v>11</v>
      </c>
      <c r="C178" s="5">
        <v>38.015000000000001</v>
      </c>
      <c r="D178">
        <f>ROUNDUP(C178/GiaDinh!$C$5-0.0005,0)</f>
        <v>7</v>
      </c>
      <c r="E178">
        <f t="shared" si="10"/>
        <v>6</v>
      </c>
      <c r="F178">
        <v>32</v>
      </c>
      <c r="G178">
        <f t="shared" si="11"/>
        <v>32</v>
      </c>
      <c r="H178" s="5">
        <f>C178*GiaDinh!$C$7</f>
        <v>114.42514999999999</v>
      </c>
    </row>
    <row r="179" spans="1:8" x14ac:dyDescent="0.35">
      <c r="A179" t="s">
        <v>14</v>
      </c>
      <c r="B179">
        <v>12</v>
      </c>
      <c r="C179" s="5">
        <v>38.015000000000001</v>
      </c>
      <c r="D179">
        <f>ROUNDUP(C179/GiaDinh!$C$5-0.0005,0)</f>
        <v>7</v>
      </c>
      <c r="E179">
        <f t="shared" si="10"/>
        <v>6</v>
      </c>
      <c r="F179">
        <v>32</v>
      </c>
      <c r="G179">
        <f t="shared" si="11"/>
        <v>32</v>
      </c>
      <c r="H179" s="5">
        <f>C179*GiaDinh!$C$7</f>
        <v>114.42514999999999</v>
      </c>
    </row>
    <row r="180" spans="1:8" x14ac:dyDescent="0.35">
      <c r="A180" t="s">
        <v>14</v>
      </c>
      <c r="B180">
        <v>13</v>
      </c>
      <c r="C180" s="5">
        <v>38.015000000000001</v>
      </c>
      <c r="D180">
        <f>ROUNDUP(C180/GiaDinh!$C$5-0.0005,0)</f>
        <v>7</v>
      </c>
      <c r="E180">
        <f t="shared" si="10"/>
        <v>6</v>
      </c>
      <c r="F180">
        <v>32</v>
      </c>
      <c r="G180">
        <f t="shared" si="11"/>
        <v>32</v>
      </c>
      <c r="H180" s="5">
        <f>C180*GiaDinh!$C$7</f>
        <v>114.42514999999999</v>
      </c>
    </row>
    <row r="181" spans="1:8" x14ac:dyDescent="0.35">
      <c r="A181" t="s">
        <v>14</v>
      </c>
      <c r="B181">
        <v>14</v>
      </c>
      <c r="C181" s="5">
        <v>38.015000000000001</v>
      </c>
      <c r="D181">
        <f>ROUNDUP(C181/GiaDinh!$C$5-0.0005,0)</f>
        <v>7</v>
      </c>
      <c r="E181">
        <f t="shared" si="10"/>
        <v>6</v>
      </c>
      <c r="F181">
        <v>32</v>
      </c>
      <c r="G181">
        <f t="shared" si="11"/>
        <v>32</v>
      </c>
      <c r="H181" s="5">
        <f>C181*GiaDinh!$C$7</f>
        <v>114.42514999999999</v>
      </c>
    </row>
    <row r="182" spans="1:8" x14ac:dyDescent="0.35">
      <c r="A182" t="s">
        <v>14</v>
      </c>
      <c r="B182">
        <v>15</v>
      </c>
      <c r="C182" s="5">
        <v>38.015000000000001</v>
      </c>
      <c r="D182">
        <f>ROUNDUP(C182/GiaDinh!$C$5-0.0005,0)</f>
        <v>7</v>
      </c>
      <c r="E182">
        <f t="shared" si="10"/>
        <v>6</v>
      </c>
      <c r="F182">
        <v>32</v>
      </c>
      <c r="G182">
        <f t="shared" si="11"/>
        <v>32</v>
      </c>
      <c r="H182" s="5">
        <f>C182*GiaDinh!$C$7</f>
        <v>114.42514999999999</v>
      </c>
    </row>
    <row r="183" spans="1:8" x14ac:dyDescent="0.35">
      <c r="A183" t="s">
        <v>14</v>
      </c>
      <c r="B183">
        <v>16</v>
      </c>
      <c r="C183" s="5">
        <v>38.015000000000001</v>
      </c>
      <c r="D183">
        <f>ROUNDUP(C183/GiaDinh!$C$5-0.0005,0)</f>
        <v>7</v>
      </c>
      <c r="E183">
        <f t="shared" si="10"/>
        <v>6</v>
      </c>
      <c r="F183">
        <v>32</v>
      </c>
      <c r="G183">
        <f t="shared" si="11"/>
        <v>32</v>
      </c>
      <c r="H183" s="5">
        <f>C183*GiaDinh!$C$7</f>
        <v>114.42514999999999</v>
      </c>
    </row>
    <row r="184" spans="1:8" x14ac:dyDescent="0.35">
      <c r="A184" t="s">
        <v>14</v>
      </c>
      <c r="B184">
        <v>17</v>
      </c>
      <c r="C184" s="5">
        <v>38.015000000000001</v>
      </c>
      <c r="D184">
        <f>ROUNDUP(C184/GiaDinh!$C$5-0.0005,0)</f>
        <v>7</v>
      </c>
      <c r="E184">
        <f t="shared" si="10"/>
        <v>6</v>
      </c>
      <c r="F184">
        <v>32</v>
      </c>
      <c r="G184">
        <f t="shared" si="11"/>
        <v>32</v>
      </c>
      <c r="H184" s="5">
        <f>C184*GiaDinh!$C$7</f>
        <v>114.42514999999999</v>
      </c>
    </row>
    <row r="185" spans="1:8" x14ac:dyDescent="0.35">
      <c r="A185" t="s">
        <v>14</v>
      </c>
      <c r="B185">
        <v>18</v>
      </c>
      <c r="C185" s="5">
        <v>38.015000000000001</v>
      </c>
      <c r="D185">
        <f>ROUNDUP(C185/GiaDinh!$C$5-0.0005,0)</f>
        <v>7</v>
      </c>
      <c r="E185">
        <f t="shared" si="10"/>
        <v>6</v>
      </c>
      <c r="F185">
        <v>32</v>
      </c>
      <c r="G185">
        <f t="shared" si="11"/>
        <v>32</v>
      </c>
      <c r="H185" s="5">
        <f>C185*GiaDinh!$C$7</f>
        <v>114.42514999999999</v>
      </c>
    </row>
    <row r="186" spans="1:8" x14ac:dyDescent="0.35">
      <c r="A186" t="s">
        <v>14</v>
      </c>
      <c r="B186">
        <v>19</v>
      </c>
      <c r="C186" s="5">
        <v>38.015000000000001</v>
      </c>
      <c r="D186">
        <f>ROUNDUP(C186/GiaDinh!$C$5-0.0005,0)</f>
        <v>7</v>
      </c>
      <c r="E186">
        <f t="shared" si="10"/>
        <v>6</v>
      </c>
      <c r="F186">
        <v>32</v>
      </c>
      <c r="G186">
        <f t="shared" si="11"/>
        <v>32</v>
      </c>
      <c r="H186" s="5">
        <f>C186*GiaDinh!$C$7</f>
        <v>114.42514999999999</v>
      </c>
    </row>
    <row r="187" spans="1:8" x14ac:dyDescent="0.35">
      <c r="A187" t="s">
        <v>14</v>
      </c>
      <c r="B187">
        <v>20</v>
      </c>
      <c r="C187" s="5">
        <v>38.015000000000001</v>
      </c>
      <c r="D187">
        <f>ROUNDUP(C187/GiaDinh!$C$5-0.0005,0)</f>
        <v>7</v>
      </c>
      <c r="E187">
        <f t="shared" si="10"/>
        <v>6</v>
      </c>
      <c r="F187">
        <v>32</v>
      </c>
      <c r="G187">
        <f t="shared" si="11"/>
        <v>32</v>
      </c>
      <c r="H187" s="5">
        <f>C187*GiaDinh!$C$7</f>
        <v>114.42514999999999</v>
      </c>
    </row>
    <row r="188" spans="1:8" x14ac:dyDescent="0.35">
      <c r="C188" s="5"/>
      <c r="H188" s="5"/>
    </row>
    <row r="189" spans="1:8" x14ac:dyDescent="0.35">
      <c r="C189" s="5"/>
      <c r="H189" s="5"/>
    </row>
    <row r="190" spans="1:8" x14ac:dyDescent="0.35">
      <c r="C190" s="5"/>
      <c r="H190" s="5"/>
    </row>
    <row r="191" spans="1:8" x14ac:dyDescent="0.35">
      <c r="C191" s="5"/>
      <c r="H191" s="5"/>
    </row>
    <row r="192" spans="1:8" x14ac:dyDescent="0.35">
      <c r="C192" s="5"/>
      <c r="H192" s="5"/>
    </row>
    <row r="193" spans="3:8" x14ac:dyDescent="0.35">
      <c r="C193" s="5"/>
      <c r="H193" s="5"/>
    </row>
    <row r="194" spans="3:8" x14ac:dyDescent="0.35">
      <c r="C194" s="5"/>
      <c r="H194" s="5"/>
    </row>
    <row r="195" spans="3:8" x14ac:dyDescent="0.35">
      <c r="C195" s="5"/>
      <c r="H195" s="5"/>
    </row>
    <row r="196" spans="3:8" x14ac:dyDescent="0.35">
      <c r="C196" s="5"/>
      <c r="H196" s="5"/>
    </row>
    <row r="197" spans="3:8" x14ac:dyDescent="0.35">
      <c r="C197" s="5"/>
      <c r="H197" s="5"/>
    </row>
    <row r="198" spans="3:8" x14ac:dyDescent="0.35">
      <c r="C198" s="5"/>
      <c r="H198" s="5"/>
    </row>
    <row r="199" spans="3:8" x14ac:dyDescent="0.35">
      <c r="C199" s="5"/>
      <c r="H199" s="5"/>
    </row>
    <row r="200" spans="3:8" x14ac:dyDescent="0.35">
      <c r="C200" s="5"/>
      <c r="H200" s="5"/>
    </row>
    <row r="201" spans="3:8" x14ac:dyDescent="0.35">
      <c r="C201" s="5"/>
      <c r="H201" s="5"/>
    </row>
    <row r="202" spans="3:8" x14ac:dyDescent="0.35">
      <c r="C202" s="5"/>
      <c r="H202" s="5"/>
    </row>
    <row r="203" spans="3:8" x14ac:dyDescent="0.35">
      <c r="C203" s="5"/>
      <c r="H203" s="5"/>
    </row>
    <row r="204" spans="3:8" x14ac:dyDescent="0.35">
      <c r="C204" s="5"/>
      <c r="H204" s="5"/>
    </row>
    <row r="205" spans="3:8" x14ac:dyDescent="0.35">
      <c r="C205" s="5"/>
      <c r="H205" s="5"/>
    </row>
    <row r="206" spans="3:8" x14ac:dyDescent="0.35">
      <c r="C206" s="5"/>
      <c r="H206" s="5"/>
    </row>
    <row r="207" spans="3:8" x14ac:dyDescent="0.35">
      <c r="C207" s="5"/>
      <c r="H207" s="5"/>
    </row>
    <row r="208" spans="3:8" x14ac:dyDescent="0.35">
      <c r="C208" s="5"/>
      <c r="H208" s="5"/>
    </row>
    <row r="209" spans="3:8" x14ac:dyDescent="0.35">
      <c r="C209" s="5"/>
      <c r="H209" s="5"/>
    </row>
    <row r="210" spans="3:8" x14ac:dyDescent="0.35">
      <c r="C210" s="5"/>
      <c r="H210" s="5"/>
    </row>
    <row r="211" spans="3:8" x14ac:dyDescent="0.35">
      <c r="C211" s="5"/>
      <c r="H211" s="5"/>
    </row>
    <row r="212" spans="3:8" x14ac:dyDescent="0.35">
      <c r="C212" s="5"/>
      <c r="H212" s="5"/>
    </row>
    <row r="213" spans="3:8" x14ac:dyDescent="0.35">
      <c r="C213" s="5"/>
      <c r="H213" s="5"/>
    </row>
    <row r="214" spans="3:8" x14ac:dyDescent="0.35">
      <c r="C214" s="5"/>
      <c r="H214" s="5"/>
    </row>
    <row r="215" spans="3:8" x14ac:dyDescent="0.35">
      <c r="C215" s="5"/>
      <c r="H215" s="5"/>
    </row>
    <row r="216" spans="3:8" x14ac:dyDescent="0.35">
      <c r="C216" s="5"/>
      <c r="H216" s="5"/>
    </row>
    <row r="217" spans="3:8" x14ac:dyDescent="0.35">
      <c r="C217" s="5"/>
      <c r="H217" s="5"/>
    </row>
    <row r="218" spans="3:8" x14ac:dyDescent="0.35">
      <c r="C218" s="5"/>
      <c r="H218" s="5"/>
    </row>
    <row r="219" spans="3:8" x14ac:dyDescent="0.35">
      <c r="C219" s="5"/>
      <c r="H219" s="5"/>
    </row>
    <row r="220" spans="3:8" x14ac:dyDescent="0.35">
      <c r="C220" s="5"/>
      <c r="H220" s="5"/>
    </row>
    <row r="221" spans="3:8" x14ac:dyDescent="0.35">
      <c r="C221" s="5"/>
      <c r="H221" s="5"/>
    </row>
    <row r="222" spans="3:8" x14ac:dyDescent="0.35">
      <c r="C222" s="5"/>
      <c r="H222" s="5"/>
    </row>
    <row r="223" spans="3:8" x14ac:dyDescent="0.35">
      <c r="C223" s="5"/>
      <c r="H223" s="5"/>
    </row>
    <row r="224" spans="3:8" x14ac:dyDescent="0.35">
      <c r="C224" s="5"/>
      <c r="H224" s="5"/>
    </row>
    <row r="225" spans="3:8" x14ac:dyDescent="0.35">
      <c r="C225" s="5"/>
      <c r="H225" s="5"/>
    </row>
    <row r="226" spans="3:8" x14ac:dyDescent="0.35">
      <c r="C226" s="5"/>
      <c r="H226" s="5"/>
    </row>
    <row r="227" spans="3:8" x14ac:dyDescent="0.35">
      <c r="C227" s="5"/>
      <c r="H227" s="5"/>
    </row>
    <row r="228" spans="3:8" x14ac:dyDescent="0.35">
      <c r="C228" s="5"/>
      <c r="H228" s="5"/>
    </row>
    <row r="229" spans="3:8" x14ac:dyDescent="0.35">
      <c r="C229" s="5"/>
      <c r="H229" s="5"/>
    </row>
    <row r="230" spans="3:8" x14ac:dyDescent="0.35">
      <c r="C230" s="5"/>
      <c r="H230" s="5"/>
    </row>
    <row r="231" spans="3:8" x14ac:dyDescent="0.35">
      <c r="C231" s="5"/>
      <c r="H231" s="5"/>
    </row>
    <row r="232" spans="3:8" x14ac:dyDescent="0.35">
      <c r="C232" s="5"/>
      <c r="H232" s="5"/>
    </row>
    <row r="233" spans="3:8" x14ac:dyDescent="0.35">
      <c r="C233" s="5"/>
      <c r="H233" s="5"/>
    </row>
    <row r="234" spans="3:8" x14ac:dyDescent="0.35">
      <c r="C234" s="5"/>
      <c r="H234" s="5"/>
    </row>
    <row r="235" spans="3:8" x14ac:dyDescent="0.35">
      <c r="C235" s="5"/>
      <c r="H235" s="5"/>
    </row>
    <row r="236" spans="3:8" x14ac:dyDescent="0.35">
      <c r="C236" s="5"/>
      <c r="H236" s="5"/>
    </row>
    <row r="237" spans="3:8" x14ac:dyDescent="0.35">
      <c r="C237" s="5"/>
      <c r="H237" s="5"/>
    </row>
    <row r="238" spans="3:8" x14ac:dyDescent="0.35">
      <c r="C238" s="5"/>
      <c r="H238" s="5"/>
    </row>
    <row r="239" spans="3:8" x14ac:dyDescent="0.35">
      <c r="C239" s="5"/>
      <c r="H239" s="5"/>
    </row>
    <row r="240" spans="3:8" x14ac:dyDescent="0.35">
      <c r="C240" s="5"/>
      <c r="H240" s="5"/>
    </row>
    <row r="241" spans="3:8" x14ac:dyDescent="0.35">
      <c r="C241" s="5"/>
      <c r="H241" s="5"/>
    </row>
    <row r="242" spans="3:8" x14ac:dyDescent="0.35">
      <c r="C242" s="5"/>
      <c r="H242" s="5"/>
    </row>
    <row r="243" spans="3:8" x14ac:dyDescent="0.35">
      <c r="C243" s="5"/>
      <c r="H243" s="5"/>
    </row>
    <row r="244" spans="3:8" x14ac:dyDescent="0.35">
      <c r="C244" s="5"/>
      <c r="H244" s="5"/>
    </row>
    <row r="245" spans="3:8" x14ac:dyDescent="0.35">
      <c r="C245" s="5"/>
      <c r="H245" s="5"/>
    </row>
    <row r="246" spans="3:8" x14ac:dyDescent="0.35">
      <c r="C246" s="5"/>
      <c r="H246" s="5"/>
    </row>
    <row r="247" spans="3:8" x14ac:dyDescent="0.35">
      <c r="C247" s="5"/>
      <c r="H247" s="5"/>
    </row>
    <row r="248" spans="3:8" x14ac:dyDescent="0.35">
      <c r="C248" s="5"/>
      <c r="H248" s="5"/>
    </row>
    <row r="249" spans="3:8" x14ac:dyDescent="0.35">
      <c r="C249" s="5"/>
      <c r="H249" s="5"/>
    </row>
    <row r="250" spans="3:8" x14ac:dyDescent="0.35">
      <c r="C250" s="5"/>
      <c r="H250" s="5"/>
    </row>
    <row r="251" spans="3:8" x14ac:dyDescent="0.35">
      <c r="C251" s="5"/>
      <c r="H251" s="5"/>
    </row>
    <row r="252" spans="3:8" x14ac:dyDescent="0.35">
      <c r="C252" s="5"/>
      <c r="H252" s="5"/>
    </row>
    <row r="253" spans="3:8" x14ac:dyDescent="0.35">
      <c r="C253" s="5"/>
      <c r="H253" s="5"/>
    </row>
    <row r="254" spans="3:8" x14ac:dyDescent="0.35">
      <c r="C254" s="5"/>
      <c r="H254" s="5"/>
    </row>
    <row r="255" spans="3:8" x14ac:dyDescent="0.35">
      <c r="C255" s="5"/>
      <c r="H255" s="5"/>
    </row>
    <row r="256" spans="3:8" x14ac:dyDescent="0.35">
      <c r="C256" s="5"/>
      <c r="H256" s="5"/>
    </row>
    <row r="257" spans="3:8" x14ac:dyDescent="0.35">
      <c r="C257" s="5"/>
      <c r="H257" s="5"/>
    </row>
    <row r="258" spans="3:8" x14ac:dyDescent="0.35">
      <c r="C258" s="5"/>
      <c r="H258" s="5"/>
    </row>
    <row r="259" spans="3:8" x14ac:dyDescent="0.35">
      <c r="C259" s="5"/>
      <c r="H259" s="5"/>
    </row>
    <row r="260" spans="3:8" x14ac:dyDescent="0.35">
      <c r="C260" s="5"/>
      <c r="H260" s="5"/>
    </row>
    <row r="261" spans="3:8" x14ac:dyDescent="0.35">
      <c r="C261" s="5"/>
      <c r="H261" s="5"/>
    </row>
    <row r="262" spans="3:8" x14ac:dyDescent="0.35">
      <c r="C262" s="5"/>
      <c r="H262" s="5"/>
    </row>
    <row r="263" spans="3:8" x14ac:dyDescent="0.35">
      <c r="C263" s="5"/>
      <c r="H263" s="5"/>
    </row>
    <row r="264" spans="3:8" x14ac:dyDescent="0.35">
      <c r="C264" s="5"/>
      <c r="H264" s="5"/>
    </row>
    <row r="265" spans="3:8" x14ac:dyDescent="0.35">
      <c r="C265" s="5"/>
      <c r="H265" s="5"/>
    </row>
    <row r="266" spans="3:8" x14ac:dyDescent="0.35">
      <c r="C266" s="5"/>
      <c r="H266" s="5"/>
    </row>
    <row r="267" spans="3:8" x14ac:dyDescent="0.35">
      <c r="C267" s="5"/>
      <c r="H267" s="5"/>
    </row>
    <row r="268" spans="3:8" x14ac:dyDescent="0.35">
      <c r="C268" s="5"/>
      <c r="H268" s="5"/>
    </row>
    <row r="269" spans="3:8" x14ac:dyDescent="0.35">
      <c r="C269" s="5"/>
      <c r="H269" s="5"/>
    </row>
    <row r="270" spans="3:8" x14ac:dyDescent="0.35">
      <c r="C270" s="5"/>
      <c r="H270" s="5"/>
    </row>
    <row r="271" spans="3:8" x14ac:dyDescent="0.35">
      <c r="C271" s="5"/>
      <c r="H271" s="5"/>
    </row>
    <row r="272" spans="3:8" x14ac:dyDescent="0.35">
      <c r="C272" s="5"/>
      <c r="H272" s="5"/>
    </row>
    <row r="273" spans="3:8" x14ac:dyDescent="0.35">
      <c r="C273" s="5"/>
      <c r="H273" s="5"/>
    </row>
    <row r="274" spans="3:8" x14ac:dyDescent="0.35">
      <c r="C274" s="5"/>
      <c r="H274" s="5"/>
    </row>
    <row r="275" spans="3:8" x14ac:dyDescent="0.35">
      <c r="C275" s="5"/>
      <c r="H275" s="5"/>
    </row>
    <row r="276" spans="3:8" x14ac:dyDescent="0.35">
      <c r="C276" s="5"/>
      <c r="H276" s="5"/>
    </row>
    <row r="277" spans="3:8" x14ac:dyDescent="0.35">
      <c r="C277" s="5"/>
      <c r="H277" s="5"/>
    </row>
    <row r="278" spans="3:8" x14ac:dyDescent="0.35">
      <c r="C278" s="5"/>
      <c r="H278" s="5"/>
    </row>
    <row r="279" spans="3:8" x14ac:dyDescent="0.35">
      <c r="C279" s="5"/>
      <c r="H279" s="5"/>
    </row>
    <row r="280" spans="3:8" x14ac:dyDescent="0.35">
      <c r="C280" s="5"/>
      <c r="H280" s="5"/>
    </row>
    <row r="281" spans="3:8" x14ac:dyDescent="0.35">
      <c r="C281" s="5"/>
      <c r="H281" s="5"/>
    </row>
    <row r="282" spans="3:8" x14ac:dyDescent="0.35">
      <c r="C282" s="5"/>
      <c r="H282" s="5"/>
    </row>
    <row r="283" spans="3:8" x14ac:dyDescent="0.35">
      <c r="C283" s="5"/>
      <c r="H283" s="5"/>
    </row>
    <row r="284" spans="3:8" x14ac:dyDescent="0.35">
      <c r="C284" s="5"/>
      <c r="H284" s="5"/>
    </row>
    <row r="285" spans="3:8" x14ac:dyDescent="0.35">
      <c r="C285" s="5"/>
      <c r="H285" s="5"/>
    </row>
    <row r="286" spans="3:8" x14ac:dyDescent="0.35">
      <c r="C286" s="5"/>
      <c r="H286" s="5"/>
    </row>
    <row r="287" spans="3:8" x14ac:dyDescent="0.35">
      <c r="C287" s="5"/>
      <c r="H287" s="5"/>
    </row>
    <row r="288" spans="3:8" x14ac:dyDescent="0.35">
      <c r="C288" s="5"/>
      <c r="H288" s="5"/>
    </row>
    <row r="289" spans="3:8" x14ac:dyDescent="0.35">
      <c r="C289" s="5"/>
      <c r="H289" s="5"/>
    </row>
    <row r="290" spans="3:8" x14ac:dyDescent="0.35">
      <c r="C290" s="5"/>
      <c r="H290" s="5"/>
    </row>
    <row r="291" spans="3:8" x14ac:dyDescent="0.35">
      <c r="C291" s="5"/>
      <c r="H291" s="5"/>
    </row>
    <row r="292" spans="3:8" x14ac:dyDescent="0.35">
      <c r="C292" s="5"/>
      <c r="H292" s="5"/>
    </row>
    <row r="293" spans="3:8" x14ac:dyDescent="0.35">
      <c r="C293" s="5"/>
      <c r="H293" s="5"/>
    </row>
    <row r="294" spans="3:8" x14ac:dyDescent="0.35">
      <c r="C294" s="5"/>
      <c r="H294" s="5"/>
    </row>
    <row r="295" spans="3:8" x14ac:dyDescent="0.35">
      <c r="C295" s="5"/>
      <c r="H295" s="5"/>
    </row>
    <row r="296" spans="3:8" x14ac:dyDescent="0.35">
      <c r="C296" s="5"/>
      <c r="H296" s="5"/>
    </row>
    <row r="297" spans="3:8" x14ac:dyDescent="0.35">
      <c r="C297" s="5"/>
      <c r="H297" s="5"/>
    </row>
    <row r="298" spans="3:8" x14ac:dyDescent="0.35">
      <c r="C298" s="5"/>
      <c r="H298" s="5"/>
    </row>
    <row r="299" spans="3:8" x14ac:dyDescent="0.35">
      <c r="C299" s="5"/>
      <c r="H299" s="5"/>
    </row>
    <row r="300" spans="3:8" x14ac:dyDescent="0.35">
      <c r="C300" s="5"/>
      <c r="H300" s="5"/>
    </row>
    <row r="301" spans="3:8" x14ac:dyDescent="0.35">
      <c r="C301" s="5"/>
      <c r="H301" s="5"/>
    </row>
    <row r="302" spans="3:8" x14ac:dyDescent="0.35">
      <c r="C302" s="5"/>
      <c r="H302" s="5"/>
    </row>
    <row r="303" spans="3:8" x14ac:dyDescent="0.35">
      <c r="C303" s="5"/>
      <c r="H303" s="5"/>
    </row>
    <row r="304" spans="3:8" x14ac:dyDescent="0.35">
      <c r="C304" s="5"/>
      <c r="H304" s="5"/>
    </row>
    <row r="305" spans="3:8" x14ac:dyDescent="0.35">
      <c r="C305" s="5"/>
      <c r="H305" s="5"/>
    </row>
    <row r="306" spans="3:8" x14ac:dyDescent="0.35">
      <c r="C306" s="5"/>
      <c r="H306" s="5"/>
    </row>
    <row r="307" spans="3:8" x14ac:dyDescent="0.35">
      <c r="C307" s="5"/>
      <c r="H307" s="5"/>
    </row>
    <row r="308" spans="3:8" x14ac:dyDescent="0.35">
      <c r="C308" s="5"/>
      <c r="H308" s="5"/>
    </row>
    <row r="309" spans="3:8" x14ac:dyDescent="0.35">
      <c r="C309" s="5"/>
      <c r="H309" s="5"/>
    </row>
    <row r="310" spans="3:8" x14ac:dyDescent="0.35">
      <c r="C310" s="5"/>
      <c r="H310" s="5"/>
    </row>
    <row r="311" spans="3:8" x14ac:dyDescent="0.35">
      <c r="C311" s="5"/>
      <c r="H311" s="5"/>
    </row>
    <row r="312" spans="3:8" x14ac:dyDescent="0.35">
      <c r="C312" s="5"/>
      <c r="H312" s="5"/>
    </row>
    <row r="313" spans="3:8" x14ac:dyDescent="0.35">
      <c r="C313" s="5"/>
      <c r="H313" s="5"/>
    </row>
    <row r="314" spans="3:8" x14ac:dyDescent="0.35">
      <c r="C314" s="5"/>
      <c r="H314" s="5"/>
    </row>
    <row r="315" spans="3:8" x14ac:dyDescent="0.35">
      <c r="C315" s="5"/>
      <c r="H315" s="5"/>
    </row>
    <row r="316" spans="3:8" x14ac:dyDescent="0.35">
      <c r="C316" s="5"/>
      <c r="H316" s="5"/>
    </row>
    <row r="317" spans="3:8" x14ac:dyDescent="0.35">
      <c r="C317" s="5"/>
      <c r="H317" s="5"/>
    </row>
    <row r="318" spans="3:8" x14ac:dyDescent="0.35">
      <c r="C318" s="5"/>
      <c r="H318" s="5"/>
    </row>
    <row r="319" spans="3:8" x14ac:dyDescent="0.35">
      <c r="C319" s="5"/>
      <c r="H319" s="5"/>
    </row>
    <row r="320" spans="3:8" x14ac:dyDescent="0.35">
      <c r="C320" s="5"/>
      <c r="H320" s="5"/>
    </row>
    <row r="321" spans="3:8" x14ac:dyDescent="0.35">
      <c r="C321" s="5"/>
      <c r="H321" s="5"/>
    </row>
    <row r="322" spans="3:8" x14ac:dyDescent="0.35">
      <c r="C322" s="5"/>
      <c r="H322" s="5"/>
    </row>
    <row r="323" spans="3:8" x14ac:dyDescent="0.35">
      <c r="C323" s="5"/>
      <c r="H323" s="5"/>
    </row>
    <row r="324" spans="3:8" x14ac:dyDescent="0.35">
      <c r="C324" s="5"/>
      <c r="H324" s="5"/>
    </row>
    <row r="325" spans="3:8" x14ac:dyDescent="0.35">
      <c r="C325" s="5"/>
      <c r="H325" s="5"/>
    </row>
    <row r="326" spans="3:8" x14ac:dyDescent="0.35">
      <c r="C326" s="5"/>
      <c r="H326" s="5"/>
    </row>
    <row r="327" spans="3:8" x14ac:dyDescent="0.35">
      <c r="C327" s="5"/>
      <c r="H327" s="5"/>
    </row>
    <row r="328" spans="3:8" x14ac:dyDescent="0.35">
      <c r="C328" s="5"/>
      <c r="H328" s="5"/>
    </row>
    <row r="329" spans="3:8" x14ac:dyDescent="0.35">
      <c r="C329" s="5"/>
      <c r="H329" s="5"/>
    </row>
    <row r="330" spans="3:8" x14ac:dyDescent="0.35">
      <c r="C330" s="5"/>
      <c r="H330" s="5"/>
    </row>
    <row r="331" spans="3:8" x14ac:dyDescent="0.35">
      <c r="C331" s="5"/>
      <c r="H331" s="5"/>
    </row>
    <row r="332" spans="3:8" x14ac:dyDescent="0.35">
      <c r="C332" s="5"/>
      <c r="H332" s="5"/>
    </row>
    <row r="333" spans="3:8" x14ac:dyDescent="0.35">
      <c r="C333" s="5"/>
      <c r="H333" s="5"/>
    </row>
    <row r="334" spans="3:8" x14ac:dyDescent="0.35">
      <c r="C334" s="5"/>
      <c r="H334" s="5"/>
    </row>
    <row r="335" spans="3:8" x14ac:dyDescent="0.35">
      <c r="C335" s="5"/>
      <c r="H335" s="5"/>
    </row>
    <row r="336" spans="3:8" x14ac:dyDescent="0.35">
      <c r="C336" s="5"/>
      <c r="H336" s="5"/>
    </row>
    <row r="337" spans="3:8" x14ac:dyDescent="0.35">
      <c r="C337" s="5"/>
      <c r="H337" s="5"/>
    </row>
    <row r="338" spans="3:8" x14ac:dyDescent="0.35">
      <c r="C338" s="5"/>
      <c r="H338" s="5"/>
    </row>
    <row r="339" spans="3:8" x14ac:dyDescent="0.35">
      <c r="C339" s="5"/>
      <c r="H339" s="5"/>
    </row>
    <row r="340" spans="3:8" x14ac:dyDescent="0.35">
      <c r="C340" s="5"/>
      <c r="H340" s="5"/>
    </row>
    <row r="341" spans="3:8" x14ac:dyDescent="0.35">
      <c r="C341" s="5"/>
      <c r="H341" s="5"/>
    </row>
    <row r="342" spans="3:8" x14ac:dyDescent="0.35">
      <c r="C342" s="5"/>
      <c r="H342" s="5"/>
    </row>
    <row r="343" spans="3:8" x14ac:dyDescent="0.35">
      <c r="C343" s="5"/>
      <c r="H343" s="5"/>
    </row>
    <row r="344" spans="3:8" x14ac:dyDescent="0.35">
      <c r="C344" s="5"/>
      <c r="H344" s="5"/>
    </row>
    <row r="345" spans="3:8" x14ac:dyDescent="0.35">
      <c r="C345" s="5"/>
      <c r="H345" s="5"/>
    </row>
    <row r="346" spans="3:8" x14ac:dyDescent="0.35">
      <c r="C346" s="5"/>
      <c r="H346" s="5"/>
    </row>
    <row r="347" spans="3:8" x14ac:dyDescent="0.35">
      <c r="C347" s="5"/>
      <c r="H347" s="5"/>
    </row>
    <row r="348" spans="3:8" x14ac:dyDescent="0.35">
      <c r="C348" s="5"/>
      <c r="H348" s="5"/>
    </row>
    <row r="349" spans="3:8" x14ac:dyDescent="0.35">
      <c r="C349" s="5"/>
      <c r="H349" s="5"/>
    </row>
    <row r="350" spans="3:8" x14ac:dyDescent="0.35">
      <c r="C350" s="5"/>
      <c r="H350" s="5"/>
    </row>
    <row r="351" spans="3:8" x14ac:dyDescent="0.35">
      <c r="C351" s="5"/>
      <c r="H351" s="5"/>
    </row>
    <row r="352" spans="3:8" x14ac:dyDescent="0.35">
      <c r="C352" s="5"/>
      <c r="H352" s="5"/>
    </row>
    <row r="353" spans="3:8" x14ac:dyDescent="0.35">
      <c r="C353" s="5"/>
      <c r="H353" s="5"/>
    </row>
    <row r="354" spans="3:8" x14ac:dyDescent="0.35">
      <c r="C354" s="5"/>
      <c r="H354" s="5"/>
    </row>
    <row r="355" spans="3:8" x14ac:dyDescent="0.35">
      <c r="C355" s="5"/>
      <c r="H355" s="5"/>
    </row>
    <row r="356" spans="3:8" x14ac:dyDescent="0.35">
      <c r="C356" s="5"/>
      <c r="H356" s="5"/>
    </row>
    <row r="357" spans="3:8" x14ac:dyDescent="0.35">
      <c r="C357" s="5"/>
      <c r="H357" s="5"/>
    </row>
    <row r="358" spans="3:8" x14ac:dyDescent="0.35">
      <c r="C358" s="5"/>
      <c r="H358" s="5"/>
    </row>
    <row r="359" spans="3:8" x14ac:dyDescent="0.35">
      <c r="C359" s="5"/>
      <c r="H359" s="5"/>
    </row>
    <row r="360" spans="3:8" x14ac:dyDescent="0.35">
      <c r="C360" s="5"/>
      <c r="H360" s="5"/>
    </row>
    <row r="361" spans="3:8" x14ac:dyDescent="0.35">
      <c r="C361" s="5"/>
      <c r="H361" s="5"/>
    </row>
    <row r="362" spans="3:8" x14ac:dyDescent="0.35">
      <c r="C362" s="5"/>
      <c r="H362" s="5"/>
    </row>
    <row r="363" spans="3:8" x14ac:dyDescent="0.35">
      <c r="C363" s="5"/>
      <c r="H363" s="5"/>
    </row>
    <row r="364" spans="3:8" x14ac:dyDescent="0.35">
      <c r="C364" s="5"/>
      <c r="H364" s="5"/>
    </row>
    <row r="365" spans="3:8" x14ac:dyDescent="0.35">
      <c r="C365" s="5"/>
      <c r="H365" s="5"/>
    </row>
    <row r="366" spans="3:8" x14ac:dyDescent="0.35">
      <c r="C366" s="5"/>
      <c r="H366" s="5"/>
    </row>
    <row r="367" spans="3:8" x14ac:dyDescent="0.35">
      <c r="C367" s="5"/>
      <c r="H367" s="5"/>
    </row>
    <row r="368" spans="3:8" x14ac:dyDescent="0.35">
      <c r="C368" s="5"/>
      <c r="H368" s="5"/>
    </row>
    <row r="369" spans="3:8" x14ac:dyDescent="0.35">
      <c r="C369" s="5"/>
      <c r="H369" s="5"/>
    </row>
    <row r="370" spans="3:8" x14ac:dyDescent="0.35">
      <c r="C370" s="5"/>
      <c r="H370" s="5"/>
    </row>
    <row r="371" spans="3:8" x14ac:dyDescent="0.35">
      <c r="C371" s="5"/>
      <c r="H371" s="5"/>
    </row>
    <row r="372" spans="3:8" x14ac:dyDescent="0.35">
      <c r="C372" s="5"/>
      <c r="H372" s="5"/>
    </row>
    <row r="373" spans="3:8" x14ac:dyDescent="0.35">
      <c r="C373" s="5"/>
      <c r="H373" s="5"/>
    </row>
    <row r="374" spans="3:8" x14ac:dyDescent="0.35">
      <c r="C374" s="5"/>
      <c r="H374" s="5"/>
    </row>
    <row r="375" spans="3:8" x14ac:dyDescent="0.35">
      <c r="C375" s="5"/>
      <c r="H375" s="5"/>
    </row>
    <row r="376" spans="3:8" x14ac:dyDescent="0.35">
      <c r="C376" s="5"/>
      <c r="H376" s="5"/>
    </row>
    <row r="377" spans="3:8" x14ac:dyDescent="0.35">
      <c r="C377" s="5"/>
      <c r="H377" s="5"/>
    </row>
    <row r="378" spans="3:8" x14ac:dyDescent="0.35">
      <c r="C378" s="5"/>
      <c r="H378" s="5"/>
    </row>
    <row r="379" spans="3:8" x14ac:dyDescent="0.35">
      <c r="C379" s="5"/>
      <c r="H379" s="5"/>
    </row>
    <row r="380" spans="3:8" x14ac:dyDescent="0.35">
      <c r="C380" s="5"/>
      <c r="H380" s="5"/>
    </row>
    <row r="381" spans="3:8" x14ac:dyDescent="0.35">
      <c r="C381" s="5"/>
      <c r="H381" s="5"/>
    </row>
    <row r="382" spans="3:8" x14ac:dyDescent="0.35">
      <c r="C382" s="5"/>
      <c r="H382" s="5"/>
    </row>
    <row r="383" spans="3:8" x14ac:dyDescent="0.35">
      <c r="C383" s="5"/>
      <c r="H383" s="5"/>
    </row>
    <row r="384" spans="3:8" x14ac:dyDescent="0.35">
      <c r="C384" s="5"/>
      <c r="H384" s="5"/>
    </row>
    <row r="385" spans="3:8" x14ac:dyDescent="0.35">
      <c r="C385" s="5"/>
      <c r="H385" s="5"/>
    </row>
    <row r="386" spans="3:8" x14ac:dyDescent="0.35">
      <c r="C386" s="5"/>
      <c r="H386" s="5"/>
    </row>
    <row r="387" spans="3:8" x14ac:dyDescent="0.35">
      <c r="C387" s="5"/>
      <c r="H387" s="5"/>
    </row>
    <row r="388" spans="3:8" x14ac:dyDescent="0.35">
      <c r="C388" s="5"/>
      <c r="H388" s="5"/>
    </row>
    <row r="389" spans="3:8" x14ac:dyDescent="0.35">
      <c r="C389" s="5"/>
      <c r="H389" s="5"/>
    </row>
    <row r="390" spans="3:8" x14ac:dyDescent="0.35">
      <c r="C390" s="5"/>
      <c r="H390" s="5"/>
    </row>
    <row r="391" spans="3:8" x14ac:dyDescent="0.35">
      <c r="C391" s="5"/>
      <c r="H391" s="5"/>
    </row>
    <row r="392" spans="3:8" x14ac:dyDescent="0.35">
      <c r="C392" s="5"/>
      <c r="H392" s="5"/>
    </row>
    <row r="393" spans="3:8" x14ac:dyDescent="0.35">
      <c r="C393" s="5"/>
      <c r="H393" s="5"/>
    </row>
    <row r="394" spans="3:8" x14ac:dyDescent="0.35">
      <c r="C394" s="5"/>
      <c r="H394" s="5"/>
    </row>
    <row r="395" spans="3:8" x14ac:dyDescent="0.35">
      <c r="C395" s="5"/>
      <c r="H395" s="5"/>
    </row>
    <row r="396" spans="3:8" x14ac:dyDescent="0.35">
      <c r="C396" s="5"/>
      <c r="H396" s="5"/>
    </row>
    <row r="397" spans="3:8" x14ac:dyDescent="0.35">
      <c r="C397" s="5"/>
      <c r="H397" s="5"/>
    </row>
    <row r="398" spans="3:8" x14ac:dyDescent="0.35">
      <c r="C398" s="5"/>
      <c r="H398" s="5"/>
    </row>
    <row r="399" spans="3:8" x14ac:dyDescent="0.35">
      <c r="C399" s="5"/>
      <c r="H399" s="5"/>
    </row>
    <row r="400" spans="3:8" x14ac:dyDescent="0.35">
      <c r="C400" s="5"/>
      <c r="H400" s="5"/>
    </row>
    <row r="401" spans="3:8" x14ac:dyDescent="0.35">
      <c r="C401" s="5"/>
      <c r="H401" s="5"/>
    </row>
    <row r="402" spans="3:8" x14ac:dyDescent="0.35">
      <c r="C402" s="5"/>
      <c r="H402" s="5"/>
    </row>
    <row r="403" spans="3:8" x14ac:dyDescent="0.35">
      <c r="C403" s="5"/>
      <c r="H403" s="5"/>
    </row>
    <row r="404" spans="3:8" x14ac:dyDescent="0.35">
      <c r="C404" s="5"/>
      <c r="H404" s="5"/>
    </row>
    <row r="405" spans="3:8" x14ac:dyDescent="0.35">
      <c r="C405" s="5"/>
      <c r="H405" s="5"/>
    </row>
    <row r="406" spans="3:8" x14ac:dyDescent="0.35">
      <c r="C406" s="5"/>
      <c r="H406" s="5"/>
    </row>
    <row r="407" spans="3:8" x14ac:dyDescent="0.35">
      <c r="C407" s="5"/>
      <c r="H407" s="5"/>
    </row>
    <row r="408" spans="3:8" x14ac:dyDescent="0.35">
      <c r="C408" s="5"/>
      <c r="H408" s="5"/>
    </row>
    <row r="409" spans="3:8" x14ac:dyDescent="0.35">
      <c r="C409" s="5"/>
      <c r="H409" s="5"/>
    </row>
    <row r="410" spans="3:8" x14ac:dyDescent="0.35">
      <c r="C410" s="5"/>
      <c r="H410" s="5"/>
    </row>
    <row r="411" spans="3:8" x14ac:dyDescent="0.35">
      <c r="C411" s="5"/>
      <c r="H411" s="5"/>
    </row>
    <row r="412" spans="3:8" x14ac:dyDescent="0.35">
      <c r="C412" s="5"/>
      <c r="H412" s="5"/>
    </row>
    <row r="413" spans="3:8" x14ac:dyDescent="0.35">
      <c r="C413" s="5"/>
      <c r="H413" s="5"/>
    </row>
    <row r="414" spans="3:8" x14ac:dyDescent="0.35">
      <c r="C414" s="5"/>
      <c r="H414" s="5"/>
    </row>
    <row r="415" spans="3:8" x14ac:dyDescent="0.35">
      <c r="C415" s="5"/>
      <c r="H415" s="5"/>
    </row>
    <row r="416" spans="3:8" x14ac:dyDescent="0.35">
      <c r="C416" s="5"/>
      <c r="H416" s="5"/>
    </row>
    <row r="417" spans="3:8" x14ac:dyDescent="0.35">
      <c r="C417" s="5"/>
      <c r="H417" s="5"/>
    </row>
    <row r="418" spans="3:8" x14ac:dyDescent="0.35">
      <c r="C418" s="5"/>
      <c r="H418" s="5"/>
    </row>
    <row r="419" spans="3:8" x14ac:dyDescent="0.35">
      <c r="C419" s="5"/>
      <c r="H419" s="5"/>
    </row>
    <row r="420" spans="3:8" x14ac:dyDescent="0.35">
      <c r="C420" s="5"/>
      <c r="H420" s="5"/>
    </row>
    <row r="421" spans="3:8" x14ac:dyDescent="0.35">
      <c r="C421" s="5"/>
      <c r="H421" s="5"/>
    </row>
    <row r="422" spans="3:8" x14ac:dyDescent="0.35">
      <c r="C422" s="5"/>
      <c r="H422" s="5"/>
    </row>
    <row r="423" spans="3:8" x14ac:dyDescent="0.35">
      <c r="C423" s="5"/>
      <c r="H423" s="5"/>
    </row>
    <row r="424" spans="3:8" x14ac:dyDescent="0.35">
      <c r="C424" s="5"/>
      <c r="H424" s="5"/>
    </row>
    <row r="425" spans="3:8" x14ac:dyDescent="0.35">
      <c r="C425" s="5"/>
      <c r="H425" s="5"/>
    </row>
    <row r="426" spans="3:8" x14ac:dyDescent="0.35">
      <c r="C426" s="5"/>
      <c r="H426" s="5"/>
    </row>
    <row r="427" spans="3:8" x14ac:dyDescent="0.35">
      <c r="C427" s="5"/>
      <c r="H427" s="5"/>
    </row>
    <row r="428" spans="3:8" x14ac:dyDescent="0.35">
      <c r="C428" s="5"/>
      <c r="H428" s="5"/>
    </row>
    <row r="429" spans="3:8" x14ac:dyDescent="0.35">
      <c r="C429" s="5"/>
      <c r="H429" s="5"/>
    </row>
    <row r="430" spans="3:8" x14ac:dyDescent="0.35">
      <c r="C430" s="5"/>
      <c r="H430" s="5"/>
    </row>
    <row r="431" spans="3:8" x14ac:dyDescent="0.35">
      <c r="C431" s="5"/>
      <c r="H431" s="5"/>
    </row>
    <row r="432" spans="3:8" x14ac:dyDescent="0.35">
      <c r="C432" s="5"/>
      <c r="H432" s="5"/>
    </row>
    <row r="433" spans="3:8" x14ac:dyDescent="0.35">
      <c r="C433" s="5"/>
      <c r="H433" s="5"/>
    </row>
    <row r="434" spans="3:8" x14ac:dyDescent="0.35">
      <c r="C434" s="5"/>
      <c r="H434" s="5"/>
    </row>
    <row r="435" spans="3:8" x14ac:dyDescent="0.35">
      <c r="C435" s="5"/>
      <c r="H435" s="5"/>
    </row>
    <row r="436" spans="3:8" x14ac:dyDescent="0.35">
      <c r="C436" s="5"/>
      <c r="H436" s="5"/>
    </row>
    <row r="437" spans="3:8" x14ac:dyDescent="0.35">
      <c r="C437" s="5"/>
      <c r="H437" s="5"/>
    </row>
    <row r="438" spans="3:8" x14ac:dyDescent="0.35">
      <c r="C438" s="5"/>
      <c r="H438" s="5"/>
    </row>
    <row r="439" spans="3:8" x14ac:dyDescent="0.35">
      <c r="C439" s="5"/>
      <c r="H439" s="5"/>
    </row>
    <row r="440" spans="3:8" x14ac:dyDescent="0.35">
      <c r="C440" s="5"/>
      <c r="H440" s="5"/>
    </row>
    <row r="441" spans="3:8" x14ac:dyDescent="0.35">
      <c r="C441" s="5"/>
      <c r="H441" s="5"/>
    </row>
    <row r="442" spans="3:8" x14ac:dyDescent="0.35">
      <c r="C442" s="5"/>
      <c r="H442" s="5"/>
    </row>
    <row r="443" spans="3:8" x14ac:dyDescent="0.35">
      <c r="C443" s="5"/>
      <c r="H443" s="5"/>
    </row>
    <row r="444" spans="3:8" x14ac:dyDescent="0.35">
      <c r="C444" s="5"/>
      <c r="H444" s="5"/>
    </row>
    <row r="445" spans="3:8" x14ac:dyDescent="0.35">
      <c r="C445" s="5"/>
      <c r="H445" s="5"/>
    </row>
    <row r="446" spans="3:8" x14ac:dyDescent="0.35">
      <c r="C446" s="5"/>
      <c r="H446" s="5"/>
    </row>
    <row r="447" spans="3:8" x14ac:dyDescent="0.35">
      <c r="C447" s="5"/>
      <c r="H447" s="5"/>
    </row>
    <row r="448" spans="3:8" x14ac:dyDescent="0.35">
      <c r="C448" s="5"/>
      <c r="H448" s="5"/>
    </row>
    <row r="449" spans="3:8" x14ac:dyDescent="0.35">
      <c r="C449" s="5"/>
      <c r="H449" s="5"/>
    </row>
    <row r="450" spans="3:8" x14ac:dyDescent="0.35">
      <c r="C450" s="5"/>
      <c r="H450" s="5"/>
    </row>
    <row r="451" spans="3:8" x14ac:dyDescent="0.35">
      <c r="C451" s="5"/>
      <c r="H451" s="5"/>
    </row>
    <row r="452" spans="3:8" x14ac:dyDescent="0.35">
      <c r="C452" s="5"/>
      <c r="H452" s="5"/>
    </row>
    <row r="453" spans="3:8" x14ac:dyDescent="0.35">
      <c r="C453" s="5"/>
      <c r="H453" s="5"/>
    </row>
    <row r="454" spans="3:8" x14ac:dyDescent="0.35">
      <c r="C454" s="5"/>
      <c r="H454" s="5"/>
    </row>
    <row r="455" spans="3:8" x14ac:dyDescent="0.35">
      <c r="C455" s="5"/>
      <c r="H455" s="5"/>
    </row>
    <row r="456" spans="3:8" x14ac:dyDescent="0.35">
      <c r="C456" s="5"/>
      <c r="H456" s="5"/>
    </row>
    <row r="457" spans="3:8" x14ac:dyDescent="0.35">
      <c r="C457" s="5"/>
      <c r="H457" s="5"/>
    </row>
    <row r="458" spans="3:8" x14ac:dyDescent="0.35">
      <c r="C458" s="5"/>
      <c r="H458" s="5"/>
    </row>
    <row r="459" spans="3:8" x14ac:dyDescent="0.35">
      <c r="C459" s="5"/>
      <c r="H459" s="5"/>
    </row>
    <row r="460" spans="3:8" x14ac:dyDescent="0.35">
      <c r="C460" s="5"/>
      <c r="H460" s="5"/>
    </row>
    <row r="461" spans="3:8" x14ac:dyDescent="0.35">
      <c r="C461" s="5"/>
      <c r="H461" s="5"/>
    </row>
    <row r="462" spans="3:8" x14ac:dyDescent="0.35">
      <c r="C462" s="5"/>
      <c r="H462" s="5"/>
    </row>
    <row r="463" spans="3:8" x14ac:dyDescent="0.35">
      <c r="C463" s="5"/>
      <c r="H463" s="5"/>
    </row>
    <row r="464" spans="3:8" x14ac:dyDescent="0.35">
      <c r="C464" s="5"/>
      <c r="H464" s="5"/>
    </row>
    <row r="465" spans="3:8" x14ac:dyDescent="0.35">
      <c r="C465" s="5"/>
      <c r="H465" s="5"/>
    </row>
    <row r="466" spans="3:8" x14ac:dyDescent="0.35">
      <c r="C466" s="5"/>
      <c r="H466" s="5"/>
    </row>
    <row r="467" spans="3:8" x14ac:dyDescent="0.35">
      <c r="C467" s="5"/>
      <c r="H467" s="5"/>
    </row>
    <row r="468" spans="3:8" x14ac:dyDescent="0.35">
      <c r="C468" s="5"/>
      <c r="H468" s="5"/>
    </row>
    <row r="469" spans="3:8" x14ac:dyDescent="0.35">
      <c r="C469" s="5"/>
      <c r="H469" s="5"/>
    </row>
    <row r="470" spans="3:8" x14ac:dyDescent="0.35">
      <c r="C470" s="5"/>
      <c r="H470" s="5"/>
    </row>
    <row r="471" spans="3:8" x14ac:dyDescent="0.35">
      <c r="C471" s="5"/>
      <c r="H471" s="5"/>
    </row>
    <row r="472" spans="3:8" x14ac:dyDescent="0.35">
      <c r="C472" s="5"/>
      <c r="H472" s="5"/>
    </row>
    <row r="473" spans="3:8" x14ac:dyDescent="0.35">
      <c r="C473" s="5"/>
      <c r="H473" s="5"/>
    </row>
    <row r="474" spans="3:8" x14ac:dyDescent="0.35">
      <c r="C474" s="5"/>
      <c r="H474" s="5"/>
    </row>
    <row r="475" spans="3:8" x14ac:dyDescent="0.35">
      <c r="C475" s="5"/>
      <c r="H475" s="5"/>
    </row>
    <row r="476" spans="3:8" x14ac:dyDescent="0.35">
      <c r="C476" s="5"/>
      <c r="H476" s="5"/>
    </row>
    <row r="477" spans="3:8" x14ac:dyDescent="0.35">
      <c r="C477" s="5"/>
      <c r="H477" s="5"/>
    </row>
    <row r="478" spans="3:8" x14ac:dyDescent="0.35">
      <c r="C478" s="5"/>
      <c r="H478" s="5"/>
    </row>
    <row r="479" spans="3:8" x14ac:dyDescent="0.35">
      <c r="C479" s="5"/>
      <c r="H479" s="5"/>
    </row>
    <row r="480" spans="3:8" x14ac:dyDescent="0.35">
      <c r="C480" s="5"/>
      <c r="H480" s="5"/>
    </row>
    <row r="481" spans="3:8" x14ac:dyDescent="0.35">
      <c r="C481" s="5"/>
      <c r="H481" s="5"/>
    </row>
    <row r="482" spans="3:8" x14ac:dyDescent="0.35">
      <c r="C482" s="5"/>
      <c r="H482" s="5"/>
    </row>
    <row r="483" spans="3:8" x14ac:dyDescent="0.35">
      <c r="C483" s="5"/>
      <c r="H483" s="5"/>
    </row>
    <row r="484" spans="3:8" x14ac:dyDescent="0.35">
      <c r="C484" s="5"/>
      <c r="H484" s="5"/>
    </row>
    <row r="485" spans="3:8" x14ac:dyDescent="0.35">
      <c r="C485" s="5"/>
      <c r="H485" s="5"/>
    </row>
    <row r="486" spans="3:8" x14ac:dyDescent="0.35">
      <c r="C486" s="5"/>
      <c r="H486" s="5"/>
    </row>
    <row r="487" spans="3:8" x14ac:dyDescent="0.35">
      <c r="C487" s="5"/>
      <c r="H487" s="5"/>
    </row>
    <row r="488" spans="3:8" x14ac:dyDescent="0.35">
      <c r="C488" s="5"/>
      <c r="H488" s="5"/>
    </row>
    <row r="489" spans="3:8" x14ac:dyDescent="0.35">
      <c r="C489" s="5"/>
      <c r="H489" s="5"/>
    </row>
    <row r="490" spans="3:8" x14ac:dyDescent="0.35">
      <c r="C490" s="5"/>
      <c r="H490" s="5"/>
    </row>
    <row r="491" spans="3:8" x14ac:dyDescent="0.35">
      <c r="C491" s="5"/>
      <c r="H491" s="5"/>
    </row>
    <row r="492" spans="3:8" x14ac:dyDescent="0.35">
      <c r="C492" s="5"/>
      <c r="H492" s="5"/>
    </row>
    <row r="493" spans="3:8" x14ac:dyDescent="0.35">
      <c r="C493" s="5"/>
      <c r="H493" s="5"/>
    </row>
    <row r="494" spans="3:8" x14ac:dyDescent="0.35">
      <c r="C494" s="5"/>
      <c r="H494" s="5"/>
    </row>
    <row r="495" spans="3:8" x14ac:dyDescent="0.35">
      <c r="C495" s="5"/>
      <c r="H495" s="5"/>
    </row>
    <row r="496" spans="3:8" x14ac:dyDescent="0.35">
      <c r="C496" s="5"/>
      <c r="H496" s="5"/>
    </row>
    <row r="497" spans="3:8" x14ac:dyDescent="0.35">
      <c r="C497" s="5"/>
      <c r="H497" s="5"/>
    </row>
    <row r="498" spans="3:8" x14ac:dyDescent="0.35">
      <c r="C498" s="5"/>
      <c r="H498" s="5"/>
    </row>
    <row r="499" spans="3:8" x14ac:dyDescent="0.35">
      <c r="C499" s="5"/>
      <c r="H499" s="5"/>
    </row>
    <row r="500" spans="3:8" x14ac:dyDescent="0.35">
      <c r="C500" s="5"/>
      <c r="H500" s="5"/>
    </row>
    <row r="501" spans="3:8" x14ac:dyDescent="0.35">
      <c r="C501" s="5"/>
      <c r="H501" s="5"/>
    </row>
    <row r="502" spans="3:8" x14ac:dyDescent="0.35">
      <c r="C502" s="5"/>
      <c r="H502" s="5"/>
    </row>
    <row r="503" spans="3:8" x14ac:dyDescent="0.35">
      <c r="C503" s="5"/>
      <c r="H503" s="5"/>
    </row>
    <row r="504" spans="3:8" x14ac:dyDescent="0.35">
      <c r="C504" s="5"/>
      <c r="H504" s="5"/>
    </row>
    <row r="505" spans="3:8" x14ac:dyDescent="0.35">
      <c r="C505" s="5"/>
      <c r="H505" s="5"/>
    </row>
    <row r="506" spans="3:8" x14ac:dyDescent="0.35">
      <c r="C506" s="5"/>
      <c r="H506" s="5"/>
    </row>
    <row r="507" spans="3:8" x14ac:dyDescent="0.35">
      <c r="C507" s="5"/>
      <c r="H507" s="5"/>
    </row>
    <row r="508" spans="3:8" x14ac:dyDescent="0.35">
      <c r="C508" s="5"/>
      <c r="H508" s="5"/>
    </row>
    <row r="509" spans="3:8" x14ac:dyDescent="0.35">
      <c r="C509" s="5"/>
      <c r="H509" s="5"/>
    </row>
    <row r="510" spans="3:8" x14ac:dyDescent="0.35">
      <c r="C510" s="5"/>
      <c r="H510" s="5"/>
    </row>
    <row r="511" spans="3:8" x14ac:dyDescent="0.35">
      <c r="C511" s="5"/>
      <c r="H511" s="5"/>
    </row>
    <row r="512" spans="3:8" x14ac:dyDescent="0.35">
      <c r="C512" s="5"/>
      <c r="H512" s="5"/>
    </row>
    <row r="513" spans="3:8" x14ac:dyDescent="0.35">
      <c r="C513" s="5"/>
      <c r="H513" s="5"/>
    </row>
    <row r="514" spans="3:8" x14ac:dyDescent="0.35">
      <c r="C514" s="5"/>
      <c r="H514" s="5"/>
    </row>
    <row r="515" spans="3:8" x14ac:dyDescent="0.35">
      <c r="C515" s="5"/>
      <c r="H515" s="5"/>
    </row>
    <row r="516" spans="3:8" x14ac:dyDescent="0.35">
      <c r="C516" s="5"/>
      <c r="H516" s="5"/>
    </row>
    <row r="517" spans="3:8" x14ac:dyDescent="0.35">
      <c r="C517" s="5"/>
      <c r="H517" s="5"/>
    </row>
    <row r="518" spans="3:8" x14ac:dyDescent="0.35">
      <c r="C518" s="5"/>
      <c r="H518" s="5"/>
    </row>
    <row r="519" spans="3:8" x14ac:dyDescent="0.35">
      <c r="C519" s="5"/>
      <c r="H519" s="5"/>
    </row>
    <row r="520" spans="3:8" x14ac:dyDescent="0.35">
      <c r="C520" s="5"/>
      <c r="H520" s="5"/>
    </row>
    <row r="521" spans="3:8" x14ac:dyDescent="0.35">
      <c r="C521" s="5"/>
      <c r="H521" s="5"/>
    </row>
    <row r="522" spans="3:8" x14ac:dyDescent="0.35">
      <c r="C522" s="5"/>
      <c r="H522" s="5"/>
    </row>
    <row r="523" spans="3:8" x14ac:dyDescent="0.35">
      <c r="C523" s="5"/>
      <c r="H523" s="5"/>
    </row>
    <row r="524" spans="3:8" x14ac:dyDescent="0.35">
      <c r="C524" s="5"/>
      <c r="H524" s="5"/>
    </row>
    <row r="525" spans="3:8" x14ac:dyDescent="0.35">
      <c r="C525" s="5"/>
      <c r="H525" s="5"/>
    </row>
    <row r="526" spans="3:8" x14ac:dyDescent="0.35">
      <c r="C526" s="5"/>
      <c r="H526" s="5"/>
    </row>
    <row r="527" spans="3:8" x14ac:dyDescent="0.35">
      <c r="C527" s="5"/>
      <c r="H527" s="5"/>
    </row>
    <row r="528" spans="3:8" x14ac:dyDescent="0.35">
      <c r="C528" s="5"/>
      <c r="H528" s="5"/>
    </row>
    <row r="529" spans="3:8" x14ac:dyDescent="0.35">
      <c r="C529" s="5"/>
      <c r="H529" s="5"/>
    </row>
    <row r="530" spans="3:8" x14ac:dyDescent="0.35">
      <c r="C530" s="5"/>
      <c r="H530" s="5"/>
    </row>
    <row r="531" spans="3:8" x14ac:dyDescent="0.35">
      <c r="C531" s="5"/>
      <c r="H531" s="5"/>
    </row>
    <row r="532" spans="3:8" x14ac:dyDescent="0.35">
      <c r="C532" s="5"/>
      <c r="H532" s="5"/>
    </row>
    <row r="533" spans="3:8" x14ac:dyDescent="0.35">
      <c r="C533" s="5"/>
      <c r="H533" s="5"/>
    </row>
    <row r="534" spans="3:8" x14ac:dyDescent="0.35">
      <c r="C534" s="5"/>
      <c r="H534" s="5"/>
    </row>
    <row r="535" spans="3:8" x14ac:dyDescent="0.35">
      <c r="C535" s="5"/>
      <c r="H535" s="5"/>
    </row>
    <row r="536" spans="3:8" x14ac:dyDescent="0.35">
      <c r="C536" s="5"/>
      <c r="H536" s="5"/>
    </row>
    <row r="537" spans="3:8" x14ac:dyDescent="0.35">
      <c r="C537" s="5"/>
      <c r="H537" s="5"/>
    </row>
    <row r="538" spans="3:8" x14ac:dyDescent="0.35">
      <c r="C538" s="5"/>
      <c r="H538" s="5"/>
    </row>
    <row r="539" spans="3:8" x14ac:dyDescent="0.35">
      <c r="C539" s="5"/>
      <c r="H539" s="5"/>
    </row>
    <row r="540" spans="3:8" x14ac:dyDescent="0.35">
      <c r="C540" s="5"/>
      <c r="H540" s="5"/>
    </row>
    <row r="541" spans="3:8" x14ac:dyDescent="0.35">
      <c r="C541" s="5"/>
      <c r="H541" s="5"/>
    </row>
    <row r="542" spans="3:8" x14ac:dyDescent="0.35">
      <c r="C542" s="5"/>
      <c r="H542" s="5"/>
    </row>
    <row r="543" spans="3:8" x14ac:dyDescent="0.35">
      <c r="C543" s="5"/>
      <c r="H543" s="5"/>
    </row>
    <row r="544" spans="3:8" x14ac:dyDescent="0.35">
      <c r="C544" s="5"/>
      <c r="H544" s="5"/>
    </row>
    <row r="545" spans="3:8" x14ac:dyDescent="0.35">
      <c r="C545" s="5"/>
      <c r="H545" s="5"/>
    </row>
    <row r="546" spans="3:8" x14ac:dyDescent="0.35">
      <c r="C546" s="5"/>
      <c r="H546" s="5"/>
    </row>
    <row r="547" spans="3:8" x14ac:dyDescent="0.35">
      <c r="C547" s="5"/>
      <c r="H547" s="5"/>
    </row>
    <row r="548" spans="3:8" x14ac:dyDescent="0.35">
      <c r="C548" s="5"/>
      <c r="H548" s="5"/>
    </row>
    <row r="549" spans="3:8" x14ac:dyDescent="0.35">
      <c r="C549" s="5"/>
      <c r="H549" s="5"/>
    </row>
    <row r="550" spans="3:8" x14ac:dyDescent="0.35">
      <c r="C550" s="5"/>
      <c r="H550" s="5"/>
    </row>
    <row r="551" spans="3:8" x14ac:dyDescent="0.35">
      <c r="C551" s="5"/>
      <c r="H551" s="5"/>
    </row>
    <row r="552" spans="3:8" x14ac:dyDescent="0.35">
      <c r="C552" s="5"/>
      <c r="H552" s="5"/>
    </row>
    <row r="553" spans="3:8" x14ac:dyDescent="0.35">
      <c r="C553" s="5"/>
      <c r="H553" s="5"/>
    </row>
    <row r="554" spans="3:8" x14ac:dyDescent="0.35">
      <c r="C554" s="5"/>
      <c r="H554" s="5"/>
    </row>
    <row r="555" spans="3:8" x14ac:dyDescent="0.35">
      <c r="C555" s="5"/>
      <c r="H555" s="5"/>
    </row>
    <row r="556" spans="3:8" x14ac:dyDescent="0.35">
      <c r="C556" s="5"/>
      <c r="H556" s="5"/>
    </row>
    <row r="557" spans="3:8" x14ac:dyDescent="0.35">
      <c r="C557" s="5"/>
      <c r="H557" s="5"/>
    </row>
    <row r="558" spans="3:8" x14ac:dyDescent="0.35">
      <c r="C558" s="5"/>
      <c r="H558" s="5"/>
    </row>
    <row r="559" spans="3:8" x14ac:dyDescent="0.35">
      <c r="C559" s="5"/>
      <c r="H559" s="5"/>
    </row>
    <row r="560" spans="3:8" x14ac:dyDescent="0.35">
      <c r="C560" s="5"/>
      <c r="H560" s="5"/>
    </row>
    <row r="561" spans="3:8" x14ac:dyDescent="0.35">
      <c r="C561" s="5"/>
      <c r="H561" s="5"/>
    </row>
    <row r="562" spans="3:8" x14ac:dyDescent="0.35">
      <c r="C562" s="5"/>
      <c r="H562" s="5"/>
    </row>
    <row r="563" spans="3:8" x14ac:dyDescent="0.35">
      <c r="C563" s="5"/>
      <c r="H563" s="5"/>
    </row>
    <row r="564" spans="3:8" x14ac:dyDescent="0.35">
      <c r="C564" s="5"/>
      <c r="H564" s="5"/>
    </row>
    <row r="565" spans="3:8" x14ac:dyDescent="0.35">
      <c r="C565" s="5"/>
      <c r="H565" s="5"/>
    </row>
    <row r="566" spans="3:8" x14ac:dyDescent="0.35">
      <c r="C566" s="5"/>
      <c r="H566" s="5"/>
    </row>
    <row r="567" spans="3:8" x14ac:dyDescent="0.35">
      <c r="C567" s="5"/>
      <c r="H567" s="5"/>
    </row>
    <row r="568" spans="3:8" x14ac:dyDescent="0.35">
      <c r="C568" s="5"/>
      <c r="H568" s="5"/>
    </row>
    <row r="569" spans="3:8" x14ac:dyDescent="0.35">
      <c r="C569" s="5"/>
      <c r="H569" s="5"/>
    </row>
    <row r="570" spans="3:8" x14ac:dyDescent="0.35">
      <c r="C570" s="5"/>
      <c r="H570" s="5"/>
    </row>
    <row r="571" spans="3:8" x14ac:dyDescent="0.35">
      <c r="C571" s="5"/>
      <c r="H571" s="5"/>
    </row>
    <row r="572" spans="3:8" x14ac:dyDescent="0.35">
      <c r="C572" s="5"/>
      <c r="H572" s="5"/>
    </row>
    <row r="573" spans="3:8" x14ac:dyDescent="0.35">
      <c r="C573" s="5"/>
      <c r="H573" s="5"/>
    </row>
    <row r="574" spans="3:8" x14ac:dyDescent="0.35">
      <c r="C574" s="5"/>
      <c r="H574" s="5"/>
    </row>
    <row r="575" spans="3:8" x14ac:dyDescent="0.35">
      <c r="C575" s="5"/>
      <c r="H575" s="5"/>
    </row>
    <row r="576" spans="3:8" x14ac:dyDescent="0.35">
      <c r="C576" s="5"/>
      <c r="H576" s="5"/>
    </row>
    <row r="577" spans="3:8" x14ac:dyDescent="0.35">
      <c r="C577" s="5"/>
      <c r="H577" s="5"/>
    </row>
    <row r="578" spans="3:8" x14ac:dyDescent="0.35">
      <c r="C578" s="5"/>
      <c r="H578" s="5"/>
    </row>
    <row r="579" spans="3:8" x14ac:dyDescent="0.35">
      <c r="C579" s="5"/>
      <c r="H579" s="5"/>
    </row>
    <row r="580" spans="3:8" x14ac:dyDescent="0.35">
      <c r="C580" s="5"/>
      <c r="H580" s="5"/>
    </row>
    <row r="581" spans="3:8" x14ac:dyDescent="0.35">
      <c r="C581" s="5"/>
      <c r="H581" s="5"/>
    </row>
    <row r="582" spans="3:8" x14ac:dyDescent="0.35">
      <c r="C582" s="5"/>
      <c r="H582" s="5"/>
    </row>
    <row r="583" spans="3:8" x14ac:dyDescent="0.35">
      <c r="C583" s="5"/>
      <c r="H583" s="5"/>
    </row>
    <row r="584" spans="3:8" x14ac:dyDescent="0.35">
      <c r="C584" s="5"/>
      <c r="H584" s="5"/>
    </row>
    <row r="585" spans="3:8" x14ac:dyDescent="0.35">
      <c r="C585" s="5"/>
      <c r="H585" s="5"/>
    </row>
    <row r="586" spans="3:8" x14ac:dyDescent="0.35">
      <c r="C586" s="5"/>
      <c r="H586" s="5"/>
    </row>
    <row r="587" spans="3:8" x14ac:dyDescent="0.35">
      <c r="C587" s="5"/>
      <c r="H587" s="5"/>
    </row>
    <row r="588" spans="3:8" x14ac:dyDescent="0.35">
      <c r="C588" s="5"/>
      <c r="H588" s="5"/>
    </row>
    <row r="589" spans="3:8" x14ac:dyDescent="0.35">
      <c r="C589" s="5"/>
      <c r="H589" s="5"/>
    </row>
    <row r="590" spans="3:8" x14ac:dyDescent="0.35">
      <c r="C590" s="5"/>
      <c r="H590" s="5"/>
    </row>
    <row r="591" spans="3:8" x14ac:dyDescent="0.35">
      <c r="C591" s="5"/>
      <c r="H591" s="5"/>
    </row>
    <row r="592" spans="3:8" x14ac:dyDescent="0.35">
      <c r="C592" s="5"/>
      <c r="H592" s="5"/>
    </row>
    <row r="593" spans="3:8" x14ac:dyDescent="0.35">
      <c r="C593" s="5"/>
      <c r="H593" s="5"/>
    </row>
    <row r="594" spans="3:8" x14ac:dyDescent="0.35">
      <c r="C594" s="5"/>
      <c r="H594" s="5"/>
    </row>
    <row r="595" spans="3:8" x14ac:dyDescent="0.35">
      <c r="C595" s="5"/>
      <c r="H595" s="5"/>
    </row>
    <row r="596" spans="3:8" x14ac:dyDescent="0.35">
      <c r="C596" s="5"/>
      <c r="H596" s="5"/>
    </row>
    <row r="597" spans="3:8" x14ac:dyDescent="0.35">
      <c r="C597" s="5"/>
      <c r="H597" s="5"/>
    </row>
    <row r="598" spans="3:8" x14ac:dyDescent="0.35">
      <c r="C598" s="5"/>
      <c r="H598" s="5"/>
    </row>
    <row r="599" spans="3:8" x14ac:dyDescent="0.35">
      <c r="C599" s="5"/>
      <c r="H599" s="5"/>
    </row>
    <row r="600" spans="3:8" x14ac:dyDescent="0.35">
      <c r="C600" s="5"/>
      <c r="H600" s="5"/>
    </row>
    <row r="601" spans="3:8" x14ac:dyDescent="0.35">
      <c r="C601" s="5"/>
      <c r="H601" s="5"/>
    </row>
    <row r="602" spans="3:8" x14ac:dyDescent="0.35">
      <c r="C602" s="5"/>
      <c r="H602" s="5"/>
    </row>
    <row r="603" spans="3:8" x14ac:dyDescent="0.35">
      <c r="C603" s="5"/>
      <c r="H603" s="5"/>
    </row>
    <row r="604" spans="3:8" x14ac:dyDescent="0.35">
      <c r="C604" s="5"/>
      <c r="H604" s="5"/>
    </row>
    <row r="605" spans="3:8" x14ac:dyDescent="0.35">
      <c r="C605" s="5"/>
      <c r="H605" s="5"/>
    </row>
    <row r="606" spans="3:8" x14ac:dyDescent="0.35">
      <c r="C606" s="5"/>
      <c r="H606" s="5"/>
    </row>
    <row r="607" spans="3:8" x14ac:dyDescent="0.35">
      <c r="C607" s="5"/>
      <c r="H607" s="5"/>
    </row>
    <row r="608" spans="3:8" x14ac:dyDescent="0.35">
      <c r="C608" s="5"/>
      <c r="H608" s="5"/>
    </row>
    <row r="609" spans="3:8" x14ac:dyDescent="0.35">
      <c r="C609" s="5"/>
      <c r="H609" s="5"/>
    </row>
    <row r="610" spans="3:8" x14ac:dyDescent="0.35">
      <c r="C610" s="5"/>
      <c r="H610" s="5"/>
    </row>
    <row r="611" spans="3:8" x14ac:dyDescent="0.35">
      <c r="C611" s="5"/>
      <c r="H611" s="5"/>
    </row>
    <row r="612" spans="3:8" x14ac:dyDescent="0.35">
      <c r="C612" s="5"/>
      <c r="H612" s="5"/>
    </row>
    <row r="613" spans="3:8" x14ac:dyDescent="0.35">
      <c r="C613" s="5"/>
      <c r="H613" s="5"/>
    </row>
    <row r="614" spans="3:8" x14ac:dyDescent="0.35">
      <c r="C614" s="5"/>
      <c r="H614" s="5"/>
    </row>
    <row r="615" spans="3:8" x14ac:dyDescent="0.35">
      <c r="C615" s="5"/>
      <c r="H615" s="5"/>
    </row>
    <row r="616" spans="3:8" x14ac:dyDescent="0.35">
      <c r="C616" s="5"/>
      <c r="H616" s="5"/>
    </row>
    <row r="617" spans="3:8" x14ac:dyDescent="0.35">
      <c r="C617" s="5"/>
      <c r="H617" s="5"/>
    </row>
    <row r="618" spans="3:8" x14ac:dyDescent="0.35">
      <c r="C618" s="5"/>
      <c r="H618" s="5"/>
    </row>
    <row r="619" spans="3:8" x14ac:dyDescent="0.35">
      <c r="C619" s="5"/>
      <c r="H619" s="5"/>
    </row>
    <row r="620" spans="3:8" x14ac:dyDescent="0.35">
      <c r="C620" s="5"/>
      <c r="H620" s="5"/>
    </row>
    <row r="621" spans="3:8" x14ac:dyDescent="0.35">
      <c r="C621" s="5"/>
      <c r="H621" s="5"/>
    </row>
    <row r="622" spans="3:8" x14ac:dyDescent="0.35">
      <c r="C622" s="5"/>
      <c r="H622" s="5"/>
    </row>
    <row r="623" spans="3:8" x14ac:dyDescent="0.35">
      <c r="C623" s="5"/>
      <c r="H623" s="5"/>
    </row>
    <row r="624" spans="3:8" x14ac:dyDescent="0.35">
      <c r="C624" s="5"/>
      <c r="H624" s="5"/>
    </row>
    <row r="625" spans="3:8" x14ac:dyDescent="0.35">
      <c r="C625" s="5"/>
      <c r="H625" s="5"/>
    </row>
    <row r="626" spans="3:8" x14ac:dyDescent="0.35">
      <c r="C626" s="5"/>
      <c r="H626" s="5"/>
    </row>
    <row r="627" spans="3:8" x14ac:dyDescent="0.35">
      <c r="C627" s="5"/>
      <c r="H627" s="5"/>
    </row>
    <row r="628" spans="3:8" x14ac:dyDescent="0.35">
      <c r="C628" s="5"/>
      <c r="H628" s="5"/>
    </row>
    <row r="629" spans="3:8" x14ac:dyDescent="0.35">
      <c r="C629" s="5"/>
      <c r="H629" s="5"/>
    </row>
    <row r="630" spans="3:8" x14ac:dyDescent="0.35">
      <c r="C630" s="5"/>
      <c r="H630" s="5"/>
    </row>
    <row r="631" spans="3:8" x14ac:dyDescent="0.35">
      <c r="C631" s="5"/>
      <c r="H631" s="5"/>
    </row>
    <row r="632" spans="3:8" x14ac:dyDescent="0.35">
      <c r="C632" s="5"/>
      <c r="H632" s="5"/>
    </row>
    <row r="633" spans="3:8" x14ac:dyDescent="0.35">
      <c r="C633" s="5"/>
      <c r="H633" s="5"/>
    </row>
    <row r="634" spans="3:8" x14ac:dyDescent="0.35">
      <c r="C634" s="5"/>
      <c r="H634" s="5"/>
    </row>
    <row r="635" spans="3:8" x14ac:dyDescent="0.35">
      <c r="C635" s="5"/>
      <c r="H635" s="5"/>
    </row>
    <row r="636" spans="3:8" x14ac:dyDescent="0.35">
      <c r="C636" s="5"/>
      <c r="H636" s="5"/>
    </row>
    <row r="637" spans="3:8" x14ac:dyDescent="0.35">
      <c r="C637" s="5"/>
      <c r="H637" s="5"/>
    </row>
    <row r="638" spans="3:8" x14ac:dyDescent="0.35">
      <c r="C638" s="5"/>
      <c r="H638" s="5"/>
    </row>
    <row r="639" spans="3:8" x14ac:dyDescent="0.35">
      <c r="C639" s="5"/>
      <c r="H639" s="5"/>
    </row>
    <row r="640" spans="3:8" x14ac:dyDescent="0.35">
      <c r="C640" s="5"/>
      <c r="H640" s="5"/>
    </row>
    <row r="641" spans="3:8" x14ac:dyDescent="0.35">
      <c r="C641" s="5"/>
      <c r="H641" s="5"/>
    </row>
    <row r="642" spans="3:8" x14ac:dyDescent="0.35">
      <c r="C642" s="5"/>
      <c r="H642" s="5"/>
    </row>
    <row r="643" spans="3:8" x14ac:dyDescent="0.35">
      <c r="C643" s="5"/>
      <c r="H643" s="5"/>
    </row>
    <row r="644" spans="3:8" x14ac:dyDescent="0.35">
      <c r="C644" s="5"/>
      <c r="H644" s="5"/>
    </row>
    <row r="645" spans="3:8" x14ac:dyDescent="0.35">
      <c r="C645" s="5"/>
      <c r="H645" s="5"/>
    </row>
    <row r="646" spans="3:8" x14ac:dyDescent="0.35">
      <c r="C646" s="5"/>
      <c r="H646" s="5"/>
    </row>
    <row r="647" spans="3:8" x14ac:dyDescent="0.35">
      <c r="C647" s="5"/>
      <c r="H647" s="5"/>
    </row>
    <row r="648" spans="3:8" x14ac:dyDescent="0.35">
      <c r="C648" s="5"/>
      <c r="H648" s="5"/>
    </row>
    <row r="649" spans="3:8" x14ac:dyDescent="0.35">
      <c r="C649" s="5"/>
      <c r="H649" s="5"/>
    </row>
    <row r="650" spans="3:8" x14ac:dyDescent="0.35">
      <c r="C650" s="5"/>
      <c r="H650" s="5"/>
    </row>
    <row r="651" spans="3:8" x14ac:dyDescent="0.35">
      <c r="C651" s="5"/>
      <c r="H651" s="5"/>
    </row>
    <row r="652" spans="3:8" x14ac:dyDescent="0.35">
      <c r="C652" s="5"/>
      <c r="H652" s="5"/>
    </row>
    <row r="653" spans="3:8" x14ac:dyDescent="0.35">
      <c r="C653" s="5"/>
      <c r="H653" s="5"/>
    </row>
    <row r="654" spans="3:8" x14ac:dyDescent="0.35">
      <c r="C654" s="5"/>
      <c r="H654" s="5"/>
    </row>
    <row r="655" spans="3:8" x14ac:dyDescent="0.35">
      <c r="C655" s="5"/>
      <c r="H655" s="5"/>
    </row>
    <row r="656" spans="3:8" x14ac:dyDescent="0.35">
      <c r="C656" s="5"/>
      <c r="H656" s="5"/>
    </row>
    <row r="657" spans="3:8" x14ac:dyDescent="0.35">
      <c r="C657" s="5"/>
      <c r="H657" s="5"/>
    </row>
    <row r="658" spans="3:8" x14ac:dyDescent="0.35">
      <c r="C658" s="5"/>
      <c r="H658" s="5"/>
    </row>
    <row r="659" spans="3:8" x14ac:dyDescent="0.35">
      <c r="C659" s="5"/>
      <c r="H659" s="5"/>
    </row>
    <row r="660" spans="3:8" x14ac:dyDescent="0.35">
      <c r="C660" s="5"/>
      <c r="H660" s="5"/>
    </row>
    <row r="661" spans="3:8" x14ac:dyDescent="0.35">
      <c r="C661" s="5"/>
      <c r="H661" s="5"/>
    </row>
    <row r="662" spans="3:8" x14ac:dyDescent="0.35">
      <c r="C662" s="5"/>
      <c r="H662" s="5"/>
    </row>
    <row r="663" spans="3:8" x14ac:dyDescent="0.35">
      <c r="C663" s="5"/>
      <c r="H663" s="5"/>
    </row>
    <row r="664" spans="3:8" x14ac:dyDescent="0.35">
      <c r="C664" s="5"/>
      <c r="H664" s="5"/>
    </row>
    <row r="665" spans="3:8" x14ac:dyDescent="0.35">
      <c r="C665" s="5"/>
      <c r="H665" s="5"/>
    </row>
    <row r="666" spans="3:8" x14ac:dyDescent="0.35">
      <c r="C666" s="5"/>
      <c r="H666" s="5"/>
    </row>
    <row r="667" spans="3:8" x14ac:dyDescent="0.35">
      <c r="C667" s="5"/>
      <c r="H667" s="5"/>
    </row>
    <row r="668" spans="3:8" x14ac:dyDescent="0.35">
      <c r="C668" s="5"/>
      <c r="H668" s="5"/>
    </row>
    <row r="669" spans="3:8" x14ac:dyDescent="0.35">
      <c r="C669" s="5"/>
      <c r="H669" s="5"/>
    </row>
    <row r="670" spans="3:8" x14ac:dyDescent="0.35">
      <c r="C670" s="5"/>
      <c r="H670" s="5"/>
    </row>
    <row r="671" spans="3:8" x14ac:dyDescent="0.35">
      <c r="C671" s="5"/>
      <c r="H671" s="5"/>
    </row>
    <row r="672" spans="3:8" x14ac:dyDescent="0.35">
      <c r="C672" s="5"/>
      <c r="H672" s="5"/>
    </row>
    <row r="673" spans="3:8" x14ac:dyDescent="0.35">
      <c r="C673" s="5"/>
      <c r="H673" s="5"/>
    </row>
    <row r="674" spans="3:8" x14ac:dyDescent="0.35">
      <c r="C674" s="5"/>
      <c r="H674" s="5"/>
    </row>
    <row r="675" spans="3:8" x14ac:dyDescent="0.35">
      <c r="C675" s="5"/>
      <c r="H675" s="5"/>
    </row>
    <row r="676" spans="3:8" x14ac:dyDescent="0.35">
      <c r="C676" s="5"/>
      <c r="H676" s="5"/>
    </row>
    <row r="677" spans="3:8" x14ac:dyDescent="0.35">
      <c r="C677" s="5"/>
      <c r="H677" s="5"/>
    </row>
    <row r="678" spans="3:8" x14ac:dyDescent="0.35">
      <c r="C678" s="5"/>
      <c r="H678" s="5"/>
    </row>
    <row r="679" spans="3:8" x14ac:dyDescent="0.35">
      <c r="C679" s="5"/>
      <c r="H679" s="5"/>
    </row>
    <row r="680" spans="3:8" x14ac:dyDescent="0.35">
      <c r="C680" s="5"/>
      <c r="H680" s="5"/>
    </row>
    <row r="681" spans="3:8" x14ac:dyDescent="0.35">
      <c r="C681" s="5"/>
      <c r="H681" s="5"/>
    </row>
    <row r="682" spans="3:8" x14ac:dyDescent="0.35">
      <c r="C682" s="5"/>
      <c r="H682" s="5"/>
    </row>
    <row r="683" spans="3:8" x14ac:dyDescent="0.35">
      <c r="C683" s="5"/>
      <c r="H683" s="5"/>
    </row>
    <row r="684" spans="3:8" x14ac:dyDescent="0.35">
      <c r="C684" s="5"/>
      <c r="H684" s="5"/>
    </row>
    <row r="685" spans="3:8" x14ac:dyDescent="0.35">
      <c r="C685" s="5"/>
      <c r="H685" s="5"/>
    </row>
    <row r="686" spans="3:8" x14ac:dyDescent="0.35">
      <c r="C686" s="5"/>
      <c r="H686" s="5"/>
    </row>
    <row r="687" spans="3:8" x14ac:dyDescent="0.35">
      <c r="C687" s="5"/>
      <c r="H687" s="5"/>
    </row>
    <row r="688" spans="3:8" x14ac:dyDescent="0.35">
      <c r="C688" s="5"/>
      <c r="H688" s="5"/>
    </row>
    <row r="689" spans="3:8" x14ac:dyDescent="0.35">
      <c r="C689" s="5"/>
      <c r="H689" s="5"/>
    </row>
    <row r="690" spans="3:8" x14ac:dyDescent="0.35">
      <c r="C690" s="5"/>
      <c r="H690" s="5"/>
    </row>
    <row r="691" spans="3:8" x14ac:dyDescent="0.35">
      <c r="C691" s="5"/>
      <c r="H691" s="5"/>
    </row>
    <row r="692" spans="3:8" x14ac:dyDescent="0.35">
      <c r="C692" s="5"/>
      <c r="H692" s="5"/>
    </row>
    <row r="693" spans="3:8" x14ac:dyDescent="0.35">
      <c r="C693" s="5"/>
      <c r="H693" s="5"/>
    </row>
    <row r="694" spans="3:8" x14ac:dyDescent="0.35">
      <c r="C694" s="5"/>
      <c r="H694" s="5"/>
    </row>
    <row r="695" spans="3:8" x14ac:dyDescent="0.35">
      <c r="C695" s="5"/>
      <c r="H695" s="5"/>
    </row>
    <row r="696" spans="3:8" x14ac:dyDescent="0.35">
      <c r="C696" s="5"/>
      <c r="H696" s="5"/>
    </row>
    <row r="697" spans="3:8" x14ac:dyDescent="0.35">
      <c r="C697" s="5"/>
      <c r="H697" s="5"/>
    </row>
    <row r="698" spans="3:8" x14ac:dyDescent="0.35">
      <c r="C698" s="5"/>
      <c r="H698" s="5"/>
    </row>
    <row r="699" spans="3:8" x14ac:dyDescent="0.35">
      <c r="C699" s="5"/>
      <c r="H699" s="5"/>
    </row>
    <row r="700" spans="3:8" x14ac:dyDescent="0.35">
      <c r="C700" s="5"/>
      <c r="H700" s="5"/>
    </row>
    <row r="701" spans="3:8" x14ac:dyDescent="0.35">
      <c r="C701" s="5"/>
      <c r="H701" s="5"/>
    </row>
    <row r="702" spans="3:8" x14ac:dyDescent="0.35">
      <c r="C702" s="5"/>
      <c r="H702" s="5"/>
    </row>
    <row r="703" spans="3:8" x14ac:dyDescent="0.35">
      <c r="C703" s="5"/>
      <c r="H703" s="5"/>
    </row>
    <row r="704" spans="3:8" x14ac:dyDescent="0.35">
      <c r="C704" s="5"/>
      <c r="H704" s="5"/>
    </row>
    <row r="705" spans="3:8" x14ac:dyDescent="0.35">
      <c r="C705" s="5"/>
      <c r="H705" s="5"/>
    </row>
    <row r="706" spans="3:8" x14ac:dyDescent="0.35">
      <c r="C706" s="5"/>
      <c r="H706" s="5"/>
    </row>
    <row r="707" spans="3:8" x14ac:dyDescent="0.35">
      <c r="C707" s="5"/>
      <c r="H707" s="5"/>
    </row>
    <row r="708" spans="3:8" x14ac:dyDescent="0.35">
      <c r="C708" s="5"/>
      <c r="H708" s="5"/>
    </row>
    <row r="709" spans="3:8" x14ac:dyDescent="0.35">
      <c r="C709" s="5"/>
      <c r="H709" s="5"/>
    </row>
    <row r="710" spans="3:8" x14ac:dyDescent="0.35">
      <c r="C710" s="5"/>
      <c r="H710" s="5"/>
    </row>
    <row r="711" spans="3:8" x14ac:dyDescent="0.35">
      <c r="C711" s="5"/>
      <c r="H711" s="5"/>
    </row>
    <row r="712" spans="3:8" x14ac:dyDescent="0.35">
      <c r="C712" s="5"/>
      <c r="H712" s="5"/>
    </row>
    <row r="713" spans="3:8" x14ac:dyDescent="0.35">
      <c r="C713" s="5"/>
      <c r="H713" s="5"/>
    </row>
    <row r="714" spans="3:8" x14ac:dyDescent="0.35">
      <c r="C714" s="5"/>
      <c r="H714" s="5"/>
    </row>
    <row r="715" spans="3:8" x14ac:dyDescent="0.35">
      <c r="C715" s="5"/>
      <c r="H715" s="5"/>
    </row>
    <row r="716" spans="3:8" x14ac:dyDescent="0.35">
      <c r="C716" s="5"/>
      <c r="H716" s="5"/>
    </row>
    <row r="717" spans="3:8" x14ac:dyDescent="0.35">
      <c r="C717" s="5"/>
      <c r="H717" s="5"/>
    </row>
    <row r="718" spans="3:8" x14ac:dyDescent="0.35">
      <c r="C718" s="5"/>
      <c r="H718" s="5"/>
    </row>
    <row r="719" spans="3:8" x14ac:dyDescent="0.35">
      <c r="C719" s="5"/>
      <c r="H719" s="5"/>
    </row>
    <row r="720" spans="3:8" x14ac:dyDescent="0.35">
      <c r="C720" s="5"/>
      <c r="H720" s="5"/>
    </row>
    <row r="721" spans="3:8" x14ac:dyDescent="0.35">
      <c r="C721" s="5"/>
      <c r="H721" s="5"/>
    </row>
    <row r="722" spans="3:8" x14ac:dyDescent="0.35">
      <c r="C722" s="5"/>
      <c r="H722" s="5"/>
    </row>
    <row r="723" spans="3:8" x14ac:dyDescent="0.35">
      <c r="C723" s="5"/>
      <c r="H723" s="5"/>
    </row>
    <row r="724" spans="3:8" x14ac:dyDescent="0.35">
      <c r="C724" s="5"/>
      <c r="H724" s="5"/>
    </row>
    <row r="725" spans="3:8" x14ac:dyDescent="0.35">
      <c r="C725" s="5"/>
      <c r="H725" s="5"/>
    </row>
    <row r="726" spans="3:8" x14ac:dyDescent="0.35">
      <c r="C726" s="5"/>
      <c r="H726" s="5"/>
    </row>
    <row r="727" spans="3:8" x14ac:dyDescent="0.35">
      <c r="C727" s="5"/>
      <c r="H727" s="5"/>
    </row>
    <row r="728" spans="3:8" x14ac:dyDescent="0.35">
      <c r="C728" s="5"/>
      <c r="H728" s="5"/>
    </row>
    <row r="729" spans="3:8" x14ac:dyDescent="0.35">
      <c r="C729" s="5"/>
      <c r="H729" s="5"/>
    </row>
    <row r="730" spans="3:8" x14ac:dyDescent="0.35">
      <c r="C730" s="5"/>
      <c r="H730" s="5"/>
    </row>
    <row r="731" spans="3:8" x14ac:dyDescent="0.35">
      <c r="C731" s="5"/>
      <c r="H731" s="5"/>
    </row>
    <row r="732" spans="3:8" x14ac:dyDescent="0.35">
      <c r="C732" s="5"/>
      <c r="H732" s="5"/>
    </row>
    <row r="733" spans="3:8" x14ac:dyDescent="0.35">
      <c r="C733" s="5"/>
      <c r="H733" s="5"/>
    </row>
    <row r="734" spans="3:8" x14ac:dyDescent="0.35">
      <c r="C734" s="5"/>
      <c r="H734" s="5"/>
    </row>
    <row r="735" spans="3:8" x14ac:dyDescent="0.35">
      <c r="C735" s="5"/>
      <c r="H735" s="5"/>
    </row>
    <row r="736" spans="3:8" x14ac:dyDescent="0.35">
      <c r="C736" s="5"/>
      <c r="H736" s="5"/>
    </row>
    <row r="737" spans="3:8" x14ac:dyDescent="0.35">
      <c r="C737" s="5"/>
      <c r="H737" s="5"/>
    </row>
    <row r="738" spans="3:8" x14ac:dyDescent="0.35">
      <c r="C738" s="5"/>
      <c r="H738" s="5"/>
    </row>
    <row r="739" spans="3:8" x14ac:dyDescent="0.35">
      <c r="C739" s="5"/>
      <c r="H739" s="5"/>
    </row>
    <row r="740" spans="3:8" x14ac:dyDescent="0.35">
      <c r="C740" s="5"/>
      <c r="H740" s="5"/>
    </row>
    <row r="741" spans="3:8" x14ac:dyDescent="0.35">
      <c r="C741" s="5"/>
      <c r="H741" s="5"/>
    </row>
    <row r="742" spans="3:8" x14ac:dyDescent="0.35">
      <c r="C742" s="5"/>
      <c r="H742" s="5"/>
    </row>
    <row r="743" spans="3:8" x14ac:dyDescent="0.35">
      <c r="C743" s="5"/>
      <c r="H743" s="5"/>
    </row>
    <row r="744" spans="3:8" x14ac:dyDescent="0.35">
      <c r="C744" s="5"/>
      <c r="H744" s="5"/>
    </row>
    <row r="745" spans="3:8" x14ac:dyDescent="0.35">
      <c r="C745" s="5"/>
      <c r="H745" s="5"/>
    </row>
    <row r="746" spans="3:8" x14ac:dyDescent="0.35">
      <c r="C746" s="5"/>
      <c r="H746" s="5"/>
    </row>
    <row r="747" spans="3:8" x14ac:dyDescent="0.35">
      <c r="C747" s="5"/>
      <c r="H747" s="5"/>
    </row>
    <row r="748" spans="3:8" x14ac:dyDescent="0.35">
      <c r="C748" s="5"/>
      <c r="H748" s="5"/>
    </row>
    <row r="749" spans="3:8" x14ac:dyDescent="0.35">
      <c r="C749" s="5"/>
      <c r="H749" s="5"/>
    </row>
    <row r="750" spans="3:8" x14ac:dyDescent="0.35">
      <c r="C750" s="5"/>
      <c r="H750" s="5"/>
    </row>
    <row r="751" spans="3:8" x14ac:dyDescent="0.35">
      <c r="C751" s="5"/>
      <c r="H751" s="5"/>
    </row>
    <row r="752" spans="3:8" x14ac:dyDescent="0.35">
      <c r="C752" s="5"/>
      <c r="H752" s="5"/>
    </row>
    <row r="753" spans="3:8" x14ac:dyDescent="0.35">
      <c r="C753" s="5"/>
      <c r="H753" s="5"/>
    </row>
    <row r="754" spans="3:8" x14ac:dyDescent="0.35">
      <c r="C754" s="5"/>
      <c r="H754" s="5"/>
    </row>
    <row r="755" spans="3:8" x14ac:dyDescent="0.35">
      <c r="C755" s="5"/>
      <c r="H755" s="5"/>
    </row>
    <row r="756" spans="3:8" x14ac:dyDescent="0.35">
      <c r="C756" s="5"/>
      <c r="H756" s="5"/>
    </row>
    <row r="757" spans="3:8" x14ac:dyDescent="0.35">
      <c r="C757" s="5"/>
      <c r="H757" s="5"/>
    </row>
    <row r="758" spans="3:8" x14ac:dyDescent="0.35">
      <c r="C758" s="5"/>
      <c r="H758" s="5"/>
    </row>
    <row r="759" spans="3:8" x14ac:dyDescent="0.35">
      <c r="C759" s="5"/>
      <c r="H759" s="5"/>
    </row>
    <row r="760" spans="3:8" x14ac:dyDescent="0.35">
      <c r="C760" s="5"/>
      <c r="H760" s="5"/>
    </row>
    <row r="761" spans="3:8" x14ac:dyDescent="0.35">
      <c r="C761" s="5"/>
      <c r="H761" s="5"/>
    </row>
    <row r="762" spans="3:8" x14ac:dyDescent="0.35">
      <c r="C762" s="5"/>
      <c r="H762" s="5"/>
    </row>
    <row r="763" spans="3:8" x14ac:dyDescent="0.35">
      <c r="C763" s="5"/>
      <c r="H763" s="5"/>
    </row>
    <row r="764" spans="3:8" x14ac:dyDescent="0.35">
      <c r="C764" s="5"/>
      <c r="H764" s="5"/>
    </row>
    <row r="765" spans="3:8" x14ac:dyDescent="0.35">
      <c r="C765" s="5"/>
      <c r="H765" s="5"/>
    </row>
    <row r="766" spans="3:8" x14ac:dyDescent="0.35">
      <c r="C766" s="5"/>
      <c r="H766" s="5"/>
    </row>
    <row r="767" spans="3:8" x14ac:dyDescent="0.35">
      <c r="C767" s="5"/>
      <c r="H767" s="5"/>
    </row>
    <row r="768" spans="3:8" x14ac:dyDescent="0.35">
      <c r="C768" s="5"/>
      <c r="H768" s="5"/>
    </row>
    <row r="769" spans="3:8" x14ac:dyDescent="0.35">
      <c r="C769" s="5"/>
      <c r="H769" s="5"/>
    </row>
    <row r="770" spans="3:8" x14ac:dyDescent="0.35">
      <c r="C770" s="5"/>
      <c r="H770" s="5"/>
    </row>
    <row r="771" spans="3:8" x14ac:dyDescent="0.35">
      <c r="C771" s="5"/>
      <c r="H771" s="5"/>
    </row>
    <row r="772" spans="3:8" x14ac:dyDescent="0.35">
      <c r="C772" s="5"/>
      <c r="H772" s="5"/>
    </row>
    <row r="773" spans="3:8" x14ac:dyDescent="0.35">
      <c r="C773" s="5"/>
      <c r="H773" s="5"/>
    </row>
    <row r="774" spans="3:8" x14ac:dyDescent="0.35">
      <c r="C774" s="5"/>
      <c r="H774" s="5"/>
    </row>
    <row r="775" spans="3:8" x14ac:dyDescent="0.35">
      <c r="C775" s="5"/>
      <c r="H775" s="5"/>
    </row>
    <row r="776" spans="3:8" x14ac:dyDescent="0.35">
      <c r="C776" s="5"/>
      <c r="H776" s="5"/>
    </row>
    <row r="777" spans="3:8" x14ac:dyDescent="0.35">
      <c r="C777" s="5"/>
      <c r="H777" s="5"/>
    </row>
    <row r="778" spans="3:8" x14ac:dyDescent="0.35">
      <c r="C778" s="5"/>
      <c r="H778" s="5"/>
    </row>
    <row r="779" spans="3:8" x14ac:dyDescent="0.35">
      <c r="C779" s="5"/>
      <c r="H779" s="5"/>
    </row>
    <row r="780" spans="3:8" x14ac:dyDescent="0.35">
      <c r="C780" s="5"/>
      <c r="H780" s="5"/>
    </row>
    <row r="781" spans="3:8" x14ac:dyDescent="0.35">
      <c r="C781" s="5"/>
      <c r="H781" s="5"/>
    </row>
    <row r="782" spans="3:8" x14ac:dyDescent="0.35">
      <c r="C782" s="5"/>
      <c r="H782" s="5"/>
    </row>
    <row r="783" spans="3:8" x14ac:dyDescent="0.35">
      <c r="C783" s="5"/>
      <c r="H783" s="5"/>
    </row>
    <row r="784" spans="3:8" x14ac:dyDescent="0.35">
      <c r="C784" s="5"/>
      <c r="H784" s="5"/>
    </row>
    <row r="785" spans="3:8" x14ac:dyDescent="0.35">
      <c r="C785" s="5"/>
      <c r="H785" s="5"/>
    </row>
    <row r="786" spans="3:8" x14ac:dyDescent="0.35">
      <c r="C786" s="5"/>
      <c r="H786" s="5"/>
    </row>
    <row r="787" spans="3:8" x14ac:dyDescent="0.35">
      <c r="C787" s="5"/>
      <c r="H787" s="5"/>
    </row>
    <row r="788" spans="3:8" x14ac:dyDescent="0.35">
      <c r="C788" s="5"/>
      <c r="H788" s="5"/>
    </row>
    <row r="789" spans="3:8" x14ac:dyDescent="0.35">
      <c r="C789" s="5"/>
      <c r="H789" s="5"/>
    </row>
    <row r="790" spans="3:8" x14ac:dyDescent="0.35">
      <c r="C790" s="5"/>
      <c r="H790" s="5"/>
    </row>
    <row r="791" spans="3:8" x14ac:dyDescent="0.35">
      <c r="C791" s="5"/>
      <c r="H791" s="5"/>
    </row>
    <row r="792" spans="3:8" x14ac:dyDescent="0.35">
      <c r="C792" s="5"/>
      <c r="H792" s="5"/>
    </row>
    <row r="793" spans="3:8" x14ac:dyDescent="0.35">
      <c r="C793" s="5"/>
      <c r="H793" s="5"/>
    </row>
    <row r="794" spans="3:8" x14ac:dyDescent="0.35">
      <c r="C794" s="5"/>
      <c r="H794" s="5"/>
    </row>
    <row r="795" spans="3:8" x14ac:dyDescent="0.35">
      <c r="C795" s="5"/>
      <c r="H795" s="5"/>
    </row>
    <row r="796" spans="3:8" x14ac:dyDescent="0.35">
      <c r="C796" s="5"/>
      <c r="H796" s="5"/>
    </row>
    <row r="797" spans="3:8" x14ac:dyDescent="0.35">
      <c r="C797" s="5"/>
      <c r="H797" s="5"/>
    </row>
    <row r="798" spans="3:8" x14ac:dyDescent="0.35">
      <c r="C798" s="5"/>
      <c r="H798" s="5"/>
    </row>
    <row r="799" spans="3:8" x14ac:dyDescent="0.35">
      <c r="C799" s="5"/>
      <c r="H799" s="5"/>
    </row>
    <row r="800" spans="3:8" x14ac:dyDescent="0.35">
      <c r="C800" s="5"/>
      <c r="H800" s="5"/>
    </row>
    <row r="801" spans="3:8" x14ac:dyDescent="0.35">
      <c r="C801" s="5"/>
      <c r="H801" s="5"/>
    </row>
    <row r="802" spans="3:8" x14ac:dyDescent="0.35">
      <c r="C802" s="5"/>
      <c r="H802" s="5"/>
    </row>
    <row r="803" spans="3:8" x14ac:dyDescent="0.35">
      <c r="C803" s="5"/>
      <c r="H803" s="5"/>
    </row>
    <row r="804" spans="3:8" x14ac:dyDescent="0.35">
      <c r="C804" s="5"/>
      <c r="H804" s="5"/>
    </row>
    <row r="805" spans="3:8" x14ac:dyDescent="0.35">
      <c r="C805" s="5"/>
      <c r="H805" s="5"/>
    </row>
    <row r="806" spans="3:8" x14ac:dyDescent="0.35">
      <c r="C806" s="5"/>
      <c r="H806" s="5"/>
    </row>
    <row r="807" spans="3:8" x14ac:dyDescent="0.35">
      <c r="C807" s="5"/>
      <c r="H807" s="5"/>
    </row>
    <row r="808" spans="3:8" x14ac:dyDescent="0.35">
      <c r="C808" s="5"/>
      <c r="H808" s="5"/>
    </row>
    <row r="809" spans="3:8" x14ac:dyDescent="0.35">
      <c r="C809" s="5"/>
      <c r="H809" s="5"/>
    </row>
    <row r="810" spans="3:8" x14ac:dyDescent="0.35">
      <c r="C810" s="5"/>
      <c r="H810" s="5"/>
    </row>
    <row r="811" spans="3:8" x14ac:dyDescent="0.35">
      <c r="C811" s="5"/>
      <c r="H811" s="5"/>
    </row>
    <row r="812" spans="3:8" x14ac:dyDescent="0.35">
      <c r="C812" s="5"/>
      <c r="H812" s="5"/>
    </row>
    <row r="813" spans="3:8" x14ac:dyDescent="0.35">
      <c r="C813" s="5"/>
      <c r="H813" s="5"/>
    </row>
    <row r="814" spans="3:8" x14ac:dyDescent="0.35">
      <c r="C814" s="5"/>
      <c r="H814" s="5"/>
    </row>
    <row r="815" spans="3:8" x14ac:dyDescent="0.35">
      <c r="C815" s="5"/>
      <c r="H815" s="5"/>
    </row>
    <row r="816" spans="3:8" x14ac:dyDescent="0.35">
      <c r="C816" s="5"/>
      <c r="H816" s="5"/>
    </row>
    <row r="817" spans="3:8" x14ac:dyDescent="0.35">
      <c r="C817" s="5"/>
      <c r="H817" s="5"/>
    </row>
    <row r="818" spans="3:8" x14ac:dyDescent="0.35">
      <c r="C818" s="5"/>
      <c r="H818" s="5"/>
    </row>
    <row r="819" spans="3:8" x14ac:dyDescent="0.35">
      <c r="C819" s="5"/>
      <c r="H819" s="5"/>
    </row>
    <row r="820" spans="3:8" x14ac:dyDescent="0.35">
      <c r="C820" s="5"/>
      <c r="H820" s="5"/>
    </row>
    <row r="821" spans="3:8" x14ac:dyDescent="0.35">
      <c r="C821" s="5"/>
      <c r="H821" s="5"/>
    </row>
    <row r="822" spans="3:8" x14ac:dyDescent="0.35">
      <c r="C822" s="5"/>
      <c r="H822" s="5"/>
    </row>
    <row r="823" spans="3:8" x14ac:dyDescent="0.35">
      <c r="C823" s="5"/>
      <c r="H823" s="5"/>
    </row>
    <row r="824" spans="3:8" x14ac:dyDescent="0.35">
      <c r="C824" s="5"/>
      <c r="H824" s="5"/>
    </row>
    <row r="825" spans="3:8" x14ac:dyDescent="0.35">
      <c r="C825" s="5"/>
      <c r="H825" s="5"/>
    </row>
    <row r="826" spans="3:8" x14ac:dyDescent="0.35">
      <c r="C826" s="5"/>
      <c r="H826" s="5"/>
    </row>
    <row r="827" spans="3:8" x14ac:dyDescent="0.35">
      <c r="C827" s="5"/>
      <c r="H827" s="5"/>
    </row>
    <row r="828" spans="3:8" x14ac:dyDescent="0.35">
      <c r="C828" s="5"/>
      <c r="H828" s="5"/>
    </row>
    <row r="829" spans="3:8" x14ac:dyDescent="0.35">
      <c r="C829" s="5"/>
      <c r="H829" s="5"/>
    </row>
    <row r="830" spans="3:8" x14ac:dyDescent="0.35">
      <c r="C830" s="5"/>
      <c r="H830" s="5"/>
    </row>
    <row r="831" spans="3:8" x14ac:dyDescent="0.35">
      <c r="C831" s="5"/>
      <c r="H831" s="5"/>
    </row>
    <row r="832" spans="3:8" x14ac:dyDescent="0.35">
      <c r="C832" s="5"/>
      <c r="H832" s="5"/>
    </row>
    <row r="833" spans="3:8" x14ac:dyDescent="0.35">
      <c r="C833" s="5"/>
      <c r="H833" s="5"/>
    </row>
    <row r="834" spans="3:8" x14ac:dyDescent="0.35">
      <c r="C834" s="5"/>
      <c r="H834" s="5"/>
    </row>
    <row r="835" spans="3:8" x14ac:dyDescent="0.35">
      <c r="C835" s="5"/>
      <c r="H835" s="5"/>
    </row>
    <row r="836" spans="3:8" x14ac:dyDescent="0.35">
      <c r="C836" s="5"/>
      <c r="H836" s="5"/>
    </row>
    <row r="837" spans="3:8" x14ac:dyDescent="0.35">
      <c r="C837" s="5"/>
      <c r="H837" s="5"/>
    </row>
    <row r="838" spans="3:8" x14ac:dyDescent="0.35">
      <c r="C838" s="5"/>
      <c r="H838" s="5"/>
    </row>
    <row r="839" spans="3:8" x14ac:dyDescent="0.35">
      <c r="C839" s="5"/>
      <c r="H839" s="5"/>
    </row>
    <row r="840" spans="3:8" x14ac:dyDescent="0.35">
      <c r="C840" s="5"/>
      <c r="H840" s="5"/>
    </row>
    <row r="841" spans="3:8" x14ac:dyDescent="0.35">
      <c r="C841" s="5"/>
      <c r="H841" s="5"/>
    </row>
    <row r="842" spans="3:8" x14ac:dyDescent="0.35">
      <c r="C842" s="5"/>
      <c r="H842" s="5"/>
    </row>
    <row r="843" spans="3:8" x14ac:dyDescent="0.35">
      <c r="C843" s="5"/>
      <c r="H843" s="5"/>
    </row>
    <row r="844" spans="3:8" x14ac:dyDescent="0.35">
      <c r="C844" s="5"/>
      <c r="H844" s="5"/>
    </row>
    <row r="845" spans="3:8" x14ac:dyDescent="0.35">
      <c r="C845" s="5"/>
      <c r="H845" s="5"/>
    </row>
    <row r="846" spans="3:8" x14ac:dyDescent="0.35">
      <c r="C846" s="5"/>
      <c r="H846" s="5"/>
    </row>
    <row r="847" spans="3:8" x14ac:dyDescent="0.35">
      <c r="C847" s="5"/>
      <c r="H847" s="5"/>
    </row>
    <row r="848" spans="3:8" x14ac:dyDescent="0.35">
      <c r="C848" s="5"/>
      <c r="H848" s="5"/>
    </row>
    <row r="849" spans="3:8" x14ac:dyDescent="0.35">
      <c r="C849" s="5"/>
      <c r="H849" s="5"/>
    </row>
    <row r="850" spans="3:8" x14ac:dyDescent="0.35">
      <c r="C850" s="5"/>
      <c r="H850" s="5"/>
    </row>
    <row r="851" spans="3:8" x14ac:dyDescent="0.35">
      <c r="C851" s="5"/>
      <c r="H851" s="5"/>
    </row>
    <row r="852" spans="3:8" x14ac:dyDescent="0.35">
      <c r="C852" s="5"/>
      <c r="H852" s="5"/>
    </row>
    <row r="853" spans="3:8" x14ac:dyDescent="0.35">
      <c r="C853" s="5"/>
      <c r="H853" s="5"/>
    </row>
    <row r="854" spans="3:8" x14ac:dyDescent="0.35">
      <c r="C854" s="5"/>
      <c r="H854" s="5"/>
    </row>
    <row r="855" spans="3:8" x14ac:dyDescent="0.35">
      <c r="C855" s="5"/>
      <c r="H855" s="5"/>
    </row>
    <row r="856" spans="3:8" x14ac:dyDescent="0.35">
      <c r="C856" s="5"/>
      <c r="H856" s="5"/>
    </row>
    <row r="857" spans="3:8" x14ac:dyDescent="0.35">
      <c r="C857" s="5"/>
      <c r="H857" s="5"/>
    </row>
    <row r="858" spans="3:8" x14ac:dyDescent="0.35">
      <c r="C858" s="5"/>
      <c r="H858" s="5"/>
    </row>
    <row r="859" spans="3:8" x14ac:dyDescent="0.35">
      <c r="C859" s="5"/>
      <c r="H859" s="5"/>
    </row>
    <row r="860" spans="3:8" x14ac:dyDescent="0.35">
      <c r="C860" s="5"/>
      <c r="H860" s="5"/>
    </row>
    <row r="861" spans="3:8" x14ac:dyDescent="0.35">
      <c r="C861" s="5"/>
      <c r="H861" s="5"/>
    </row>
    <row r="862" spans="3:8" x14ac:dyDescent="0.35">
      <c r="C862" s="5"/>
      <c r="H862" s="5"/>
    </row>
    <row r="863" spans="3:8" x14ac:dyDescent="0.35">
      <c r="C863" s="5"/>
      <c r="H863" s="5"/>
    </row>
    <row r="864" spans="3:8" x14ac:dyDescent="0.35">
      <c r="C864" s="5"/>
      <c r="H864" s="5"/>
    </row>
    <row r="865" spans="3:8" x14ac:dyDescent="0.35">
      <c r="C865" s="5"/>
      <c r="H865" s="5"/>
    </row>
    <row r="866" spans="3:8" x14ac:dyDescent="0.35">
      <c r="C866" s="5"/>
      <c r="H866" s="5"/>
    </row>
    <row r="867" spans="3:8" x14ac:dyDescent="0.35">
      <c r="C867" s="5"/>
      <c r="H867" s="5"/>
    </row>
    <row r="868" spans="3:8" x14ac:dyDescent="0.35">
      <c r="C868" s="5"/>
      <c r="H868" s="5"/>
    </row>
    <row r="869" spans="3:8" x14ac:dyDescent="0.35">
      <c r="C869" s="5"/>
      <c r="H869" s="5"/>
    </row>
    <row r="870" spans="3:8" x14ac:dyDescent="0.35">
      <c r="C870" s="5"/>
      <c r="H870" s="5"/>
    </row>
    <row r="871" spans="3:8" x14ac:dyDescent="0.35">
      <c r="C871" s="5"/>
      <c r="H871" s="5"/>
    </row>
    <row r="872" spans="3:8" x14ac:dyDescent="0.35">
      <c r="C872" s="5"/>
      <c r="H872" s="5"/>
    </row>
    <row r="873" spans="3:8" x14ac:dyDescent="0.35">
      <c r="C873" s="5"/>
      <c r="H873" s="5"/>
    </row>
    <row r="874" spans="3:8" x14ac:dyDescent="0.35">
      <c r="C874" s="5"/>
      <c r="H874" s="5"/>
    </row>
    <row r="875" spans="3:8" x14ac:dyDescent="0.35">
      <c r="C875" s="5"/>
      <c r="H875" s="5"/>
    </row>
    <row r="876" spans="3:8" x14ac:dyDescent="0.35">
      <c r="C876" s="5"/>
      <c r="H876" s="5"/>
    </row>
    <row r="877" spans="3:8" x14ac:dyDescent="0.35">
      <c r="C877" s="5"/>
      <c r="H877" s="5"/>
    </row>
    <row r="878" spans="3:8" x14ac:dyDescent="0.35">
      <c r="C878" s="5"/>
      <c r="H878" s="5"/>
    </row>
    <row r="879" spans="3:8" x14ac:dyDescent="0.35">
      <c r="C879" s="5"/>
      <c r="H879" s="5"/>
    </row>
    <row r="880" spans="3:8" x14ac:dyDescent="0.35">
      <c r="C880" s="5"/>
      <c r="H880" s="5"/>
    </row>
    <row r="881" spans="3:8" x14ac:dyDescent="0.35">
      <c r="C881" s="5"/>
      <c r="H881" s="5"/>
    </row>
    <row r="882" spans="3:8" x14ac:dyDescent="0.35">
      <c r="C882" s="5"/>
      <c r="H882" s="5"/>
    </row>
    <row r="883" spans="3:8" x14ac:dyDescent="0.35">
      <c r="C883" s="5"/>
      <c r="H883" s="5"/>
    </row>
    <row r="884" spans="3:8" x14ac:dyDescent="0.35">
      <c r="C884" s="5"/>
      <c r="H884" s="5"/>
    </row>
    <row r="885" spans="3:8" x14ac:dyDescent="0.35">
      <c r="C885" s="5"/>
      <c r="H885" s="5"/>
    </row>
    <row r="886" spans="3:8" x14ac:dyDescent="0.35">
      <c r="C886" s="5"/>
      <c r="H886" s="5"/>
    </row>
    <row r="887" spans="3:8" x14ac:dyDescent="0.35">
      <c r="C887" s="5"/>
      <c r="H887" s="5"/>
    </row>
    <row r="888" spans="3:8" x14ac:dyDescent="0.35">
      <c r="C888" s="5"/>
      <c r="H888" s="5"/>
    </row>
    <row r="889" spans="3:8" x14ac:dyDescent="0.35">
      <c r="C889" s="5"/>
      <c r="H889" s="5"/>
    </row>
    <row r="890" spans="3:8" x14ac:dyDescent="0.35">
      <c r="C890" s="5"/>
      <c r="H890" s="5"/>
    </row>
    <row r="891" spans="3:8" x14ac:dyDescent="0.35">
      <c r="C891" s="5"/>
      <c r="H891" s="5"/>
    </row>
    <row r="892" spans="3:8" x14ac:dyDescent="0.35">
      <c r="C892" s="5"/>
      <c r="H892" s="5"/>
    </row>
    <row r="893" spans="3:8" x14ac:dyDescent="0.35">
      <c r="C893" s="5"/>
      <c r="H893" s="5"/>
    </row>
    <row r="894" spans="3:8" x14ac:dyDescent="0.35">
      <c r="C894" s="5"/>
      <c r="H894" s="5"/>
    </row>
    <row r="895" spans="3:8" x14ac:dyDescent="0.35">
      <c r="C895" s="5"/>
      <c r="H895" s="5"/>
    </row>
    <row r="896" spans="3:8" x14ac:dyDescent="0.35">
      <c r="C896" s="5"/>
      <c r="H896" s="5"/>
    </row>
    <row r="897" spans="3:8" x14ac:dyDescent="0.35">
      <c r="C897" s="5"/>
      <c r="H897" s="5"/>
    </row>
    <row r="898" spans="3:8" x14ac:dyDescent="0.35">
      <c r="C898" s="5"/>
      <c r="H898" s="5"/>
    </row>
    <row r="899" spans="3:8" x14ac:dyDescent="0.35">
      <c r="C899" s="5"/>
      <c r="H899" s="5"/>
    </row>
    <row r="900" spans="3:8" x14ac:dyDescent="0.35">
      <c r="C900" s="5"/>
      <c r="H900" s="5"/>
    </row>
    <row r="901" spans="3:8" x14ac:dyDescent="0.35">
      <c r="C901" s="5"/>
      <c r="H901" s="5"/>
    </row>
    <row r="902" spans="3:8" x14ac:dyDescent="0.35">
      <c r="C902" s="5"/>
      <c r="H902" s="5"/>
    </row>
    <row r="903" spans="3:8" x14ac:dyDescent="0.35">
      <c r="C903" s="5"/>
      <c r="H903" s="5"/>
    </row>
    <row r="904" spans="3:8" x14ac:dyDescent="0.35">
      <c r="C904" s="5"/>
      <c r="H904" s="5"/>
    </row>
    <row r="905" spans="3:8" x14ac:dyDescent="0.35">
      <c r="C905" s="5"/>
      <c r="H905" s="5"/>
    </row>
    <row r="906" spans="3:8" x14ac:dyDescent="0.35">
      <c r="C906" s="5"/>
      <c r="H906" s="5"/>
    </row>
    <row r="907" spans="3:8" x14ac:dyDescent="0.35">
      <c r="C907" s="5"/>
      <c r="H907" s="5"/>
    </row>
    <row r="908" spans="3:8" x14ac:dyDescent="0.35">
      <c r="C908" s="5"/>
      <c r="H908" s="5"/>
    </row>
    <row r="909" spans="3:8" x14ac:dyDescent="0.35">
      <c r="C909" s="5"/>
      <c r="H909" s="5"/>
    </row>
    <row r="910" spans="3:8" x14ac:dyDescent="0.35">
      <c r="C910" s="5"/>
      <c r="H910" s="5"/>
    </row>
    <row r="911" spans="3:8" x14ac:dyDescent="0.35">
      <c r="C911" s="5"/>
      <c r="H911" s="5"/>
    </row>
    <row r="912" spans="3:8" x14ac:dyDescent="0.35">
      <c r="C912" s="5"/>
      <c r="H912" s="5"/>
    </row>
    <row r="913" spans="3:8" x14ac:dyDescent="0.35">
      <c r="C913" s="5"/>
      <c r="H913" s="5"/>
    </row>
    <row r="914" spans="3:8" x14ac:dyDescent="0.35">
      <c r="C914" s="5"/>
      <c r="H914" s="5"/>
    </row>
    <row r="915" spans="3:8" x14ac:dyDescent="0.35">
      <c r="C915" s="5"/>
      <c r="H915" s="5"/>
    </row>
    <row r="916" spans="3:8" x14ac:dyDescent="0.35">
      <c r="C916" s="5"/>
      <c r="H916" s="5"/>
    </row>
    <row r="917" spans="3:8" x14ac:dyDescent="0.35">
      <c r="C917" s="5"/>
      <c r="H917" s="5"/>
    </row>
    <row r="918" spans="3:8" x14ac:dyDescent="0.35">
      <c r="C918" s="5"/>
      <c r="H918" s="5"/>
    </row>
    <row r="919" spans="3:8" x14ac:dyDescent="0.35">
      <c r="C919" s="5"/>
      <c r="H919" s="5"/>
    </row>
    <row r="920" spans="3:8" x14ac:dyDescent="0.35">
      <c r="C920" s="5"/>
      <c r="H920" s="5"/>
    </row>
    <row r="921" spans="3:8" x14ac:dyDescent="0.35">
      <c r="C921" s="5"/>
      <c r="H921" s="5"/>
    </row>
    <row r="922" spans="3:8" x14ac:dyDescent="0.35">
      <c r="C922" s="5"/>
      <c r="H922" s="5"/>
    </row>
    <row r="923" spans="3:8" x14ac:dyDescent="0.35">
      <c r="C923" s="5"/>
      <c r="H923" s="5"/>
    </row>
    <row r="924" spans="3:8" x14ac:dyDescent="0.35">
      <c r="C924" s="5"/>
      <c r="H924" s="5"/>
    </row>
    <row r="925" spans="3:8" x14ac:dyDescent="0.35">
      <c r="C925" s="5"/>
      <c r="H925" s="5"/>
    </row>
    <row r="926" spans="3:8" x14ac:dyDescent="0.35">
      <c r="C926" s="5"/>
      <c r="H926" s="5"/>
    </row>
    <row r="927" spans="3:8" x14ac:dyDescent="0.35">
      <c r="C927" s="5"/>
      <c r="H927" s="5"/>
    </row>
    <row r="928" spans="3:8" x14ac:dyDescent="0.35">
      <c r="C928" s="5"/>
      <c r="H928" s="5"/>
    </row>
    <row r="929" spans="3:8" x14ac:dyDescent="0.35">
      <c r="C929" s="5"/>
      <c r="H929" s="5"/>
    </row>
    <row r="930" spans="3:8" x14ac:dyDescent="0.35">
      <c r="C930" s="5"/>
      <c r="H930" s="5"/>
    </row>
    <row r="931" spans="3:8" x14ac:dyDescent="0.35">
      <c r="C931" s="5"/>
      <c r="H931" s="5"/>
    </row>
    <row r="932" spans="3:8" x14ac:dyDescent="0.35">
      <c r="C932" s="5"/>
      <c r="H932" s="5"/>
    </row>
    <row r="933" spans="3:8" x14ac:dyDescent="0.35">
      <c r="C933" s="5"/>
      <c r="H933" s="5"/>
    </row>
    <row r="934" spans="3:8" x14ac:dyDescent="0.35">
      <c r="C934" s="5"/>
      <c r="H934" s="5"/>
    </row>
    <row r="935" spans="3:8" x14ac:dyDescent="0.35">
      <c r="C935" s="5"/>
      <c r="H935" s="5"/>
    </row>
    <row r="936" spans="3:8" x14ac:dyDescent="0.35">
      <c r="C936" s="5"/>
      <c r="H936" s="5"/>
    </row>
    <row r="937" spans="3:8" x14ac:dyDescent="0.35">
      <c r="C937" s="5"/>
      <c r="H937" s="5"/>
    </row>
    <row r="938" spans="3:8" x14ac:dyDescent="0.35">
      <c r="C938" s="5"/>
      <c r="H938" s="5"/>
    </row>
    <row r="939" spans="3:8" x14ac:dyDescent="0.35">
      <c r="C939" s="5"/>
      <c r="H939" s="5"/>
    </row>
    <row r="940" spans="3:8" x14ac:dyDescent="0.35">
      <c r="C940" s="5"/>
      <c r="H940" s="5"/>
    </row>
    <row r="941" spans="3:8" x14ac:dyDescent="0.35">
      <c r="C941" s="5"/>
      <c r="H941" s="5"/>
    </row>
    <row r="942" spans="3:8" x14ac:dyDescent="0.35">
      <c r="C942" s="5"/>
      <c r="H942" s="5"/>
    </row>
    <row r="943" spans="3:8" x14ac:dyDescent="0.35">
      <c r="C943" s="5"/>
      <c r="H943" s="5"/>
    </row>
    <row r="944" spans="3:8" x14ac:dyDescent="0.35">
      <c r="C944" s="5"/>
      <c r="H944" s="5"/>
    </row>
    <row r="945" spans="3:8" x14ac:dyDescent="0.35">
      <c r="C945" s="5"/>
      <c r="H945" s="5"/>
    </row>
    <row r="946" spans="3:8" x14ac:dyDescent="0.35">
      <c r="C946" s="5"/>
      <c r="H946" s="5"/>
    </row>
    <row r="947" spans="3:8" x14ac:dyDescent="0.35">
      <c r="C947" s="5"/>
      <c r="H947" s="5"/>
    </row>
    <row r="948" spans="3:8" x14ac:dyDescent="0.35">
      <c r="C948" s="5"/>
      <c r="H948" s="5"/>
    </row>
    <row r="949" spans="3:8" x14ac:dyDescent="0.35">
      <c r="C949" s="5"/>
      <c r="H949" s="5"/>
    </row>
    <row r="950" spans="3:8" x14ac:dyDescent="0.35">
      <c r="C950" s="5"/>
      <c r="H950" s="5"/>
    </row>
    <row r="951" spans="3:8" x14ac:dyDescent="0.35">
      <c r="C951" s="5"/>
      <c r="H951" s="5"/>
    </row>
    <row r="952" spans="3:8" x14ac:dyDescent="0.35">
      <c r="C952" s="5"/>
      <c r="H952" s="5"/>
    </row>
    <row r="953" spans="3:8" x14ac:dyDescent="0.35">
      <c r="C953" s="5"/>
      <c r="H953" s="5"/>
    </row>
    <row r="954" spans="3:8" x14ac:dyDescent="0.35">
      <c r="C954" s="5"/>
      <c r="H954" s="5"/>
    </row>
    <row r="955" spans="3:8" x14ac:dyDescent="0.35">
      <c r="C955" s="5"/>
      <c r="H955" s="5"/>
    </row>
    <row r="956" spans="3:8" x14ac:dyDescent="0.35">
      <c r="C956" s="5"/>
      <c r="H956" s="5"/>
    </row>
    <row r="957" spans="3:8" x14ac:dyDescent="0.35">
      <c r="C957" s="5"/>
      <c r="H957" s="5"/>
    </row>
    <row r="958" spans="3:8" x14ac:dyDescent="0.35">
      <c r="C958" s="5"/>
      <c r="H958" s="5"/>
    </row>
    <row r="959" spans="3:8" x14ac:dyDescent="0.35">
      <c r="C959" s="5"/>
      <c r="H959" s="5"/>
    </row>
    <row r="960" spans="3:8" x14ac:dyDescent="0.35">
      <c r="C960" s="5"/>
      <c r="H960" s="5"/>
    </row>
    <row r="961" spans="3:8" x14ac:dyDescent="0.35">
      <c r="C961" s="5"/>
      <c r="H961" s="5"/>
    </row>
    <row r="962" spans="3:8" x14ac:dyDescent="0.35">
      <c r="C962" s="5"/>
      <c r="H962" s="5"/>
    </row>
    <row r="963" spans="3:8" x14ac:dyDescent="0.35">
      <c r="C963" s="5"/>
      <c r="H963" s="5"/>
    </row>
    <row r="964" spans="3:8" x14ac:dyDescent="0.35">
      <c r="C964" s="5"/>
      <c r="H964" s="5"/>
    </row>
    <row r="965" spans="3:8" x14ac:dyDescent="0.35">
      <c r="C965" s="5"/>
      <c r="H965" s="5"/>
    </row>
    <row r="966" spans="3:8" x14ac:dyDescent="0.35">
      <c r="C966" s="5"/>
      <c r="H966" s="5"/>
    </row>
    <row r="967" spans="3:8" x14ac:dyDescent="0.35">
      <c r="C967" s="5"/>
      <c r="H967" s="5"/>
    </row>
    <row r="968" spans="3:8" x14ac:dyDescent="0.35">
      <c r="C968" s="5"/>
      <c r="H968" s="5"/>
    </row>
    <row r="969" spans="3:8" x14ac:dyDescent="0.35">
      <c r="C969" s="5"/>
      <c r="H969" s="5"/>
    </row>
    <row r="970" spans="3:8" x14ac:dyDescent="0.35">
      <c r="C970" s="5"/>
      <c r="H970" s="5"/>
    </row>
    <row r="971" spans="3:8" x14ac:dyDescent="0.35">
      <c r="C971" s="5"/>
      <c r="H971" s="5"/>
    </row>
    <row r="972" spans="3:8" x14ac:dyDescent="0.35">
      <c r="C972" s="5"/>
      <c r="H972" s="5"/>
    </row>
    <row r="973" spans="3:8" x14ac:dyDescent="0.35">
      <c r="C973" s="5"/>
      <c r="H973" s="5"/>
    </row>
    <row r="974" spans="3:8" x14ac:dyDescent="0.35">
      <c r="C974" s="5"/>
      <c r="H974" s="5"/>
    </row>
    <row r="975" spans="3:8" x14ac:dyDescent="0.35">
      <c r="C975" s="5"/>
      <c r="H975" s="5"/>
    </row>
    <row r="976" spans="3:8" x14ac:dyDescent="0.35">
      <c r="C976" s="5"/>
      <c r="H976" s="5"/>
    </row>
    <row r="977" spans="3:8" x14ac:dyDescent="0.35">
      <c r="C977" s="5"/>
      <c r="H977" s="5"/>
    </row>
    <row r="978" spans="3:8" x14ac:dyDescent="0.35">
      <c r="C978" s="5"/>
      <c r="H978" s="5"/>
    </row>
    <row r="979" spans="3:8" x14ac:dyDescent="0.35">
      <c r="C979" s="5"/>
      <c r="H979" s="5"/>
    </row>
    <row r="980" spans="3:8" x14ac:dyDescent="0.35">
      <c r="C980" s="5"/>
      <c r="H980" s="5"/>
    </row>
    <row r="981" spans="3:8" x14ac:dyDescent="0.35">
      <c r="C981" s="5"/>
      <c r="H981" s="5"/>
    </row>
    <row r="982" spans="3:8" x14ac:dyDescent="0.35">
      <c r="C982" s="5"/>
      <c r="H982" s="5"/>
    </row>
    <row r="983" spans="3:8" x14ac:dyDescent="0.35">
      <c r="C983" s="5"/>
      <c r="H983" s="5"/>
    </row>
    <row r="984" spans="3:8" x14ac:dyDescent="0.35">
      <c r="C984" s="5"/>
      <c r="H984" s="5"/>
    </row>
    <row r="985" spans="3:8" x14ac:dyDescent="0.35">
      <c r="C985" s="5"/>
      <c r="H985" s="5"/>
    </row>
    <row r="986" spans="3:8" x14ac:dyDescent="0.35">
      <c r="C986" s="5"/>
      <c r="H986" s="5"/>
    </row>
    <row r="987" spans="3:8" x14ac:dyDescent="0.35">
      <c r="C987" s="5"/>
      <c r="H987" s="5"/>
    </row>
    <row r="988" spans="3:8" x14ac:dyDescent="0.35">
      <c r="C988" s="5"/>
      <c r="H988" s="5"/>
    </row>
    <row r="989" spans="3:8" x14ac:dyDescent="0.35">
      <c r="C989" s="5"/>
      <c r="H989" s="5"/>
    </row>
    <row r="990" spans="3:8" x14ac:dyDescent="0.35">
      <c r="C990" s="5"/>
      <c r="H990" s="5"/>
    </row>
    <row r="991" spans="3:8" x14ac:dyDescent="0.35">
      <c r="C991" s="5"/>
      <c r="H991" s="5"/>
    </row>
    <row r="992" spans="3:8" x14ac:dyDescent="0.35">
      <c r="C992" s="5"/>
      <c r="H992" s="5"/>
    </row>
    <row r="993" spans="3:8" x14ac:dyDescent="0.35">
      <c r="C993" s="5"/>
      <c r="H993" s="5"/>
    </row>
    <row r="994" spans="3:8" x14ac:dyDescent="0.35">
      <c r="C994" s="5"/>
      <c r="H994" s="5"/>
    </row>
    <row r="995" spans="3:8" x14ac:dyDescent="0.35">
      <c r="C995" s="5"/>
      <c r="H995" s="5"/>
    </row>
    <row r="996" spans="3:8" x14ac:dyDescent="0.35">
      <c r="C996" s="5"/>
      <c r="H996" s="5"/>
    </row>
    <row r="997" spans="3:8" x14ac:dyDescent="0.35">
      <c r="C997" s="5"/>
      <c r="H997" s="5"/>
    </row>
    <row r="998" spans="3:8" x14ac:dyDescent="0.35">
      <c r="C998" s="5"/>
      <c r="H998" s="5"/>
    </row>
    <row r="999" spans="3:8" x14ac:dyDescent="0.35">
      <c r="C999" s="5"/>
      <c r="H999" s="5"/>
    </row>
    <row r="1000" spans="3:8" x14ac:dyDescent="0.35">
      <c r="C1000" s="5"/>
      <c r="H1000" s="5"/>
    </row>
    <row r="1001" spans="3:8" x14ac:dyDescent="0.35">
      <c r="C1001" s="5"/>
      <c r="H1001" s="5"/>
    </row>
    <row r="1002" spans="3:8" x14ac:dyDescent="0.35">
      <c r="C1002" s="5"/>
      <c r="H1002" s="5"/>
    </row>
    <row r="1003" spans="3:8" x14ac:dyDescent="0.35">
      <c r="C1003" s="5"/>
      <c r="H1003" s="5"/>
    </row>
    <row r="1004" spans="3:8" x14ac:dyDescent="0.35">
      <c r="C1004" s="5"/>
      <c r="H1004" s="5"/>
    </row>
    <row r="1005" spans="3:8" x14ac:dyDescent="0.35">
      <c r="C1005" s="5"/>
      <c r="H1005" s="5"/>
    </row>
    <row r="1006" spans="3:8" x14ac:dyDescent="0.35">
      <c r="C1006" s="5"/>
      <c r="H1006" s="5"/>
    </row>
    <row r="1007" spans="3:8" x14ac:dyDescent="0.35">
      <c r="C1007" s="5"/>
      <c r="H1007" s="5"/>
    </row>
    <row r="1008" spans="3:8" x14ac:dyDescent="0.35">
      <c r="C1008" s="5"/>
      <c r="H1008" s="5"/>
    </row>
    <row r="1009" spans="3:8" x14ac:dyDescent="0.35">
      <c r="C1009" s="5"/>
      <c r="H1009" s="5"/>
    </row>
    <row r="1010" spans="3:8" x14ac:dyDescent="0.35">
      <c r="C1010" s="5"/>
      <c r="H1010" s="5"/>
    </row>
    <row r="1011" spans="3:8" x14ac:dyDescent="0.35">
      <c r="C1011" s="5"/>
      <c r="H1011" s="5"/>
    </row>
    <row r="1012" spans="3:8" x14ac:dyDescent="0.35">
      <c r="C1012" s="5"/>
      <c r="H1012" s="5"/>
    </row>
    <row r="1013" spans="3:8" x14ac:dyDescent="0.35">
      <c r="C1013" s="5"/>
      <c r="H1013" s="5"/>
    </row>
    <row r="1014" spans="3:8" x14ac:dyDescent="0.35">
      <c r="C1014" s="5"/>
      <c r="H1014" s="5"/>
    </row>
    <row r="1015" spans="3:8" x14ac:dyDescent="0.35">
      <c r="C1015" s="5"/>
      <c r="H1015" s="5"/>
    </row>
    <row r="1016" spans="3:8" x14ac:dyDescent="0.35">
      <c r="C1016" s="5"/>
      <c r="H1016" s="5"/>
    </row>
    <row r="1017" spans="3:8" x14ac:dyDescent="0.35">
      <c r="C1017" s="5"/>
      <c r="H1017" s="5"/>
    </row>
    <row r="1018" spans="3:8" x14ac:dyDescent="0.35">
      <c r="C1018" s="5"/>
      <c r="H1018" s="5"/>
    </row>
    <row r="1019" spans="3:8" x14ac:dyDescent="0.35">
      <c r="C1019" s="5"/>
      <c r="H1019" s="5"/>
    </row>
    <row r="1020" spans="3:8" x14ac:dyDescent="0.35">
      <c r="C1020" s="5"/>
      <c r="H1020" s="5"/>
    </row>
    <row r="1021" spans="3:8" x14ac:dyDescent="0.35">
      <c r="C1021" s="5"/>
      <c r="H1021" s="5"/>
    </row>
    <row r="1022" spans="3:8" x14ac:dyDescent="0.35">
      <c r="C1022" s="5"/>
      <c r="H1022" s="5"/>
    </row>
    <row r="1023" spans="3:8" x14ac:dyDescent="0.35">
      <c r="C1023" s="5"/>
      <c r="H1023" s="5"/>
    </row>
    <row r="1024" spans="3:8" x14ac:dyDescent="0.35">
      <c r="C1024" s="5"/>
      <c r="H1024" s="5"/>
    </row>
    <row r="1025" spans="3:8" x14ac:dyDescent="0.35">
      <c r="C1025" s="5"/>
      <c r="H1025" s="5"/>
    </row>
    <row r="1026" spans="3:8" x14ac:dyDescent="0.35">
      <c r="C1026" s="5"/>
      <c r="H1026" s="5"/>
    </row>
    <row r="1027" spans="3:8" x14ac:dyDescent="0.35">
      <c r="C1027" s="5"/>
      <c r="H1027" s="5"/>
    </row>
    <row r="1028" spans="3:8" x14ac:dyDescent="0.35">
      <c r="C1028" s="5"/>
      <c r="H1028" s="5"/>
    </row>
    <row r="1029" spans="3:8" x14ac:dyDescent="0.35">
      <c r="C1029" s="5"/>
      <c r="H1029" s="5"/>
    </row>
    <row r="1030" spans="3:8" x14ac:dyDescent="0.35">
      <c r="C1030" s="5"/>
      <c r="H1030" s="5"/>
    </row>
    <row r="1031" spans="3:8" x14ac:dyDescent="0.35">
      <c r="C1031" s="5"/>
      <c r="H1031" s="5"/>
    </row>
    <row r="1032" spans="3:8" x14ac:dyDescent="0.35">
      <c r="C1032" s="5"/>
      <c r="H1032" s="5"/>
    </row>
    <row r="1033" spans="3:8" x14ac:dyDescent="0.35">
      <c r="C1033" s="5"/>
      <c r="H1033" s="5"/>
    </row>
    <row r="1034" spans="3:8" x14ac:dyDescent="0.35">
      <c r="C1034" s="5"/>
      <c r="H1034" s="5"/>
    </row>
    <row r="1035" spans="3:8" x14ac:dyDescent="0.35">
      <c r="C1035" s="5"/>
      <c r="H1035" s="5"/>
    </row>
    <row r="1036" spans="3:8" x14ac:dyDescent="0.35">
      <c r="C1036" s="5"/>
      <c r="H1036" s="5"/>
    </row>
    <row r="1037" spans="3:8" x14ac:dyDescent="0.35">
      <c r="C1037" s="5"/>
      <c r="H1037" s="5"/>
    </row>
    <row r="1038" spans="3:8" x14ac:dyDescent="0.35">
      <c r="C1038" s="5"/>
      <c r="H1038" s="5"/>
    </row>
    <row r="1039" spans="3:8" x14ac:dyDescent="0.35">
      <c r="C1039" s="5"/>
      <c r="H1039" s="5"/>
    </row>
    <row r="1040" spans="3:8" x14ac:dyDescent="0.35">
      <c r="C1040" s="5"/>
      <c r="H1040" s="5"/>
    </row>
    <row r="1041" spans="3:8" x14ac:dyDescent="0.35">
      <c r="C1041" s="5"/>
      <c r="H1041" s="5"/>
    </row>
    <row r="1042" spans="3:8" x14ac:dyDescent="0.35">
      <c r="C1042" s="5"/>
      <c r="H1042" s="5"/>
    </row>
    <row r="1043" spans="3:8" x14ac:dyDescent="0.35">
      <c r="C1043" s="5"/>
      <c r="H1043" s="5"/>
    </row>
    <row r="1044" spans="3:8" x14ac:dyDescent="0.35">
      <c r="C1044" s="5"/>
      <c r="H1044" s="5"/>
    </row>
    <row r="1045" spans="3:8" x14ac:dyDescent="0.35">
      <c r="C1045" s="5"/>
      <c r="H1045" s="5"/>
    </row>
    <row r="1046" spans="3:8" x14ac:dyDescent="0.35">
      <c r="C1046" s="5"/>
      <c r="H1046" s="5"/>
    </row>
    <row r="1047" spans="3:8" x14ac:dyDescent="0.35">
      <c r="C1047" s="5"/>
      <c r="H1047" s="5"/>
    </row>
    <row r="1048" spans="3:8" x14ac:dyDescent="0.35">
      <c r="C1048" s="5"/>
      <c r="H1048" s="5"/>
    </row>
    <row r="1049" spans="3:8" x14ac:dyDescent="0.35">
      <c r="C1049" s="5"/>
      <c r="H1049" s="5"/>
    </row>
    <row r="1050" spans="3:8" x14ac:dyDescent="0.35">
      <c r="C1050" s="5"/>
      <c r="H1050" s="5"/>
    </row>
    <row r="1051" spans="3:8" x14ac:dyDescent="0.35">
      <c r="C1051" s="5"/>
      <c r="H1051" s="5"/>
    </row>
    <row r="1052" spans="3:8" x14ac:dyDescent="0.35">
      <c r="C1052" s="5"/>
      <c r="H1052" s="5"/>
    </row>
    <row r="1053" spans="3:8" x14ac:dyDescent="0.35">
      <c r="C1053" s="5"/>
      <c r="H1053" s="5"/>
    </row>
    <row r="1054" spans="3:8" x14ac:dyDescent="0.35">
      <c r="C1054" s="5"/>
      <c r="H1054" s="5"/>
    </row>
    <row r="1055" spans="3:8" x14ac:dyDescent="0.35">
      <c r="C1055" s="5"/>
      <c r="H1055" s="5"/>
    </row>
    <row r="1056" spans="3:8" x14ac:dyDescent="0.35">
      <c r="C1056" s="5"/>
      <c r="H1056" s="5"/>
    </row>
    <row r="1057" spans="3:8" x14ac:dyDescent="0.35">
      <c r="C1057" s="5"/>
      <c r="H1057" s="5"/>
    </row>
    <row r="1058" spans="3:8" x14ac:dyDescent="0.35">
      <c r="C1058" s="5"/>
      <c r="H1058" s="5"/>
    </row>
    <row r="1059" spans="3:8" x14ac:dyDescent="0.35">
      <c r="C1059" s="5"/>
      <c r="H1059" s="5"/>
    </row>
    <row r="1060" spans="3:8" x14ac:dyDescent="0.35">
      <c r="C1060" s="5"/>
      <c r="H1060" s="5"/>
    </row>
    <row r="1061" spans="3:8" x14ac:dyDescent="0.35">
      <c r="C1061" s="5"/>
      <c r="H1061" s="5"/>
    </row>
    <row r="1062" spans="3:8" x14ac:dyDescent="0.35">
      <c r="C1062" s="5"/>
      <c r="H1062" s="5"/>
    </row>
    <row r="1063" spans="3:8" x14ac:dyDescent="0.35">
      <c r="C1063" s="5"/>
      <c r="H1063" s="5"/>
    </row>
    <row r="1064" spans="3:8" x14ac:dyDescent="0.35">
      <c r="C1064" s="5"/>
      <c r="H1064" s="5"/>
    </row>
    <row r="1065" spans="3:8" x14ac:dyDescent="0.35">
      <c r="C1065" s="5"/>
      <c r="H1065" s="5"/>
    </row>
    <row r="1066" spans="3:8" x14ac:dyDescent="0.35">
      <c r="C1066" s="5"/>
      <c r="H1066" s="5"/>
    </row>
    <row r="1067" spans="3:8" x14ac:dyDescent="0.35">
      <c r="C1067" s="5"/>
      <c r="H1067" s="5"/>
    </row>
    <row r="1068" spans="3:8" x14ac:dyDescent="0.35">
      <c r="C1068" s="5"/>
      <c r="H1068" s="5"/>
    </row>
    <row r="1069" spans="3:8" x14ac:dyDescent="0.35">
      <c r="C1069" s="5"/>
      <c r="H1069" s="5"/>
    </row>
    <row r="1070" spans="3:8" x14ac:dyDescent="0.35">
      <c r="C1070" s="5"/>
      <c r="H1070" s="5"/>
    </row>
    <row r="1071" spans="3:8" x14ac:dyDescent="0.35">
      <c r="C1071" s="5"/>
      <c r="H1071" s="5"/>
    </row>
    <row r="1072" spans="3:8" x14ac:dyDescent="0.35">
      <c r="C1072" s="5"/>
      <c r="H1072" s="5"/>
    </row>
    <row r="1073" spans="3:8" x14ac:dyDescent="0.35">
      <c r="C1073" s="5"/>
      <c r="H1073" s="5"/>
    </row>
    <row r="1074" spans="3:8" x14ac:dyDescent="0.35">
      <c r="C1074" s="5"/>
      <c r="H1074" s="5"/>
    </row>
    <row r="1075" spans="3:8" x14ac:dyDescent="0.35">
      <c r="C1075" s="5"/>
      <c r="H1075" s="5"/>
    </row>
    <row r="1076" spans="3:8" x14ac:dyDescent="0.35">
      <c r="C1076" s="5"/>
      <c r="H1076" s="5"/>
    </row>
    <row r="1077" spans="3:8" x14ac:dyDescent="0.35">
      <c r="C1077" s="5"/>
      <c r="H1077" s="5"/>
    </row>
    <row r="1078" spans="3:8" x14ac:dyDescent="0.35">
      <c r="C1078" s="5"/>
      <c r="H1078" s="5"/>
    </row>
    <row r="1079" spans="3:8" x14ac:dyDescent="0.35">
      <c r="C1079" s="5"/>
      <c r="H1079" s="5"/>
    </row>
    <row r="1080" spans="3:8" x14ac:dyDescent="0.35">
      <c r="C1080" s="5"/>
      <c r="H1080" s="5"/>
    </row>
    <row r="1081" spans="3:8" x14ac:dyDescent="0.35">
      <c r="C1081" s="5"/>
      <c r="H1081" s="5"/>
    </row>
    <row r="1082" spans="3:8" x14ac:dyDescent="0.35">
      <c r="C1082" s="5"/>
      <c r="H1082" s="5"/>
    </row>
    <row r="1083" spans="3:8" x14ac:dyDescent="0.35">
      <c r="C1083" s="5"/>
      <c r="H1083" s="5"/>
    </row>
    <row r="1084" spans="3:8" x14ac:dyDescent="0.35">
      <c r="C1084" s="5"/>
      <c r="H1084" s="5"/>
    </row>
    <row r="1085" spans="3:8" x14ac:dyDescent="0.35">
      <c r="C1085" s="5"/>
      <c r="H1085" s="5"/>
    </row>
    <row r="1086" spans="3:8" x14ac:dyDescent="0.35">
      <c r="C1086" s="5"/>
      <c r="H1086" s="5"/>
    </row>
    <row r="1087" spans="3:8" x14ac:dyDescent="0.35">
      <c r="C1087" s="5"/>
      <c r="H1087" s="5"/>
    </row>
    <row r="1088" spans="3:8" x14ac:dyDescent="0.35">
      <c r="C1088" s="5"/>
      <c r="H1088" s="5"/>
    </row>
    <row r="1089" spans="3:8" x14ac:dyDescent="0.35">
      <c r="C1089" s="5"/>
      <c r="H1089" s="5"/>
    </row>
    <row r="1090" spans="3:8" x14ac:dyDescent="0.35">
      <c r="C1090" s="5"/>
      <c r="H1090" s="5"/>
    </row>
    <row r="1091" spans="3:8" x14ac:dyDescent="0.35">
      <c r="C1091" s="5"/>
      <c r="H1091" s="5"/>
    </row>
    <row r="1092" spans="3:8" x14ac:dyDescent="0.35">
      <c r="C1092" s="5"/>
      <c r="H1092" s="5"/>
    </row>
    <row r="1093" spans="3:8" x14ac:dyDescent="0.35">
      <c r="C1093" s="5"/>
      <c r="H1093" s="5"/>
    </row>
    <row r="1094" spans="3:8" x14ac:dyDescent="0.35">
      <c r="C1094" s="5"/>
      <c r="H1094" s="5"/>
    </row>
    <row r="1095" spans="3:8" x14ac:dyDescent="0.35">
      <c r="C1095" s="5"/>
      <c r="H1095" s="5"/>
    </row>
    <row r="1096" spans="3:8" x14ac:dyDescent="0.35">
      <c r="C1096" s="5"/>
      <c r="H1096" s="5"/>
    </row>
    <row r="1097" spans="3:8" x14ac:dyDescent="0.35">
      <c r="C1097" s="5"/>
      <c r="H1097" s="5"/>
    </row>
    <row r="1098" spans="3:8" x14ac:dyDescent="0.35">
      <c r="C1098" s="5"/>
      <c r="H1098" s="5"/>
    </row>
    <row r="1099" spans="3:8" x14ac:dyDescent="0.35">
      <c r="C1099" s="5"/>
      <c r="H1099" s="5"/>
    </row>
    <row r="1100" spans="3:8" x14ac:dyDescent="0.35">
      <c r="C1100" s="5"/>
      <c r="H1100" s="5"/>
    </row>
    <row r="1101" spans="3:8" x14ac:dyDescent="0.35">
      <c r="C1101" s="5"/>
      <c r="H1101" s="5"/>
    </row>
    <row r="1102" spans="3:8" x14ac:dyDescent="0.35">
      <c r="C1102" s="5"/>
      <c r="H1102" s="5"/>
    </row>
    <row r="1103" spans="3:8" x14ac:dyDescent="0.35">
      <c r="C1103" s="5"/>
      <c r="H1103" s="5"/>
    </row>
    <row r="1104" spans="3:8" x14ac:dyDescent="0.35">
      <c r="C1104" s="5"/>
      <c r="H1104" s="5"/>
    </row>
    <row r="1105" spans="3:8" x14ac:dyDescent="0.35">
      <c r="C1105" s="5"/>
      <c r="H1105" s="5"/>
    </row>
    <row r="1106" spans="3:8" x14ac:dyDescent="0.35">
      <c r="C1106" s="5"/>
      <c r="H1106" s="5"/>
    </row>
    <row r="1107" spans="3:8" x14ac:dyDescent="0.35">
      <c r="C1107" s="5"/>
      <c r="H1107" s="5"/>
    </row>
    <row r="1108" spans="3:8" x14ac:dyDescent="0.35">
      <c r="C1108" s="5"/>
      <c r="H1108" s="5"/>
    </row>
    <row r="1109" spans="3:8" x14ac:dyDescent="0.35">
      <c r="C1109" s="5"/>
      <c r="H1109" s="5"/>
    </row>
    <row r="1110" spans="3:8" x14ac:dyDescent="0.35">
      <c r="C1110" s="5"/>
      <c r="H1110" s="5"/>
    </row>
    <row r="1111" spans="3:8" x14ac:dyDescent="0.35">
      <c r="C1111" s="5"/>
      <c r="H1111" s="5"/>
    </row>
    <row r="1112" spans="3:8" x14ac:dyDescent="0.35">
      <c r="C1112" s="5"/>
      <c r="H1112" s="5"/>
    </row>
    <row r="1113" spans="3:8" x14ac:dyDescent="0.35">
      <c r="C1113" s="5"/>
      <c r="H1113" s="5"/>
    </row>
    <row r="1114" spans="3:8" x14ac:dyDescent="0.35">
      <c r="C1114" s="5"/>
      <c r="H1114" s="5"/>
    </row>
    <row r="1115" spans="3:8" x14ac:dyDescent="0.35">
      <c r="C1115" s="5"/>
      <c r="H1115" s="5"/>
    </row>
    <row r="1116" spans="3:8" x14ac:dyDescent="0.35">
      <c r="C1116" s="5"/>
      <c r="H1116" s="5"/>
    </row>
    <row r="1117" spans="3:8" x14ac:dyDescent="0.35">
      <c r="C1117" s="5"/>
      <c r="H1117" s="5"/>
    </row>
    <row r="1118" spans="3:8" x14ac:dyDescent="0.35">
      <c r="C1118" s="5"/>
      <c r="H1118" s="5"/>
    </row>
    <row r="1119" spans="3:8" x14ac:dyDescent="0.35">
      <c r="C1119" s="5"/>
      <c r="H1119" s="5"/>
    </row>
    <row r="1120" spans="3:8" x14ac:dyDescent="0.35">
      <c r="C1120" s="5"/>
      <c r="H1120" s="5"/>
    </row>
    <row r="1121" spans="3:8" x14ac:dyDescent="0.35">
      <c r="C1121" s="5"/>
      <c r="H1121" s="5"/>
    </row>
    <row r="1122" spans="3:8" x14ac:dyDescent="0.35">
      <c r="C1122" s="5"/>
      <c r="H1122" s="5"/>
    </row>
    <row r="1123" spans="3:8" x14ac:dyDescent="0.35">
      <c r="C1123" s="5"/>
      <c r="H1123" s="5"/>
    </row>
    <row r="1124" spans="3:8" x14ac:dyDescent="0.35">
      <c r="C1124" s="5"/>
      <c r="H1124" s="5"/>
    </row>
    <row r="1125" spans="3:8" x14ac:dyDescent="0.35">
      <c r="C1125" s="5"/>
      <c r="H1125" s="5"/>
    </row>
    <row r="1126" spans="3:8" x14ac:dyDescent="0.35">
      <c r="C1126" s="5"/>
      <c r="H1126" s="5"/>
    </row>
    <row r="1127" spans="3:8" x14ac:dyDescent="0.35">
      <c r="C1127" s="5"/>
      <c r="H1127" s="5"/>
    </row>
    <row r="1128" spans="3:8" x14ac:dyDescent="0.35">
      <c r="C1128" s="5"/>
      <c r="H1128" s="5"/>
    </row>
    <row r="1129" spans="3:8" x14ac:dyDescent="0.35">
      <c r="C1129" s="5"/>
      <c r="H1129" s="5"/>
    </row>
    <row r="1130" spans="3:8" x14ac:dyDescent="0.35">
      <c r="C1130" s="5"/>
      <c r="H1130" s="5"/>
    </row>
    <row r="1131" spans="3:8" x14ac:dyDescent="0.35">
      <c r="C1131" s="5"/>
      <c r="H1131" s="5"/>
    </row>
    <row r="1132" spans="3:8" x14ac:dyDescent="0.35">
      <c r="C1132" s="5"/>
      <c r="H1132" s="5"/>
    </row>
    <row r="1133" spans="3:8" x14ac:dyDescent="0.35">
      <c r="C1133" s="5"/>
      <c r="H1133" s="5"/>
    </row>
    <row r="1134" spans="3:8" x14ac:dyDescent="0.35">
      <c r="C1134" s="5"/>
      <c r="H1134" s="5"/>
    </row>
    <row r="1135" spans="3:8" x14ac:dyDescent="0.35">
      <c r="C1135" s="5"/>
      <c r="H1135" s="5"/>
    </row>
    <row r="1136" spans="3:8" x14ac:dyDescent="0.35">
      <c r="C1136" s="5"/>
      <c r="H1136" s="5"/>
    </row>
    <row r="1137" spans="3:8" x14ac:dyDescent="0.35">
      <c r="C1137" s="5"/>
      <c r="H1137" s="5"/>
    </row>
    <row r="1138" spans="3:8" x14ac:dyDescent="0.35">
      <c r="C1138" s="5"/>
      <c r="H1138" s="5"/>
    </row>
    <row r="1139" spans="3:8" x14ac:dyDescent="0.35">
      <c r="C1139" s="5"/>
      <c r="H1139" s="5"/>
    </row>
    <row r="1140" spans="3:8" x14ac:dyDescent="0.35">
      <c r="C1140" s="5"/>
      <c r="H1140" s="5"/>
    </row>
    <row r="1141" spans="3:8" x14ac:dyDescent="0.35">
      <c r="C1141" s="5"/>
      <c r="H1141" s="5"/>
    </row>
    <row r="1142" spans="3:8" x14ac:dyDescent="0.35">
      <c r="C1142" s="5"/>
      <c r="H1142" s="5"/>
    </row>
    <row r="1143" spans="3:8" x14ac:dyDescent="0.35">
      <c r="C1143" s="5"/>
      <c r="H1143" s="5"/>
    </row>
    <row r="1144" spans="3:8" x14ac:dyDescent="0.35">
      <c r="C1144" s="5"/>
      <c r="H1144" s="5"/>
    </row>
    <row r="1145" spans="3:8" x14ac:dyDescent="0.35">
      <c r="C1145" s="5"/>
      <c r="H1145" s="5"/>
    </row>
    <row r="1146" spans="3:8" x14ac:dyDescent="0.35">
      <c r="C1146" s="5"/>
      <c r="H1146" s="5"/>
    </row>
    <row r="1147" spans="3:8" x14ac:dyDescent="0.35">
      <c r="C1147" s="5"/>
      <c r="H1147" s="5"/>
    </row>
    <row r="1148" spans="3:8" x14ac:dyDescent="0.35">
      <c r="C1148" s="5"/>
      <c r="H1148" s="5"/>
    </row>
    <row r="1149" spans="3:8" x14ac:dyDescent="0.35">
      <c r="C1149" s="5"/>
      <c r="H1149" s="5"/>
    </row>
    <row r="1150" spans="3:8" x14ac:dyDescent="0.35">
      <c r="C1150" s="5"/>
      <c r="H1150" s="5"/>
    </row>
    <row r="1151" spans="3:8" x14ac:dyDescent="0.35">
      <c r="C1151" s="5"/>
      <c r="H1151" s="5"/>
    </row>
    <row r="1152" spans="3:8" x14ac:dyDescent="0.35">
      <c r="C1152" s="5"/>
      <c r="H1152" s="5"/>
    </row>
    <row r="1153" spans="3:8" x14ac:dyDescent="0.35">
      <c r="C1153" s="5"/>
      <c r="H1153" s="5"/>
    </row>
    <row r="1154" spans="3:8" x14ac:dyDescent="0.35">
      <c r="C1154" s="5"/>
      <c r="H1154" s="5"/>
    </row>
    <row r="1155" spans="3:8" x14ac:dyDescent="0.35">
      <c r="C1155" s="5"/>
      <c r="H1155" s="5"/>
    </row>
    <row r="1156" spans="3:8" x14ac:dyDescent="0.35">
      <c r="C1156" s="5"/>
      <c r="H1156" s="5"/>
    </row>
    <row r="1157" spans="3:8" x14ac:dyDescent="0.35">
      <c r="C1157" s="5"/>
      <c r="H1157" s="5"/>
    </row>
    <row r="1158" spans="3:8" x14ac:dyDescent="0.35">
      <c r="C1158" s="5"/>
      <c r="H1158" s="5"/>
    </row>
    <row r="1159" spans="3:8" x14ac:dyDescent="0.35">
      <c r="C1159" s="5"/>
      <c r="H1159" s="5"/>
    </row>
    <row r="1160" spans="3:8" x14ac:dyDescent="0.35">
      <c r="C1160" s="5"/>
      <c r="H1160" s="5"/>
    </row>
    <row r="1161" spans="3:8" x14ac:dyDescent="0.35">
      <c r="C1161" s="5"/>
      <c r="H1161" s="5"/>
    </row>
    <row r="1162" spans="3:8" x14ac:dyDescent="0.35">
      <c r="C1162" s="5"/>
      <c r="H1162" s="5"/>
    </row>
    <row r="1163" spans="3:8" x14ac:dyDescent="0.35">
      <c r="C1163" s="5"/>
      <c r="H1163" s="5"/>
    </row>
    <row r="1164" spans="3:8" x14ac:dyDescent="0.35">
      <c r="C1164" s="5"/>
      <c r="H1164" s="5"/>
    </row>
    <row r="1165" spans="3:8" x14ac:dyDescent="0.35">
      <c r="C1165" s="5"/>
      <c r="H1165" s="5"/>
    </row>
    <row r="1166" spans="3:8" x14ac:dyDescent="0.35">
      <c r="C1166" s="5"/>
      <c r="H1166" s="5"/>
    </row>
    <row r="1167" spans="3:8" x14ac:dyDescent="0.35">
      <c r="C1167" s="5"/>
      <c r="H1167" s="5"/>
    </row>
    <row r="1168" spans="3:8" x14ac:dyDescent="0.35">
      <c r="C1168" s="5"/>
      <c r="H1168" s="5"/>
    </row>
    <row r="1169" spans="3:8" x14ac:dyDescent="0.35">
      <c r="C1169" s="5"/>
      <c r="H1169" s="5"/>
    </row>
    <row r="1170" spans="3:8" x14ac:dyDescent="0.35">
      <c r="C1170" s="5"/>
      <c r="H1170" s="5"/>
    </row>
    <row r="1171" spans="3:8" x14ac:dyDescent="0.35">
      <c r="C1171" s="5"/>
      <c r="H1171" s="5"/>
    </row>
    <row r="1172" spans="3:8" x14ac:dyDescent="0.35">
      <c r="C1172" s="5"/>
      <c r="H1172" s="5"/>
    </row>
    <row r="1173" spans="3:8" x14ac:dyDescent="0.35">
      <c r="C1173" s="5"/>
      <c r="H1173" s="5"/>
    </row>
    <row r="1174" spans="3:8" x14ac:dyDescent="0.35">
      <c r="C1174" s="5"/>
      <c r="H1174" s="5"/>
    </row>
    <row r="1175" spans="3:8" x14ac:dyDescent="0.35">
      <c r="C1175" s="5"/>
      <c r="H1175" s="5"/>
    </row>
    <row r="1176" spans="3:8" x14ac:dyDescent="0.35">
      <c r="C1176" s="5"/>
      <c r="H1176" s="5"/>
    </row>
    <row r="1177" spans="3:8" x14ac:dyDescent="0.35">
      <c r="C1177" s="5"/>
      <c r="H1177" s="5"/>
    </row>
    <row r="1178" spans="3:8" x14ac:dyDescent="0.35">
      <c r="C1178" s="5"/>
      <c r="H1178" s="5"/>
    </row>
    <row r="1179" spans="3:8" x14ac:dyDescent="0.35">
      <c r="C1179" s="5"/>
      <c r="H1179" s="5"/>
    </row>
    <row r="1180" spans="3:8" x14ac:dyDescent="0.35">
      <c r="C1180" s="5"/>
      <c r="H1180" s="5"/>
    </row>
    <row r="1181" spans="3:8" x14ac:dyDescent="0.35">
      <c r="C1181" s="5"/>
      <c r="H1181" s="5"/>
    </row>
    <row r="1182" spans="3:8" x14ac:dyDescent="0.35">
      <c r="C1182" s="5"/>
      <c r="H1182" s="5"/>
    </row>
    <row r="1183" spans="3:8" x14ac:dyDescent="0.35">
      <c r="C1183" s="5"/>
      <c r="H1183" s="5"/>
    </row>
    <row r="1184" spans="3:8" x14ac:dyDescent="0.35">
      <c r="C1184" s="5"/>
      <c r="H1184" s="5"/>
    </row>
    <row r="1185" spans="3:8" x14ac:dyDescent="0.35">
      <c r="C1185" s="5"/>
      <c r="H1185" s="5"/>
    </row>
    <row r="1186" spans="3:8" x14ac:dyDescent="0.35">
      <c r="C1186" s="5"/>
      <c r="H1186" s="5"/>
    </row>
    <row r="1187" spans="3:8" x14ac:dyDescent="0.35">
      <c r="C1187" s="5"/>
      <c r="H1187" s="5"/>
    </row>
    <row r="1188" spans="3:8" x14ac:dyDescent="0.35">
      <c r="C1188" s="5"/>
      <c r="H1188" s="5"/>
    </row>
    <row r="1189" spans="3:8" x14ac:dyDescent="0.35">
      <c r="C1189" s="5"/>
      <c r="H1189" s="5"/>
    </row>
    <row r="1190" spans="3:8" x14ac:dyDescent="0.35">
      <c r="C1190" s="5"/>
      <c r="H1190" s="5"/>
    </row>
    <row r="1191" spans="3:8" x14ac:dyDescent="0.35">
      <c r="C1191" s="5"/>
      <c r="H1191" s="5"/>
    </row>
    <row r="1192" spans="3:8" x14ac:dyDescent="0.35">
      <c r="C1192" s="5"/>
      <c r="H1192" s="5"/>
    </row>
    <row r="1193" spans="3:8" x14ac:dyDescent="0.35">
      <c r="C1193" s="5"/>
      <c r="H1193" s="5"/>
    </row>
    <row r="1194" spans="3:8" x14ac:dyDescent="0.35">
      <c r="C1194" s="5"/>
      <c r="H1194" s="5"/>
    </row>
    <row r="1195" spans="3:8" x14ac:dyDescent="0.35">
      <c r="C1195" s="5"/>
      <c r="H1195" s="5"/>
    </row>
    <row r="1196" spans="3:8" x14ac:dyDescent="0.35">
      <c r="C1196" s="5"/>
      <c r="H1196" s="5"/>
    </row>
    <row r="1197" spans="3:8" x14ac:dyDescent="0.35">
      <c r="C1197" s="5"/>
      <c r="H1197" s="5"/>
    </row>
    <row r="1198" spans="3:8" x14ac:dyDescent="0.35">
      <c r="C1198" s="5"/>
      <c r="H1198" s="5"/>
    </row>
    <row r="1199" spans="3:8" x14ac:dyDescent="0.35">
      <c r="C1199" s="5"/>
      <c r="H1199" s="5"/>
    </row>
    <row r="1200" spans="3:8" x14ac:dyDescent="0.35">
      <c r="C1200" s="5"/>
      <c r="H1200" s="5"/>
    </row>
    <row r="1201" spans="3:8" x14ac:dyDescent="0.35">
      <c r="C1201" s="5"/>
      <c r="H1201" s="5"/>
    </row>
    <row r="1202" spans="3:8" x14ac:dyDescent="0.35">
      <c r="C1202" s="5"/>
      <c r="H1202" s="5"/>
    </row>
    <row r="1203" spans="3:8" x14ac:dyDescent="0.35">
      <c r="C1203" s="5"/>
      <c r="H1203" s="5"/>
    </row>
    <row r="1204" spans="3:8" x14ac:dyDescent="0.35">
      <c r="C1204" s="5"/>
      <c r="H1204" s="5"/>
    </row>
    <row r="1205" spans="3:8" x14ac:dyDescent="0.35">
      <c r="C1205" s="5"/>
      <c r="H1205" s="5"/>
    </row>
    <row r="1206" spans="3:8" x14ac:dyDescent="0.35">
      <c r="C1206" s="5"/>
      <c r="H1206" s="5"/>
    </row>
    <row r="1207" spans="3:8" x14ac:dyDescent="0.35">
      <c r="C1207" s="5"/>
      <c r="H1207" s="5"/>
    </row>
    <row r="1208" spans="3:8" x14ac:dyDescent="0.35">
      <c r="C1208" s="5"/>
      <c r="H1208" s="5"/>
    </row>
    <row r="1209" spans="3:8" x14ac:dyDescent="0.35">
      <c r="C1209" s="5"/>
      <c r="H1209" s="5"/>
    </row>
    <row r="1210" spans="3:8" x14ac:dyDescent="0.35">
      <c r="C1210" s="5"/>
      <c r="H1210" s="5"/>
    </row>
    <row r="1211" spans="3:8" x14ac:dyDescent="0.35">
      <c r="C1211" s="5"/>
      <c r="H1211" s="5"/>
    </row>
    <row r="1212" spans="3:8" x14ac:dyDescent="0.35">
      <c r="C1212" s="5"/>
      <c r="H1212" s="5"/>
    </row>
    <row r="1213" spans="3:8" x14ac:dyDescent="0.35">
      <c r="C1213" s="5"/>
      <c r="H1213" s="5"/>
    </row>
    <row r="1214" spans="3:8" x14ac:dyDescent="0.35">
      <c r="C1214" s="5"/>
      <c r="H1214" s="5"/>
    </row>
    <row r="1215" spans="3:8" x14ac:dyDescent="0.35">
      <c r="C1215" s="5"/>
      <c r="H1215" s="5"/>
    </row>
    <row r="1216" spans="3:8" x14ac:dyDescent="0.35">
      <c r="C1216" s="5"/>
      <c r="H1216" s="5"/>
    </row>
    <row r="1217" spans="3:8" x14ac:dyDescent="0.35">
      <c r="C1217" s="5"/>
      <c r="H1217" s="5"/>
    </row>
    <row r="1218" spans="3:8" x14ac:dyDescent="0.35">
      <c r="C1218" s="5"/>
      <c r="H1218" s="5"/>
    </row>
    <row r="1219" spans="3:8" x14ac:dyDescent="0.35">
      <c r="C1219" s="5"/>
      <c r="H1219" s="5"/>
    </row>
    <row r="1220" spans="3:8" x14ac:dyDescent="0.35">
      <c r="C1220" s="5"/>
      <c r="H1220" s="5"/>
    </row>
    <row r="1221" spans="3:8" x14ac:dyDescent="0.35">
      <c r="C1221" s="5"/>
      <c r="H1221" s="5"/>
    </row>
    <row r="1222" spans="3:8" x14ac:dyDescent="0.35">
      <c r="C1222" s="5"/>
      <c r="H1222" s="5"/>
    </row>
    <row r="1223" spans="3:8" x14ac:dyDescent="0.35">
      <c r="C1223" s="5"/>
      <c r="H1223" s="5"/>
    </row>
    <row r="1224" spans="3:8" x14ac:dyDescent="0.35">
      <c r="C1224" s="5"/>
      <c r="H1224" s="5"/>
    </row>
    <row r="1225" spans="3:8" x14ac:dyDescent="0.35">
      <c r="C1225" s="5"/>
      <c r="H1225" s="5"/>
    </row>
    <row r="1226" spans="3:8" x14ac:dyDescent="0.35">
      <c r="C1226" s="5"/>
      <c r="H1226" s="5"/>
    </row>
    <row r="1227" spans="3:8" x14ac:dyDescent="0.35">
      <c r="C1227" s="5"/>
      <c r="H1227" s="5"/>
    </row>
    <row r="1228" spans="3:8" x14ac:dyDescent="0.35">
      <c r="C1228" s="5"/>
      <c r="H1228" s="5"/>
    </row>
    <row r="1229" spans="3:8" x14ac:dyDescent="0.35">
      <c r="C1229" s="5"/>
      <c r="H1229" s="5"/>
    </row>
    <row r="1230" spans="3:8" x14ac:dyDescent="0.35">
      <c r="C1230" s="5"/>
      <c r="H1230" s="5"/>
    </row>
    <row r="1231" spans="3:8" x14ac:dyDescent="0.35">
      <c r="C1231" s="5"/>
      <c r="H1231" s="5"/>
    </row>
    <row r="1232" spans="3:8" x14ac:dyDescent="0.35">
      <c r="C1232" s="5"/>
      <c r="H1232" s="5"/>
    </row>
    <row r="1233" spans="3:8" x14ac:dyDescent="0.35">
      <c r="C1233" s="5"/>
      <c r="H1233" s="5"/>
    </row>
    <row r="1234" spans="3:8" x14ac:dyDescent="0.35">
      <c r="C1234" s="5"/>
      <c r="H1234" s="5"/>
    </row>
    <row r="1235" spans="3:8" x14ac:dyDescent="0.35">
      <c r="C1235" s="5"/>
      <c r="H1235" s="5"/>
    </row>
    <row r="1236" spans="3:8" x14ac:dyDescent="0.35">
      <c r="C1236" s="5"/>
      <c r="H1236" s="5"/>
    </row>
    <row r="1237" spans="3:8" x14ac:dyDescent="0.35">
      <c r="C1237" s="5"/>
      <c r="H1237" s="5"/>
    </row>
    <row r="1238" spans="3:8" x14ac:dyDescent="0.35">
      <c r="C1238" s="5"/>
      <c r="H1238" s="5"/>
    </row>
    <row r="1239" spans="3:8" x14ac:dyDescent="0.35">
      <c r="C1239" s="5"/>
      <c r="H1239" s="5"/>
    </row>
    <row r="1240" spans="3:8" x14ac:dyDescent="0.35">
      <c r="C1240" s="5"/>
      <c r="H1240" s="5"/>
    </row>
    <row r="1241" spans="3:8" x14ac:dyDescent="0.35">
      <c r="C1241" s="5"/>
      <c r="H1241" s="5"/>
    </row>
    <row r="1242" spans="3:8" x14ac:dyDescent="0.35">
      <c r="C1242" s="5"/>
      <c r="H1242" s="5"/>
    </row>
    <row r="1243" spans="3:8" x14ac:dyDescent="0.35">
      <c r="C1243" s="5"/>
      <c r="H1243" s="5"/>
    </row>
    <row r="1244" spans="3:8" x14ac:dyDescent="0.35">
      <c r="C1244" s="5"/>
      <c r="H1244" s="5"/>
    </row>
    <row r="1245" spans="3:8" x14ac:dyDescent="0.35">
      <c r="C1245" s="5"/>
      <c r="H1245" s="5"/>
    </row>
    <row r="1246" spans="3:8" x14ac:dyDescent="0.35">
      <c r="C1246" s="5"/>
      <c r="H1246" s="5"/>
    </row>
    <row r="1247" spans="3:8" x14ac:dyDescent="0.35">
      <c r="C1247" s="5"/>
      <c r="H1247" s="5"/>
    </row>
    <row r="1248" spans="3:8" x14ac:dyDescent="0.35">
      <c r="C1248" s="5"/>
      <c r="H1248" s="5"/>
    </row>
    <row r="1249" spans="3:8" x14ac:dyDescent="0.35">
      <c r="C1249" s="5"/>
      <c r="H1249" s="5"/>
    </row>
    <row r="1250" spans="3:8" x14ac:dyDescent="0.35">
      <c r="C1250" s="5"/>
      <c r="H1250" s="5"/>
    </row>
    <row r="1251" spans="3:8" x14ac:dyDescent="0.35">
      <c r="C1251" s="5"/>
      <c r="H1251" s="5"/>
    </row>
    <row r="1252" spans="3:8" x14ac:dyDescent="0.35">
      <c r="C1252" s="5"/>
      <c r="H1252" s="5"/>
    </row>
    <row r="1253" spans="3:8" x14ac:dyDescent="0.35">
      <c r="C1253" s="5"/>
      <c r="H1253" s="5"/>
    </row>
    <row r="1254" spans="3:8" x14ac:dyDescent="0.35">
      <c r="C1254" s="5"/>
      <c r="H1254" s="5"/>
    </row>
    <row r="1255" spans="3:8" x14ac:dyDescent="0.35">
      <c r="C1255" s="5"/>
      <c r="H1255" s="5"/>
    </row>
    <row r="1256" spans="3:8" x14ac:dyDescent="0.35">
      <c r="C1256" s="5"/>
      <c r="H1256" s="5"/>
    </row>
    <row r="1257" spans="3:8" x14ac:dyDescent="0.35">
      <c r="C1257" s="5"/>
      <c r="H1257" s="5"/>
    </row>
    <row r="1258" spans="3:8" x14ac:dyDescent="0.35">
      <c r="C1258" s="5"/>
      <c r="H1258" s="5"/>
    </row>
    <row r="1259" spans="3:8" x14ac:dyDescent="0.35">
      <c r="C1259" s="5"/>
      <c r="H1259" s="5"/>
    </row>
    <row r="1260" spans="3:8" x14ac:dyDescent="0.35">
      <c r="C1260" s="5"/>
      <c r="H1260" s="5"/>
    </row>
    <row r="1261" spans="3:8" x14ac:dyDescent="0.35">
      <c r="C1261" s="5"/>
      <c r="H1261" s="5"/>
    </row>
    <row r="1262" spans="3:8" x14ac:dyDescent="0.35">
      <c r="C1262" s="5"/>
      <c r="H1262" s="5"/>
    </row>
    <row r="1263" spans="3:8" x14ac:dyDescent="0.35">
      <c r="C1263" s="5"/>
      <c r="H1263" s="5"/>
    </row>
    <row r="1264" spans="3:8" x14ac:dyDescent="0.35">
      <c r="C1264" s="5"/>
      <c r="H1264" s="5"/>
    </row>
    <row r="1265" spans="3:8" x14ac:dyDescent="0.35">
      <c r="C1265" s="5"/>
      <c r="H1265" s="5"/>
    </row>
    <row r="1266" spans="3:8" x14ac:dyDescent="0.35">
      <c r="C1266" s="5"/>
      <c r="H1266" s="5"/>
    </row>
    <row r="1267" spans="3:8" x14ac:dyDescent="0.35">
      <c r="C1267" s="5"/>
      <c r="H1267" s="5"/>
    </row>
    <row r="1268" spans="3:8" x14ac:dyDescent="0.35">
      <c r="C1268" s="5"/>
      <c r="H1268" s="5"/>
    </row>
    <row r="1269" spans="3:8" x14ac:dyDescent="0.35">
      <c r="C1269" s="5"/>
      <c r="H1269" s="5"/>
    </row>
    <row r="1270" spans="3:8" x14ac:dyDescent="0.35">
      <c r="C1270" s="5"/>
      <c r="H1270" s="5"/>
    </row>
    <row r="1271" spans="3:8" x14ac:dyDescent="0.35">
      <c r="C1271" s="5"/>
      <c r="H1271" s="5"/>
    </row>
    <row r="1272" spans="3:8" x14ac:dyDescent="0.35">
      <c r="C1272" s="5"/>
      <c r="H1272" s="5"/>
    </row>
    <row r="1273" spans="3:8" x14ac:dyDescent="0.35">
      <c r="C1273" s="5"/>
      <c r="H1273" s="5"/>
    </row>
    <row r="1274" spans="3:8" x14ac:dyDescent="0.35">
      <c r="C1274" s="5"/>
      <c r="H1274" s="5"/>
    </row>
    <row r="1275" spans="3:8" x14ac:dyDescent="0.35">
      <c r="C1275" s="5"/>
      <c r="H1275" s="5"/>
    </row>
    <row r="1276" spans="3:8" x14ac:dyDescent="0.35">
      <c r="C1276" s="5"/>
      <c r="H1276" s="5"/>
    </row>
    <row r="1277" spans="3:8" x14ac:dyDescent="0.35">
      <c r="C1277" s="5"/>
      <c r="H1277" s="5"/>
    </row>
    <row r="1278" spans="3:8" x14ac:dyDescent="0.35">
      <c r="C1278" s="5"/>
      <c r="H1278" s="5"/>
    </row>
    <row r="1279" spans="3:8" x14ac:dyDescent="0.35">
      <c r="C1279" s="5"/>
      <c r="H1279" s="5"/>
    </row>
    <row r="1280" spans="3:8" x14ac:dyDescent="0.35">
      <c r="C1280" s="5"/>
      <c r="H1280" s="5"/>
    </row>
    <row r="1281" spans="3:8" x14ac:dyDescent="0.35">
      <c r="C1281" s="5"/>
      <c r="H1281" s="5"/>
    </row>
    <row r="1282" spans="3:8" x14ac:dyDescent="0.35">
      <c r="C1282" s="5"/>
      <c r="H1282" s="5"/>
    </row>
    <row r="1283" spans="3:8" x14ac:dyDescent="0.35">
      <c r="C1283" s="5"/>
      <c r="H1283" s="5"/>
    </row>
    <row r="1284" spans="3:8" x14ac:dyDescent="0.35">
      <c r="C1284" s="5"/>
      <c r="H1284" s="5"/>
    </row>
    <row r="1285" spans="3:8" x14ac:dyDescent="0.35">
      <c r="C1285" s="5"/>
      <c r="H1285" s="5"/>
    </row>
    <row r="1286" spans="3:8" x14ac:dyDescent="0.35">
      <c r="C1286" s="5"/>
      <c r="H1286" s="5"/>
    </row>
    <row r="1287" spans="3:8" x14ac:dyDescent="0.35">
      <c r="C1287" s="5"/>
      <c r="H1287" s="5"/>
    </row>
    <row r="1288" spans="3:8" x14ac:dyDescent="0.35">
      <c r="C1288" s="5"/>
      <c r="H1288" s="5"/>
    </row>
    <row r="1289" spans="3:8" x14ac:dyDescent="0.35">
      <c r="C1289" s="5"/>
      <c r="H1289" s="5"/>
    </row>
    <row r="1290" spans="3:8" x14ac:dyDescent="0.35">
      <c r="C1290" s="5"/>
      <c r="H1290" s="5"/>
    </row>
    <row r="1291" spans="3:8" x14ac:dyDescent="0.35">
      <c r="C1291" s="5"/>
      <c r="H1291" s="5"/>
    </row>
    <row r="1292" spans="3:8" x14ac:dyDescent="0.35">
      <c r="C1292" s="5"/>
      <c r="H1292" s="5"/>
    </row>
    <row r="1293" spans="3:8" x14ac:dyDescent="0.35">
      <c r="C1293" s="5"/>
      <c r="H1293" s="5"/>
    </row>
    <row r="1294" spans="3:8" x14ac:dyDescent="0.35">
      <c r="C1294" s="5"/>
      <c r="H1294" s="5"/>
    </row>
    <row r="1295" spans="3:8" x14ac:dyDescent="0.35">
      <c r="C1295" s="5"/>
      <c r="H1295" s="5"/>
    </row>
    <row r="1296" spans="3:8" x14ac:dyDescent="0.35">
      <c r="C1296" s="5"/>
      <c r="H1296" s="5"/>
    </row>
    <row r="1297" spans="3:8" x14ac:dyDescent="0.35">
      <c r="C1297" s="5"/>
      <c r="H1297" s="5"/>
    </row>
    <row r="1298" spans="3:8" x14ac:dyDescent="0.35">
      <c r="C1298" s="5"/>
      <c r="H1298" s="5"/>
    </row>
    <row r="1299" spans="3:8" x14ac:dyDescent="0.35">
      <c r="C1299" s="5"/>
      <c r="H1299" s="5"/>
    </row>
    <row r="1300" spans="3:8" x14ac:dyDescent="0.35">
      <c r="C1300" s="5"/>
      <c r="H1300" s="5"/>
    </row>
    <row r="1301" spans="3:8" x14ac:dyDescent="0.35">
      <c r="C1301" s="5"/>
      <c r="H1301" s="5"/>
    </row>
    <row r="1302" spans="3:8" x14ac:dyDescent="0.35">
      <c r="C1302" s="5"/>
      <c r="H1302" s="5"/>
    </row>
    <row r="1303" spans="3:8" x14ac:dyDescent="0.35">
      <c r="C1303" s="5"/>
      <c r="H1303" s="5"/>
    </row>
    <row r="1304" spans="3:8" x14ac:dyDescent="0.35">
      <c r="C1304" s="5"/>
      <c r="H1304" s="5"/>
    </row>
    <row r="1305" spans="3:8" x14ac:dyDescent="0.35">
      <c r="C1305" s="5"/>
      <c r="H1305" s="5"/>
    </row>
    <row r="1306" spans="3:8" x14ac:dyDescent="0.35">
      <c r="C1306" s="5"/>
      <c r="H1306" s="5"/>
    </row>
    <row r="1307" spans="3:8" x14ac:dyDescent="0.35">
      <c r="C1307" s="5"/>
      <c r="H1307" s="5"/>
    </row>
    <row r="1308" spans="3:8" x14ac:dyDescent="0.35">
      <c r="C1308" s="5"/>
      <c r="H1308" s="5"/>
    </row>
    <row r="1309" spans="3:8" x14ac:dyDescent="0.35">
      <c r="C1309" s="5"/>
      <c r="H1309" s="5"/>
    </row>
    <row r="1310" spans="3:8" x14ac:dyDescent="0.35">
      <c r="C1310" s="5"/>
      <c r="H1310" s="5"/>
    </row>
    <row r="1311" spans="3:8" x14ac:dyDescent="0.35">
      <c r="C1311" s="5"/>
      <c r="H1311" s="5"/>
    </row>
    <row r="1312" spans="3:8" x14ac:dyDescent="0.35">
      <c r="C1312" s="5"/>
      <c r="H1312" s="5"/>
    </row>
    <row r="1313" spans="3:8" x14ac:dyDescent="0.35">
      <c r="C1313" s="5"/>
      <c r="H1313" s="5"/>
    </row>
    <row r="1314" spans="3:8" x14ac:dyDescent="0.35">
      <c r="C1314" s="5"/>
      <c r="H1314" s="5"/>
    </row>
    <row r="1315" spans="3:8" x14ac:dyDescent="0.35">
      <c r="C1315" s="5"/>
      <c r="H1315" s="5"/>
    </row>
    <row r="1316" spans="3:8" x14ac:dyDescent="0.35">
      <c r="C1316" s="5"/>
      <c r="H1316" s="5"/>
    </row>
    <row r="1317" spans="3:8" x14ac:dyDescent="0.35">
      <c r="C1317" s="5"/>
      <c r="H1317" s="5"/>
    </row>
    <row r="1318" spans="3:8" x14ac:dyDescent="0.35">
      <c r="C1318" s="5"/>
      <c r="H1318" s="5"/>
    </row>
    <row r="1319" spans="3:8" x14ac:dyDescent="0.35">
      <c r="C1319" s="5"/>
      <c r="H1319" s="5"/>
    </row>
    <row r="1320" spans="3:8" x14ac:dyDescent="0.35">
      <c r="C1320" s="5"/>
      <c r="H1320" s="5"/>
    </row>
    <row r="1321" spans="3:8" x14ac:dyDescent="0.35">
      <c r="C1321" s="5"/>
      <c r="H1321" s="5"/>
    </row>
    <row r="1322" spans="3:8" x14ac:dyDescent="0.35">
      <c r="C1322" s="5"/>
      <c r="H1322" s="5"/>
    </row>
    <row r="1323" spans="3:8" x14ac:dyDescent="0.35">
      <c r="C1323" s="5"/>
      <c r="H1323" s="5"/>
    </row>
    <row r="1324" spans="3:8" x14ac:dyDescent="0.35">
      <c r="C1324" s="5"/>
      <c r="H1324" s="5"/>
    </row>
    <row r="1325" spans="3:8" x14ac:dyDescent="0.35">
      <c r="C1325" s="5"/>
      <c r="H1325" s="5"/>
    </row>
    <row r="1326" spans="3:8" x14ac:dyDescent="0.35">
      <c r="C1326" s="5"/>
      <c r="H1326" s="5"/>
    </row>
    <row r="1327" spans="3:8" x14ac:dyDescent="0.35">
      <c r="C1327" s="5"/>
      <c r="H1327" s="5"/>
    </row>
    <row r="1328" spans="3:8" x14ac:dyDescent="0.35">
      <c r="C1328" s="5"/>
      <c r="H1328" s="5"/>
    </row>
    <row r="1329" spans="3:8" x14ac:dyDescent="0.35">
      <c r="C1329" s="5"/>
      <c r="H1329" s="5"/>
    </row>
    <row r="1330" spans="3:8" x14ac:dyDescent="0.35">
      <c r="C1330" s="5"/>
      <c r="H1330" s="5"/>
    </row>
    <row r="1331" spans="3:8" x14ac:dyDescent="0.35">
      <c r="C1331" s="5"/>
      <c r="H1331" s="5"/>
    </row>
    <row r="1332" spans="3:8" x14ac:dyDescent="0.35">
      <c r="C1332" s="5"/>
      <c r="H1332" s="5"/>
    </row>
    <row r="1333" spans="3:8" x14ac:dyDescent="0.35">
      <c r="C1333" s="5"/>
      <c r="H1333" s="5"/>
    </row>
    <row r="1334" spans="3:8" x14ac:dyDescent="0.35">
      <c r="C1334" s="5"/>
      <c r="H1334" s="5"/>
    </row>
    <row r="1335" spans="3:8" x14ac:dyDescent="0.35">
      <c r="C1335" s="5"/>
      <c r="H1335" s="5"/>
    </row>
    <row r="1336" spans="3:8" x14ac:dyDescent="0.35">
      <c r="C1336" s="5"/>
      <c r="H1336" s="5"/>
    </row>
    <row r="1337" spans="3:8" x14ac:dyDescent="0.35">
      <c r="C1337" s="5"/>
      <c r="H1337" s="5"/>
    </row>
    <row r="1338" spans="3:8" x14ac:dyDescent="0.35">
      <c r="C1338" s="5"/>
      <c r="H1338" s="5"/>
    </row>
    <row r="1339" spans="3:8" x14ac:dyDescent="0.35">
      <c r="C1339" s="5"/>
      <c r="H1339" s="5"/>
    </row>
    <row r="1340" spans="3:8" x14ac:dyDescent="0.35">
      <c r="C1340" s="5"/>
      <c r="H1340" s="5"/>
    </row>
    <row r="1341" spans="3:8" x14ac:dyDescent="0.35">
      <c r="C1341" s="5"/>
      <c r="H1341" s="5"/>
    </row>
    <row r="1342" spans="3:8" x14ac:dyDescent="0.35">
      <c r="C1342" s="5"/>
      <c r="H1342" s="5"/>
    </row>
    <row r="1343" spans="3:8" x14ac:dyDescent="0.35">
      <c r="C1343" s="5"/>
      <c r="H1343" s="5"/>
    </row>
    <row r="1344" spans="3:8" x14ac:dyDescent="0.35">
      <c r="C1344" s="5"/>
      <c r="H1344" s="5"/>
    </row>
    <row r="1345" spans="3:8" x14ac:dyDescent="0.35">
      <c r="C1345" s="5"/>
      <c r="H1345" s="5"/>
    </row>
    <row r="1346" spans="3:8" x14ac:dyDescent="0.35">
      <c r="C1346" s="5"/>
      <c r="H1346" s="5"/>
    </row>
    <row r="1347" spans="3:8" x14ac:dyDescent="0.35">
      <c r="C1347" s="5"/>
      <c r="H1347" s="5"/>
    </row>
    <row r="1348" spans="3:8" x14ac:dyDescent="0.35">
      <c r="C1348" s="5"/>
      <c r="H1348" s="5"/>
    </row>
    <row r="1349" spans="3:8" x14ac:dyDescent="0.35">
      <c r="C1349" s="5"/>
      <c r="H1349" s="5"/>
    </row>
    <row r="1350" spans="3:8" x14ac:dyDescent="0.35">
      <c r="C1350" s="5"/>
      <c r="H1350" s="5"/>
    </row>
    <row r="1351" spans="3:8" x14ac:dyDescent="0.35">
      <c r="C1351" s="5"/>
      <c r="H1351" s="5"/>
    </row>
    <row r="1352" spans="3:8" x14ac:dyDescent="0.35">
      <c r="C1352" s="5"/>
      <c r="H1352" s="5"/>
    </row>
    <row r="1353" spans="3:8" x14ac:dyDescent="0.35">
      <c r="C1353" s="5"/>
      <c r="H1353" s="5"/>
    </row>
    <row r="1354" spans="3:8" x14ac:dyDescent="0.35">
      <c r="C1354" s="5"/>
      <c r="H1354" s="5"/>
    </row>
    <row r="1355" spans="3:8" x14ac:dyDescent="0.35">
      <c r="C1355" s="5"/>
      <c r="H1355" s="5"/>
    </row>
    <row r="1356" spans="3:8" x14ac:dyDescent="0.35">
      <c r="C1356" s="5"/>
      <c r="H1356" s="5"/>
    </row>
    <row r="1357" spans="3:8" x14ac:dyDescent="0.35">
      <c r="C1357" s="5"/>
      <c r="H1357" s="5"/>
    </row>
    <row r="1358" spans="3:8" x14ac:dyDescent="0.35">
      <c r="C1358" s="5"/>
      <c r="H1358" s="5"/>
    </row>
    <row r="1359" spans="3:8" x14ac:dyDescent="0.35">
      <c r="C1359" s="5"/>
      <c r="H1359" s="5"/>
    </row>
    <row r="1360" spans="3:8" x14ac:dyDescent="0.35">
      <c r="C1360" s="5"/>
      <c r="H1360" s="5"/>
    </row>
    <row r="1361" spans="3:8" x14ac:dyDescent="0.35">
      <c r="C1361" s="5"/>
      <c r="H1361" s="5"/>
    </row>
    <row r="1362" spans="3:8" x14ac:dyDescent="0.35">
      <c r="C1362" s="5"/>
      <c r="H1362" s="5"/>
    </row>
    <row r="1363" spans="3:8" x14ac:dyDescent="0.35">
      <c r="C1363" s="5"/>
      <c r="H1363" s="5"/>
    </row>
    <row r="1364" spans="3:8" x14ac:dyDescent="0.35">
      <c r="C1364" s="5"/>
      <c r="H1364" s="5"/>
    </row>
    <row r="1365" spans="3:8" x14ac:dyDescent="0.35">
      <c r="C1365" s="5"/>
      <c r="H1365" s="5"/>
    </row>
    <row r="1366" spans="3:8" x14ac:dyDescent="0.35">
      <c r="C1366" s="5"/>
      <c r="H1366" s="5"/>
    </row>
    <row r="1367" spans="3:8" x14ac:dyDescent="0.35">
      <c r="C1367" s="5"/>
      <c r="H1367" s="5"/>
    </row>
    <row r="1368" spans="3:8" x14ac:dyDescent="0.35">
      <c r="C1368" s="5"/>
      <c r="H1368" s="5"/>
    </row>
    <row r="1369" spans="3:8" x14ac:dyDescent="0.35">
      <c r="C1369" s="5"/>
      <c r="H1369" s="5"/>
    </row>
    <row r="1370" spans="3:8" x14ac:dyDescent="0.35">
      <c r="C1370" s="5"/>
      <c r="H1370" s="5"/>
    </row>
    <row r="1371" spans="3:8" x14ac:dyDescent="0.35">
      <c r="C1371" s="5"/>
      <c r="H1371" s="5"/>
    </row>
    <row r="1372" spans="3:8" x14ac:dyDescent="0.35">
      <c r="C1372" s="5"/>
      <c r="H1372" s="5"/>
    </row>
    <row r="1373" spans="3:8" x14ac:dyDescent="0.35">
      <c r="C1373" s="5"/>
      <c r="H1373" s="5"/>
    </row>
    <row r="1374" spans="3:8" x14ac:dyDescent="0.35">
      <c r="C1374" s="5"/>
      <c r="H1374" s="5"/>
    </row>
    <row r="1375" spans="3:8" x14ac:dyDescent="0.35">
      <c r="C1375" s="5"/>
      <c r="H1375" s="5"/>
    </row>
    <row r="1376" spans="3:8" x14ac:dyDescent="0.35">
      <c r="C1376" s="5"/>
      <c r="H1376" s="5"/>
    </row>
    <row r="1377" spans="3:8" x14ac:dyDescent="0.35">
      <c r="C1377" s="5"/>
      <c r="H1377" s="5"/>
    </row>
    <row r="1378" spans="3:8" x14ac:dyDescent="0.35">
      <c r="C1378" s="5"/>
      <c r="H1378" s="5"/>
    </row>
    <row r="1379" spans="3:8" x14ac:dyDescent="0.35">
      <c r="C1379" s="5"/>
      <c r="H1379" s="5"/>
    </row>
    <row r="1380" spans="3:8" x14ac:dyDescent="0.35">
      <c r="C1380" s="5"/>
      <c r="H1380" s="5"/>
    </row>
    <row r="1381" spans="3:8" x14ac:dyDescent="0.35">
      <c r="C1381" s="5"/>
      <c r="H1381" s="5"/>
    </row>
    <row r="1382" spans="3:8" x14ac:dyDescent="0.35">
      <c r="C1382" s="5"/>
      <c r="H1382" s="5"/>
    </row>
    <row r="1383" spans="3:8" x14ac:dyDescent="0.35">
      <c r="C1383" s="5"/>
      <c r="H1383" s="5"/>
    </row>
    <row r="1384" spans="3:8" x14ac:dyDescent="0.35">
      <c r="C1384" s="5"/>
      <c r="H1384" s="5"/>
    </row>
    <row r="1385" spans="3:8" x14ac:dyDescent="0.35">
      <c r="C1385" s="5"/>
      <c r="H1385" s="5"/>
    </row>
    <row r="1386" spans="3:8" x14ac:dyDescent="0.35">
      <c r="C1386" s="5"/>
      <c r="H1386" s="5"/>
    </row>
    <row r="1387" spans="3:8" x14ac:dyDescent="0.35">
      <c r="C1387" s="5"/>
      <c r="H1387" s="5"/>
    </row>
    <row r="1388" spans="3:8" x14ac:dyDescent="0.35">
      <c r="C1388" s="5"/>
      <c r="H1388" s="5"/>
    </row>
    <row r="1389" spans="3:8" x14ac:dyDescent="0.35">
      <c r="C1389" s="5"/>
      <c r="H1389" s="5"/>
    </row>
    <row r="1390" spans="3:8" x14ac:dyDescent="0.35">
      <c r="C1390" s="5"/>
      <c r="H1390" s="5"/>
    </row>
    <row r="1391" spans="3:8" x14ac:dyDescent="0.35">
      <c r="C1391" s="5"/>
      <c r="H1391" s="5"/>
    </row>
    <row r="1392" spans="3:8" x14ac:dyDescent="0.35">
      <c r="C1392" s="5"/>
      <c r="H1392" s="5"/>
    </row>
    <row r="1393" spans="3:8" x14ac:dyDescent="0.35">
      <c r="C1393" s="5"/>
      <c r="H1393" s="5"/>
    </row>
    <row r="1394" spans="3:8" x14ac:dyDescent="0.35">
      <c r="C1394" s="5"/>
      <c r="H1394" s="5"/>
    </row>
    <row r="1395" spans="3:8" x14ac:dyDescent="0.35">
      <c r="C1395" s="5"/>
      <c r="H1395" s="5"/>
    </row>
    <row r="1396" spans="3:8" x14ac:dyDescent="0.35">
      <c r="C1396" s="5"/>
      <c r="H1396" s="5"/>
    </row>
    <row r="1397" spans="3:8" x14ac:dyDescent="0.35">
      <c r="C1397" s="5"/>
      <c r="H1397" s="5"/>
    </row>
    <row r="1398" spans="3:8" x14ac:dyDescent="0.35">
      <c r="C1398" s="5"/>
      <c r="H1398" s="5"/>
    </row>
    <row r="1399" spans="3:8" x14ac:dyDescent="0.35">
      <c r="C1399" s="5"/>
      <c r="H1399" s="5"/>
    </row>
    <row r="1400" spans="3:8" x14ac:dyDescent="0.35">
      <c r="C1400" s="5"/>
      <c r="H1400" s="5"/>
    </row>
    <row r="1401" spans="3:8" x14ac:dyDescent="0.35">
      <c r="C1401" s="5"/>
      <c r="H1401" s="5"/>
    </row>
    <row r="1402" spans="3:8" x14ac:dyDescent="0.35">
      <c r="C1402" s="5"/>
      <c r="H1402" s="5"/>
    </row>
    <row r="1403" spans="3:8" x14ac:dyDescent="0.35">
      <c r="C1403" s="5"/>
      <c r="H1403" s="5"/>
    </row>
    <row r="1404" spans="3:8" x14ac:dyDescent="0.35">
      <c r="C1404" s="5"/>
      <c r="H1404" s="5"/>
    </row>
    <row r="1405" spans="3:8" x14ac:dyDescent="0.35">
      <c r="C1405" s="5"/>
      <c r="H1405" s="5"/>
    </row>
    <row r="1406" spans="3:8" x14ac:dyDescent="0.35">
      <c r="C1406" s="5"/>
      <c r="H1406" s="5"/>
    </row>
    <row r="1407" spans="3:8" x14ac:dyDescent="0.35">
      <c r="C1407" s="5"/>
      <c r="H1407" s="5"/>
    </row>
    <row r="1408" spans="3:8" x14ac:dyDescent="0.35">
      <c r="C1408" s="5"/>
      <c r="H1408" s="5"/>
    </row>
    <row r="1409" spans="3:8" x14ac:dyDescent="0.35">
      <c r="C1409" s="5"/>
      <c r="H1409" s="5"/>
    </row>
    <row r="1410" spans="3:8" x14ac:dyDescent="0.35">
      <c r="C1410" s="5"/>
      <c r="H1410" s="5"/>
    </row>
    <row r="1411" spans="3:8" x14ac:dyDescent="0.35">
      <c r="C1411" s="5"/>
      <c r="H1411" s="5"/>
    </row>
    <row r="1412" spans="3:8" x14ac:dyDescent="0.35">
      <c r="C1412" s="5"/>
      <c r="H1412" s="5"/>
    </row>
    <row r="1413" spans="3:8" x14ac:dyDescent="0.35">
      <c r="C1413" s="5"/>
      <c r="H1413" s="5"/>
    </row>
    <row r="1414" spans="3:8" x14ac:dyDescent="0.35">
      <c r="C1414" s="5"/>
      <c r="H1414" s="5"/>
    </row>
    <row r="1415" spans="3:8" x14ac:dyDescent="0.35">
      <c r="C1415" s="5"/>
      <c r="H1415" s="5"/>
    </row>
    <row r="1416" spans="3:8" x14ac:dyDescent="0.35">
      <c r="C1416" s="5"/>
      <c r="H1416" s="5"/>
    </row>
    <row r="1417" spans="3:8" x14ac:dyDescent="0.35">
      <c r="C1417" s="5"/>
      <c r="H1417" s="5"/>
    </row>
    <row r="1418" spans="3:8" x14ac:dyDescent="0.35">
      <c r="C1418" s="5"/>
      <c r="H1418" s="5"/>
    </row>
    <row r="1419" spans="3:8" x14ac:dyDescent="0.35">
      <c r="C1419" s="5"/>
      <c r="H1419" s="5"/>
    </row>
    <row r="1420" spans="3:8" x14ac:dyDescent="0.35">
      <c r="C1420" s="5"/>
      <c r="H1420" s="5"/>
    </row>
    <row r="1421" spans="3:8" x14ac:dyDescent="0.35">
      <c r="C1421" s="5"/>
      <c r="H1421" s="5"/>
    </row>
    <row r="1422" spans="3:8" x14ac:dyDescent="0.35">
      <c r="C1422" s="5"/>
      <c r="H1422" s="5"/>
    </row>
    <row r="1423" spans="3:8" x14ac:dyDescent="0.35">
      <c r="C1423" s="5"/>
      <c r="H1423" s="5"/>
    </row>
    <row r="1424" spans="3:8" x14ac:dyDescent="0.35">
      <c r="C1424" s="5"/>
      <c r="H1424" s="5"/>
    </row>
    <row r="1425" spans="3:8" x14ac:dyDescent="0.35">
      <c r="C1425" s="5"/>
      <c r="H1425" s="5"/>
    </row>
    <row r="1426" spans="3:8" x14ac:dyDescent="0.35">
      <c r="C1426" s="5"/>
      <c r="H1426" s="5"/>
    </row>
    <row r="1427" spans="3:8" x14ac:dyDescent="0.35">
      <c r="C1427" s="5"/>
      <c r="H1427" s="5"/>
    </row>
    <row r="1428" spans="3:8" x14ac:dyDescent="0.35">
      <c r="C1428" s="5"/>
      <c r="H1428" s="5"/>
    </row>
    <row r="1429" spans="3:8" x14ac:dyDescent="0.35">
      <c r="C1429" s="5"/>
      <c r="H1429" s="5"/>
    </row>
    <row r="1430" spans="3:8" x14ac:dyDescent="0.35">
      <c r="C1430" s="5"/>
      <c r="H1430" s="5"/>
    </row>
    <row r="1431" spans="3:8" x14ac:dyDescent="0.35">
      <c r="C1431" s="5"/>
      <c r="H1431" s="5"/>
    </row>
    <row r="1432" spans="3:8" x14ac:dyDescent="0.35">
      <c r="C1432" s="5"/>
      <c r="H1432" s="5"/>
    </row>
    <row r="1433" spans="3:8" x14ac:dyDescent="0.35">
      <c r="C1433" s="5"/>
      <c r="H1433" s="5"/>
    </row>
    <row r="1434" spans="3:8" x14ac:dyDescent="0.35">
      <c r="C1434" s="5"/>
      <c r="H1434" s="5"/>
    </row>
    <row r="1435" spans="3:8" x14ac:dyDescent="0.35">
      <c r="C1435" s="5"/>
      <c r="H1435" s="5"/>
    </row>
    <row r="1436" spans="3:8" x14ac:dyDescent="0.35">
      <c r="C1436" s="5"/>
      <c r="H1436" s="5"/>
    </row>
    <row r="1437" spans="3:8" x14ac:dyDescent="0.35">
      <c r="C1437" s="5"/>
      <c r="H1437" s="5"/>
    </row>
    <row r="1438" spans="3:8" x14ac:dyDescent="0.35">
      <c r="C1438" s="5"/>
      <c r="H1438" s="5"/>
    </row>
    <row r="1439" spans="3:8" x14ac:dyDescent="0.35">
      <c r="C1439" s="5"/>
      <c r="H1439" s="5"/>
    </row>
    <row r="1440" spans="3:8" x14ac:dyDescent="0.35">
      <c r="C1440" s="5"/>
      <c r="H1440" s="5"/>
    </row>
    <row r="1441" spans="3:8" x14ac:dyDescent="0.35">
      <c r="C1441" s="5"/>
      <c r="H1441" s="5"/>
    </row>
    <row r="1442" spans="3:8" x14ac:dyDescent="0.35">
      <c r="C1442" s="5"/>
      <c r="H1442" s="5"/>
    </row>
    <row r="1443" spans="3:8" x14ac:dyDescent="0.35">
      <c r="C1443" s="5"/>
      <c r="H1443" s="5"/>
    </row>
    <row r="1444" spans="3:8" x14ac:dyDescent="0.35">
      <c r="C1444" s="5"/>
      <c r="H1444" s="5"/>
    </row>
    <row r="1445" spans="3:8" x14ac:dyDescent="0.35">
      <c r="C1445" s="5"/>
      <c r="H1445" s="5"/>
    </row>
    <row r="1446" spans="3:8" x14ac:dyDescent="0.35">
      <c r="C1446" s="5"/>
      <c r="H1446" s="5"/>
    </row>
    <row r="1447" spans="3:8" x14ac:dyDescent="0.35">
      <c r="C1447" s="5"/>
      <c r="H1447" s="5"/>
    </row>
    <row r="1448" spans="3:8" x14ac:dyDescent="0.35">
      <c r="C1448" s="5"/>
      <c r="H1448" s="5"/>
    </row>
    <row r="1449" spans="3:8" x14ac:dyDescent="0.35">
      <c r="C1449" s="5"/>
      <c r="H1449" s="5"/>
    </row>
    <row r="1450" spans="3:8" x14ac:dyDescent="0.35">
      <c r="C1450" s="5"/>
      <c r="H1450" s="5"/>
    </row>
    <row r="1451" spans="3:8" x14ac:dyDescent="0.35">
      <c r="C1451" s="5"/>
      <c r="H1451" s="5"/>
    </row>
    <row r="1452" spans="3:8" x14ac:dyDescent="0.35">
      <c r="C1452" s="5"/>
      <c r="H1452" s="5"/>
    </row>
    <row r="1453" spans="3:8" x14ac:dyDescent="0.35">
      <c r="C1453" s="5"/>
      <c r="H1453" s="5"/>
    </row>
    <row r="1454" spans="3:8" x14ac:dyDescent="0.35">
      <c r="C1454" s="5"/>
      <c r="H1454" s="5"/>
    </row>
    <row r="1455" spans="3:8" x14ac:dyDescent="0.35">
      <c r="C1455" s="5"/>
      <c r="H1455" s="5"/>
    </row>
    <row r="1456" spans="3:8" x14ac:dyDescent="0.35">
      <c r="C1456" s="5"/>
      <c r="H1456" s="5"/>
    </row>
    <row r="1457" spans="3:8" x14ac:dyDescent="0.35">
      <c r="C1457" s="5"/>
      <c r="H1457" s="5"/>
    </row>
    <row r="1458" spans="3:8" x14ac:dyDescent="0.35">
      <c r="C1458" s="5"/>
      <c r="H1458" s="5"/>
    </row>
    <row r="1459" spans="3:8" x14ac:dyDescent="0.35">
      <c r="C1459" s="5"/>
      <c r="H1459" s="5"/>
    </row>
    <row r="1460" spans="3:8" x14ac:dyDescent="0.35">
      <c r="C1460" s="5"/>
      <c r="H1460" s="5"/>
    </row>
    <row r="1461" spans="3:8" x14ac:dyDescent="0.35">
      <c r="C1461" s="5"/>
      <c r="H1461" s="5"/>
    </row>
    <row r="1462" spans="3:8" x14ac:dyDescent="0.35">
      <c r="C1462" s="5"/>
      <c r="H1462" s="5"/>
    </row>
    <row r="1463" spans="3:8" x14ac:dyDescent="0.35">
      <c r="C1463" s="5"/>
      <c r="H1463" s="5"/>
    </row>
    <row r="1464" spans="3:8" x14ac:dyDescent="0.35">
      <c r="C1464" s="5"/>
      <c r="H1464" s="5"/>
    </row>
    <row r="1465" spans="3:8" x14ac:dyDescent="0.35">
      <c r="C1465" s="5"/>
      <c r="H1465" s="5"/>
    </row>
    <row r="1466" spans="3:8" x14ac:dyDescent="0.35">
      <c r="C1466" s="5"/>
      <c r="H1466" s="5"/>
    </row>
    <row r="1467" spans="3:8" x14ac:dyDescent="0.35">
      <c r="C1467" s="5"/>
      <c r="H1467" s="5"/>
    </row>
    <row r="1468" spans="3:8" x14ac:dyDescent="0.35">
      <c r="C1468" s="5"/>
      <c r="H1468" s="5"/>
    </row>
    <row r="1469" spans="3:8" x14ac:dyDescent="0.35">
      <c r="C1469" s="5"/>
      <c r="H1469" s="5"/>
    </row>
    <row r="1470" spans="3:8" x14ac:dyDescent="0.35">
      <c r="C1470" s="5"/>
      <c r="H1470" s="5"/>
    </row>
    <row r="1471" spans="3:8" x14ac:dyDescent="0.35">
      <c r="C1471" s="5"/>
      <c r="H1471" s="5"/>
    </row>
    <row r="1472" spans="3:8" x14ac:dyDescent="0.35">
      <c r="C1472" s="5"/>
      <c r="H1472" s="5"/>
    </row>
    <row r="1473" spans="3:8" x14ac:dyDescent="0.35">
      <c r="C1473" s="5"/>
      <c r="H1473" s="5"/>
    </row>
    <row r="1474" spans="3:8" x14ac:dyDescent="0.35">
      <c r="C1474" s="5"/>
      <c r="H1474" s="5"/>
    </row>
    <row r="1475" spans="3:8" x14ac:dyDescent="0.35">
      <c r="C1475" s="5"/>
      <c r="H1475" s="5"/>
    </row>
    <row r="1476" spans="3:8" x14ac:dyDescent="0.35">
      <c r="C1476" s="5"/>
      <c r="H1476" s="5"/>
    </row>
    <row r="1477" spans="3:8" x14ac:dyDescent="0.35">
      <c r="C1477" s="5"/>
      <c r="H1477" s="5"/>
    </row>
    <row r="1478" spans="3:8" x14ac:dyDescent="0.35">
      <c r="C1478" s="5"/>
      <c r="H1478" s="5"/>
    </row>
    <row r="1479" spans="3:8" x14ac:dyDescent="0.35">
      <c r="C1479" s="5"/>
      <c r="H1479" s="5"/>
    </row>
    <row r="1480" spans="3:8" x14ac:dyDescent="0.35">
      <c r="C1480" s="5"/>
      <c r="H1480" s="5"/>
    </row>
    <row r="1481" spans="3:8" x14ac:dyDescent="0.35">
      <c r="C1481" s="5"/>
      <c r="H1481" s="5"/>
    </row>
    <row r="1482" spans="3:8" x14ac:dyDescent="0.35">
      <c r="C1482" s="5"/>
      <c r="H1482" s="5"/>
    </row>
    <row r="1483" spans="3:8" x14ac:dyDescent="0.35">
      <c r="C1483" s="5"/>
      <c r="H1483" s="5"/>
    </row>
    <row r="1484" spans="3:8" x14ac:dyDescent="0.35">
      <c r="C1484" s="5"/>
      <c r="H1484" s="5"/>
    </row>
    <row r="1485" spans="3:8" x14ac:dyDescent="0.35">
      <c r="C1485" s="5"/>
      <c r="H1485" s="5"/>
    </row>
    <row r="1486" spans="3:8" x14ac:dyDescent="0.35">
      <c r="C1486" s="5"/>
      <c r="H1486" s="5"/>
    </row>
    <row r="1487" spans="3:8" x14ac:dyDescent="0.35">
      <c r="C1487" s="5"/>
      <c r="H1487" s="5"/>
    </row>
    <row r="1488" spans="3:8" x14ac:dyDescent="0.35">
      <c r="C1488" s="5"/>
      <c r="H1488" s="5"/>
    </row>
    <row r="1489" spans="3:8" x14ac:dyDescent="0.35">
      <c r="C1489" s="5"/>
      <c r="H1489" s="5"/>
    </row>
    <row r="1490" spans="3:8" x14ac:dyDescent="0.35">
      <c r="C1490" s="5"/>
      <c r="H1490" s="5"/>
    </row>
    <row r="1491" spans="3:8" x14ac:dyDescent="0.35">
      <c r="C1491" s="5"/>
      <c r="H1491" s="5"/>
    </row>
    <row r="1492" spans="3:8" x14ac:dyDescent="0.35">
      <c r="C1492" s="5"/>
      <c r="H1492" s="5"/>
    </row>
    <row r="1493" spans="3:8" x14ac:dyDescent="0.35">
      <c r="C1493" s="5"/>
      <c r="H1493" s="5"/>
    </row>
    <row r="1494" spans="3:8" x14ac:dyDescent="0.35">
      <c r="C1494" s="5"/>
      <c r="H1494" s="5"/>
    </row>
    <row r="1495" spans="3:8" x14ac:dyDescent="0.35">
      <c r="C1495" s="5"/>
      <c r="H1495" s="5"/>
    </row>
    <row r="1496" spans="3:8" x14ac:dyDescent="0.35">
      <c r="C1496" s="5"/>
      <c r="H1496" s="5"/>
    </row>
    <row r="1497" spans="3:8" x14ac:dyDescent="0.35">
      <c r="C1497" s="5"/>
      <c r="H1497" s="5"/>
    </row>
    <row r="1498" spans="3:8" x14ac:dyDescent="0.35">
      <c r="C1498" s="5"/>
      <c r="H1498" s="5"/>
    </row>
    <row r="1499" spans="3:8" x14ac:dyDescent="0.35">
      <c r="C1499" s="5"/>
      <c r="H1499" s="5"/>
    </row>
    <row r="1500" spans="3:8" x14ac:dyDescent="0.35">
      <c r="C1500" s="5"/>
      <c r="H1500" s="5"/>
    </row>
    <row r="1501" spans="3:8" x14ac:dyDescent="0.35">
      <c r="C1501" s="5"/>
      <c r="H1501" s="5"/>
    </row>
    <row r="1502" spans="3:8" x14ac:dyDescent="0.35">
      <c r="C1502" s="5"/>
      <c r="H1502" s="5"/>
    </row>
    <row r="1503" spans="3:8" x14ac:dyDescent="0.35">
      <c r="C1503" s="5"/>
      <c r="H1503" s="5"/>
    </row>
    <row r="1504" spans="3:8" x14ac:dyDescent="0.35">
      <c r="C1504" s="5"/>
      <c r="H1504" s="5"/>
    </row>
    <row r="1505" spans="3:8" x14ac:dyDescent="0.35">
      <c r="C1505" s="5"/>
      <c r="H1505" s="5"/>
    </row>
    <row r="1506" spans="3:8" x14ac:dyDescent="0.35">
      <c r="C1506" s="5"/>
      <c r="H1506" s="5"/>
    </row>
    <row r="1507" spans="3:8" x14ac:dyDescent="0.35">
      <c r="C1507" s="5"/>
      <c r="H1507" s="5"/>
    </row>
    <row r="1508" spans="3:8" x14ac:dyDescent="0.35">
      <c r="C1508" s="5"/>
      <c r="H1508" s="5"/>
    </row>
    <row r="1509" spans="3:8" x14ac:dyDescent="0.35">
      <c r="C1509" s="5"/>
      <c r="H1509" s="5"/>
    </row>
    <row r="1510" spans="3:8" x14ac:dyDescent="0.35">
      <c r="C1510" s="5"/>
      <c r="H1510" s="5"/>
    </row>
    <row r="1511" spans="3:8" x14ac:dyDescent="0.35">
      <c r="C1511" s="5"/>
      <c r="H1511" s="5"/>
    </row>
    <row r="1512" spans="3:8" x14ac:dyDescent="0.35">
      <c r="C1512" s="5"/>
      <c r="H1512" s="5"/>
    </row>
    <row r="1513" spans="3:8" x14ac:dyDescent="0.35">
      <c r="C1513" s="5"/>
      <c r="H1513" s="5"/>
    </row>
    <row r="1514" spans="3:8" x14ac:dyDescent="0.35">
      <c r="C1514" s="5"/>
      <c r="H1514" s="5"/>
    </row>
    <row r="1515" spans="3:8" x14ac:dyDescent="0.35">
      <c r="C1515" s="5"/>
      <c r="H1515" s="5"/>
    </row>
    <row r="1516" spans="3:8" x14ac:dyDescent="0.35">
      <c r="C1516" s="5"/>
      <c r="H1516" s="5"/>
    </row>
    <row r="1517" spans="3:8" x14ac:dyDescent="0.35">
      <c r="C1517" s="5"/>
      <c r="H1517" s="5"/>
    </row>
    <row r="1518" spans="3:8" x14ac:dyDescent="0.35">
      <c r="C1518" s="5"/>
      <c r="H1518" s="5"/>
    </row>
    <row r="1519" spans="3:8" x14ac:dyDescent="0.35">
      <c r="C1519" s="5"/>
      <c r="H1519" s="5"/>
    </row>
    <row r="1520" spans="3:8" x14ac:dyDescent="0.35">
      <c r="C1520" s="5"/>
      <c r="H1520" s="5"/>
    </row>
    <row r="1521" spans="3:8" x14ac:dyDescent="0.35">
      <c r="C1521" s="5"/>
      <c r="H1521" s="5"/>
    </row>
    <row r="1522" spans="3:8" x14ac:dyDescent="0.35">
      <c r="C1522" s="5"/>
      <c r="H1522" s="5"/>
    </row>
    <row r="1523" spans="3:8" x14ac:dyDescent="0.35">
      <c r="C1523" s="5"/>
      <c r="H1523" s="5"/>
    </row>
    <row r="1524" spans="3:8" x14ac:dyDescent="0.35">
      <c r="C1524" s="5"/>
      <c r="H1524" s="5"/>
    </row>
    <row r="1525" spans="3:8" x14ac:dyDescent="0.35">
      <c r="C1525" s="5"/>
      <c r="H1525" s="5"/>
    </row>
    <row r="1526" spans="3:8" x14ac:dyDescent="0.35">
      <c r="C1526" s="5"/>
      <c r="H1526" s="5"/>
    </row>
    <row r="1527" spans="3:8" x14ac:dyDescent="0.35">
      <c r="C1527" s="5"/>
      <c r="H1527" s="5"/>
    </row>
    <row r="1528" spans="3:8" x14ac:dyDescent="0.35">
      <c r="C1528" s="5"/>
      <c r="H1528" s="5"/>
    </row>
    <row r="1529" spans="3:8" x14ac:dyDescent="0.35">
      <c r="C1529" s="5"/>
      <c r="H1529" s="5"/>
    </row>
    <row r="1530" spans="3:8" x14ac:dyDescent="0.35">
      <c r="C1530" s="5"/>
      <c r="H1530" s="5"/>
    </row>
    <row r="1531" spans="3:8" x14ac:dyDescent="0.35">
      <c r="C1531" s="5"/>
      <c r="H1531" s="5"/>
    </row>
    <row r="1532" spans="3:8" x14ac:dyDescent="0.35">
      <c r="C1532" s="5"/>
      <c r="H1532" s="5"/>
    </row>
    <row r="1533" spans="3:8" x14ac:dyDescent="0.35">
      <c r="C1533" s="5"/>
      <c r="H1533" s="5"/>
    </row>
    <row r="1534" spans="3:8" x14ac:dyDescent="0.35">
      <c r="C1534" s="5"/>
      <c r="H1534" s="5"/>
    </row>
    <row r="1535" spans="3:8" x14ac:dyDescent="0.35">
      <c r="C1535" s="5"/>
      <c r="H1535" s="5"/>
    </row>
    <row r="1536" spans="3:8" x14ac:dyDescent="0.35">
      <c r="C1536" s="5"/>
      <c r="H1536" s="5"/>
    </row>
    <row r="1537" spans="3:8" x14ac:dyDescent="0.35">
      <c r="C1537" s="5"/>
      <c r="H1537" s="5"/>
    </row>
    <row r="1538" spans="3:8" x14ac:dyDescent="0.35">
      <c r="C1538" s="5"/>
      <c r="H1538" s="5"/>
    </row>
    <row r="1539" spans="3:8" x14ac:dyDescent="0.35">
      <c r="C1539" s="5"/>
      <c r="H1539" s="5"/>
    </row>
    <row r="1540" spans="3:8" x14ac:dyDescent="0.35">
      <c r="C1540" s="5"/>
      <c r="H1540" s="5"/>
    </row>
    <row r="1541" spans="3:8" x14ac:dyDescent="0.35">
      <c r="C1541" s="5"/>
      <c r="H1541" s="5"/>
    </row>
    <row r="1542" spans="3:8" x14ac:dyDescent="0.35">
      <c r="C1542" s="5"/>
      <c r="H1542" s="5"/>
    </row>
    <row r="1543" spans="3:8" x14ac:dyDescent="0.35">
      <c r="C1543" s="5"/>
      <c r="H1543" s="5"/>
    </row>
    <row r="1544" spans="3:8" x14ac:dyDescent="0.35">
      <c r="C1544" s="5"/>
      <c r="H1544" s="5"/>
    </row>
    <row r="1545" spans="3:8" x14ac:dyDescent="0.35">
      <c r="C1545" s="5"/>
      <c r="H1545" s="5"/>
    </row>
    <row r="1546" spans="3:8" x14ac:dyDescent="0.35">
      <c r="C1546" s="5"/>
      <c r="H1546" s="5"/>
    </row>
    <row r="1547" spans="3:8" x14ac:dyDescent="0.35">
      <c r="C1547" s="5"/>
      <c r="H1547" s="5"/>
    </row>
    <row r="1548" spans="3:8" x14ac:dyDescent="0.35">
      <c r="C1548" s="5"/>
      <c r="H1548" s="5"/>
    </row>
    <row r="1549" spans="3:8" x14ac:dyDescent="0.35">
      <c r="C1549" s="5"/>
      <c r="H1549" s="5"/>
    </row>
    <row r="1550" spans="3:8" x14ac:dyDescent="0.35">
      <c r="C1550" s="5"/>
      <c r="H1550" s="5"/>
    </row>
    <row r="1551" spans="3:8" x14ac:dyDescent="0.35">
      <c r="C1551" s="5"/>
      <c r="H1551" s="5"/>
    </row>
    <row r="1552" spans="3:8" x14ac:dyDescent="0.35">
      <c r="C1552" s="5"/>
      <c r="H1552" s="5"/>
    </row>
    <row r="1553" spans="3:8" x14ac:dyDescent="0.35">
      <c r="C1553" s="5"/>
      <c r="H1553" s="5"/>
    </row>
    <row r="1554" spans="3:8" x14ac:dyDescent="0.35">
      <c r="C1554" s="5"/>
      <c r="H1554" s="5"/>
    </row>
    <row r="1555" spans="3:8" x14ac:dyDescent="0.35">
      <c r="C1555" s="5"/>
      <c r="H1555" s="5"/>
    </row>
    <row r="1556" spans="3:8" x14ac:dyDescent="0.35">
      <c r="C1556" s="5"/>
      <c r="H1556" s="5"/>
    </row>
    <row r="1557" spans="3:8" x14ac:dyDescent="0.35">
      <c r="C1557" s="5"/>
      <c r="H1557" s="5"/>
    </row>
    <row r="1558" spans="3:8" x14ac:dyDescent="0.35">
      <c r="C1558" s="5"/>
      <c r="H1558" s="5"/>
    </row>
    <row r="1559" spans="3:8" x14ac:dyDescent="0.35">
      <c r="C1559" s="5"/>
      <c r="H1559" s="5"/>
    </row>
    <row r="1560" spans="3:8" x14ac:dyDescent="0.35">
      <c r="C1560" s="5"/>
      <c r="H1560" s="5"/>
    </row>
    <row r="1561" spans="3:8" x14ac:dyDescent="0.35">
      <c r="C1561" s="5"/>
      <c r="H1561" s="5"/>
    </row>
    <row r="1562" spans="3:8" x14ac:dyDescent="0.35">
      <c r="C1562" s="5"/>
      <c r="H1562" s="5"/>
    </row>
    <row r="1563" spans="3:8" x14ac:dyDescent="0.35">
      <c r="C1563" s="5"/>
      <c r="H1563" s="5"/>
    </row>
    <row r="1564" spans="3:8" x14ac:dyDescent="0.35">
      <c r="C1564" s="5"/>
      <c r="H1564" s="5"/>
    </row>
    <row r="1565" spans="3:8" x14ac:dyDescent="0.35">
      <c r="C1565" s="5"/>
      <c r="H1565" s="5"/>
    </row>
    <row r="1566" spans="3:8" x14ac:dyDescent="0.35">
      <c r="C1566" s="5"/>
      <c r="H1566" s="5"/>
    </row>
    <row r="1567" spans="3:8" x14ac:dyDescent="0.35">
      <c r="C1567" s="5"/>
      <c r="H1567" s="5"/>
    </row>
    <row r="1568" spans="3:8" x14ac:dyDescent="0.35">
      <c r="C1568" s="5"/>
      <c r="H1568" s="5"/>
    </row>
    <row r="1569" spans="3:8" x14ac:dyDescent="0.35">
      <c r="C1569" s="5"/>
      <c r="H1569" s="5"/>
    </row>
    <row r="1570" spans="3:8" x14ac:dyDescent="0.35">
      <c r="C1570" s="5"/>
      <c r="H1570" s="5"/>
    </row>
    <row r="1571" spans="3:8" x14ac:dyDescent="0.35">
      <c r="C1571" s="5"/>
      <c r="H1571" s="5"/>
    </row>
    <row r="1572" spans="3:8" x14ac:dyDescent="0.35">
      <c r="C1572" s="5"/>
      <c r="H1572" s="5"/>
    </row>
    <row r="1573" spans="3:8" x14ac:dyDescent="0.35">
      <c r="C1573" s="5"/>
      <c r="H1573" s="5"/>
    </row>
    <row r="1574" spans="3:8" x14ac:dyDescent="0.35">
      <c r="C1574" s="5"/>
      <c r="H1574" s="5"/>
    </row>
    <row r="1575" spans="3:8" x14ac:dyDescent="0.35">
      <c r="C1575" s="5"/>
      <c r="H1575" s="5"/>
    </row>
    <row r="1576" spans="3:8" x14ac:dyDescent="0.35">
      <c r="C1576" s="5"/>
      <c r="H1576" s="5"/>
    </row>
    <row r="1577" spans="3:8" x14ac:dyDescent="0.35">
      <c r="C1577" s="5"/>
      <c r="H1577" s="5"/>
    </row>
    <row r="1578" spans="3:8" x14ac:dyDescent="0.35">
      <c r="C1578" s="5"/>
      <c r="H1578" s="5"/>
    </row>
    <row r="1579" spans="3:8" x14ac:dyDescent="0.35">
      <c r="C1579" s="5"/>
      <c r="H1579" s="5"/>
    </row>
    <row r="1580" spans="3:8" x14ac:dyDescent="0.35">
      <c r="C1580" s="5"/>
      <c r="H1580" s="5"/>
    </row>
    <row r="1581" spans="3:8" x14ac:dyDescent="0.35">
      <c r="C1581" s="5"/>
      <c r="H1581" s="5"/>
    </row>
    <row r="1582" spans="3:8" x14ac:dyDescent="0.35">
      <c r="C1582" s="5"/>
      <c r="H1582" s="5"/>
    </row>
    <row r="1583" spans="3:8" x14ac:dyDescent="0.35">
      <c r="C1583" s="5"/>
      <c r="H1583" s="5"/>
    </row>
    <row r="1584" spans="3:8" x14ac:dyDescent="0.35">
      <c r="C1584" s="5"/>
      <c r="H1584" s="5"/>
    </row>
    <row r="1585" spans="3:8" x14ac:dyDescent="0.35">
      <c r="C1585" s="5"/>
      <c r="H1585" s="5"/>
    </row>
    <row r="1586" spans="3:8" x14ac:dyDescent="0.35">
      <c r="C1586" s="5"/>
      <c r="H1586" s="5"/>
    </row>
    <row r="1587" spans="3:8" x14ac:dyDescent="0.35">
      <c r="C1587" s="5"/>
      <c r="H1587" s="5"/>
    </row>
    <row r="1588" spans="3:8" x14ac:dyDescent="0.35">
      <c r="C1588" s="5"/>
      <c r="H1588" s="5"/>
    </row>
    <row r="1589" spans="3:8" x14ac:dyDescent="0.35">
      <c r="C1589" s="5"/>
      <c r="H1589" s="5"/>
    </row>
    <row r="1590" spans="3:8" x14ac:dyDescent="0.35">
      <c r="C1590" s="5"/>
      <c r="H1590" s="5"/>
    </row>
    <row r="1591" spans="3:8" x14ac:dyDescent="0.35">
      <c r="C1591" s="5"/>
      <c r="H1591" s="5"/>
    </row>
    <row r="1592" spans="3:8" x14ac:dyDescent="0.35">
      <c r="C1592" s="5"/>
      <c r="H1592" s="5"/>
    </row>
    <row r="1593" spans="3:8" x14ac:dyDescent="0.35">
      <c r="C1593" s="5"/>
      <c r="H1593" s="5"/>
    </row>
    <row r="1594" spans="3:8" x14ac:dyDescent="0.35">
      <c r="C1594" s="5"/>
      <c r="H1594" s="5"/>
    </row>
    <row r="1595" spans="3:8" x14ac:dyDescent="0.35">
      <c r="C1595" s="5"/>
      <c r="H1595" s="5"/>
    </row>
    <row r="1596" spans="3:8" x14ac:dyDescent="0.35">
      <c r="C1596" s="5"/>
      <c r="H1596" s="5"/>
    </row>
    <row r="1597" spans="3:8" x14ac:dyDescent="0.35">
      <c r="C1597" s="5"/>
      <c r="H1597" s="5"/>
    </row>
    <row r="1598" spans="3:8" x14ac:dyDescent="0.35">
      <c r="C1598" s="5"/>
      <c r="H1598" s="5"/>
    </row>
    <row r="1599" spans="3:8" x14ac:dyDescent="0.35">
      <c r="C1599" s="5"/>
      <c r="H1599" s="5"/>
    </row>
    <row r="1600" spans="3:8" x14ac:dyDescent="0.35">
      <c r="C1600" s="5"/>
      <c r="H1600" s="5"/>
    </row>
    <row r="1601" spans="3:8" x14ac:dyDescent="0.35">
      <c r="C1601" s="5"/>
      <c r="H1601" s="5"/>
    </row>
    <row r="1602" spans="3:8" x14ac:dyDescent="0.35">
      <c r="C1602" s="5"/>
      <c r="H1602" s="5"/>
    </row>
    <row r="1603" spans="3:8" x14ac:dyDescent="0.35">
      <c r="C1603" s="5"/>
      <c r="H1603" s="5"/>
    </row>
    <row r="1604" spans="3:8" x14ac:dyDescent="0.35">
      <c r="C1604" s="5"/>
      <c r="H1604" s="5"/>
    </row>
    <row r="1605" spans="3:8" x14ac:dyDescent="0.35">
      <c r="C1605" s="5"/>
      <c r="H1605" s="5"/>
    </row>
    <row r="1606" spans="3:8" x14ac:dyDescent="0.35">
      <c r="C1606" s="5"/>
      <c r="H1606" s="5"/>
    </row>
    <row r="1607" spans="3:8" x14ac:dyDescent="0.35">
      <c r="C1607" s="5"/>
      <c r="H1607" s="5"/>
    </row>
    <row r="1608" spans="3:8" x14ac:dyDescent="0.35">
      <c r="C1608" s="5"/>
      <c r="H1608" s="5"/>
    </row>
    <row r="1609" spans="3:8" x14ac:dyDescent="0.35">
      <c r="C1609" s="5"/>
      <c r="H1609" s="5"/>
    </row>
    <row r="1610" spans="3:8" x14ac:dyDescent="0.35">
      <c r="C1610" s="5"/>
      <c r="H1610" s="5"/>
    </row>
    <row r="1611" spans="3:8" x14ac:dyDescent="0.35">
      <c r="C1611" s="5"/>
      <c r="H1611" s="5"/>
    </row>
    <row r="1612" spans="3:8" x14ac:dyDescent="0.35">
      <c r="C1612" s="5"/>
      <c r="H1612" s="5"/>
    </row>
    <row r="1613" spans="3:8" x14ac:dyDescent="0.35">
      <c r="C1613" s="5"/>
      <c r="H1613" s="5"/>
    </row>
    <row r="1614" spans="3:8" x14ac:dyDescent="0.35">
      <c r="C1614" s="5"/>
      <c r="H1614" s="5"/>
    </row>
    <row r="1615" spans="3:8" x14ac:dyDescent="0.35">
      <c r="C1615" s="5"/>
      <c r="H1615" s="5"/>
    </row>
    <row r="1616" spans="3:8" x14ac:dyDescent="0.35">
      <c r="C1616" s="5"/>
      <c r="H1616" s="5"/>
    </row>
    <row r="1617" spans="3:8" x14ac:dyDescent="0.35">
      <c r="C1617" s="5"/>
      <c r="H1617" s="5"/>
    </row>
    <row r="1618" spans="3:8" x14ac:dyDescent="0.35">
      <c r="C1618" s="5"/>
      <c r="H1618" s="5"/>
    </row>
    <row r="1619" spans="3:8" x14ac:dyDescent="0.35">
      <c r="C1619" s="5"/>
      <c r="H1619" s="5"/>
    </row>
    <row r="1620" spans="3:8" x14ac:dyDescent="0.35">
      <c r="C1620" s="5"/>
      <c r="H1620" s="5"/>
    </row>
    <row r="1621" spans="3:8" x14ac:dyDescent="0.35">
      <c r="C1621" s="5"/>
      <c r="H1621" s="5"/>
    </row>
    <row r="1622" spans="3:8" x14ac:dyDescent="0.35">
      <c r="C1622" s="5"/>
      <c r="H1622" s="5"/>
    </row>
    <row r="1623" spans="3:8" x14ac:dyDescent="0.35">
      <c r="C1623" s="5"/>
      <c r="H1623" s="5"/>
    </row>
    <row r="1624" spans="3:8" x14ac:dyDescent="0.35">
      <c r="C1624" s="5"/>
      <c r="H1624" s="5"/>
    </row>
    <row r="1625" spans="3:8" x14ac:dyDescent="0.35">
      <c r="C1625" s="5"/>
      <c r="H1625" s="5"/>
    </row>
    <row r="1626" spans="3:8" x14ac:dyDescent="0.35">
      <c r="C1626" s="5"/>
      <c r="H1626" s="5"/>
    </row>
    <row r="1627" spans="3:8" x14ac:dyDescent="0.35">
      <c r="C1627" s="5"/>
      <c r="H1627" s="5"/>
    </row>
    <row r="1628" spans="3:8" x14ac:dyDescent="0.35">
      <c r="C1628" s="5"/>
      <c r="H1628" s="5"/>
    </row>
    <row r="1629" spans="3:8" x14ac:dyDescent="0.35">
      <c r="C1629" s="5"/>
      <c r="H1629" s="5"/>
    </row>
    <row r="1630" spans="3:8" x14ac:dyDescent="0.35">
      <c r="C1630" s="5"/>
      <c r="H1630" s="5"/>
    </row>
    <row r="1631" spans="3:8" x14ac:dyDescent="0.35">
      <c r="C1631" s="5"/>
      <c r="H1631" s="5"/>
    </row>
    <row r="1632" spans="3:8" x14ac:dyDescent="0.35">
      <c r="C1632" s="5"/>
      <c r="H1632" s="5"/>
    </row>
    <row r="1633" spans="3:8" x14ac:dyDescent="0.35">
      <c r="C1633" s="5"/>
      <c r="H1633" s="5"/>
    </row>
    <row r="1634" spans="3:8" x14ac:dyDescent="0.35">
      <c r="C1634" s="5"/>
      <c r="H1634" s="5"/>
    </row>
    <row r="1635" spans="3:8" x14ac:dyDescent="0.35">
      <c r="C1635" s="5"/>
      <c r="H1635" s="5"/>
    </row>
    <row r="1636" spans="3:8" x14ac:dyDescent="0.35">
      <c r="C1636" s="5"/>
      <c r="H1636" s="5"/>
    </row>
    <row r="1637" spans="3:8" x14ac:dyDescent="0.35">
      <c r="C1637" s="5"/>
      <c r="H1637" s="5"/>
    </row>
    <row r="1638" spans="3:8" x14ac:dyDescent="0.35">
      <c r="C1638" s="5"/>
      <c r="H1638" s="5"/>
    </row>
    <row r="1639" spans="3:8" x14ac:dyDescent="0.35">
      <c r="C1639" s="5"/>
      <c r="H1639" s="5"/>
    </row>
    <row r="1640" spans="3:8" x14ac:dyDescent="0.35">
      <c r="C1640" s="5"/>
      <c r="H1640" s="5"/>
    </row>
    <row r="1641" spans="3:8" x14ac:dyDescent="0.35">
      <c r="C1641" s="5"/>
      <c r="H1641" s="5"/>
    </row>
    <row r="1642" spans="3:8" x14ac:dyDescent="0.35">
      <c r="C1642" s="5"/>
      <c r="H1642" s="5"/>
    </row>
    <row r="1643" spans="3:8" x14ac:dyDescent="0.35">
      <c r="C1643" s="5"/>
      <c r="H1643" s="5"/>
    </row>
    <row r="1644" spans="3:8" x14ac:dyDescent="0.35">
      <c r="C1644" s="5"/>
      <c r="H1644" s="5"/>
    </row>
    <row r="1645" spans="3:8" x14ac:dyDescent="0.35">
      <c r="C1645" s="5"/>
      <c r="H1645" s="5"/>
    </row>
    <row r="1646" spans="3:8" x14ac:dyDescent="0.35">
      <c r="C1646" s="5"/>
      <c r="H1646" s="5"/>
    </row>
    <row r="1647" spans="3:8" x14ac:dyDescent="0.35">
      <c r="C1647" s="5"/>
      <c r="H1647" s="5"/>
    </row>
    <row r="1648" spans="3:8" x14ac:dyDescent="0.35">
      <c r="C1648" s="5"/>
      <c r="H1648" s="5"/>
    </row>
    <row r="1649" spans="3:8" x14ac:dyDescent="0.35">
      <c r="C1649" s="5"/>
      <c r="H1649" s="5"/>
    </row>
    <row r="1650" spans="3:8" x14ac:dyDescent="0.35">
      <c r="C1650" s="5"/>
      <c r="H1650" s="5"/>
    </row>
    <row r="1651" spans="3:8" x14ac:dyDescent="0.35">
      <c r="C1651" s="5"/>
      <c r="H1651" s="5"/>
    </row>
    <row r="1652" spans="3:8" x14ac:dyDescent="0.35">
      <c r="C1652" s="5"/>
      <c r="H1652" s="5"/>
    </row>
    <row r="1653" spans="3:8" x14ac:dyDescent="0.35">
      <c r="C1653" s="5"/>
      <c r="H1653" s="5"/>
    </row>
    <row r="1654" spans="3:8" x14ac:dyDescent="0.35">
      <c r="C1654" s="5"/>
      <c r="H1654" s="5"/>
    </row>
    <row r="1655" spans="3:8" x14ac:dyDescent="0.35">
      <c r="C1655" s="5"/>
      <c r="H1655" s="5"/>
    </row>
    <row r="1656" spans="3:8" x14ac:dyDescent="0.35">
      <c r="C1656" s="5"/>
      <c r="H1656" s="5"/>
    </row>
    <row r="1657" spans="3:8" x14ac:dyDescent="0.35">
      <c r="C1657" s="5"/>
      <c r="H1657" s="5"/>
    </row>
    <row r="1658" spans="3:8" x14ac:dyDescent="0.35">
      <c r="C1658" s="5"/>
      <c r="H1658" s="5"/>
    </row>
    <row r="1659" spans="3:8" x14ac:dyDescent="0.35">
      <c r="C1659" s="5"/>
      <c r="H1659" s="5"/>
    </row>
    <row r="1660" spans="3:8" x14ac:dyDescent="0.35">
      <c r="C1660" s="5"/>
      <c r="H1660" s="5"/>
    </row>
    <row r="1661" spans="3:8" x14ac:dyDescent="0.35">
      <c r="C1661" s="5"/>
      <c r="H1661" s="5"/>
    </row>
    <row r="1662" spans="3:8" x14ac:dyDescent="0.35">
      <c r="C1662" s="5"/>
      <c r="H1662" s="5"/>
    </row>
    <row r="1663" spans="3:8" x14ac:dyDescent="0.35">
      <c r="C1663" s="5"/>
      <c r="H1663" s="5"/>
    </row>
    <row r="1664" spans="3:8" x14ac:dyDescent="0.35">
      <c r="C1664" s="5"/>
      <c r="H1664" s="5"/>
    </row>
    <row r="1665" spans="3:8" x14ac:dyDescent="0.35">
      <c r="C1665" s="5"/>
      <c r="H1665" s="5"/>
    </row>
    <row r="1666" spans="3:8" x14ac:dyDescent="0.35">
      <c r="C1666" s="5"/>
      <c r="H1666" s="5"/>
    </row>
    <row r="1667" spans="3:8" x14ac:dyDescent="0.35">
      <c r="C1667" s="5"/>
      <c r="H1667" s="5"/>
    </row>
    <row r="1668" spans="3:8" x14ac:dyDescent="0.35">
      <c r="C1668" s="5"/>
      <c r="H1668" s="5"/>
    </row>
    <row r="1669" spans="3:8" x14ac:dyDescent="0.35">
      <c r="C1669" s="5"/>
      <c r="H1669" s="5"/>
    </row>
    <row r="1670" spans="3:8" x14ac:dyDescent="0.35">
      <c r="C1670" s="5"/>
      <c r="H1670" s="5"/>
    </row>
    <row r="1671" spans="3:8" x14ac:dyDescent="0.35">
      <c r="C1671" s="5"/>
      <c r="H1671" s="5"/>
    </row>
    <row r="1672" spans="3:8" x14ac:dyDescent="0.35">
      <c r="C1672" s="5"/>
      <c r="H1672" s="5"/>
    </row>
    <row r="1673" spans="3:8" x14ac:dyDescent="0.35">
      <c r="C1673" s="5"/>
      <c r="H1673" s="5"/>
    </row>
    <row r="1674" spans="3:8" x14ac:dyDescent="0.35">
      <c r="C1674" s="5"/>
      <c r="H1674" s="5"/>
    </row>
    <row r="1675" spans="3:8" x14ac:dyDescent="0.35">
      <c r="C1675" s="5"/>
      <c r="H1675" s="5"/>
    </row>
    <row r="1676" spans="3:8" x14ac:dyDescent="0.35">
      <c r="C1676" s="5"/>
      <c r="H1676" s="5"/>
    </row>
    <row r="1677" spans="3:8" x14ac:dyDescent="0.35">
      <c r="C1677" s="5"/>
      <c r="H1677" s="5"/>
    </row>
    <row r="1678" spans="3:8" x14ac:dyDescent="0.35">
      <c r="C1678" s="5"/>
      <c r="H1678" s="5"/>
    </row>
    <row r="1679" spans="3:8" x14ac:dyDescent="0.35">
      <c r="C1679" s="5"/>
      <c r="H1679" s="5"/>
    </row>
    <row r="1680" spans="3:8" x14ac:dyDescent="0.35">
      <c r="C1680" s="5"/>
      <c r="H1680" s="5"/>
    </row>
    <row r="1681" spans="3:8" x14ac:dyDescent="0.35">
      <c r="C1681" s="5"/>
      <c r="H1681" s="5"/>
    </row>
    <row r="1682" spans="3:8" x14ac:dyDescent="0.35">
      <c r="C1682" s="5"/>
      <c r="H1682" s="5"/>
    </row>
    <row r="1683" spans="3:8" x14ac:dyDescent="0.35">
      <c r="C1683" s="5"/>
      <c r="H1683" s="5"/>
    </row>
    <row r="1684" spans="3:8" x14ac:dyDescent="0.35">
      <c r="C1684" s="5"/>
      <c r="H1684" s="5"/>
    </row>
    <row r="1685" spans="3:8" x14ac:dyDescent="0.35">
      <c r="C1685" s="5"/>
      <c r="H1685" s="5"/>
    </row>
    <row r="1686" spans="3:8" x14ac:dyDescent="0.35">
      <c r="C1686" s="5"/>
      <c r="H1686" s="5"/>
    </row>
    <row r="1687" spans="3:8" x14ac:dyDescent="0.35">
      <c r="C1687" s="5"/>
      <c r="H1687" s="5"/>
    </row>
    <row r="1688" spans="3:8" x14ac:dyDescent="0.35">
      <c r="C1688" s="5"/>
      <c r="H1688" s="5"/>
    </row>
    <row r="1689" spans="3:8" x14ac:dyDescent="0.35">
      <c r="C1689" s="5"/>
      <c r="H1689" s="5"/>
    </row>
    <row r="1690" spans="3:8" x14ac:dyDescent="0.35">
      <c r="C1690" s="5"/>
      <c r="H1690" s="5"/>
    </row>
    <row r="1691" spans="3:8" x14ac:dyDescent="0.35">
      <c r="C1691" s="5"/>
      <c r="H1691" s="5"/>
    </row>
    <row r="1692" spans="3:8" x14ac:dyDescent="0.35">
      <c r="C1692" s="5"/>
      <c r="H1692" s="5"/>
    </row>
    <row r="1693" spans="3:8" x14ac:dyDescent="0.35">
      <c r="C1693" s="5"/>
      <c r="H1693" s="5"/>
    </row>
    <row r="1694" spans="3:8" x14ac:dyDescent="0.35">
      <c r="C1694" s="5"/>
      <c r="H1694" s="5"/>
    </row>
    <row r="1695" spans="3:8" x14ac:dyDescent="0.35">
      <c r="C1695" s="5"/>
      <c r="H1695" s="5"/>
    </row>
    <row r="1696" spans="3:8" x14ac:dyDescent="0.35">
      <c r="C1696" s="5"/>
      <c r="H1696" s="5"/>
    </row>
    <row r="1697" spans="3:8" x14ac:dyDescent="0.35">
      <c r="C1697" s="5"/>
      <c r="H1697" s="5"/>
    </row>
    <row r="1698" spans="3:8" x14ac:dyDescent="0.35">
      <c r="C1698" s="5"/>
      <c r="H1698" s="5"/>
    </row>
    <row r="1699" spans="3:8" x14ac:dyDescent="0.35">
      <c r="C1699" s="5"/>
      <c r="H1699" s="5"/>
    </row>
    <row r="1700" spans="3:8" x14ac:dyDescent="0.35">
      <c r="C1700" s="5"/>
      <c r="H1700" s="5"/>
    </row>
    <row r="1701" spans="3:8" x14ac:dyDescent="0.35">
      <c r="C1701" s="5"/>
      <c r="H1701" s="5"/>
    </row>
    <row r="1702" spans="3:8" x14ac:dyDescent="0.35">
      <c r="C1702" s="5"/>
      <c r="H1702" s="5"/>
    </row>
    <row r="1703" spans="3:8" x14ac:dyDescent="0.35">
      <c r="C1703" s="5"/>
      <c r="H1703" s="5"/>
    </row>
    <row r="1704" spans="3:8" x14ac:dyDescent="0.35">
      <c r="C1704" s="5"/>
      <c r="H1704" s="5"/>
    </row>
    <row r="1705" spans="3:8" x14ac:dyDescent="0.35">
      <c r="C1705" s="5"/>
      <c r="H1705" s="5"/>
    </row>
    <row r="1706" spans="3:8" x14ac:dyDescent="0.35">
      <c r="C1706" s="5"/>
      <c r="H1706" s="5"/>
    </row>
    <row r="1707" spans="3:8" x14ac:dyDescent="0.35">
      <c r="C1707" s="5"/>
      <c r="H1707" s="5"/>
    </row>
    <row r="1708" spans="3:8" x14ac:dyDescent="0.35">
      <c r="C1708" s="5"/>
      <c r="H1708" s="5"/>
    </row>
    <row r="1709" spans="3:8" x14ac:dyDescent="0.35">
      <c r="C1709" s="5"/>
      <c r="H1709" s="5"/>
    </row>
    <row r="1710" spans="3:8" x14ac:dyDescent="0.35">
      <c r="C1710" s="5"/>
      <c r="H1710" s="5"/>
    </row>
    <row r="1711" spans="3:8" x14ac:dyDescent="0.35">
      <c r="C1711" s="5"/>
      <c r="H1711" s="5"/>
    </row>
    <row r="1712" spans="3:8" x14ac:dyDescent="0.35">
      <c r="C1712" s="5"/>
      <c r="H1712" s="5"/>
    </row>
    <row r="1713" spans="3:8" x14ac:dyDescent="0.35">
      <c r="C1713" s="5"/>
      <c r="H1713" s="5"/>
    </row>
    <row r="1714" spans="3:8" x14ac:dyDescent="0.35">
      <c r="C1714" s="5"/>
      <c r="H1714" s="5"/>
    </row>
    <row r="1715" spans="3:8" x14ac:dyDescent="0.35">
      <c r="C1715" s="5"/>
      <c r="H1715" s="5"/>
    </row>
    <row r="1716" spans="3:8" x14ac:dyDescent="0.35">
      <c r="C1716" s="5"/>
      <c r="H1716" s="5"/>
    </row>
    <row r="1717" spans="3:8" x14ac:dyDescent="0.35">
      <c r="C1717" s="5"/>
      <c r="H1717" s="5"/>
    </row>
    <row r="1718" spans="3:8" x14ac:dyDescent="0.35">
      <c r="C1718" s="5"/>
      <c r="H1718" s="5"/>
    </row>
    <row r="1719" spans="3:8" x14ac:dyDescent="0.35">
      <c r="C1719" s="5"/>
      <c r="H1719" s="5"/>
    </row>
    <row r="1720" spans="3:8" x14ac:dyDescent="0.35">
      <c r="C1720" s="5"/>
      <c r="H1720" s="5"/>
    </row>
    <row r="1721" spans="3:8" x14ac:dyDescent="0.35">
      <c r="C1721" s="5"/>
      <c r="H1721" s="5"/>
    </row>
    <row r="1722" spans="3:8" x14ac:dyDescent="0.35">
      <c r="C1722" s="5"/>
      <c r="H1722" s="5"/>
    </row>
    <row r="1723" spans="3:8" x14ac:dyDescent="0.35">
      <c r="C1723" s="5"/>
      <c r="H1723" s="5"/>
    </row>
    <row r="1724" spans="3:8" x14ac:dyDescent="0.35">
      <c r="C1724" s="5"/>
      <c r="H1724" s="5"/>
    </row>
    <row r="1725" spans="3:8" x14ac:dyDescent="0.35">
      <c r="C1725" s="5"/>
      <c r="H1725" s="5"/>
    </row>
    <row r="1726" spans="3:8" x14ac:dyDescent="0.35">
      <c r="C1726" s="5"/>
      <c r="H1726" s="5"/>
    </row>
    <row r="1727" spans="3:8" x14ac:dyDescent="0.35">
      <c r="C1727" s="5"/>
      <c r="H1727" s="5"/>
    </row>
    <row r="1728" spans="3:8" x14ac:dyDescent="0.35">
      <c r="C1728" s="5"/>
      <c r="H1728" s="5"/>
    </row>
    <row r="1729" spans="3:8" x14ac:dyDescent="0.35">
      <c r="C1729" s="5"/>
      <c r="H1729" s="5"/>
    </row>
    <row r="1730" spans="3:8" x14ac:dyDescent="0.35">
      <c r="C1730" s="5"/>
      <c r="H1730" s="5"/>
    </row>
    <row r="1731" spans="3:8" x14ac:dyDescent="0.35">
      <c r="C1731" s="5"/>
      <c r="H1731" s="5"/>
    </row>
    <row r="1732" spans="3:8" x14ac:dyDescent="0.35">
      <c r="C1732" s="5"/>
      <c r="H1732" s="5"/>
    </row>
    <row r="1733" spans="3:8" x14ac:dyDescent="0.35">
      <c r="C1733" s="5"/>
      <c r="H1733" s="5"/>
    </row>
    <row r="1734" spans="3:8" x14ac:dyDescent="0.35">
      <c r="C1734" s="5"/>
      <c r="H1734" s="5"/>
    </row>
    <row r="1735" spans="3:8" x14ac:dyDescent="0.35">
      <c r="C1735" s="5"/>
      <c r="H1735" s="5"/>
    </row>
    <row r="1736" spans="3:8" x14ac:dyDescent="0.35">
      <c r="C1736" s="5"/>
      <c r="H1736" s="5"/>
    </row>
    <row r="1737" spans="3:8" x14ac:dyDescent="0.35">
      <c r="C1737" s="5"/>
      <c r="H1737" s="5"/>
    </row>
    <row r="1738" spans="3:8" x14ac:dyDescent="0.35">
      <c r="C1738" s="5"/>
      <c r="H1738" s="5"/>
    </row>
    <row r="1739" spans="3:8" x14ac:dyDescent="0.35">
      <c r="C1739" s="5"/>
      <c r="H1739" s="5"/>
    </row>
    <row r="1740" spans="3:8" x14ac:dyDescent="0.35">
      <c r="C1740" s="5"/>
      <c r="H1740" s="5"/>
    </row>
    <row r="1741" spans="3:8" x14ac:dyDescent="0.35">
      <c r="C1741" s="5"/>
      <c r="H1741" s="5"/>
    </row>
    <row r="1742" spans="3:8" x14ac:dyDescent="0.35">
      <c r="C1742" s="5"/>
      <c r="H1742" s="5"/>
    </row>
    <row r="1743" spans="3:8" x14ac:dyDescent="0.35">
      <c r="C1743" s="5"/>
      <c r="H1743" s="5"/>
    </row>
    <row r="1744" spans="3:8" x14ac:dyDescent="0.35">
      <c r="C1744" s="5"/>
      <c r="H1744" s="5"/>
    </row>
    <row r="1745" spans="3:8" x14ac:dyDescent="0.35">
      <c r="C1745" s="5"/>
      <c r="H1745" s="5"/>
    </row>
    <row r="1746" spans="3:8" x14ac:dyDescent="0.35">
      <c r="C1746" s="5"/>
      <c r="H1746" s="5"/>
    </row>
    <row r="1747" spans="3:8" x14ac:dyDescent="0.35">
      <c r="C1747" s="5"/>
      <c r="H1747" s="5"/>
    </row>
    <row r="1748" spans="3:8" x14ac:dyDescent="0.35">
      <c r="C1748" s="5"/>
      <c r="H1748" s="5"/>
    </row>
    <row r="1749" spans="3:8" x14ac:dyDescent="0.35">
      <c r="C1749" s="5"/>
      <c r="H1749" s="5"/>
    </row>
    <row r="1750" spans="3:8" x14ac:dyDescent="0.35">
      <c r="C1750" s="5"/>
      <c r="H1750" s="5"/>
    </row>
    <row r="1751" spans="3:8" x14ac:dyDescent="0.35">
      <c r="C1751" s="5"/>
      <c r="H1751" s="5"/>
    </row>
    <row r="1752" spans="3:8" x14ac:dyDescent="0.35">
      <c r="C1752" s="5"/>
      <c r="H1752" s="5"/>
    </row>
    <row r="1753" spans="3:8" x14ac:dyDescent="0.35">
      <c r="C1753" s="5"/>
      <c r="H1753" s="5"/>
    </row>
    <row r="1754" spans="3:8" x14ac:dyDescent="0.35">
      <c r="C1754" s="5"/>
      <c r="H1754" s="5"/>
    </row>
    <row r="1755" spans="3:8" x14ac:dyDescent="0.35">
      <c r="C1755" s="5"/>
      <c r="H1755" s="5"/>
    </row>
    <row r="1756" spans="3:8" x14ac:dyDescent="0.35">
      <c r="C1756" s="5"/>
      <c r="H1756" s="5"/>
    </row>
    <row r="1757" spans="3:8" x14ac:dyDescent="0.35">
      <c r="C1757" s="5"/>
      <c r="H1757" s="5"/>
    </row>
    <row r="1758" spans="3:8" x14ac:dyDescent="0.35">
      <c r="C1758" s="5"/>
      <c r="H1758" s="5"/>
    </row>
    <row r="1759" spans="3:8" x14ac:dyDescent="0.35">
      <c r="C1759" s="5"/>
      <c r="H1759" s="5"/>
    </row>
    <row r="1760" spans="3:8" x14ac:dyDescent="0.35">
      <c r="C1760" s="5"/>
      <c r="H1760" s="5"/>
    </row>
    <row r="1761" spans="3:8" x14ac:dyDescent="0.35">
      <c r="C1761" s="5"/>
      <c r="H1761" s="5"/>
    </row>
    <row r="1762" spans="3:8" x14ac:dyDescent="0.35">
      <c r="C1762" s="5"/>
      <c r="H1762" s="5"/>
    </row>
    <row r="1763" spans="3:8" x14ac:dyDescent="0.35">
      <c r="C1763" s="5"/>
      <c r="H1763" s="5"/>
    </row>
    <row r="1764" spans="3:8" x14ac:dyDescent="0.35">
      <c r="C1764" s="5"/>
      <c r="H1764" s="5"/>
    </row>
    <row r="1765" spans="3:8" x14ac:dyDescent="0.35">
      <c r="C1765" s="5"/>
      <c r="H1765" s="5"/>
    </row>
    <row r="1766" spans="3:8" x14ac:dyDescent="0.35">
      <c r="C1766" s="5"/>
      <c r="H1766" s="5"/>
    </row>
    <row r="1767" spans="3:8" x14ac:dyDescent="0.35">
      <c r="C1767" s="5"/>
      <c r="H1767" s="5"/>
    </row>
    <row r="1768" spans="3:8" x14ac:dyDescent="0.35">
      <c r="C1768" s="5"/>
      <c r="H1768" s="5"/>
    </row>
    <row r="1769" spans="3:8" x14ac:dyDescent="0.35">
      <c r="C1769" s="5"/>
      <c r="H1769" s="5"/>
    </row>
    <row r="1770" spans="3:8" x14ac:dyDescent="0.35">
      <c r="C1770" s="5"/>
      <c r="H1770" s="5"/>
    </row>
    <row r="1771" spans="3:8" x14ac:dyDescent="0.35">
      <c r="C1771" s="5"/>
      <c r="H1771" s="5"/>
    </row>
    <row r="1772" spans="3:8" x14ac:dyDescent="0.35">
      <c r="C1772" s="5"/>
      <c r="H1772" s="5"/>
    </row>
    <row r="1773" spans="3:8" x14ac:dyDescent="0.35">
      <c r="C1773" s="5"/>
      <c r="H1773" s="5"/>
    </row>
    <row r="1774" spans="3:8" x14ac:dyDescent="0.35">
      <c r="C1774" s="5"/>
      <c r="H1774" s="5"/>
    </row>
    <row r="1775" spans="3:8" x14ac:dyDescent="0.35">
      <c r="C1775" s="5"/>
      <c r="H1775" s="5"/>
    </row>
    <row r="1776" spans="3:8" x14ac:dyDescent="0.35">
      <c r="C1776" s="5"/>
      <c r="H1776" s="5"/>
    </row>
    <row r="1777" spans="3:8" x14ac:dyDescent="0.35">
      <c r="C1777" s="5"/>
      <c r="H1777" s="5"/>
    </row>
    <row r="1778" spans="3:8" x14ac:dyDescent="0.35">
      <c r="C1778" s="5"/>
      <c r="H1778" s="5"/>
    </row>
    <row r="1779" spans="3:8" x14ac:dyDescent="0.35">
      <c r="C1779" s="5"/>
      <c r="H1779" s="5"/>
    </row>
    <row r="1780" spans="3:8" x14ac:dyDescent="0.35">
      <c r="C1780" s="5"/>
      <c r="H1780" s="5"/>
    </row>
    <row r="1781" spans="3:8" x14ac:dyDescent="0.35">
      <c r="C1781" s="5"/>
      <c r="H1781" s="5"/>
    </row>
    <row r="1782" spans="3:8" x14ac:dyDescent="0.35">
      <c r="C1782" s="5"/>
      <c r="H1782" s="5"/>
    </row>
    <row r="1783" spans="3:8" x14ac:dyDescent="0.35">
      <c r="C1783" s="5"/>
      <c r="H1783" s="5"/>
    </row>
    <row r="1784" spans="3:8" x14ac:dyDescent="0.35">
      <c r="C1784" s="5"/>
      <c r="H1784" s="5"/>
    </row>
    <row r="1785" spans="3:8" x14ac:dyDescent="0.35">
      <c r="C1785" s="5"/>
      <c r="H1785" s="5"/>
    </row>
    <row r="1786" spans="3:8" x14ac:dyDescent="0.35">
      <c r="C1786" s="5"/>
      <c r="H1786" s="5"/>
    </row>
    <row r="1787" spans="3:8" x14ac:dyDescent="0.35">
      <c r="C1787" s="5"/>
      <c r="H1787" s="5"/>
    </row>
    <row r="1788" spans="3:8" x14ac:dyDescent="0.35">
      <c r="C1788" s="5"/>
      <c r="H1788" s="5"/>
    </row>
    <row r="1789" spans="3:8" x14ac:dyDescent="0.35">
      <c r="C1789" s="5"/>
      <c r="H1789" s="5"/>
    </row>
    <row r="1790" spans="3:8" x14ac:dyDescent="0.35">
      <c r="C1790" s="5"/>
      <c r="H1790" s="5"/>
    </row>
    <row r="1791" spans="3:8" x14ac:dyDescent="0.35">
      <c r="C1791" s="5"/>
      <c r="H1791" s="5"/>
    </row>
    <row r="1792" spans="3:8" x14ac:dyDescent="0.35">
      <c r="C1792" s="5"/>
      <c r="H1792" s="5"/>
    </row>
    <row r="1793" spans="3:8" x14ac:dyDescent="0.35">
      <c r="C1793" s="5"/>
      <c r="H1793" s="5"/>
    </row>
    <row r="1794" spans="3:8" x14ac:dyDescent="0.35">
      <c r="C1794" s="5"/>
      <c r="H1794" s="5"/>
    </row>
    <row r="1795" spans="3:8" x14ac:dyDescent="0.35">
      <c r="C1795" s="5"/>
      <c r="H1795" s="5"/>
    </row>
    <row r="1796" spans="3:8" x14ac:dyDescent="0.35">
      <c r="C1796" s="5"/>
      <c r="H1796" s="5"/>
    </row>
    <row r="1797" spans="3:8" x14ac:dyDescent="0.35">
      <c r="C1797" s="5"/>
      <c r="H1797" s="5"/>
    </row>
    <row r="1798" spans="3:8" x14ac:dyDescent="0.35">
      <c r="C1798" s="5"/>
      <c r="H1798" s="5"/>
    </row>
    <row r="1799" spans="3:8" x14ac:dyDescent="0.35">
      <c r="C1799" s="5"/>
      <c r="H1799" s="5"/>
    </row>
    <row r="1800" spans="3:8" x14ac:dyDescent="0.35">
      <c r="C1800" s="5"/>
      <c r="H1800" s="5"/>
    </row>
    <row r="1801" spans="3:8" x14ac:dyDescent="0.35">
      <c r="C1801" s="5"/>
      <c r="H1801" s="5"/>
    </row>
    <row r="1802" spans="3:8" x14ac:dyDescent="0.35">
      <c r="C1802" s="5"/>
      <c r="H1802" s="5"/>
    </row>
    <row r="1803" spans="3:8" x14ac:dyDescent="0.35">
      <c r="C1803" s="5"/>
      <c r="H1803" s="5"/>
    </row>
    <row r="1804" spans="3:8" x14ac:dyDescent="0.35">
      <c r="C1804" s="5"/>
      <c r="H1804" s="5"/>
    </row>
    <row r="1805" spans="3:8" x14ac:dyDescent="0.35">
      <c r="C1805" s="5"/>
      <c r="H1805" s="5"/>
    </row>
    <row r="1806" spans="3:8" x14ac:dyDescent="0.35">
      <c r="C1806" s="5"/>
      <c r="H1806" s="5"/>
    </row>
    <row r="1807" spans="3:8" x14ac:dyDescent="0.35">
      <c r="C1807" s="5"/>
      <c r="H1807" s="5"/>
    </row>
    <row r="1808" spans="3:8" x14ac:dyDescent="0.35">
      <c r="C1808" s="5"/>
      <c r="H1808" s="5"/>
    </row>
    <row r="1809" spans="3:8" x14ac:dyDescent="0.35">
      <c r="C1809" s="5"/>
      <c r="H1809" s="5"/>
    </row>
    <row r="1810" spans="3:8" x14ac:dyDescent="0.35">
      <c r="C1810" s="5"/>
      <c r="H1810" s="5"/>
    </row>
    <row r="1811" spans="3:8" x14ac:dyDescent="0.35">
      <c r="C1811" s="5"/>
      <c r="H1811" s="5"/>
    </row>
    <row r="1812" spans="3:8" x14ac:dyDescent="0.35">
      <c r="C1812" s="5"/>
      <c r="H1812" s="5"/>
    </row>
    <row r="1813" spans="3:8" x14ac:dyDescent="0.35">
      <c r="C1813" s="5"/>
      <c r="H1813" s="5"/>
    </row>
    <row r="1814" spans="3:8" x14ac:dyDescent="0.35">
      <c r="C1814" s="5"/>
      <c r="H1814" s="5"/>
    </row>
    <row r="1815" spans="3:8" x14ac:dyDescent="0.35">
      <c r="C1815" s="5"/>
      <c r="H1815" s="5"/>
    </row>
    <row r="1816" spans="3:8" x14ac:dyDescent="0.35">
      <c r="C1816" s="5"/>
      <c r="H1816" s="5"/>
    </row>
    <row r="1817" spans="3:8" x14ac:dyDescent="0.35">
      <c r="C1817" s="5"/>
      <c r="H1817" s="5"/>
    </row>
    <row r="1818" spans="3:8" x14ac:dyDescent="0.35">
      <c r="C1818" s="5"/>
      <c r="H1818" s="5"/>
    </row>
    <row r="1819" spans="3:8" x14ac:dyDescent="0.35">
      <c r="C1819" s="5"/>
      <c r="H1819" s="5"/>
    </row>
    <row r="1820" spans="3:8" x14ac:dyDescent="0.35">
      <c r="C1820" s="5"/>
      <c r="H1820" s="5"/>
    </row>
    <row r="1821" spans="3:8" x14ac:dyDescent="0.35">
      <c r="C1821" s="5"/>
      <c r="H1821" s="5"/>
    </row>
    <row r="1822" spans="3:8" x14ac:dyDescent="0.35">
      <c r="C1822" s="5"/>
      <c r="H1822" s="5"/>
    </row>
    <row r="1823" spans="3:8" x14ac:dyDescent="0.35">
      <c r="C1823" s="5"/>
      <c r="H1823" s="5"/>
    </row>
    <row r="1824" spans="3:8" x14ac:dyDescent="0.35">
      <c r="C1824" s="5"/>
      <c r="H1824" s="5"/>
    </row>
    <row r="1825" spans="3:8" x14ac:dyDescent="0.35">
      <c r="C1825" s="5"/>
      <c r="H1825" s="5"/>
    </row>
    <row r="1826" spans="3:8" x14ac:dyDescent="0.35">
      <c r="C1826" s="5"/>
      <c r="H1826" s="5"/>
    </row>
    <row r="1827" spans="3:8" x14ac:dyDescent="0.35">
      <c r="C1827" s="5"/>
      <c r="H1827" s="5"/>
    </row>
    <row r="1828" spans="3:8" x14ac:dyDescent="0.35">
      <c r="C1828" s="5"/>
      <c r="H1828" s="5"/>
    </row>
    <row r="1829" spans="3:8" x14ac:dyDescent="0.35">
      <c r="C1829" s="5"/>
      <c r="H1829" s="5"/>
    </row>
    <row r="1830" spans="3:8" x14ac:dyDescent="0.35">
      <c r="C1830" s="5"/>
      <c r="H1830" s="5"/>
    </row>
    <row r="1831" spans="3:8" x14ac:dyDescent="0.35">
      <c r="C1831" s="5"/>
      <c r="H1831" s="5"/>
    </row>
    <row r="1832" spans="3:8" x14ac:dyDescent="0.35">
      <c r="C1832" s="5"/>
      <c r="H1832" s="5"/>
    </row>
    <row r="1833" spans="3:8" x14ac:dyDescent="0.35">
      <c r="C1833" s="5"/>
      <c r="H1833" s="5"/>
    </row>
    <row r="1834" spans="3:8" x14ac:dyDescent="0.35">
      <c r="C1834" s="5"/>
      <c r="H1834" s="5"/>
    </row>
    <row r="1835" spans="3:8" x14ac:dyDescent="0.35">
      <c r="C1835" s="5"/>
      <c r="H1835" s="5"/>
    </row>
    <row r="1836" spans="3:8" x14ac:dyDescent="0.35">
      <c r="C1836" s="5"/>
      <c r="H1836" s="5"/>
    </row>
    <row r="1837" spans="3:8" x14ac:dyDescent="0.35">
      <c r="C1837" s="5"/>
      <c r="H1837" s="5"/>
    </row>
    <row r="1838" spans="3:8" x14ac:dyDescent="0.35">
      <c r="C1838" s="5"/>
      <c r="H1838" s="5"/>
    </row>
    <row r="1839" spans="3:8" x14ac:dyDescent="0.35">
      <c r="C1839" s="5"/>
      <c r="H1839" s="5"/>
    </row>
    <row r="1840" spans="3:8" x14ac:dyDescent="0.35">
      <c r="C1840" s="5"/>
      <c r="H1840" s="5"/>
    </row>
    <row r="1841" spans="3:8" x14ac:dyDescent="0.35">
      <c r="C1841" s="5"/>
      <c r="H1841" s="5"/>
    </row>
    <row r="1842" spans="3:8" x14ac:dyDescent="0.35">
      <c r="C1842" s="5"/>
      <c r="H1842" s="5"/>
    </row>
    <row r="1843" spans="3:8" x14ac:dyDescent="0.35">
      <c r="C1843" s="5"/>
      <c r="H1843" s="5"/>
    </row>
    <row r="1844" spans="3:8" x14ac:dyDescent="0.35">
      <c r="C1844" s="5"/>
      <c r="H1844" s="5"/>
    </row>
    <row r="1845" spans="3:8" x14ac:dyDescent="0.35">
      <c r="C1845" s="5"/>
      <c r="H1845" s="5"/>
    </row>
    <row r="1846" spans="3:8" x14ac:dyDescent="0.35">
      <c r="C1846" s="5"/>
      <c r="H1846" s="5"/>
    </row>
    <row r="1847" spans="3:8" x14ac:dyDescent="0.35">
      <c r="C1847" s="5"/>
      <c r="H1847" s="5"/>
    </row>
    <row r="1848" spans="3:8" x14ac:dyDescent="0.35">
      <c r="C1848" s="5"/>
      <c r="H1848" s="5"/>
    </row>
    <row r="1849" spans="3:8" x14ac:dyDescent="0.35">
      <c r="C1849" s="5"/>
      <c r="H1849" s="5"/>
    </row>
    <row r="1850" spans="3:8" x14ac:dyDescent="0.35">
      <c r="C1850" s="5"/>
      <c r="H1850" s="5"/>
    </row>
    <row r="1851" spans="3:8" x14ac:dyDescent="0.35">
      <c r="C1851" s="5"/>
      <c r="H1851" s="5"/>
    </row>
    <row r="1852" spans="3:8" x14ac:dyDescent="0.35">
      <c r="C1852" s="5"/>
      <c r="H1852" s="5"/>
    </row>
    <row r="1853" spans="3:8" x14ac:dyDescent="0.35">
      <c r="C1853" s="5"/>
      <c r="H1853" s="5"/>
    </row>
    <row r="1854" spans="3:8" x14ac:dyDescent="0.35">
      <c r="C1854" s="5"/>
      <c r="H1854" s="5"/>
    </row>
    <row r="1855" spans="3:8" x14ac:dyDescent="0.35">
      <c r="C1855" s="5"/>
      <c r="H1855" s="5"/>
    </row>
    <row r="1856" spans="3:8" x14ac:dyDescent="0.35">
      <c r="C1856" s="5"/>
      <c r="H1856" s="5"/>
    </row>
    <row r="1857" spans="3:8" x14ac:dyDescent="0.35">
      <c r="C1857" s="5"/>
      <c r="H1857" s="5"/>
    </row>
    <row r="1858" spans="3:8" x14ac:dyDescent="0.35">
      <c r="C1858" s="5"/>
      <c r="H1858" s="5"/>
    </row>
    <row r="1859" spans="3:8" x14ac:dyDescent="0.35">
      <c r="C1859" s="5"/>
      <c r="H1859" s="5"/>
    </row>
    <row r="1860" spans="3:8" x14ac:dyDescent="0.35">
      <c r="C1860" s="5"/>
      <c r="H1860" s="5"/>
    </row>
    <row r="1861" spans="3:8" x14ac:dyDescent="0.35">
      <c r="C1861" s="5"/>
      <c r="H1861" s="5"/>
    </row>
    <row r="1862" spans="3:8" x14ac:dyDescent="0.35">
      <c r="C1862" s="5"/>
      <c r="H1862" s="5"/>
    </row>
    <row r="1863" spans="3:8" x14ac:dyDescent="0.35">
      <c r="C1863" s="5"/>
      <c r="H1863" s="5"/>
    </row>
    <row r="1864" spans="3:8" x14ac:dyDescent="0.35">
      <c r="C1864" s="5"/>
      <c r="H1864" s="5"/>
    </row>
    <row r="1865" spans="3:8" x14ac:dyDescent="0.35">
      <c r="C1865" s="5"/>
      <c r="H1865" s="5"/>
    </row>
    <row r="1866" spans="3:8" x14ac:dyDescent="0.35">
      <c r="C1866" s="5"/>
      <c r="H1866" s="5"/>
    </row>
    <row r="1867" spans="3:8" x14ac:dyDescent="0.35">
      <c r="C1867" s="5"/>
      <c r="H1867" s="5"/>
    </row>
    <row r="1868" spans="3:8" x14ac:dyDescent="0.35">
      <c r="C1868" s="5"/>
      <c r="H1868" s="5"/>
    </row>
    <row r="1869" spans="3:8" x14ac:dyDescent="0.35">
      <c r="C1869" s="5"/>
      <c r="H1869" s="5"/>
    </row>
    <row r="1870" spans="3:8" x14ac:dyDescent="0.35">
      <c r="C1870" s="5"/>
      <c r="H1870" s="5"/>
    </row>
    <row r="1871" spans="3:8" x14ac:dyDescent="0.35">
      <c r="C1871" s="5"/>
      <c r="H1871" s="5"/>
    </row>
    <row r="1872" spans="3:8" x14ac:dyDescent="0.35">
      <c r="C1872" s="5"/>
      <c r="H1872" s="5"/>
    </row>
    <row r="1873" spans="3:8" x14ac:dyDescent="0.35">
      <c r="C1873" s="5"/>
      <c r="H1873" s="5"/>
    </row>
    <row r="1874" spans="3:8" x14ac:dyDescent="0.35">
      <c r="C1874" s="5"/>
      <c r="H1874" s="5"/>
    </row>
    <row r="1875" spans="3:8" x14ac:dyDescent="0.35">
      <c r="C1875" s="5"/>
      <c r="H1875" s="5"/>
    </row>
    <row r="1876" spans="3:8" x14ac:dyDescent="0.35">
      <c r="C1876" s="5"/>
      <c r="H1876" s="5"/>
    </row>
    <row r="1877" spans="3:8" x14ac:dyDescent="0.35">
      <c r="C1877" s="5"/>
      <c r="H1877" s="5"/>
    </row>
    <row r="1878" spans="3:8" x14ac:dyDescent="0.35">
      <c r="C1878" s="5"/>
      <c r="H1878" s="5"/>
    </row>
    <row r="1879" spans="3:8" x14ac:dyDescent="0.35">
      <c r="C1879" s="5"/>
      <c r="H1879" s="5"/>
    </row>
    <row r="1880" spans="3:8" x14ac:dyDescent="0.35">
      <c r="C1880" s="5"/>
      <c r="H1880" s="5"/>
    </row>
    <row r="1881" spans="3:8" x14ac:dyDescent="0.35">
      <c r="C1881" s="5"/>
      <c r="H1881" s="5"/>
    </row>
    <row r="1882" spans="3:8" x14ac:dyDescent="0.35">
      <c r="C1882" s="5"/>
      <c r="H1882" s="5"/>
    </row>
    <row r="1883" spans="3:8" x14ac:dyDescent="0.35">
      <c r="C1883" s="5"/>
      <c r="H1883" s="5"/>
    </row>
    <row r="1884" spans="3:8" x14ac:dyDescent="0.35">
      <c r="C1884" s="5"/>
      <c r="H1884" s="5"/>
    </row>
    <row r="1885" spans="3:8" x14ac:dyDescent="0.35">
      <c r="C1885" s="5"/>
      <c r="H1885" s="5"/>
    </row>
    <row r="1886" spans="3:8" x14ac:dyDescent="0.35">
      <c r="C1886" s="5"/>
      <c r="H1886" s="5"/>
    </row>
    <row r="1887" spans="3:8" x14ac:dyDescent="0.35">
      <c r="C1887" s="5"/>
      <c r="H1887" s="5"/>
    </row>
    <row r="1888" spans="3:8" x14ac:dyDescent="0.35">
      <c r="C1888" s="5"/>
      <c r="H1888" s="5"/>
    </row>
    <row r="1889" spans="3:8" x14ac:dyDescent="0.35">
      <c r="C1889" s="5"/>
      <c r="H1889" s="5"/>
    </row>
    <row r="1890" spans="3:8" x14ac:dyDescent="0.35">
      <c r="C1890" s="5"/>
      <c r="H1890" s="5"/>
    </row>
    <row r="1891" spans="3:8" x14ac:dyDescent="0.35">
      <c r="C1891" s="5"/>
      <c r="H1891" s="5"/>
    </row>
    <row r="1892" spans="3:8" x14ac:dyDescent="0.35">
      <c r="C1892" s="5"/>
      <c r="H1892" s="5"/>
    </row>
    <row r="1893" spans="3:8" x14ac:dyDescent="0.35">
      <c r="C1893" s="5"/>
      <c r="H1893" s="5"/>
    </row>
    <row r="1894" spans="3:8" x14ac:dyDescent="0.35">
      <c r="C1894" s="5"/>
      <c r="H1894" s="5"/>
    </row>
    <row r="1895" spans="3:8" x14ac:dyDescent="0.35">
      <c r="C1895" s="5"/>
      <c r="H1895" s="5"/>
    </row>
    <row r="1896" spans="3:8" x14ac:dyDescent="0.35">
      <c r="C1896" s="5"/>
      <c r="H1896" s="5"/>
    </row>
    <row r="1897" spans="3:8" x14ac:dyDescent="0.35">
      <c r="C1897" s="5"/>
      <c r="H1897" s="5"/>
    </row>
    <row r="1898" spans="3:8" x14ac:dyDescent="0.35">
      <c r="C1898" s="5"/>
      <c r="H1898" s="5"/>
    </row>
    <row r="1899" spans="3:8" x14ac:dyDescent="0.35">
      <c r="C1899" s="5"/>
      <c r="H1899" s="5"/>
    </row>
    <row r="1900" spans="3:8" x14ac:dyDescent="0.35">
      <c r="C1900" s="5"/>
      <c r="H1900" s="5"/>
    </row>
    <row r="1901" spans="3:8" x14ac:dyDescent="0.35">
      <c r="C1901" s="5"/>
      <c r="H1901" s="5"/>
    </row>
    <row r="1902" spans="3:8" x14ac:dyDescent="0.35">
      <c r="C1902" s="5"/>
      <c r="H1902" s="5"/>
    </row>
    <row r="1903" spans="3:8" x14ac:dyDescent="0.35">
      <c r="C1903" s="5"/>
      <c r="H1903" s="5"/>
    </row>
    <row r="1904" spans="3:8" x14ac:dyDescent="0.35">
      <c r="C1904" s="5"/>
      <c r="H1904" s="5"/>
    </row>
    <row r="1905" spans="3:8" x14ac:dyDescent="0.35">
      <c r="C1905" s="5"/>
      <c r="H1905" s="5"/>
    </row>
    <row r="1906" spans="3:8" x14ac:dyDescent="0.35">
      <c r="C1906" s="5"/>
      <c r="H1906" s="5"/>
    </row>
    <row r="1907" spans="3:8" x14ac:dyDescent="0.35">
      <c r="C1907" s="5"/>
      <c r="H1907" s="5"/>
    </row>
    <row r="1908" spans="3:8" x14ac:dyDescent="0.35">
      <c r="C1908" s="5"/>
      <c r="H1908" s="5"/>
    </row>
    <row r="1909" spans="3:8" x14ac:dyDescent="0.35">
      <c r="C1909" s="5"/>
      <c r="H1909" s="5"/>
    </row>
    <row r="1910" spans="3:8" x14ac:dyDescent="0.35">
      <c r="C1910" s="5"/>
      <c r="H1910" s="5"/>
    </row>
    <row r="1911" spans="3:8" x14ac:dyDescent="0.35">
      <c r="C1911" s="5"/>
      <c r="H1911" s="5"/>
    </row>
    <row r="1912" spans="3:8" x14ac:dyDescent="0.35">
      <c r="C1912" s="5"/>
      <c r="H1912" s="5"/>
    </row>
    <row r="1913" spans="3:8" x14ac:dyDescent="0.35">
      <c r="C1913" s="5"/>
      <c r="H1913" s="5"/>
    </row>
    <row r="1914" spans="3:8" x14ac:dyDescent="0.35">
      <c r="C1914" s="5"/>
      <c r="H1914" s="5"/>
    </row>
    <row r="1915" spans="3:8" x14ac:dyDescent="0.35">
      <c r="C1915" s="5"/>
      <c r="H1915" s="5"/>
    </row>
    <row r="1916" spans="3:8" x14ac:dyDescent="0.35">
      <c r="C1916" s="5"/>
      <c r="H1916" s="5"/>
    </row>
    <row r="1917" spans="3:8" x14ac:dyDescent="0.35">
      <c r="C1917" s="5"/>
      <c r="H1917" s="5"/>
    </row>
    <row r="1918" spans="3:8" x14ac:dyDescent="0.35">
      <c r="C1918" s="5"/>
      <c r="H1918" s="5"/>
    </row>
    <row r="1919" spans="3:8" x14ac:dyDescent="0.35">
      <c r="C1919" s="5"/>
      <c r="H1919" s="5"/>
    </row>
    <row r="1920" spans="3:8" x14ac:dyDescent="0.35">
      <c r="C1920" s="5"/>
      <c r="H1920" s="5"/>
    </row>
    <row r="1921" spans="3:8" x14ac:dyDescent="0.35">
      <c r="C1921" s="5"/>
      <c r="H1921" s="5"/>
    </row>
    <row r="1922" spans="3:8" x14ac:dyDescent="0.35">
      <c r="C1922" s="5"/>
      <c r="H1922" s="5"/>
    </row>
    <row r="1923" spans="3:8" x14ac:dyDescent="0.35">
      <c r="C1923" s="5"/>
      <c r="H1923" s="5"/>
    </row>
    <row r="1924" spans="3:8" x14ac:dyDescent="0.35">
      <c r="C1924" s="5"/>
      <c r="H1924" s="5"/>
    </row>
    <row r="1925" spans="3:8" x14ac:dyDescent="0.35">
      <c r="C1925" s="5"/>
      <c r="H1925" s="5"/>
    </row>
    <row r="1926" spans="3:8" x14ac:dyDescent="0.35">
      <c r="C1926" s="5"/>
      <c r="H1926" s="5"/>
    </row>
    <row r="1927" spans="3:8" x14ac:dyDescent="0.35">
      <c r="C1927" s="5"/>
      <c r="H1927" s="5"/>
    </row>
    <row r="1928" spans="3:8" x14ac:dyDescent="0.35">
      <c r="C1928" s="5"/>
      <c r="H1928" s="5"/>
    </row>
    <row r="1929" spans="3:8" x14ac:dyDescent="0.35">
      <c r="C1929" s="5"/>
      <c r="H1929" s="5"/>
    </row>
    <row r="1930" spans="3:8" x14ac:dyDescent="0.35">
      <c r="C1930" s="5"/>
      <c r="H1930" s="5"/>
    </row>
    <row r="1931" spans="3:8" x14ac:dyDescent="0.35">
      <c r="C1931" s="5"/>
      <c r="H1931" s="5"/>
    </row>
    <row r="1932" spans="3:8" x14ac:dyDescent="0.35">
      <c r="C1932" s="5"/>
      <c r="H1932" s="5"/>
    </row>
    <row r="1933" spans="3:8" x14ac:dyDescent="0.35">
      <c r="C1933" s="5"/>
      <c r="H1933" s="5"/>
    </row>
    <row r="1934" spans="3:8" x14ac:dyDescent="0.35">
      <c r="C1934" s="5"/>
      <c r="H1934" s="5"/>
    </row>
    <row r="1935" spans="3:8" x14ac:dyDescent="0.35">
      <c r="C1935" s="5"/>
      <c r="H1935" s="5"/>
    </row>
    <row r="1936" spans="3:8" x14ac:dyDescent="0.35">
      <c r="C1936" s="5"/>
      <c r="H1936" s="5"/>
    </row>
    <row r="1937" spans="3:8" x14ac:dyDescent="0.35">
      <c r="C1937" s="5"/>
      <c r="H1937" s="5"/>
    </row>
    <row r="1938" spans="3:8" x14ac:dyDescent="0.35">
      <c r="C1938" s="5"/>
      <c r="H1938" s="5"/>
    </row>
    <row r="1939" spans="3:8" x14ac:dyDescent="0.35">
      <c r="C1939" s="5"/>
      <c r="H1939" s="5"/>
    </row>
    <row r="1940" spans="3:8" x14ac:dyDescent="0.35">
      <c r="C1940" s="5"/>
      <c r="H1940" s="5"/>
    </row>
    <row r="1941" spans="3:8" x14ac:dyDescent="0.35">
      <c r="C1941" s="5"/>
      <c r="H1941" s="5"/>
    </row>
    <row r="1942" spans="3:8" x14ac:dyDescent="0.35">
      <c r="C1942" s="5"/>
      <c r="H1942" s="5"/>
    </row>
    <row r="1943" spans="3:8" x14ac:dyDescent="0.35">
      <c r="C1943" s="5"/>
      <c r="H1943" s="5"/>
    </row>
    <row r="1944" spans="3:8" x14ac:dyDescent="0.35">
      <c r="C1944" s="5"/>
      <c r="H1944" s="5"/>
    </row>
    <row r="1945" spans="3:8" x14ac:dyDescent="0.35">
      <c r="C1945" s="5"/>
      <c r="H1945" s="5"/>
    </row>
    <row r="1946" spans="3:8" x14ac:dyDescent="0.35">
      <c r="C1946" s="5"/>
      <c r="H1946" s="5"/>
    </row>
    <row r="1947" spans="3:8" x14ac:dyDescent="0.35">
      <c r="C1947" s="5"/>
      <c r="H1947" s="5"/>
    </row>
    <row r="1948" spans="3:8" x14ac:dyDescent="0.35">
      <c r="C1948" s="5"/>
      <c r="H1948" s="5"/>
    </row>
    <row r="1949" spans="3:8" x14ac:dyDescent="0.35">
      <c r="C1949" s="5"/>
      <c r="H1949" s="5"/>
    </row>
    <row r="1950" spans="3:8" x14ac:dyDescent="0.35">
      <c r="C1950" s="5"/>
      <c r="H1950" s="5"/>
    </row>
    <row r="1951" spans="3:8" x14ac:dyDescent="0.35">
      <c r="C1951" s="5"/>
      <c r="H1951" s="5"/>
    </row>
    <row r="1952" spans="3:8" x14ac:dyDescent="0.35">
      <c r="C1952" s="5"/>
      <c r="H1952" s="5"/>
    </row>
    <row r="1953" spans="3:8" x14ac:dyDescent="0.35">
      <c r="C1953" s="5"/>
      <c r="H1953" s="5"/>
    </row>
    <row r="1954" spans="3:8" x14ac:dyDescent="0.35">
      <c r="C1954" s="5"/>
      <c r="H1954" s="5"/>
    </row>
    <row r="1955" spans="3:8" x14ac:dyDescent="0.35">
      <c r="C1955" s="5"/>
      <c r="H1955" s="5"/>
    </row>
    <row r="1956" spans="3:8" x14ac:dyDescent="0.35">
      <c r="C1956" s="5"/>
      <c r="H1956" s="5"/>
    </row>
    <row r="1957" spans="3:8" x14ac:dyDescent="0.35">
      <c r="C1957" s="5"/>
      <c r="H1957" s="5"/>
    </row>
    <row r="1958" spans="3:8" x14ac:dyDescent="0.35">
      <c r="C1958" s="5"/>
      <c r="H1958" s="5"/>
    </row>
    <row r="1959" spans="3:8" x14ac:dyDescent="0.35">
      <c r="C1959" s="5"/>
      <c r="H1959" s="5"/>
    </row>
    <row r="1960" spans="3:8" x14ac:dyDescent="0.35">
      <c r="C1960" s="5"/>
      <c r="H1960" s="5"/>
    </row>
    <row r="1961" spans="3:8" x14ac:dyDescent="0.35">
      <c r="C1961" s="5"/>
      <c r="H1961" s="5"/>
    </row>
    <row r="1962" spans="3:8" x14ac:dyDescent="0.35">
      <c r="C1962" s="5"/>
      <c r="H1962" s="5"/>
    </row>
    <row r="1963" spans="3:8" x14ac:dyDescent="0.35">
      <c r="C1963" s="5"/>
      <c r="H1963" s="5"/>
    </row>
    <row r="1964" spans="3:8" x14ac:dyDescent="0.35">
      <c r="C1964" s="5"/>
      <c r="H1964" s="5"/>
    </row>
    <row r="1965" spans="3:8" x14ac:dyDescent="0.35">
      <c r="C1965" s="5"/>
      <c r="H1965" s="5"/>
    </row>
    <row r="1966" spans="3:8" x14ac:dyDescent="0.35">
      <c r="C1966" s="5"/>
      <c r="H1966" s="5"/>
    </row>
    <row r="1967" spans="3:8" x14ac:dyDescent="0.35">
      <c r="C1967" s="5"/>
      <c r="H1967" s="5"/>
    </row>
    <row r="1968" spans="3:8" x14ac:dyDescent="0.35">
      <c r="C1968" s="5"/>
      <c r="H1968" s="5"/>
    </row>
    <row r="1969" spans="3:8" x14ac:dyDescent="0.35">
      <c r="C1969" s="5"/>
      <c r="H1969" s="5"/>
    </row>
    <row r="1970" spans="3:8" x14ac:dyDescent="0.35">
      <c r="C1970" s="5"/>
      <c r="H1970" s="5"/>
    </row>
    <row r="1971" spans="3:8" x14ac:dyDescent="0.35">
      <c r="C1971" s="5"/>
      <c r="H1971" s="5"/>
    </row>
    <row r="1972" spans="3:8" x14ac:dyDescent="0.35">
      <c r="C1972" s="5"/>
      <c r="H1972" s="5"/>
    </row>
    <row r="1973" spans="3:8" x14ac:dyDescent="0.35">
      <c r="C1973" s="5"/>
      <c r="H1973" s="5"/>
    </row>
    <row r="1974" spans="3:8" x14ac:dyDescent="0.35">
      <c r="C1974" s="5"/>
      <c r="H1974" s="5"/>
    </row>
    <row r="1975" spans="3:8" x14ac:dyDescent="0.35">
      <c r="C1975" s="5"/>
      <c r="H1975" s="5"/>
    </row>
    <row r="1976" spans="3:8" x14ac:dyDescent="0.35">
      <c r="C1976" s="5"/>
      <c r="H1976" s="5"/>
    </row>
    <row r="1977" spans="3:8" x14ac:dyDescent="0.35">
      <c r="C1977" s="5"/>
      <c r="H1977" s="5"/>
    </row>
    <row r="1978" spans="3:8" x14ac:dyDescent="0.35">
      <c r="C1978" s="5"/>
      <c r="H1978" s="5"/>
    </row>
    <row r="1979" spans="3:8" x14ac:dyDescent="0.35">
      <c r="C1979" s="5"/>
      <c r="H1979" s="5"/>
    </row>
    <row r="1980" spans="3:8" x14ac:dyDescent="0.35">
      <c r="C1980" s="5"/>
      <c r="H1980" s="5"/>
    </row>
    <row r="1981" spans="3:8" x14ac:dyDescent="0.35">
      <c r="C1981" s="5"/>
      <c r="H1981" s="5"/>
    </row>
    <row r="1982" spans="3:8" x14ac:dyDescent="0.35">
      <c r="C1982" s="5"/>
      <c r="H1982" s="5"/>
    </row>
    <row r="1983" spans="3:8" x14ac:dyDescent="0.35">
      <c r="C1983" s="5"/>
      <c r="H1983" s="5"/>
    </row>
    <row r="1984" spans="3:8" x14ac:dyDescent="0.35">
      <c r="C1984" s="5"/>
      <c r="H1984" s="5"/>
    </row>
    <row r="1985" spans="3:8" x14ac:dyDescent="0.35">
      <c r="C1985" s="5"/>
      <c r="H1985" s="5"/>
    </row>
    <row r="1986" spans="3:8" x14ac:dyDescent="0.35">
      <c r="C1986" s="5"/>
      <c r="H1986" s="5"/>
    </row>
    <row r="1987" spans="3:8" x14ac:dyDescent="0.35">
      <c r="C1987" s="5"/>
      <c r="H1987" s="5"/>
    </row>
    <row r="1988" spans="3:8" x14ac:dyDescent="0.35">
      <c r="C1988" s="5"/>
      <c r="H1988" s="5"/>
    </row>
    <row r="1989" spans="3:8" x14ac:dyDescent="0.35">
      <c r="C1989" s="5"/>
      <c r="H1989" s="5"/>
    </row>
    <row r="1990" spans="3:8" x14ac:dyDescent="0.35">
      <c r="C1990" s="5"/>
      <c r="H1990" s="5"/>
    </row>
    <row r="1991" spans="3:8" x14ac:dyDescent="0.35">
      <c r="C1991" s="5"/>
      <c r="H1991" s="5"/>
    </row>
    <row r="1992" spans="3:8" x14ac:dyDescent="0.35">
      <c r="C1992" s="5"/>
      <c r="H1992" s="5"/>
    </row>
    <row r="1993" spans="3:8" x14ac:dyDescent="0.35">
      <c r="C1993" s="5"/>
      <c r="H1993" s="5"/>
    </row>
    <row r="1994" spans="3:8" x14ac:dyDescent="0.35">
      <c r="C1994" s="5"/>
      <c r="H1994" s="5"/>
    </row>
    <row r="1995" spans="3:8" x14ac:dyDescent="0.35">
      <c r="C1995" s="5"/>
      <c r="H1995" s="5"/>
    </row>
    <row r="1996" spans="3:8" x14ac:dyDescent="0.35">
      <c r="C1996" s="5"/>
      <c r="H1996" s="5"/>
    </row>
    <row r="1997" spans="3:8" x14ac:dyDescent="0.35">
      <c r="C1997" s="5"/>
      <c r="H1997" s="5"/>
    </row>
    <row r="1998" spans="3:8" x14ac:dyDescent="0.35">
      <c r="C1998" s="5"/>
      <c r="H1998" s="5"/>
    </row>
    <row r="1999" spans="3:8" x14ac:dyDescent="0.35">
      <c r="C1999" s="5"/>
      <c r="H1999" s="5"/>
    </row>
    <row r="2000" spans="3:8" x14ac:dyDescent="0.35">
      <c r="C2000" s="5"/>
      <c r="H2000" s="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2000"/>
  <sheetViews>
    <sheetView workbookViewId="0"/>
  </sheetViews>
  <sheetFormatPr defaultRowHeight="15.5" x14ac:dyDescent="0.35"/>
  <cols>
    <col min="1" max="1" width="8.83203125" customWidth="1"/>
    <col min="2" max="2" width="9.83203125" customWidth="1"/>
    <col min="3" max="3" width="18.83203125" customWidth="1"/>
    <col min="4" max="4" width="15.83203125" customWidth="1"/>
    <col min="5" max="5" width="12.83203125" customWidth="1"/>
    <col min="6" max="6" width="22.83203125" customWidth="1"/>
    <col min="7" max="7" width="16.83203125" customWidth="1"/>
    <col min="8" max="8" width="24.83203125" customWidth="1"/>
    <col min="9" max="9" width="18.83203125" customWidth="1"/>
    <col min="10" max="10" width="15.83203125" customWidth="1"/>
  </cols>
  <sheetData>
    <row r="1" spans="1:10" ht="17" customHeight="1" x14ac:dyDescent="0.4">
      <c r="A1" s="1" t="s">
        <v>147</v>
      </c>
    </row>
    <row r="3" spans="1:10" s="3" customFormat="1" x14ac:dyDescent="0.35">
      <c r="A3" s="3" t="s">
        <v>136</v>
      </c>
      <c r="B3" s="3" t="s">
        <v>137</v>
      </c>
      <c r="C3" s="3" t="s">
        <v>138</v>
      </c>
      <c r="D3" s="3" t="s">
        <v>139</v>
      </c>
      <c r="E3" s="3" t="s">
        <v>148</v>
      </c>
      <c r="F3" s="3" t="s">
        <v>145</v>
      </c>
      <c r="G3" s="3" t="s">
        <v>149</v>
      </c>
      <c r="H3" s="3" t="s">
        <v>150</v>
      </c>
      <c r="I3" s="3" t="s">
        <v>146</v>
      </c>
      <c r="J3" s="3" t="s">
        <v>142</v>
      </c>
    </row>
    <row r="4" spans="1:10" x14ac:dyDescent="0.35">
      <c r="A4" t="s">
        <v>6</v>
      </c>
      <c r="B4">
        <v>1</v>
      </c>
      <c r="C4" s="5">
        <v>14.554</v>
      </c>
      <c r="D4">
        <f>ROUNDUP(C4/GiaDinh!$C$5-0.0005,0)</f>
        <v>3</v>
      </c>
      <c r="E4">
        <f t="shared" ref="E4:E12" si="0">D4-1</f>
        <v>2</v>
      </c>
      <c r="F4">
        <v>12</v>
      </c>
      <c r="G4">
        <f t="shared" ref="G4:G12" si="1">F4</f>
        <v>12</v>
      </c>
      <c r="H4">
        <f t="shared" ref="H4:H12" si="2">2*F4</f>
        <v>24</v>
      </c>
      <c r="I4">
        <f t="shared" ref="I4:I12" si="3">F4</f>
        <v>12</v>
      </c>
      <c r="J4" s="5">
        <f>C4*GiaDinh!$C$7</f>
        <v>43.807539999999996</v>
      </c>
    </row>
    <row r="5" spans="1:10" x14ac:dyDescent="0.35">
      <c r="A5" t="s">
        <v>6</v>
      </c>
      <c r="B5">
        <v>2</v>
      </c>
      <c r="C5" s="5">
        <v>14.237</v>
      </c>
      <c r="D5">
        <f>ROUNDUP(C5/GiaDinh!$C$5-0.0005,0)</f>
        <v>3</v>
      </c>
      <c r="E5">
        <f t="shared" si="0"/>
        <v>2</v>
      </c>
      <c r="F5">
        <v>12</v>
      </c>
      <c r="G5">
        <f t="shared" si="1"/>
        <v>12</v>
      </c>
      <c r="H5">
        <f t="shared" si="2"/>
        <v>24</v>
      </c>
      <c r="I5">
        <f t="shared" si="3"/>
        <v>12</v>
      </c>
      <c r="J5" s="5">
        <f>C5*GiaDinh!$C$7</f>
        <v>42.853369999999998</v>
      </c>
    </row>
    <row r="6" spans="1:10" x14ac:dyDescent="0.35">
      <c r="A6" t="s">
        <v>6</v>
      </c>
      <c r="B6">
        <v>3</v>
      </c>
      <c r="C6" s="5">
        <v>14.948</v>
      </c>
      <c r="D6">
        <f>ROUNDUP(C6/GiaDinh!$C$5-0.0005,0)</f>
        <v>3</v>
      </c>
      <c r="E6">
        <f t="shared" si="0"/>
        <v>2</v>
      </c>
      <c r="F6">
        <v>13</v>
      </c>
      <c r="G6">
        <f t="shared" si="1"/>
        <v>13</v>
      </c>
      <c r="H6">
        <f t="shared" si="2"/>
        <v>26</v>
      </c>
      <c r="I6">
        <f t="shared" si="3"/>
        <v>13</v>
      </c>
      <c r="J6" s="5">
        <f>C6*GiaDinh!$C$7</f>
        <v>44.993479999999998</v>
      </c>
    </row>
    <row r="7" spans="1:10" x14ac:dyDescent="0.35">
      <c r="A7" t="s">
        <v>6</v>
      </c>
      <c r="B7">
        <v>4</v>
      </c>
      <c r="C7" s="5">
        <v>14.808</v>
      </c>
      <c r="D7">
        <f>ROUNDUP(C7/GiaDinh!$C$5-0.0005,0)</f>
        <v>3</v>
      </c>
      <c r="E7">
        <f t="shared" si="0"/>
        <v>2</v>
      </c>
      <c r="F7">
        <v>13</v>
      </c>
      <c r="G7">
        <f t="shared" si="1"/>
        <v>13</v>
      </c>
      <c r="H7">
        <f t="shared" si="2"/>
        <v>26</v>
      </c>
      <c r="I7">
        <f t="shared" si="3"/>
        <v>13</v>
      </c>
      <c r="J7" s="5">
        <f>C7*GiaDinh!$C$7</f>
        <v>44.57208</v>
      </c>
    </row>
    <row r="8" spans="1:10" x14ac:dyDescent="0.35">
      <c r="A8" t="s">
        <v>6</v>
      </c>
      <c r="B8">
        <v>5</v>
      </c>
      <c r="C8" s="5">
        <v>14.948</v>
      </c>
      <c r="D8">
        <f>ROUNDUP(C8/GiaDinh!$C$5-0.0005,0)</f>
        <v>3</v>
      </c>
      <c r="E8">
        <f t="shared" si="0"/>
        <v>2</v>
      </c>
      <c r="F8">
        <v>13</v>
      </c>
      <c r="G8">
        <f t="shared" si="1"/>
        <v>13</v>
      </c>
      <c r="H8">
        <f t="shared" si="2"/>
        <v>26</v>
      </c>
      <c r="I8">
        <f t="shared" si="3"/>
        <v>13</v>
      </c>
      <c r="J8" s="5">
        <f>C8*GiaDinh!$C$7</f>
        <v>44.993479999999998</v>
      </c>
    </row>
    <row r="9" spans="1:10" x14ac:dyDescent="0.35">
      <c r="A9" t="s">
        <v>6</v>
      </c>
      <c r="B9">
        <v>6</v>
      </c>
      <c r="C9" s="5">
        <v>14.948</v>
      </c>
      <c r="D9">
        <f>ROUNDUP(C9/GiaDinh!$C$5-0.0005,0)</f>
        <v>3</v>
      </c>
      <c r="E9">
        <f t="shared" si="0"/>
        <v>2</v>
      </c>
      <c r="F9">
        <v>13</v>
      </c>
      <c r="G9">
        <f t="shared" si="1"/>
        <v>13</v>
      </c>
      <c r="H9">
        <f t="shared" si="2"/>
        <v>26</v>
      </c>
      <c r="I9">
        <f t="shared" si="3"/>
        <v>13</v>
      </c>
      <c r="J9" s="5">
        <f>C9*GiaDinh!$C$7</f>
        <v>44.993479999999998</v>
      </c>
    </row>
    <row r="10" spans="1:10" x14ac:dyDescent="0.35">
      <c r="A10" t="s">
        <v>6</v>
      </c>
      <c r="B10">
        <v>7</v>
      </c>
      <c r="C10" s="5">
        <v>15.545</v>
      </c>
      <c r="D10">
        <f>ROUNDUP(C10/GiaDinh!$C$5-0.0005,0)</f>
        <v>3</v>
      </c>
      <c r="E10">
        <f t="shared" si="0"/>
        <v>2</v>
      </c>
      <c r="F10">
        <v>13</v>
      </c>
      <c r="G10">
        <f t="shared" si="1"/>
        <v>13</v>
      </c>
      <c r="H10">
        <f t="shared" si="2"/>
        <v>26</v>
      </c>
      <c r="I10">
        <f t="shared" si="3"/>
        <v>13</v>
      </c>
      <c r="J10" s="5">
        <f>C10*GiaDinh!$C$7</f>
        <v>46.79045</v>
      </c>
    </row>
    <row r="11" spans="1:10" x14ac:dyDescent="0.35">
      <c r="A11" t="s">
        <v>6</v>
      </c>
      <c r="B11">
        <v>8</v>
      </c>
      <c r="C11" s="5">
        <v>14.999000000000001</v>
      </c>
      <c r="D11">
        <f>ROUNDUP(C11/GiaDinh!$C$5-0.0005,0)</f>
        <v>3</v>
      </c>
      <c r="E11">
        <f t="shared" si="0"/>
        <v>2</v>
      </c>
      <c r="F11">
        <v>12</v>
      </c>
      <c r="G11">
        <f t="shared" si="1"/>
        <v>12</v>
      </c>
      <c r="H11">
        <f t="shared" si="2"/>
        <v>24</v>
      </c>
      <c r="I11">
        <f t="shared" si="3"/>
        <v>12</v>
      </c>
      <c r="J11" s="5">
        <f>C11*GiaDinh!$C$7</f>
        <v>45.146989999999995</v>
      </c>
    </row>
    <row r="12" spans="1:10" x14ac:dyDescent="0.35">
      <c r="A12" t="s">
        <v>6</v>
      </c>
      <c r="B12">
        <v>9</v>
      </c>
      <c r="C12" s="5">
        <v>13.411</v>
      </c>
      <c r="D12">
        <f>ROUNDUP(C12/GiaDinh!$C$5-0.0005,0)</f>
        <v>3</v>
      </c>
      <c r="E12">
        <f t="shared" si="0"/>
        <v>2</v>
      </c>
      <c r="F12">
        <v>11</v>
      </c>
      <c r="G12">
        <f t="shared" si="1"/>
        <v>11</v>
      </c>
      <c r="H12">
        <f t="shared" si="2"/>
        <v>22</v>
      </c>
      <c r="I12">
        <f t="shared" si="3"/>
        <v>11</v>
      </c>
      <c r="J12" s="5">
        <f>C12*GiaDinh!$C$7</f>
        <v>40.367109999999997</v>
      </c>
    </row>
    <row r="13" spans="1:10" x14ac:dyDescent="0.35">
      <c r="C13" s="5"/>
      <c r="J13" s="5"/>
    </row>
    <row r="14" spans="1:10" x14ac:dyDescent="0.35">
      <c r="C14" s="5"/>
      <c r="J14" s="5"/>
    </row>
    <row r="15" spans="1:10" x14ac:dyDescent="0.35">
      <c r="C15" s="5"/>
      <c r="J15" s="5"/>
    </row>
    <row r="16" spans="1:10" x14ac:dyDescent="0.35">
      <c r="C16" s="5"/>
      <c r="J16" s="5"/>
    </row>
    <row r="17" spans="3:10" x14ac:dyDescent="0.35">
      <c r="C17" s="5"/>
      <c r="J17" s="5"/>
    </row>
    <row r="18" spans="3:10" x14ac:dyDescent="0.35">
      <c r="C18" s="5"/>
      <c r="J18" s="5"/>
    </row>
    <row r="19" spans="3:10" x14ac:dyDescent="0.35">
      <c r="C19" s="5"/>
      <c r="J19" s="5"/>
    </row>
    <row r="20" spans="3:10" x14ac:dyDescent="0.35">
      <c r="C20" s="5"/>
      <c r="J20" s="5"/>
    </row>
    <row r="21" spans="3:10" x14ac:dyDescent="0.35">
      <c r="C21" s="5"/>
      <c r="J21" s="5"/>
    </row>
    <row r="22" spans="3:10" x14ac:dyDescent="0.35">
      <c r="C22" s="5"/>
      <c r="J22" s="5"/>
    </row>
    <row r="23" spans="3:10" x14ac:dyDescent="0.35">
      <c r="C23" s="5"/>
      <c r="J23" s="5"/>
    </row>
    <row r="24" spans="3:10" x14ac:dyDescent="0.35">
      <c r="C24" s="5"/>
      <c r="J24" s="5"/>
    </row>
    <row r="25" spans="3:10" x14ac:dyDescent="0.35">
      <c r="C25" s="5"/>
      <c r="J25" s="5"/>
    </row>
    <row r="26" spans="3:10" x14ac:dyDescent="0.35">
      <c r="C26" s="5"/>
      <c r="J26" s="5"/>
    </row>
    <row r="27" spans="3:10" x14ac:dyDescent="0.35">
      <c r="C27" s="5"/>
      <c r="J27" s="5"/>
    </row>
    <row r="28" spans="3:10" x14ac:dyDescent="0.35">
      <c r="C28" s="5"/>
      <c r="J28" s="5"/>
    </row>
    <row r="29" spans="3:10" x14ac:dyDescent="0.35">
      <c r="C29" s="5"/>
      <c r="J29" s="5"/>
    </row>
    <row r="30" spans="3:10" x14ac:dyDescent="0.35">
      <c r="C30" s="5"/>
      <c r="J30" s="5"/>
    </row>
    <row r="31" spans="3:10" x14ac:dyDescent="0.35">
      <c r="C31" s="5"/>
      <c r="J31" s="5"/>
    </row>
    <row r="32" spans="3:10" x14ac:dyDescent="0.35">
      <c r="C32" s="5"/>
      <c r="J32" s="5"/>
    </row>
    <row r="33" spans="3:10" x14ac:dyDescent="0.35">
      <c r="C33" s="5"/>
      <c r="J33" s="5"/>
    </row>
    <row r="34" spans="3:10" x14ac:dyDescent="0.35">
      <c r="C34" s="5"/>
      <c r="J34" s="5"/>
    </row>
    <row r="35" spans="3:10" x14ac:dyDescent="0.35">
      <c r="C35" s="5"/>
      <c r="J35" s="5"/>
    </row>
    <row r="36" spans="3:10" x14ac:dyDescent="0.35">
      <c r="C36" s="5"/>
      <c r="J36" s="5"/>
    </row>
    <row r="37" spans="3:10" x14ac:dyDescent="0.35">
      <c r="C37" s="5"/>
      <c r="J37" s="5"/>
    </row>
    <row r="38" spans="3:10" x14ac:dyDescent="0.35">
      <c r="C38" s="5"/>
      <c r="J38" s="5"/>
    </row>
    <row r="39" spans="3:10" x14ac:dyDescent="0.35">
      <c r="C39" s="5"/>
      <c r="J39" s="5"/>
    </row>
    <row r="40" spans="3:10" x14ac:dyDescent="0.35">
      <c r="C40" s="5"/>
      <c r="J40" s="5"/>
    </row>
    <row r="41" spans="3:10" x14ac:dyDescent="0.35">
      <c r="C41" s="5"/>
      <c r="J41" s="5"/>
    </row>
    <row r="42" spans="3:10" x14ac:dyDescent="0.35">
      <c r="C42" s="5"/>
      <c r="J42" s="5"/>
    </row>
    <row r="43" spans="3:10" x14ac:dyDescent="0.35">
      <c r="C43" s="5"/>
      <c r="J43" s="5"/>
    </row>
    <row r="44" spans="3:10" x14ac:dyDescent="0.35">
      <c r="C44" s="5"/>
      <c r="J44" s="5"/>
    </row>
    <row r="45" spans="3:10" x14ac:dyDescent="0.35">
      <c r="C45" s="5"/>
      <c r="J45" s="5"/>
    </row>
    <row r="46" spans="3:10" x14ac:dyDescent="0.35">
      <c r="C46" s="5"/>
      <c r="J46" s="5"/>
    </row>
    <row r="47" spans="3:10" x14ac:dyDescent="0.35">
      <c r="C47" s="5"/>
      <c r="J47" s="5"/>
    </row>
    <row r="48" spans="3:10" x14ac:dyDescent="0.35">
      <c r="C48" s="5"/>
      <c r="J48" s="5"/>
    </row>
    <row r="49" spans="3:10" x14ac:dyDescent="0.35">
      <c r="C49" s="5"/>
      <c r="J49" s="5"/>
    </row>
    <row r="50" spans="3:10" x14ac:dyDescent="0.35">
      <c r="C50" s="5"/>
      <c r="J50" s="5"/>
    </row>
    <row r="51" spans="3:10" x14ac:dyDescent="0.35">
      <c r="C51" s="5"/>
      <c r="J51" s="5"/>
    </row>
    <row r="52" spans="3:10" x14ac:dyDescent="0.35">
      <c r="C52" s="5"/>
      <c r="J52" s="5"/>
    </row>
    <row r="53" spans="3:10" x14ac:dyDescent="0.35">
      <c r="C53" s="5"/>
      <c r="J53" s="5"/>
    </row>
    <row r="54" spans="3:10" x14ac:dyDescent="0.35">
      <c r="C54" s="5"/>
      <c r="J54" s="5"/>
    </row>
    <row r="55" spans="3:10" x14ac:dyDescent="0.35">
      <c r="C55" s="5"/>
      <c r="J55" s="5"/>
    </row>
    <row r="56" spans="3:10" x14ac:dyDescent="0.35">
      <c r="C56" s="5"/>
      <c r="J56" s="5"/>
    </row>
    <row r="57" spans="3:10" x14ac:dyDescent="0.35">
      <c r="C57" s="5"/>
      <c r="J57" s="5"/>
    </row>
    <row r="58" spans="3:10" x14ac:dyDescent="0.35">
      <c r="C58" s="5"/>
      <c r="J58" s="5"/>
    </row>
    <row r="59" spans="3:10" x14ac:dyDescent="0.35">
      <c r="C59" s="5"/>
      <c r="J59" s="5"/>
    </row>
    <row r="60" spans="3:10" x14ac:dyDescent="0.35">
      <c r="C60" s="5"/>
      <c r="J60" s="5"/>
    </row>
    <row r="61" spans="3:10" x14ac:dyDescent="0.35">
      <c r="C61" s="5"/>
      <c r="J61" s="5"/>
    </row>
    <row r="62" spans="3:10" x14ac:dyDescent="0.35">
      <c r="C62" s="5"/>
      <c r="J62" s="5"/>
    </row>
    <row r="63" spans="3:10" x14ac:dyDescent="0.35">
      <c r="C63" s="5"/>
      <c r="J63" s="5"/>
    </row>
    <row r="64" spans="3:10" x14ac:dyDescent="0.35">
      <c r="C64" s="5"/>
      <c r="J64" s="5"/>
    </row>
    <row r="65" spans="3:10" x14ac:dyDescent="0.35">
      <c r="C65" s="5"/>
      <c r="J65" s="5"/>
    </row>
    <row r="66" spans="3:10" x14ac:dyDescent="0.35">
      <c r="C66" s="5"/>
      <c r="J66" s="5"/>
    </row>
    <row r="67" spans="3:10" x14ac:dyDescent="0.35">
      <c r="C67" s="5"/>
      <c r="J67" s="5"/>
    </row>
    <row r="68" spans="3:10" x14ac:dyDescent="0.35">
      <c r="C68" s="5"/>
      <c r="J68" s="5"/>
    </row>
    <row r="69" spans="3:10" x14ac:dyDescent="0.35">
      <c r="C69" s="5"/>
      <c r="J69" s="5"/>
    </row>
    <row r="70" spans="3:10" x14ac:dyDescent="0.35">
      <c r="C70" s="5"/>
      <c r="J70" s="5"/>
    </row>
    <row r="71" spans="3:10" x14ac:dyDescent="0.35">
      <c r="C71" s="5"/>
      <c r="J71" s="5"/>
    </row>
    <row r="72" spans="3:10" x14ac:dyDescent="0.35">
      <c r="C72" s="5"/>
      <c r="J72" s="5"/>
    </row>
    <row r="73" spans="3:10" x14ac:dyDescent="0.35">
      <c r="C73" s="5"/>
      <c r="J73" s="5"/>
    </row>
    <row r="74" spans="3:10" x14ac:dyDescent="0.35">
      <c r="C74" s="5"/>
      <c r="J74" s="5"/>
    </row>
    <row r="75" spans="3:10" x14ac:dyDescent="0.35">
      <c r="C75" s="5"/>
      <c r="J75" s="5"/>
    </row>
    <row r="76" spans="3:10" x14ac:dyDescent="0.35">
      <c r="C76" s="5"/>
      <c r="J76" s="5"/>
    </row>
    <row r="77" spans="3:10" x14ac:dyDescent="0.35">
      <c r="C77" s="5"/>
      <c r="J77" s="5"/>
    </row>
    <row r="78" spans="3:10" x14ac:dyDescent="0.35">
      <c r="C78" s="5"/>
      <c r="J78" s="5"/>
    </row>
    <row r="79" spans="3:10" x14ac:dyDescent="0.35">
      <c r="C79" s="5"/>
      <c r="J79" s="5"/>
    </row>
    <row r="80" spans="3:10" x14ac:dyDescent="0.35">
      <c r="C80" s="5"/>
      <c r="J80" s="5"/>
    </row>
    <row r="81" spans="3:10" x14ac:dyDescent="0.35">
      <c r="C81" s="5"/>
      <c r="J81" s="5"/>
    </row>
    <row r="82" spans="3:10" x14ac:dyDescent="0.35">
      <c r="C82" s="5"/>
      <c r="J82" s="5"/>
    </row>
    <row r="83" spans="3:10" x14ac:dyDescent="0.35">
      <c r="C83" s="5"/>
      <c r="J83" s="5"/>
    </row>
    <row r="84" spans="3:10" x14ac:dyDescent="0.35">
      <c r="C84" s="5"/>
      <c r="J84" s="5"/>
    </row>
    <row r="85" spans="3:10" x14ac:dyDescent="0.35">
      <c r="C85" s="5"/>
      <c r="J85" s="5"/>
    </row>
    <row r="86" spans="3:10" x14ac:dyDescent="0.35">
      <c r="C86" s="5"/>
      <c r="J86" s="5"/>
    </row>
    <row r="87" spans="3:10" x14ac:dyDescent="0.35">
      <c r="C87" s="5"/>
      <c r="J87" s="5"/>
    </row>
    <row r="88" spans="3:10" x14ac:dyDescent="0.35">
      <c r="C88" s="5"/>
      <c r="J88" s="5"/>
    </row>
    <row r="89" spans="3:10" x14ac:dyDescent="0.35">
      <c r="C89" s="5"/>
      <c r="J89" s="5"/>
    </row>
    <row r="90" spans="3:10" x14ac:dyDescent="0.35">
      <c r="C90" s="5"/>
      <c r="J90" s="5"/>
    </row>
    <row r="91" spans="3:10" x14ac:dyDescent="0.35">
      <c r="C91" s="5"/>
      <c r="J91" s="5"/>
    </row>
    <row r="92" spans="3:10" x14ac:dyDescent="0.35">
      <c r="C92" s="5"/>
      <c r="J92" s="5"/>
    </row>
    <row r="93" spans="3:10" x14ac:dyDescent="0.35">
      <c r="C93" s="5"/>
      <c r="J93" s="5"/>
    </row>
    <row r="94" spans="3:10" x14ac:dyDescent="0.35">
      <c r="C94" s="5"/>
      <c r="J94" s="5"/>
    </row>
    <row r="95" spans="3:10" x14ac:dyDescent="0.35">
      <c r="C95" s="5"/>
      <c r="J95" s="5"/>
    </row>
    <row r="96" spans="3:10" x14ac:dyDescent="0.35">
      <c r="C96" s="5"/>
      <c r="J96" s="5"/>
    </row>
    <row r="97" spans="3:10" x14ac:dyDescent="0.35">
      <c r="C97" s="5"/>
      <c r="J97" s="5"/>
    </row>
    <row r="98" spans="3:10" x14ac:dyDescent="0.35">
      <c r="C98" s="5"/>
      <c r="J98" s="5"/>
    </row>
    <row r="99" spans="3:10" x14ac:dyDescent="0.35">
      <c r="C99" s="5"/>
      <c r="J99" s="5"/>
    </row>
    <row r="100" spans="3:10" x14ac:dyDescent="0.35">
      <c r="C100" s="5"/>
      <c r="J100" s="5"/>
    </row>
    <row r="101" spans="3:10" x14ac:dyDescent="0.35">
      <c r="C101" s="5"/>
      <c r="J101" s="5"/>
    </row>
    <row r="102" spans="3:10" x14ac:dyDescent="0.35">
      <c r="C102" s="5"/>
      <c r="J102" s="5"/>
    </row>
    <row r="103" spans="3:10" x14ac:dyDescent="0.35">
      <c r="C103" s="5"/>
      <c r="J103" s="5"/>
    </row>
    <row r="104" spans="3:10" x14ac:dyDescent="0.35">
      <c r="C104" s="5"/>
      <c r="J104" s="5"/>
    </row>
    <row r="105" spans="3:10" x14ac:dyDescent="0.35">
      <c r="C105" s="5"/>
      <c r="J105" s="5"/>
    </row>
    <row r="106" spans="3:10" x14ac:dyDescent="0.35">
      <c r="C106" s="5"/>
      <c r="J106" s="5"/>
    </row>
    <row r="107" spans="3:10" x14ac:dyDescent="0.35">
      <c r="C107" s="5"/>
      <c r="J107" s="5"/>
    </row>
    <row r="108" spans="3:10" x14ac:dyDescent="0.35">
      <c r="C108" s="5"/>
      <c r="J108" s="5"/>
    </row>
    <row r="109" spans="3:10" x14ac:dyDescent="0.35">
      <c r="C109" s="5"/>
      <c r="J109" s="5"/>
    </row>
    <row r="110" spans="3:10" x14ac:dyDescent="0.35">
      <c r="C110" s="5"/>
      <c r="J110" s="5"/>
    </row>
    <row r="111" spans="3:10" x14ac:dyDescent="0.35">
      <c r="C111" s="5"/>
      <c r="J111" s="5"/>
    </row>
    <row r="112" spans="3:10" x14ac:dyDescent="0.35">
      <c r="C112" s="5"/>
      <c r="J112" s="5"/>
    </row>
    <row r="113" spans="3:10" x14ac:dyDescent="0.35">
      <c r="C113" s="5"/>
      <c r="J113" s="5"/>
    </row>
    <row r="114" spans="3:10" x14ac:dyDescent="0.35">
      <c r="C114" s="5"/>
      <c r="J114" s="5"/>
    </row>
    <row r="115" spans="3:10" x14ac:dyDescent="0.35">
      <c r="C115" s="5"/>
      <c r="J115" s="5"/>
    </row>
    <row r="116" spans="3:10" x14ac:dyDescent="0.35">
      <c r="C116" s="5"/>
      <c r="J116" s="5"/>
    </row>
    <row r="117" spans="3:10" x14ac:dyDescent="0.35">
      <c r="C117" s="5"/>
      <c r="J117" s="5"/>
    </row>
    <row r="118" spans="3:10" x14ac:dyDescent="0.35">
      <c r="C118" s="5"/>
      <c r="J118" s="5"/>
    </row>
    <row r="119" spans="3:10" x14ac:dyDescent="0.35">
      <c r="C119" s="5"/>
      <c r="J119" s="5"/>
    </row>
    <row r="120" spans="3:10" x14ac:dyDescent="0.35">
      <c r="C120" s="5"/>
      <c r="J120" s="5"/>
    </row>
    <row r="121" spans="3:10" x14ac:dyDescent="0.35">
      <c r="C121" s="5"/>
      <c r="J121" s="5"/>
    </row>
    <row r="122" spans="3:10" x14ac:dyDescent="0.35">
      <c r="C122" s="5"/>
      <c r="J122" s="5"/>
    </row>
    <row r="123" spans="3:10" x14ac:dyDescent="0.35">
      <c r="C123" s="5"/>
      <c r="J123" s="5"/>
    </row>
    <row r="124" spans="3:10" x14ac:dyDescent="0.35">
      <c r="C124" s="5"/>
      <c r="J124" s="5"/>
    </row>
    <row r="125" spans="3:10" x14ac:dyDescent="0.35">
      <c r="C125" s="5"/>
      <c r="J125" s="5"/>
    </row>
    <row r="126" spans="3:10" x14ac:dyDescent="0.35">
      <c r="C126" s="5"/>
      <c r="J126" s="5"/>
    </row>
    <row r="127" spans="3:10" x14ac:dyDescent="0.35">
      <c r="C127" s="5"/>
      <c r="J127" s="5"/>
    </row>
    <row r="128" spans="3:10" x14ac:dyDescent="0.35">
      <c r="C128" s="5"/>
      <c r="J128" s="5"/>
    </row>
    <row r="129" spans="3:10" x14ac:dyDescent="0.35">
      <c r="C129" s="5"/>
      <c r="J129" s="5"/>
    </row>
    <row r="130" spans="3:10" x14ac:dyDescent="0.35">
      <c r="C130" s="5"/>
      <c r="J130" s="5"/>
    </row>
    <row r="131" spans="3:10" x14ac:dyDescent="0.35">
      <c r="C131" s="5"/>
      <c r="J131" s="5"/>
    </row>
    <row r="132" spans="3:10" x14ac:dyDescent="0.35">
      <c r="C132" s="5"/>
      <c r="J132" s="5"/>
    </row>
    <row r="133" spans="3:10" x14ac:dyDescent="0.35">
      <c r="C133" s="5"/>
      <c r="J133" s="5"/>
    </row>
    <row r="134" spans="3:10" x14ac:dyDescent="0.35">
      <c r="C134" s="5"/>
      <c r="J134" s="5"/>
    </row>
    <row r="135" spans="3:10" x14ac:dyDescent="0.35">
      <c r="C135" s="5"/>
      <c r="J135" s="5"/>
    </row>
    <row r="136" spans="3:10" x14ac:dyDescent="0.35">
      <c r="C136" s="5"/>
      <c r="J136" s="5"/>
    </row>
    <row r="137" spans="3:10" x14ac:dyDescent="0.35">
      <c r="C137" s="5"/>
      <c r="J137" s="5"/>
    </row>
    <row r="138" spans="3:10" x14ac:dyDescent="0.35">
      <c r="C138" s="5"/>
      <c r="J138" s="5"/>
    </row>
    <row r="139" spans="3:10" x14ac:dyDescent="0.35">
      <c r="C139" s="5"/>
      <c r="J139" s="5"/>
    </row>
    <row r="140" spans="3:10" x14ac:dyDescent="0.35">
      <c r="C140" s="5"/>
      <c r="J140" s="5"/>
    </row>
    <row r="141" spans="3:10" x14ac:dyDescent="0.35">
      <c r="C141" s="5"/>
      <c r="J141" s="5"/>
    </row>
    <row r="142" spans="3:10" x14ac:dyDescent="0.35">
      <c r="C142" s="5"/>
      <c r="J142" s="5"/>
    </row>
    <row r="143" spans="3:10" x14ac:dyDescent="0.35">
      <c r="C143" s="5"/>
      <c r="J143" s="5"/>
    </row>
    <row r="144" spans="3:10" x14ac:dyDescent="0.35">
      <c r="C144" s="5"/>
      <c r="J144" s="5"/>
    </row>
    <row r="145" spans="3:10" x14ac:dyDescent="0.35">
      <c r="C145" s="5"/>
      <c r="J145" s="5"/>
    </row>
    <row r="146" spans="3:10" x14ac:dyDescent="0.35">
      <c r="C146" s="5"/>
      <c r="J146" s="5"/>
    </row>
    <row r="147" spans="3:10" x14ac:dyDescent="0.35">
      <c r="C147" s="5"/>
      <c r="J147" s="5"/>
    </row>
    <row r="148" spans="3:10" x14ac:dyDescent="0.35">
      <c r="C148" s="5"/>
      <c r="J148" s="5"/>
    </row>
    <row r="149" spans="3:10" x14ac:dyDescent="0.35">
      <c r="C149" s="5"/>
      <c r="J149" s="5"/>
    </row>
    <row r="150" spans="3:10" x14ac:dyDescent="0.35">
      <c r="C150" s="5"/>
      <c r="J150" s="5"/>
    </row>
    <row r="151" spans="3:10" x14ac:dyDescent="0.35">
      <c r="C151" s="5"/>
      <c r="J151" s="5"/>
    </row>
    <row r="152" spans="3:10" x14ac:dyDescent="0.35">
      <c r="C152" s="5"/>
      <c r="J152" s="5"/>
    </row>
    <row r="153" spans="3:10" x14ac:dyDescent="0.35">
      <c r="C153" s="5"/>
      <c r="J153" s="5"/>
    </row>
    <row r="154" spans="3:10" x14ac:dyDescent="0.35">
      <c r="C154" s="5"/>
      <c r="J154" s="5"/>
    </row>
    <row r="155" spans="3:10" x14ac:dyDescent="0.35">
      <c r="C155" s="5"/>
      <c r="J155" s="5"/>
    </row>
    <row r="156" spans="3:10" x14ac:dyDescent="0.35">
      <c r="C156" s="5"/>
      <c r="J156" s="5"/>
    </row>
    <row r="157" spans="3:10" x14ac:dyDescent="0.35">
      <c r="C157" s="5"/>
      <c r="J157" s="5"/>
    </row>
    <row r="158" spans="3:10" x14ac:dyDescent="0.35">
      <c r="C158" s="5"/>
      <c r="J158" s="5"/>
    </row>
    <row r="159" spans="3:10" x14ac:dyDescent="0.35">
      <c r="C159" s="5"/>
      <c r="J159" s="5"/>
    </row>
    <row r="160" spans="3:10" x14ac:dyDescent="0.35">
      <c r="C160" s="5"/>
      <c r="J160" s="5"/>
    </row>
    <row r="161" spans="3:10" x14ac:dyDescent="0.35">
      <c r="C161" s="5"/>
      <c r="J161" s="5"/>
    </row>
    <row r="162" spans="3:10" x14ac:dyDescent="0.35">
      <c r="C162" s="5"/>
      <c r="J162" s="5"/>
    </row>
    <row r="163" spans="3:10" x14ac:dyDescent="0.35">
      <c r="C163" s="5"/>
      <c r="J163" s="5"/>
    </row>
    <row r="164" spans="3:10" x14ac:dyDescent="0.35">
      <c r="C164" s="5"/>
      <c r="J164" s="5"/>
    </row>
    <row r="165" spans="3:10" x14ac:dyDescent="0.35">
      <c r="C165" s="5"/>
      <c r="J165" s="5"/>
    </row>
    <row r="166" spans="3:10" x14ac:dyDescent="0.35">
      <c r="C166" s="5"/>
      <c r="J166" s="5"/>
    </row>
    <row r="167" spans="3:10" x14ac:dyDescent="0.35">
      <c r="C167" s="5"/>
      <c r="J167" s="5"/>
    </row>
    <row r="168" spans="3:10" x14ac:dyDescent="0.35">
      <c r="C168" s="5"/>
      <c r="J168" s="5"/>
    </row>
    <row r="169" spans="3:10" x14ac:dyDescent="0.35">
      <c r="C169" s="5"/>
      <c r="J169" s="5"/>
    </row>
    <row r="170" spans="3:10" x14ac:dyDescent="0.35">
      <c r="C170" s="5"/>
      <c r="J170" s="5"/>
    </row>
    <row r="171" spans="3:10" x14ac:dyDescent="0.35">
      <c r="C171" s="5"/>
      <c r="J171" s="5"/>
    </row>
    <row r="172" spans="3:10" x14ac:dyDescent="0.35">
      <c r="C172" s="5"/>
      <c r="J172" s="5"/>
    </row>
    <row r="173" spans="3:10" x14ac:dyDescent="0.35">
      <c r="C173" s="5"/>
      <c r="J173" s="5"/>
    </row>
    <row r="174" spans="3:10" x14ac:dyDescent="0.35">
      <c r="C174" s="5"/>
      <c r="J174" s="5"/>
    </row>
    <row r="175" spans="3:10" x14ac:dyDescent="0.35">
      <c r="C175" s="5"/>
      <c r="J175" s="5"/>
    </row>
    <row r="176" spans="3:10" x14ac:dyDescent="0.35">
      <c r="C176" s="5"/>
      <c r="J176" s="5"/>
    </row>
    <row r="177" spans="3:10" x14ac:dyDescent="0.35">
      <c r="C177" s="5"/>
      <c r="J177" s="5"/>
    </row>
    <row r="178" spans="3:10" x14ac:dyDescent="0.35">
      <c r="C178" s="5"/>
      <c r="J178" s="5"/>
    </row>
    <row r="179" spans="3:10" x14ac:dyDescent="0.35">
      <c r="C179" s="5"/>
      <c r="J179" s="5"/>
    </row>
    <row r="180" spans="3:10" x14ac:dyDescent="0.35">
      <c r="C180" s="5"/>
      <c r="J180" s="5"/>
    </row>
    <row r="181" spans="3:10" x14ac:dyDescent="0.35">
      <c r="C181" s="5"/>
      <c r="J181" s="5"/>
    </row>
    <row r="182" spans="3:10" x14ac:dyDescent="0.35">
      <c r="C182" s="5"/>
      <c r="J182" s="5"/>
    </row>
    <row r="183" spans="3:10" x14ac:dyDescent="0.35">
      <c r="C183" s="5"/>
      <c r="J183" s="5"/>
    </row>
    <row r="184" spans="3:10" x14ac:dyDescent="0.35">
      <c r="C184" s="5"/>
      <c r="J184" s="5"/>
    </row>
    <row r="185" spans="3:10" x14ac:dyDescent="0.35">
      <c r="C185" s="5"/>
      <c r="J185" s="5"/>
    </row>
    <row r="186" spans="3:10" x14ac:dyDescent="0.35">
      <c r="C186" s="5"/>
      <c r="J186" s="5"/>
    </row>
    <row r="187" spans="3:10" x14ac:dyDescent="0.35">
      <c r="C187" s="5"/>
      <c r="J187" s="5"/>
    </row>
    <row r="188" spans="3:10" x14ac:dyDescent="0.35">
      <c r="C188" s="5"/>
      <c r="J188" s="5"/>
    </row>
    <row r="189" spans="3:10" x14ac:dyDescent="0.35">
      <c r="C189" s="5"/>
      <c r="J189" s="5"/>
    </row>
    <row r="190" spans="3:10" x14ac:dyDescent="0.35">
      <c r="C190" s="5"/>
      <c r="J190" s="5"/>
    </row>
    <row r="191" spans="3:10" x14ac:dyDescent="0.35">
      <c r="C191" s="5"/>
      <c r="J191" s="5"/>
    </row>
    <row r="192" spans="3:10" x14ac:dyDescent="0.35">
      <c r="C192" s="5"/>
      <c r="J192" s="5"/>
    </row>
    <row r="193" spans="3:10" x14ac:dyDescent="0.35">
      <c r="C193" s="5"/>
      <c r="J193" s="5"/>
    </row>
    <row r="194" spans="3:10" x14ac:dyDescent="0.35">
      <c r="C194" s="5"/>
      <c r="J194" s="5"/>
    </row>
    <row r="195" spans="3:10" x14ac:dyDescent="0.35">
      <c r="C195" s="5"/>
      <c r="J195" s="5"/>
    </row>
    <row r="196" spans="3:10" x14ac:dyDescent="0.35">
      <c r="C196" s="5"/>
      <c r="J196" s="5"/>
    </row>
    <row r="197" spans="3:10" x14ac:dyDescent="0.35">
      <c r="C197" s="5"/>
      <c r="J197" s="5"/>
    </row>
    <row r="198" spans="3:10" x14ac:dyDescent="0.35">
      <c r="C198" s="5"/>
      <c r="J198" s="5"/>
    </row>
    <row r="199" spans="3:10" x14ac:dyDescent="0.35">
      <c r="C199" s="5"/>
      <c r="J199" s="5"/>
    </row>
    <row r="200" spans="3:10" x14ac:dyDescent="0.35">
      <c r="C200" s="5"/>
      <c r="J200" s="5"/>
    </row>
    <row r="201" spans="3:10" x14ac:dyDescent="0.35">
      <c r="C201" s="5"/>
      <c r="J201" s="5"/>
    </row>
    <row r="202" spans="3:10" x14ac:dyDescent="0.35">
      <c r="C202" s="5"/>
      <c r="J202" s="5"/>
    </row>
    <row r="203" spans="3:10" x14ac:dyDescent="0.35">
      <c r="C203" s="5"/>
      <c r="J203" s="5"/>
    </row>
    <row r="204" spans="3:10" x14ac:dyDescent="0.35">
      <c r="C204" s="5"/>
      <c r="J204" s="5"/>
    </row>
    <row r="205" spans="3:10" x14ac:dyDescent="0.35">
      <c r="C205" s="5"/>
      <c r="J205" s="5"/>
    </row>
    <row r="206" spans="3:10" x14ac:dyDescent="0.35">
      <c r="C206" s="5"/>
      <c r="J206" s="5"/>
    </row>
    <row r="207" spans="3:10" x14ac:dyDescent="0.35">
      <c r="C207" s="5"/>
      <c r="J207" s="5"/>
    </row>
    <row r="208" spans="3:10" x14ac:dyDescent="0.35">
      <c r="C208" s="5"/>
      <c r="J208" s="5"/>
    </row>
    <row r="209" spans="3:10" x14ac:dyDescent="0.35">
      <c r="C209" s="5"/>
      <c r="J209" s="5"/>
    </row>
    <row r="210" spans="3:10" x14ac:dyDescent="0.35">
      <c r="C210" s="5"/>
      <c r="J210" s="5"/>
    </row>
    <row r="211" spans="3:10" x14ac:dyDescent="0.35">
      <c r="C211" s="5"/>
      <c r="J211" s="5"/>
    </row>
    <row r="212" spans="3:10" x14ac:dyDescent="0.35">
      <c r="C212" s="5"/>
      <c r="J212" s="5"/>
    </row>
    <row r="213" spans="3:10" x14ac:dyDescent="0.35">
      <c r="C213" s="5"/>
      <c r="J213" s="5"/>
    </row>
    <row r="214" spans="3:10" x14ac:dyDescent="0.35">
      <c r="C214" s="5"/>
      <c r="J214" s="5"/>
    </row>
    <row r="215" spans="3:10" x14ac:dyDescent="0.35">
      <c r="C215" s="5"/>
      <c r="J215" s="5"/>
    </row>
    <row r="216" spans="3:10" x14ac:dyDescent="0.35">
      <c r="C216" s="5"/>
      <c r="J216" s="5"/>
    </row>
    <row r="217" spans="3:10" x14ac:dyDescent="0.35">
      <c r="C217" s="5"/>
      <c r="J217" s="5"/>
    </row>
    <row r="218" spans="3:10" x14ac:dyDescent="0.35">
      <c r="C218" s="5"/>
      <c r="J218" s="5"/>
    </row>
    <row r="219" spans="3:10" x14ac:dyDescent="0.35">
      <c r="C219" s="5"/>
      <c r="J219" s="5"/>
    </row>
    <row r="220" spans="3:10" x14ac:dyDescent="0.35">
      <c r="C220" s="5"/>
      <c r="J220" s="5"/>
    </row>
    <row r="221" spans="3:10" x14ac:dyDescent="0.35">
      <c r="C221" s="5"/>
      <c r="J221" s="5"/>
    </row>
    <row r="222" spans="3:10" x14ac:dyDescent="0.35">
      <c r="C222" s="5"/>
      <c r="J222" s="5"/>
    </row>
    <row r="223" spans="3:10" x14ac:dyDescent="0.35">
      <c r="C223" s="5"/>
      <c r="J223" s="5"/>
    </row>
    <row r="224" spans="3:10" x14ac:dyDescent="0.35">
      <c r="C224" s="5"/>
      <c r="J224" s="5"/>
    </row>
    <row r="225" spans="3:10" x14ac:dyDescent="0.35">
      <c r="C225" s="5"/>
      <c r="J225" s="5"/>
    </row>
    <row r="226" spans="3:10" x14ac:dyDescent="0.35">
      <c r="C226" s="5"/>
      <c r="J226" s="5"/>
    </row>
    <row r="227" spans="3:10" x14ac:dyDescent="0.35">
      <c r="C227" s="5"/>
      <c r="J227" s="5"/>
    </row>
    <row r="228" spans="3:10" x14ac:dyDescent="0.35">
      <c r="C228" s="5"/>
      <c r="J228" s="5"/>
    </row>
    <row r="229" spans="3:10" x14ac:dyDescent="0.35">
      <c r="C229" s="5"/>
      <c r="J229" s="5"/>
    </row>
    <row r="230" spans="3:10" x14ac:dyDescent="0.35">
      <c r="C230" s="5"/>
      <c r="J230" s="5"/>
    </row>
    <row r="231" spans="3:10" x14ac:dyDescent="0.35">
      <c r="C231" s="5"/>
      <c r="J231" s="5"/>
    </row>
    <row r="232" spans="3:10" x14ac:dyDescent="0.35">
      <c r="C232" s="5"/>
      <c r="J232" s="5"/>
    </row>
    <row r="233" spans="3:10" x14ac:dyDescent="0.35">
      <c r="C233" s="5"/>
      <c r="J233" s="5"/>
    </row>
    <row r="234" spans="3:10" x14ac:dyDescent="0.35">
      <c r="C234" s="5"/>
      <c r="J234" s="5"/>
    </row>
    <row r="235" spans="3:10" x14ac:dyDescent="0.35">
      <c r="C235" s="5"/>
      <c r="J235" s="5"/>
    </row>
    <row r="236" spans="3:10" x14ac:dyDescent="0.35">
      <c r="C236" s="5"/>
      <c r="J236" s="5"/>
    </row>
    <row r="237" spans="3:10" x14ac:dyDescent="0.35">
      <c r="C237" s="5"/>
      <c r="J237" s="5"/>
    </row>
    <row r="238" spans="3:10" x14ac:dyDescent="0.35">
      <c r="C238" s="5"/>
      <c r="J238" s="5"/>
    </row>
    <row r="239" spans="3:10" x14ac:dyDescent="0.35">
      <c r="C239" s="5"/>
      <c r="J239" s="5"/>
    </row>
    <row r="240" spans="3:10" x14ac:dyDescent="0.35">
      <c r="C240" s="5"/>
      <c r="J240" s="5"/>
    </row>
    <row r="241" spans="3:10" x14ac:dyDescent="0.35">
      <c r="C241" s="5"/>
      <c r="J241" s="5"/>
    </row>
    <row r="242" spans="3:10" x14ac:dyDescent="0.35">
      <c r="C242" s="5"/>
      <c r="J242" s="5"/>
    </row>
    <row r="243" spans="3:10" x14ac:dyDescent="0.35">
      <c r="C243" s="5"/>
      <c r="J243" s="5"/>
    </row>
    <row r="244" spans="3:10" x14ac:dyDescent="0.35">
      <c r="C244" s="5"/>
      <c r="J244" s="5"/>
    </row>
    <row r="245" spans="3:10" x14ac:dyDescent="0.35">
      <c r="C245" s="5"/>
      <c r="J245" s="5"/>
    </row>
    <row r="246" spans="3:10" x14ac:dyDescent="0.35">
      <c r="C246" s="5"/>
      <c r="J246" s="5"/>
    </row>
    <row r="247" spans="3:10" x14ac:dyDescent="0.35">
      <c r="C247" s="5"/>
      <c r="J247" s="5"/>
    </row>
    <row r="248" spans="3:10" x14ac:dyDescent="0.35">
      <c r="C248" s="5"/>
      <c r="J248" s="5"/>
    </row>
    <row r="249" spans="3:10" x14ac:dyDescent="0.35">
      <c r="C249" s="5"/>
      <c r="J249" s="5"/>
    </row>
    <row r="250" spans="3:10" x14ac:dyDescent="0.35">
      <c r="C250" s="5"/>
      <c r="J250" s="5"/>
    </row>
    <row r="251" spans="3:10" x14ac:dyDescent="0.35">
      <c r="C251" s="5"/>
      <c r="J251" s="5"/>
    </row>
    <row r="252" spans="3:10" x14ac:dyDescent="0.35">
      <c r="C252" s="5"/>
      <c r="J252" s="5"/>
    </row>
    <row r="253" spans="3:10" x14ac:dyDescent="0.35">
      <c r="C253" s="5"/>
      <c r="J253" s="5"/>
    </row>
    <row r="254" spans="3:10" x14ac:dyDescent="0.35">
      <c r="C254" s="5"/>
      <c r="J254" s="5"/>
    </row>
    <row r="255" spans="3:10" x14ac:dyDescent="0.35">
      <c r="C255" s="5"/>
      <c r="J255" s="5"/>
    </row>
    <row r="256" spans="3:10" x14ac:dyDescent="0.35">
      <c r="C256" s="5"/>
      <c r="J256" s="5"/>
    </row>
    <row r="257" spans="3:10" x14ac:dyDescent="0.35">
      <c r="C257" s="5"/>
      <c r="J257" s="5"/>
    </row>
    <row r="258" spans="3:10" x14ac:dyDescent="0.35">
      <c r="C258" s="5"/>
      <c r="J258" s="5"/>
    </row>
    <row r="259" spans="3:10" x14ac:dyDescent="0.35">
      <c r="C259" s="5"/>
      <c r="J259" s="5"/>
    </row>
    <row r="260" spans="3:10" x14ac:dyDescent="0.35">
      <c r="C260" s="5"/>
      <c r="J260" s="5"/>
    </row>
    <row r="261" spans="3:10" x14ac:dyDescent="0.35">
      <c r="C261" s="5"/>
      <c r="J261" s="5"/>
    </row>
    <row r="262" spans="3:10" x14ac:dyDescent="0.35">
      <c r="C262" s="5"/>
      <c r="J262" s="5"/>
    </row>
    <row r="263" spans="3:10" x14ac:dyDescent="0.35">
      <c r="C263" s="5"/>
      <c r="J263" s="5"/>
    </row>
    <row r="264" spans="3:10" x14ac:dyDescent="0.35">
      <c r="C264" s="5"/>
      <c r="J264" s="5"/>
    </row>
    <row r="265" spans="3:10" x14ac:dyDescent="0.35">
      <c r="C265" s="5"/>
      <c r="J265" s="5"/>
    </row>
    <row r="266" spans="3:10" x14ac:dyDescent="0.35">
      <c r="C266" s="5"/>
      <c r="J266" s="5"/>
    </row>
    <row r="267" spans="3:10" x14ac:dyDescent="0.35">
      <c r="C267" s="5"/>
      <c r="J267" s="5"/>
    </row>
    <row r="268" spans="3:10" x14ac:dyDescent="0.35">
      <c r="C268" s="5"/>
      <c r="J268" s="5"/>
    </row>
    <row r="269" spans="3:10" x14ac:dyDescent="0.35">
      <c r="C269" s="5"/>
      <c r="J269" s="5"/>
    </row>
    <row r="270" spans="3:10" x14ac:dyDescent="0.35">
      <c r="C270" s="5"/>
      <c r="J270" s="5"/>
    </row>
    <row r="271" spans="3:10" x14ac:dyDescent="0.35">
      <c r="C271" s="5"/>
      <c r="J271" s="5"/>
    </row>
    <row r="272" spans="3:10" x14ac:dyDescent="0.35">
      <c r="C272" s="5"/>
      <c r="J272" s="5"/>
    </row>
    <row r="273" spans="3:10" x14ac:dyDescent="0.35">
      <c r="C273" s="5"/>
      <c r="J273" s="5"/>
    </row>
    <row r="274" spans="3:10" x14ac:dyDescent="0.35">
      <c r="C274" s="5"/>
      <c r="J274" s="5"/>
    </row>
    <row r="275" spans="3:10" x14ac:dyDescent="0.35">
      <c r="C275" s="5"/>
      <c r="J275" s="5"/>
    </row>
    <row r="276" spans="3:10" x14ac:dyDescent="0.35">
      <c r="C276" s="5"/>
      <c r="J276" s="5"/>
    </row>
    <row r="277" spans="3:10" x14ac:dyDescent="0.35">
      <c r="C277" s="5"/>
      <c r="J277" s="5"/>
    </row>
    <row r="278" spans="3:10" x14ac:dyDescent="0.35">
      <c r="C278" s="5"/>
      <c r="J278" s="5"/>
    </row>
    <row r="279" spans="3:10" x14ac:dyDescent="0.35">
      <c r="C279" s="5"/>
      <c r="J279" s="5"/>
    </row>
    <row r="280" spans="3:10" x14ac:dyDescent="0.35">
      <c r="C280" s="5"/>
      <c r="J280" s="5"/>
    </row>
    <row r="281" spans="3:10" x14ac:dyDescent="0.35">
      <c r="C281" s="5"/>
      <c r="J281" s="5"/>
    </row>
    <row r="282" spans="3:10" x14ac:dyDescent="0.35">
      <c r="C282" s="5"/>
      <c r="J282" s="5"/>
    </row>
    <row r="283" spans="3:10" x14ac:dyDescent="0.35">
      <c r="C283" s="5"/>
      <c r="J283" s="5"/>
    </row>
    <row r="284" spans="3:10" x14ac:dyDescent="0.35">
      <c r="C284" s="5"/>
      <c r="J284" s="5"/>
    </row>
    <row r="285" spans="3:10" x14ac:dyDescent="0.35">
      <c r="C285" s="5"/>
      <c r="J285" s="5"/>
    </row>
    <row r="286" spans="3:10" x14ac:dyDescent="0.35">
      <c r="C286" s="5"/>
      <c r="J286" s="5"/>
    </row>
    <row r="287" spans="3:10" x14ac:dyDescent="0.35">
      <c r="C287" s="5"/>
      <c r="J287" s="5"/>
    </row>
    <row r="288" spans="3:10" x14ac:dyDescent="0.35">
      <c r="C288" s="5"/>
      <c r="J288" s="5"/>
    </row>
    <row r="289" spans="3:10" x14ac:dyDescent="0.35">
      <c r="C289" s="5"/>
      <c r="J289" s="5"/>
    </row>
    <row r="290" spans="3:10" x14ac:dyDescent="0.35">
      <c r="C290" s="5"/>
      <c r="J290" s="5"/>
    </row>
    <row r="291" spans="3:10" x14ac:dyDescent="0.35">
      <c r="C291" s="5"/>
      <c r="J291" s="5"/>
    </row>
    <row r="292" spans="3:10" x14ac:dyDescent="0.35">
      <c r="C292" s="5"/>
      <c r="J292" s="5"/>
    </row>
    <row r="293" spans="3:10" x14ac:dyDescent="0.35">
      <c r="C293" s="5"/>
      <c r="J293" s="5"/>
    </row>
    <row r="294" spans="3:10" x14ac:dyDescent="0.35">
      <c r="C294" s="5"/>
      <c r="J294" s="5"/>
    </row>
    <row r="295" spans="3:10" x14ac:dyDescent="0.35">
      <c r="C295" s="5"/>
      <c r="J295" s="5"/>
    </row>
    <row r="296" spans="3:10" x14ac:dyDescent="0.35">
      <c r="C296" s="5"/>
      <c r="J296" s="5"/>
    </row>
    <row r="297" spans="3:10" x14ac:dyDescent="0.35">
      <c r="C297" s="5"/>
      <c r="J297" s="5"/>
    </row>
    <row r="298" spans="3:10" x14ac:dyDescent="0.35">
      <c r="C298" s="5"/>
      <c r="J298" s="5"/>
    </row>
    <row r="299" spans="3:10" x14ac:dyDescent="0.35">
      <c r="C299" s="5"/>
      <c r="J299" s="5"/>
    </row>
    <row r="300" spans="3:10" x14ac:dyDescent="0.35">
      <c r="C300" s="5"/>
      <c r="J300" s="5"/>
    </row>
    <row r="301" spans="3:10" x14ac:dyDescent="0.35">
      <c r="C301" s="5"/>
      <c r="J301" s="5"/>
    </row>
    <row r="302" spans="3:10" x14ac:dyDescent="0.35">
      <c r="C302" s="5"/>
      <c r="J302" s="5"/>
    </row>
    <row r="303" spans="3:10" x14ac:dyDescent="0.35">
      <c r="C303" s="5"/>
      <c r="J303" s="5"/>
    </row>
    <row r="304" spans="3:10" x14ac:dyDescent="0.35">
      <c r="C304" s="5"/>
      <c r="J304" s="5"/>
    </row>
    <row r="305" spans="3:10" x14ac:dyDescent="0.35">
      <c r="C305" s="5"/>
      <c r="J305" s="5"/>
    </row>
    <row r="306" spans="3:10" x14ac:dyDescent="0.35">
      <c r="C306" s="5"/>
      <c r="J306" s="5"/>
    </row>
    <row r="307" spans="3:10" x14ac:dyDescent="0.35">
      <c r="C307" s="5"/>
      <c r="J307" s="5"/>
    </row>
    <row r="308" spans="3:10" x14ac:dyDescent="0.35">
      <c r="C308" s="5"/>
      <c r="J308" s="5"/>
    </row>
    <row r="309" spans="3:10" x14ac:dyDescent="0.35">
      <c r="C309" s="5"/>
      <c r="J309" s="5"/>
    </row>
    <row r="310" spans="3:10" x14ac:dyDescent="0.35">
      <c r="C310" s="5"/>
      <c r="J310" s="5"/>
    </row>
    <row r="311" spans="3:10" x14ac:dyDescent="0.35">
      <c r="C311" s="5"/>
      <c r="J311" s="5"/>
    </row>
    <row r="312" spans="3:10" x14ac:dyDescent="0.35">
      <c r="C312" s="5"/>
      <c r="J312" s="5"/>
    </row>
    <row r="313" spans="3:10" x14ac:dyDescent="0.35">
      <c r="C313" s="5"/>
      <c r="J313" s="5"/>
    </row>
    <row r="314" spans="3:10" x14ac:dyDescent="0.35">
      <c r="C314" s="5"/>
      <c r="J314" s="5"/>
    </row>
    <row r="315" spans="3:10" x14ac:dyDescent="0.35">
      <c r="C315" s="5"/>
      <c r="J315" s="5"/>
    </row>
    <row r="316" spans="3:10" x14ac:dyDescent="0.35">
      <c r="C316" s="5"/>
      <c r="J316" s="5"/>
    </row>
    <row r="317" spans="3:10" x14ac:dyDescent="0.35">
      <c r="C317" s="5"/>
      <c r="J317" s="5"/>
    </row>
    <row r="318" spans="3:10" x14ac:dyDescent="0.35">
      <c r="C318" s="5"/>
      <c r="J318" s="5"/>
    </row>
    <row r="319" spans="3:10" x14ac:dyDescent="0.35">
      <c r="C319" s="5"/>
      <c r="J319" s="5"/>
    </row>
    <row r="320" spans="3:10" x14ac:dyDescent="0.35">
      <c r="C320" s="5"/>
      <c r="J320" s="5"/>
    </row>
    <row r="321" spans="3:10" x14ac:dyDescent="0.35">
      <c r="C321" s="5"/>
      <c r="J321" s="5"/>
    </row>
    <row r="322" spans="3:10" x14ac:dyDescent="0.35">
      <c r="C322" s="5"/>
      <c r="J322" s="5"/>
    </row>
    <row r="323" spans="3:10" x14ac:dyDescent="0.35">
      <c r="C323" s="5"/>
      <c r="J323" s="5"/>
    </row>
    <row r="324" spans="3:10" x14ac:dyDescent="0.35">
      <c r="C324" s="5"/>
      <c r="J324" s="5"/>
    </row>
    <row r="325" spans="3:10" x14ac:dyDescent="0.35">
      <c r="C325" s="5"/>
      <c r="J325" s="5"/>
    </row>
    <row r="326" spans="3:10" x14ac:dyDescent="0.35">
      <c r="C326" s="5"/>
      <c r="J326" s="5"/>
    </row>
    <row r="327" spans="3:10" x14ac:dyDescent="0.35">
      <c r="C327" s="5"/>
      <c r="J327" s="5"/>
    </row>
    <row r="328" spans="3:10" x14ac:dyDescent="0.35">
      <c r="C328" s="5"/>
      <c r="J328" s="5"/>
    </row>
    <row r="329" spans="3:10" x14ac:dyDescent="0.35">
      <c r="C329" s="5"/>
      <c r="J329" s="5"/>
    </row>
    <row r="330" spans="3:10" x14ac:dyDescent="0.35">
      <c r="C330" s="5"/>
      <c r="J330" s="5"/>
    </row>
    <row r="331" spans="3:10" x14ac:dyDescent="0.35">
      <c r="C331" s="5"/>
      <c r="J331" s="5"/>
    </row>
    <row r="332" spans="3:10" x14ac:dyDescent="0.35">
      <c r="C332" s="5"/>
      <c r="J332" s="5"/>
    </row>
    <row r="333" spans="3:10" x14ac:dyDescent="0.35">
      <c r="C333" s="5"/>
      <c r="J333" s="5"/>
    </row>
    <row r="334" spans="3:10" x14ac:dyDescent="0.35">
      <c r="C334" s="5"/>
      <c r="J334" s="5"/>
    </row>
    <row r="335" spans="3:10" x14ac:dyDescent="0.35">
      <c r="C335" s="5"/>
      <c r="J335" s="5"/>
    </row>
    <row r="336" spans="3:10" x14ac:dyDescent="0.35">
      <c r="C336" s="5"/>
      <c r="J336" s="5"/>
    </row>
    <row r="337" spans="3:10" x14ac:dyDescent="0.35">
      <c r="C337" s="5"/>
      <c r="J337" s="5"/>
    </row>
    <row r="338" spans="3:10" x14ac:dyDescent="0.35">
      <c r="C338" s="5"/>
      <c r="J338" s="5"/>
    </row>
    <row r="339" spans="3:10" x14ac:dyDescent="0.35">
      <c r="C339" s="5"/>
      <c r="J339" s="5"/>
    </row>
    <row r="340" spans="3:10" x14ac:dyDescent="0.35">
      <c r="C340" s="5"/>
      <c r="J340" s="5"/>
    </row>
    <row r="341" spans="3:10" x14ac:dyDescent="0.35">
      <c r="C341" s="5"/>
      <c r="J341" s="5"/>
    </row>
    <row r="342" spans="3:10" x14ac:dyDescent="0.35">
      <c r="C342" s="5"/>
      <c r="J342" s="5"/>
    </row>
    <row r="343" spans="3:10" x14ac:dyDescent="0.35">
      <c r="C343" s="5"/>
      <c r="J343" s="5"/>
    </row>
    <row r="344" spans="3:10" x14ac:dyDescent="0.35">
      <c r="C344" s="5"/>
      <c r="J344" s="5"/>
    </row>
    <row r="345" spans="3:10" x14ac:dyDescent="0.35">
      <c r="C345" s="5"/>
      <c r="J345" s="5"/>
    </row>
    <row r="346" spans="3:10" x14ac:dyDescent="0.35">
      <c r="C346" s="5"/>
      <c r="J346" s="5"/>
    </row>
    <row r="347" spans="3:10" x14ac:dyDescent="0.35">
      <c r="C347" s="5"/>
      <c r="J347" s="5"/>
    </row>
    <row r="348" spans="3:10" x14ac:dyDescent="0.35">
      <c r="C348" s="5"/>
      <c r="J348" s="5"/>
    </row>
    <row r="349" spans="3:10" x14ac:dyDescent="0.35">
      <c r="C349" s="5"/>
      <c r="J349" s="5"/>
    </row>
    <row r="350" spans="3:10" x14ac:dyDescent="0.35">
      <c r="C350" s="5"/>
      <c r="J350" s="5"/>
    </row>
    <row r="351" spans="3:10" x14ac:dyDescent="0.35">
      <c r="C351" s="5"/>
      <c r="J351" s="5"/>
    </row>
    <row r="352" spans="3:10" x14ac:dyDescent="0.35">
      <c r="C352" s="5"/>
      <c r="J352" s="5"/>
    </row>
    <row r="353" spans="3:10" x14ac:dyDescent="0.35">
      <c r="C353" s="5"/>
      <c r="J353" s="5"/>
    </row>
    <row r="354" spans="3:10" x14ac:dyDescent="0.35">
      <c r="C354" s="5"/>
      <c r="J354" s="5"/>
    </row>
    <row r="355" spans="3:10" x14ac:dyDescent="0.35">
      <c r="C355" s="5"/>
      <c r="J355" s="5"/>
    </row>
    <row r="356" spans="3:10" x14ac:dyDescent="0.35">
      <c r="C356" s="5"/>
      <c r="J356" s="5"/>
    </row>
    <row r="357" spans="3:10" x14ac:dyDescent="0.35">
      <c r="C357" s="5"/>
      <c r="J357" s="5"/>
    </row>
    <row r="358" spans="3:10" x14ac:dyDescent="0.35">
      <c r="C358" s="5"/>
      <c r="J358" s="5"/>
    </row>
    <row r="359" spans="3:10" x14ac:dyDescent="0.35">
      <c r="C359" s="5"/>
      <c r="J359" s="5"/>
    </row>
    <row r="360" spans="3:10" x14ac:dyDescent="0.35">
      <c r="C360" s="5"/>
      <c r="J360" s="5"/>
    </row>
    <row r="361" spans="3:10" x14ac:dyDescent="0.35">
      <c r="C361" s="5"/>
      <c r="J361" s="5"/>
    </row>
    <row r="362" spans="3:10" x14ac:dyDescent="0.35">
      <c r="C362" s="5"/>
      <c r="J362" s="5"/>
    </row>
    <row r="363" spans="3:10" x14ac:dyDescent="0.35">
      <c r="C363" s="5"/>
      <c r="J363" s="5"/>
    </row>
    <row r="364" spans="3:10" x14ac:dyDescent="0.35">
      <c r="C364" s="5"/>
      <c r="J364" s="5"/>
    </row>
    <row r="365" spans="3:10" x14ac:dyDescent="0.35">
      <c r="C365" s="5"/>
      <c r="J365" s="5"/>
    </row>
    <row r="366" spans="3:10" x14ac:dyDescent="0.35">
      <c r="C366" s="5"/>
      <c r="J366" s="5"/>
    </row>
    <row r="367" spans="3:10" x14ac:dyDescent="0.35">
      <c r="C367" s="5"/>
      <c r="J367" s="5"/>
    </row>
    <row r="368" spans="3:10" x14ac:dyDescent="0.35">
      <c r="C368" s="5"/>
      <c r="J368" s="5"/>
    </row>
    <row r="369" spans="3:10" x14ac:dyDescent="0.35">
      <c r="C369" s="5"/>
      <c r="J369" s="5"/>
    </row>
    <row r="370" spans="3:10" x14ac:dyDescent="0.35">
      <c r="C370" s="5"/>
      <c r="J370" s="5"/>
    </row>
    <row r="371" spans="3:10" x14ac:dyDescent="0.35">
      <c r="C371" s="5"/>
      <c r="J371" s="5"/>
    </row>
    <row r="372" spans="3:10" x14ac:dyDescent="0.35">
      <c r="C372" s="5"/>
      <c r="J372" s="5"/>
    </row>
    <row r="373" spans="3:10" x14ac:dyDescent="0.35">
      <c r="C373" s="5"/>
      <c r="J373" s="5"/>
    </row>
    <row r="374" spans="3:10" x14ac:dyDescent="0.35">
      <c r="C374" s="5"/>
      <c r="J374" s="5"/>
    </row>
    <row r="375" spans="3:10" x14ac:dyDescent="0.35">
      <c r="C375" s="5"/>
      <c r="J375" s="5"/>
    </row>
    <row r="376" spans="3:10" x14ac:dyDescent="0.35">
      <c r="C376" s="5"/>
      <c r="J376" s="5"/>
    </row>
    <row r="377" spans="3:10" x14ac:dyDescent="0.35">
      <c r="C377" s="5"/>
      <c r="J377" s="5"/>
    </row>
    <row r="378" spans="3:10" x14ac:dyDescent="0.35">
      <c r="C378" s="5"/>
      <c r="J378" s="5"/>
    </row>
    <row r="379" spans="3:10" x14ac:dyDescent="0.35">
      <c r="C379" s="5"/>
      <c r="J379" s="5"/>
    </row>
    <row r="380" spans="3:10" x14ac:dyDescent="0.35">
      <c r="C380" s="5"/>
      <c r="J380" s="5"/>
    </row>
    <row r="381" spans="3:10" x14ac:dyDescent="0.35">
      <c r="C381" s="5"/>
      <c r="J381" s="5"/>
    </row>
    <row r="382" spans="3:10" x14ac:dyDescent="0.35">
      <c r="C382" s="5"/>
      <c r="J382" s="5"/>
    </row>
    <row r="383" spans="3:10" x14ac:dyDescent="0.35">
      <c r="C383" s="5"/>
      <c r="J383" s="5"/>
    </row>
    <row r="384" spans="3:10" x14ac:dyDescent="0.35">
      <c r="C384" s="5"/>
      <c r="J384" s="5"/>
    </row>
    <row r="385" spans="3:10" x14ac:dyDescent="0.35">
      <c r="C385" s="5"/>
      <c r="J385" s="5"/>
    </row>
    <row r="386" spans="3:10" x14ac:dyDescent="0.35">
      <c r="C386" s="5"/>
      <c r="J386" s="5"/>
    </row>
    <row r="387" spans="3:10" x14ac:dyDescent="0.35">
      <c r="C387" s="5"/>
      <c r="J387" s="5"/>
    </row>
    <row r="388" spans="3:10" x14ac:dyDescent="0.35">
      <c r="C388" s="5"/>
      <c r="J388" s="5"/>
    </row>
    <row r="389" spans="3:10" x14ac:dyDescent="0.35">
      <c r="C389" s="5"/>
      <c r="J389" s="5"/>
    </row>
    <row r="390" spans="3:10" x14ac:dyDescent="0.35">
      <c r="C390" s="5"/>
      <c r="J390" s="5"/>
    </row>
    <row r="391" spans="3:10" x14ac:dyDescent="0.35">
      <c r="C391" s="5"/>
      <c r="J391" s="5"/>
    </row>
    <row r="392" spans="3:10" x14ac:dyDescent="0.35">
      <c r="C392" s="5"/>
      <c r="J392" s="5"/>
    </row>
    <row r="393" spans="3:10" x14ac:dyDescent="0.35">
      <c r="C393" s="5"/>
      <c r="J393" s="5"/>
    </row>
    <row r="394" spans="3:10" x14ac:dyDescent="0.35">
      <c r="C394" s="5"/>
      <c r="J394" s="5"/>
    </row>
    <row r="395" spans="3:10" x14ac:dyDescent="0.35">
      <c r="C395" s="5"/>
      <c r="J395" s="5"/>
    </row>
    <row r="396" spans="3:10" x14ac:dyDescent="0.35">
      <c r="C396" s="5"/>
      <c r="J396" s="5"/>
    </row>
    <row r="397" spans="3:10" x14ac:dyDescent="0.35">
      <c r="C397" s="5"/>
      <c r="J397" s="5"/>
    </row>
    <row r="398" spans="3:10" x14ac:dyDescent="0.35">
      <c r="C398" s="5"/>
      <c r="J398" s="5"/>
    </row>
    <row r="399" spans="3:10" x14ac:dyDescent="0.35">
      <c r="C399" s="5"/>
      <c r="J399" s="5"/>
    </row>
    <row r="400" spans="3:10" x14ac:dyDescent="0.35">
      <c r="C400" s="5"/>
      <c r="J400" s="5"/>
    </row>
    <row r="401" spans="3:10" x14ac:dyDescent="0.35">
      <c r="C401" s="5"/>
      <c r="J401" s="5"/>
    </row>
    <row r="402" spans="3:10" x14ac:dyDescent="0.35">
      <c r="C402" s="5"/>
      <c r="J402" s="5"/>
    </row>
    <row r="403" spans="3:10" x14ac:dyDescent="0.35">
      <c r="C403" s="5"/>
      <c r="J403" s="5"/>
    </row>
    <row r="404" spans="3:10" x14ac:dyDescent="0.35">
      <c r="C404" s="5"/>
      <c r="J404" s="5"/>
    </row>
    <row r="405" spans="3:10" x14ac:dyDescent="0.35">
      <c r="C405" s="5"/>
      <c r="J405" s="5"/>
    </row>
    <row r="406" spans="3:10" x14ac:dyDescent="0.35">
      <c r="C406" s="5"/>
      <c r="J406" s="5"/>
    </row>
    <row r="407" spans="3:10" x14ac:dyDescent="0.35">
      <c r="C407" s="5"/>
      <c r="J407" s="5"/>
    </row>
    <row r="408" spans="3:10" x14ac:dyDescent="0.35">
      <c r="C408" s="5"/>
      <c r="J408" s="5"/>
    </row>
    <row r="409" spans="3:10" x14ac:dyDescent="0.35">
      <c r="C409" s="5"/>
      <c r="J409" s="5"/>
    </row>
    <row r="410" spans="3:10" x14ac:dyDescent="0.35">
      <c r="C410" s="5"/>
      <c r="J410" s="5"/>
    </row>
    <row r="411" spans="3:10" x14ac:dyDescent="0.35">
      <c r="C411" s="5"/>
      <c r="J411" s="5"/>
    </row>
    <row r="412" spans="3:10" x14ac:dyDescent="0.35">
      <c r="C412" s="5"/>
      <c r="J412" s="5"/>
    </row>
    <row r="413" spans="3:10" x14ac:dyDescent="0.35">
      <c r="C413" s="5"/>
      <c r="J413" s="5"/>
    </row>
    <row r="414" spans="3:10" x14ac:dyDescent="0.35">
      <c r="C414" s="5"/>
      <c r="J414" s="5"/>
    </row>
    <row r="415" spans="3:10" x14ac:dyDescent="0.35">
      <c r="C415" s="5"/>
      <c r="J415" s="5"/>
    </row>
    <row r="416" spans="3:10" x14ac:dyDescent="0.35">
      <c r="C416" s="5"/>
      <c r="J416" s="5"/>
    </row>
    <row r="417" spans="3:10" x14ac:dyDescent="0.35">
      <c r="C417" s="5"/>
      <c r="J417" s="5"/>
    </row>
    <row r="418" spans="3:10" x14ac:dyDescent="0.35">
      <c r="C418" s="5"/>
      <c r="J418" s="5"/>
    </row>
    <row r="419" spans="3:10" x14ac:dyDescent="0.35">
      <c r="C419" s="5"/>
      <c r="J419" s="5"/>
    </row>
    <row r="420" spans="3:10" x14ac:dyDescent="0.35">
      <c r="C420" s="5"/>
      <c r="J420" s="5"/>
    </row>
    <row r="421" spans="3:10" x14ac:dyDescent="0.35">
      <c r="C421" s="5"/>
      <c r="J421" s="5"/>
    </row>
    <row r="422" spans="3:10" x14ac:dyDescent="0.35">
      <c r="C422" s="5"/>
      <c r="J422" s="5"/>
    </row>
    <row r="423" spans="3:10" x14ac:dyDescent="0.35">
      <c r="C423" s="5"/>
      <c r="J423" s="5"/>
    </row>
    <row r="424" spans="3:10" x14ac:dyDescent="0.35">
      <c r="C424" s="5"/>
      <c r="J424" s="5"/>
    </row>
    <row r="425" spans="3:10" x14ac:dyDescent="0.35">
      <c r="C425" s="5"/>
      <c r="J425" s="5"/>
    </row>
    <row r="426" spans="3:10" x14ac:dyDescent="0.35">
      <c r="C426" s="5"/>
      <c r="J426" s="5"/>
    </row>
    <row r="427" spans="3:10" x14ac:dyDescent="0.35">
      <c r="C427" s="5"/>
      <c r="J427" s="5"/>
    </row>
    <row r="428" spans="3:10" x14ac:dyDescent="0.35">
      <c r="C428" s="5"/>
      <c r="J428" s="5"/>
    </row>
    <row r="429" spans="3:10" x14ac:dyDescent="0.35">
      <c r="C429" s="5"/>
      <c r="J429" s="5"/>
    </row>
    <row r="430" spans="3:10" x14ac:dyDescent="0.35">
      <c r="C430" s="5"/>
      <c r="J430" s="5"/>
    </row>
    <row r="431" spans="3:10" x14ac:dyDescent="0.35">
      <c r="C431" s="5"/>
      <c r="J431" s="5"/>
    </row>
    <row r="432" spans="3:10" x14ac:dyDescent="0.35">
      <c r="C432" s="5"/>
      <c r="J432" s="5"/>
    </row>
    <row r="433" spans="3:10" x14ac:dyDescent="0.35">
      <c r="C433" s="5"/>
      <c r="J433" s="5"/>
    </row>
    <row r="434" spans="3:10" x14ac:dyDescent="0.35">
      <c r="C434" s="5"/>
      <c r="J434" s="5"/>
    </row>
    <row r="435" spans="3:10" x14ac:dyDescent="0.35">
      <c r="C435" s="5"/>
      <c r="J435" s="5"/>
    </row>
    <row r="436" spans="3:10" x14ac:dyDescent="0.35">
      <c r="C436" s="5"/>
      <c r="J436" s="5"/>
    </row>
    <row r="437" spans="3:10" x14ac:dyDescent="0.35">
      <c r="C437" s="5"/>
      <c r="J437" s="5"/>
    </row>
    <row r="438" spans="3:10" x14ac:dyDescent="0.35">
      <c r="C438" s="5"/>
      <c r="J438" s="5"/>
    </row>
    <row r="439" spans="3:10" x14ac:dyDescent="0.35">
      <c r="C439" s="5"/>
      <c r="J439" s="5"/>
    </row>
    <row r="440" spans="3:10" x14ac:dyDescent="0.35">
      <c r="C440" s="5"/>
      <c r="J440" s="5"/>
    </row>
    <row r="441" spans="3:10" x14ac:dyDescent="0.35">
      <c r="C441" s="5"/>
      <c r="J441" s="5"/>
    </row>
    <row r="442" spans="3:10" x14ac:dyDescent="0.35">
      <c r="C442" s="5"/>
      <c r="J442" s="5"/>
    </row>
    <row r="443" spans="3:10" x14ac:dyDescent="0.35">
      <c r="C443" s="5"/>
      <c r="J443" s="5"/>
    </row>
    <row r="444" spans="3:10" x14ac:dyDescent="0.35">
      <c r="C444" s="5"/>
      <c r="J444" s="5"/>
    </row>
    <row r="445" spans="3:10" x14ac:dyDescent="0.35">
      <c r="C445" s="5"/>
      <c r="J445" s="5"/>
    </row>
    <row r="446" spans="3:10" x14ac:dyDescent="0.35">
      <c r="C446" s="5"/>
      <c r="J446" s="5"/>
    </row>
    <row r="447" spans="3:10" x14ac:dyDescent="0.35">
      <c r="C447" s="5"/>
      <c r="J447" s="5"/>
    </row>
    <row r="448" spans="3:10" x14ac:dyDescent="0.35">
      <c r="C448" s="5"/>
      <c r="J448" s="5"/>
    </row>
    <row r="449" spans="3:10" x14ac:dyDescent="0.35">
      <c r="C449" s="5"/>
      <c r="J449" s="5"/>
    </row>
    <row r="450" spans="3:10" x14ac:dyDescent="0.35">
      <c r="C450" s="5"/>
      <c r="J450" s="5"/>
    </row>
    <row r="451" spans="3:10" x14ac:dyDescent="0.35">
      <c r="C451" s="5"/>
      <c r="J451" s="5"/>
    </row>
    <row r="452" spans="3:10" x14ac:dyDescent="0.35">
      <c r="C452" s="5"/>
      <c r="J452" s="5"/>
    </row>
    <row r="453" spans="3:10" x14ac:dyDescent="0.35">
      <c r="C453" s="5"/>
      <c r="J453" s="5"/>
    </row>
    <row r="454" spans="3:10" x14ac:dyDescent="0.35">
      <c r="C454" s="5"/>
      <c r="J454" s="5"/>
    </row>
    <row r="455" spans="3:10" x14ac:dyDescent="0.35">
      <c r="C455" s="5"/>
      <c r="J455" s="5"/>
    </row>
    <row r="456" spans="3:10" x14ac:dyDescent="0.35">
      <c r="C456" s="5"/>
      <c r="J456" s="5"/>
    </row>
    <row r="457" spans="3:10" x14ac:dyDescent="0.35">
      <c r="C457" s="5"/>
      <c r="J457" s="5"/>
    </row>
    <row r="458" spans="3:10" x14ac:dyDescent="0.35">
      <c r="C458" s="5"/>
      <c r="J458" s="5"/>
    </row>
    <row r="459" spans="3:10" x14ac:dyDescent="0.35">
      <c r="C459" s="5"/>
      <c r="J459" s="5"/>
    </row>
    <row r="460" spans="3:10" x14ac:dyDescent="0.35">
      <c r="C460" s="5"/>
      <c r="J460" s="5"/>
    </row>
    <row r="461" spans="3:10" x14ac:dyDescent="0.35">
      <c r="C461" s="5"/>
      <c r="J461" s="5"/>
    </row>
    <row r="462" spans="3:10" x14ac:dyDescent="0.35">
      <c r="C462" s="5"/>
      <c r="J462" s="5"/>
    </row>
    <row r="463" spans="3:10" x14ac:dyDescent="0.35">
      <c r="C463" s="5"/>
      <c r="J463" s="5"/>
    </row>
    <row r="464" spans="3:10" x14ac:dyDescent="0.35">
      <c r="C464" s="5"/>
      <c r="J464" s="5"/>
    </row>
    <row r="465" spans="3:10" x14ac:dyDescent="0.35">
      <c r="C465" s="5"/>
      <c r="J465" s="5"/>
    </row>
    <row r="466" spans="3:10" x14ac:dyDescent="0.35">
      <c r="C466" s="5"/>
      <c r="J466" s="5"/>
    </row>
    <row r="467" spans="3:10" x14ac:dyDescent="0.35">
      <c r="C467" s="5"/>
      <c r="J467" s="5"/>
    </row>
    <row r="468" spans="3:10" x14ac:dyDescent="0.35">
      <c r="C468" s="5"/>
      <c r="J468" s="5"/>
    </row>
    <row r="469" spans="3:10" x14ac:dyDescent="0.35">
      <c r="C469" s="5"/>
      <c r="J469" s="5"/>
    </row>
    <row r="470" spans="3:10" x14ac:dyDescent="0.35">
      <c r="C470" s="5"/>
      <c r="J470" s="5"/>
    </row>
    <row r="471" spans="3:10" x14ac:dyDescent="0.35">
      <c r="C471" s="5"/>
      <c r="J471" s="5"/>
    </row>
    <row r="472" spans="3:10" x14ac:dyDescent="0.35">
      <c r="C472" s="5"/>
      <c r="J472" s="5"/>
    </row>
    <row r="473" spans="3:10" x14ac:dyDescent="0.35">
      <c r="C473" s="5"/>
      <c r="J473" s="5"/>
    </row>
    <row r="474" spans="3:10" x14ac:dyDescent="0.35">
      <c r="C474" s="5"/>
      <c r="J474" s="5"/>
    </row>
    <row r="475" spans="3:10" x14ac:dyDescent="0.35">
      <c r="C475" s="5"/>
      <c r="J475" s="5"/>
    </row>
    <row r="476" spans="3:10" x14ac:dyDescent="0.35">
      <c r="C476" s="5"/>
      <c r="J476" s="5"/>
    </row>
    <row r="477" spans="3:10" x14ac:dyDescent="0.35">
      <c r="C477" s="5"/>
      <c r="J477" s="5"/>
    </row>
    <row r="478" spans="3:10" x14ac:dyDescent="0.35">
      <c r="C478" s="5"/>
      <c r="J478" s="5"/>
    </row>
    <row r="479" spans="3:10" x14ac:dyDescent="0.35">
      <c r="C479" s="5"/>
      <c r="J479" s="5"/>
    </row>
    <row r="480" spans="3:10" x14ac:dyDescent="0.35">
      <c r="C480" s="5"/>
      <c r="J480" s="5"/>
    </row>
    <row r="481" spans="3:10" x14ac:dyDescent="0.35">
      <c r="C481" s="5"/>
      <c r="J481" s="5"/>
    </row>
    <row r="482" spans="3:10" x14ac:dyDescent="0.35">
      <c r="C482" s="5"/>
      <c r="J482" s="5"/>
    </row>
    <row r="483" spans="3:10" x14ac:dyDescent="0.35">
      <c r="C483" s="5"/>
      <c r="J483" s="5"/>
    </row>
    <row r="484" spans="3:10" x14ac:dyDescent="0.35">
      <c r="C484" s="5"/>
      <c r="J484" s="5"/>
    </row>
    <row r="485" spans="3:10" x14ac:dyDescent="0.35">
      <c r="C485" s="5"/>
      <c r="J485" s="5"/>
    </row>
    <row r="486" spans="3:10" x14ac:dyDescent="0.35">
      <c r="C486" s="5"/>
      <c r="J486" s="5"/>
    </row>
    <row r="487" spans="3:10" x14ac:dyDescent="0.35">
      <c r="C487" s="5"/>
      <c r="J487" s="5"/>
    </row>
    <row r="488" spans="3:10" x14ac:dyDescent="0.35">
      <c r="C488" s="5"/>
      <c r="J488" s="5"/>
    </row>
    <row r="489" spans="3:10" x14ac:dyDescent="0.35">
      <c r="C489" s="5"/>
      <c r="J489" s="5"/>
    </row>
    <row r="490" spans="3:10" x14ac:dyDescent="0.35">
      <c r="C490" s="5"/>
      <c r="J490" s="5"/>
    </row>
    <row r="491" spans="3:10" x14ac:dyDescent="0.35">
      <c r="C491" s="5"/>
      <c r="J491" s="5"/>
    </row>
    <row r="492" spans="3:10" x14ac:dyDescent="0.35">
      <c r="C492" s="5"/>
      <c r="J492" s="5"/>
    </row>
    <row r="493" spans="3:10" x14ac:dyDescent="0.35">
      <c r="C493" s="5"/>
      <c r="J493" s="5"/>
    </row>
    <row r="494" spans="3:10" x14ac:dyDescent="0.35">
      <c r="C494" s="5"/>
      <c r="J494" s="5"/>
    </row>
    <row r="495" spans="3:10" x14ac:dyDescent="0.35">
      <c r="C495" s="5"/>
      <c r="J495" s="5"/>
    </row>
    <row r="496" spans="3:10" x14ac:dyDescent="0.35">
      <c r="C496" s="5"/>
      <c r="J496" s="5"/>
    </row>
    <row r="497" spans="3:10" x14ac:dyDescent="0.35">
      <c r="C497" s="5"/>
      <c r="J497" s="5"/>
    </row>
    <row r="498" spans="3:10" x14ac:dyDescent="0.35">
      <c r="C498" s="5"/>
      <c r="J498" s="5"/>
    </row>
    <row r="499" spans="3:10" x14ac:dyDescent="0.35">
      <c r="C499" s="5"/>
      <c r="J499" s="5"/>
    </row>
    <row r="500" spans="3:10" x14ac:dyDescent="0.35">
      <c r="C500" s="5"/>
      <c r="J500" s="5"/>
    </row>
    <row r="501" spans="3:10" x14ac:dyDescent="0.35">
      <c r="C501" s="5"/>
      <c r="J501" s="5"/>
    </row>
    <row r="502" spans="3:10" x14ac:dyDescent="0.35">
      <c r="C502" s="5"/>
      <c r="J502" s="5"/>
    </row>
    <row r="503" spans="3:10" x14ac:dyDescent="0.35">
      <c r="C503" s="5"/>
      <c r="J503" s="5"/>
    </row>
    <row r="504" spans="3:10" x14ac:dyDescent="0.35">
      <c r="C504" s="5"/>
      <c r="J504" s="5"/>
    </row>
    <row r="505" spans="3:10" x14ac:dyDescent="0.35">
      <c r="C505" s="5"/>
      <c r="J505" s="5"/>
    </row>
    <row r="506" spans="3:10" x14ac:dyDescent="0.35">
      <c r="C506" s="5"/>
      <c r="J506" s="5"/>
    </row>
    <row r="507" spans="3:10" x14ac:dyDescent="0.35">
      <c r="C507" s="5"/>
      <c r="J507" s="5"/>
    </row>
    <row r="508" spans="3:10" x14ac:dyDescent="0.35">
      <c r="C508" s="5"/>
      <c r="J508" s="5"/>
    </row>
    <row r="509" spans="3:10" x14ac:dyDescent="0.35">
      <c r="C509" s="5"/>
      <c r="J509" s="5"/>
    </row>
    <row r="510" spans="3:10" x14ac:dyDescent="0.35">
      <c r="C510" s="5"/>
      <c r="J510" s="5"/>
    </row>
    <row r="511" spans="3:10" x14ac:dyDescent="0.35">
      <c r="C511" s="5"/>
      <c r="J511" s="5"/>
    </row>
    <row r="512" spans="3:10" x14ac:dyDescent="0.35">
      <c r="C512" s="5"/>
      <c r="J512" s="5"/>
    </row>
    <row r="513" spans="3:10" x14ac:dyDescent="0.35">
      <c r="C513" s="5"/>
      <c r="J513" s="5"/>
    </row>
    <row r="514" spans="3:10" x14ac:dyDescent="0.35">
      <c r="C514" s="5"/>
      <c r="J514" s="5"/>
    </row>
    <row r="515" spans="3:10" x14ac:dyDescent="0.35">
      <c r="C515" s="5"/>
      <c r="J515" s="5"/>
    </row>
    <row r="516" spans="3:10" x14ac:dyDescent="0.35">
      <c r="C516" s="5"/>
      <c r="J516" s="5"/>
    </row>
    <row r="517" spans="3:10" x14ac:dyDescent="0.35">
      <c r="C517" s="5"/>
      <c r="J517" s="5"/>
    </row>
    <row r="518" spans="3:10" x14ac:dyDescent="0.35">
      <c r="C518" s="5"/>
      <c r="J518" s="5"/>
    </row>
    <row r="519" spans="3:10" x14ac:dyDescent="0.35">
      <c r="C519" s="5"/>
      <c r="J519" s="5"/>
    </row>
    <row r="520" spans="3:10" x14ac:dyDescent="0.35">
      <c r="C520" s="5"/>
      <c r="J520" s="5"/>
    </row>
    <row r="521" spans="3:10" x14ac:dyDescent="0.35">
      <c r="C521" s="5"/>
      <c r="J521" s="5"/>
    </row>
    <row r="522" spans="3:10" x14ac:dyDescent="0.35">
      <c r="C522" s="5"/>
      <c r="J522" s="5"/>
    </row>
    <row r="523" spans="3:10" x14ac:dyDescent="0.35">
      <c r="C523" s="5"/>
      <c r="J523" s="5"/>
    </row>
    <row r="524" spans="3:10" x14ac:dyDescent="0.35">
      <c r="C524" s="5"/>
      <c r="J524" s="5"/>
    </row>
    <row r="525" spans="3:10" x14ac:dyDescent="0.35">
      <c r="C525" s="5"/>
      <c r="J525" s="5"/>
    </row>
    <row r="526" spans="3:10" x14ac:dyDescent="0.35">
      <c r="C526" s="5"/>
      <c r="J526" s="5"/>
    </row>
    <row r="527" spans="3:10" x14ac:dyDescent="0.35">
      <c r="C527" s="5"/>
      <c r="J527" s="5"/>
    </row>
    <row r="528" spans="3:10" x14ac:dyDescent="0.35">
      <c r="C528" s="5"/>
      <c r="J528" s="5"/>
    </row>
    <row r="529" spans="3:10" x14ac:dyDescent="0.35">
      <c r="C529" s="5"/>
      <c r="J529" s="5"/>
    </row>
    <row r="530" spans="3:10" x14ac:dyDescent="0.35">
      <c r="C530" s="5"/>
      <c r="J530" s="5"/>
    </row>
    <row r="531" spans="3:10" x14ac:dyDescent="0.35">
      <c r="C531" s="5"/>
      <c r="J531" s="5"/>
    </row>
    <row r="532" spans="3:10" x14ac:dyDescent="0.35">
      <c r="C532" s="5"/>
      <c r="J532" s="5"/>
    </row>
    <row r="533" spans="3:10" x14ac:dyDescent="0.35">
      <c r="C533" s="5"/>
      <c r="J533" s="5"/>
    </row>
    <row r="534" spans="3:10" x14ac:dyDescent="0.35">
      <c r="C534" s="5"/>
      <c r="J534" s="5"/>
    </row>
    <row r="535" spans="3:10" x14ac:dyDescent="0.35">
      <c r="C535" s="5"/>
      <c r="J535" s="5"/>
    </row>
    <row r="536" spans="3:10" x14ac:dyDescent="0.35">
      <c r="C536" s="5"/>
      <c r="J536" s="5"/>
    </row>
    <row r="537" spans="3:10" x14ac:dyDescent="0.35">
      <c r="C537" s="5"/>
      <c r="J537" s="5"/>
    </row>
    <row r="538" spans="3:10" x14ac:dyDescent="0.35">
      <c r="C538" s="5"/>
      <c r="J538" s="5"/>
    </row>
    <row r="539" spans="3:10" x14ac:dyDescent="0.35">
      <c r="C539" s="5"/>
      <c r="J539" s="5"/>
    </row>
    <row r="540" spans="3:10" x14ac:dyDescent="0.35">
      <c r="C540" s="5"/>
      <c r="J540" s="5"/>
    </row>
    <row r="541" spans="3:10" x14ac:dyDescent="0.35">
      <c r="C541" s="5"/>
      <c r="J541" s="5"/>
    </row>
    <row r="542" spans="3:10" x14ac:dyDescent="0.35">
      <c r="C542" s="5"/>
      <c r="J542" s="5"/>
    </row>
    <row r="543" spans="3:10" x14ac:dyDescent="0.35">
      <c r="C543" s="5"/>
      <c r="J543" s="5"/>
    </row>
    <row r="544" spans="3:10" x14ac:dyDescent="0.35">
      <c r="C544" s="5"/>
      <c r="J544" s="5"/>
    </row>
    <row r="545" spans="3:10" x14ac:dyDescent="0.35">
      <c r="C545" s="5"/>
      <c r="J545" s="5"/>
    </row>
    <row r="546" spans="3:10" x14ac:dyDescent="0.35">
      <c r="C546" s="5"/>
      <c r="J546" s="5"/>
    </row>
    <row r="547" spans="3:10" x14ac:dyDescent="0.35">
      <c r="C547" s="5"/>
      <c r="J547" s="5"/>
    </row>
    <row r="548" spans="3:10" x14ac:dyDescent="0.35">
      <c r="C548" s="5"/>
      <c r="J548" s="5"/>
    </row>
    <row r="549" spans="3:10" x14ac:dyDescent="0.35">
      <c r="C549" s="5"/>
      <c r="J549" s="5"/>
    </row>
    <row r="550" spans="3:10" x14ac:dyDescent="0.35">
      <c r="C550" s="5"/>
      <c r="J550" s="5"/>
    </row>
    <row r="551" spans="3:10" x14ac:dyDescent="0.35">
      <c r="C551" s="5"/>
      <c r="J551" s="5"/>
    </row>
    <row r="552" spans="3:10" x14ac:dyDescent="0.35">
      <c r="C552" s="5"/>
      <c r="J552" s="5"/>
    </row>
    <row r="553" spans="3:10" x14ac:dyDescent="0.35">
      <c r="C553" s="5"/>
      <c r="J553" s="5"/>
    </row>
    <row r="554" spans="3:10" x14ac:dyDescent="0.35">
      <c r="C554" s="5"/>
      <c r="J554" s="5"/>
    </row>
    <row r="555" spans="3:10" x14ac:dyDescent="0.35">
      <c r="C555" s="5"/>
      <c r="J555" s="5"/>
    </row>
    <row r="556" spans="3:10" x14ac:dyDescent="0.35">
      <c r="C556" s="5"/>
      <c r="J556" s="5"/>
    </row>
    <row r="557" spans="3:10" x14ac:dyDescent="0.35">
      <c r="C557" s="5"/>
      <c r="J557" s="5"/>
    </row>
    <row r="558" spans="3:10" x14ac:dyDescent="0.35">
      <c r="C558" s="5"/>
      <c r="J558" s="5"/>
    </row>
    <row r="559" spans="3:10" x14ac:dyDescent="0.35">
      <c r="C559" s="5"/>
      <c r="J559" s="5"/>
    </row>
    <row r="560" spans="3:10" x14ac:dyDescent="0.35">
      <c r="C560" s="5"/>
      <c r="J560" s="5"/>
    </row>
    <row r="561" spans="3:10" x14ac:dyDescent="0.35">
      <c r="C561" s="5"/>
      <c r="J561" s="5"/>
    </row>
    <row r="562" spans="3:10" x14ac:dyDescent="0.35">
      <c r="C562" s="5"/>
      <c r="J562" s="5"/>
    </row>
    <row r="563" spans="3:10" x14ac:dyDescent="0.35">
      <c r="C563" s="5"/>
      <c r="J563" s="5"/>
    </row>
    <row r="564" spans="3:10" x14ac:dyDescent="0.35">
      <c r="C564" s="5"/>
      <c r="J564" s="5"/>
    </row>
    <row r="565" spans="3:10" x14ac:dyDescent="0.35">
      <c r="C565" s="5"/>
      <c r="J565" s="5"/>
    </row>
    <row r="566" spans="3:10" x14ac:dyDescent="0.35">
      <c r="C566" s="5"/>
      <c r="J566" s="5"/>
    </row>
    <row r="567" spans="3:10" x14ac:dyDescent="0.35">
      <c r="C567" s="5"/>
      <c r="J567" s="5"/>
    </row>
    <row r="568" spans="3:10" x14ac:dyDescent="0.35">
      <c r="C568" s="5"/>
      <c r="J568" s="5"/>
    </row>
    <row r="569" spans="3:10" x14ac:dyDescent="0.35">
      <c r="C569" s="5"/>
      <c r="J569" s="5"/>
    </row>
    <row r="570" spans="3:10" x14ac:dyDescent="0.35">
      <c r="C570" s="5"/>
      <c r="J570" s="5"/>
    </row>
    <row r="571" spans="3:10" x14ac:dyDescent="0.35">
      <c r="C571" s="5"/>
      <c r="J571" s="5"/>
    </row>
    <row r="572" spans="3:10" x14ac:dyDescent="0.35">
      <c r="C572" s="5"/>
      <c r="J572" s="5"/>
    </row>
    <row r="573" spans="3:10" x14ac:dyDescent="0.35">
      <c r="C573" s="5"/>
      <c r="J573" s="5"/>
    </row>
    <row r="574" spans="3:10" x14ac:dyDescent="0.35">
      <c r="C574" s="5"/>
      <c r="J574" s="5"/>
    </row>
    <row r="575" spans="3:10" x14ac:dyDescent="0.35">
      <c r="C575" s="5"/>
      <c r="J575" s="5"/>
    </row>
    <row r="576" spans="3:10" x14ac:dyDescent="0.35">
      <c r="C576" s="5"/>
      <c r="J576" s="5"/>
    </row>
    <row r="577" spans="3:10" x14ac:dyDescent="0.35">
      <c r="C577" s="5"/>
      <c r="J577" s="5"/>
    </row>
    <row r="578" spans="3:10" x14ac:dyDescent="0.35">
      <c r="C578" s="5"/>
      <c r="J578" s="5"/>
    </row>
    <row r="579" spans="3:10" x14ac:dyDescent="0.35">
      <c r="C579" s="5"/>
      <c r="J579" s="5"/>
    </row>
    <row r="580" spans="3:10" x14ac:dyDescent="0.35">
      <c r="C580" s="5"/>
      <c r="J580" s="5"/>
    </row>
    <row r="581" spans="3:10" x14ac:dyDescent="0.35">
      <c r="C581" s="5"/>
      <c r="J581" s="5"/>
    </row>
    <row r="582" spans="3:10" x14ac:dyDescent="0.35">
      <c r="C582" s="5"/>
      <c r="J582" s="5"/>
    </row>
    <row r="583" spans="3:10" x14ac:dyDescent="0.35">
      <c r="C583" s="5"/>
      <c r="J583" s="5"/>
    </row>
    <row r="584" spans="3:10" x14ac:dyDescent="0.35">
      <c r="C584" s="5"/>
      <c r="J584" s="5"/>
    </row>
    <row r="585" spans="3:10" x14ac:dyDescent="0.35">
      <c r="C585" s="5"/>
      <c r="J585" s="5"/>
    </row>
    <row r="586" spans="3:10" x14ac:dyDescent="0.35">
      <c r="C586" s="5"/>
      <c r="J586" s="5"/>
    </row>
    <row r="587" spans="3:10" x14ac:dyDescent="0.35">
      <c r="C587" s="5"/>
      <c r="J587" s="5"/>
    </row>
    <row r="588" spans="3:10" x14ac:dyDescent="0.35">
      <c r="C588" s="5"/>
      <c r="J588" s="5"/>
    </row>
    <row r="589" spans="3:10" x14ac:dyDescent="0.35">
      <c r="C589" s="5"/>
      <c r="J589" s="5"/>
    </row>
    <row r="590" spans="3:10" x14ac:dyDescent="0.35">
      <c r="C590" s="5"/>
      <c r="J590" s="5"/>
    </row>
    <row r="591" spans="3:10" x14ac:dyDescent="0.35">
      <c r="C591" s="5"/>
      <c r="J591" s="5"/>
    </row>
    <row r="592" spans="3:10" x14ac:dyDescent="0.35">
      <c r="C592" s="5"/>
      <c r="J592" s="5"/>
    </row>
    <row r="593" spans="3:10" x14ac:dyDescent="0.35">
      <c r="C593" s="5"/>
      <c r="J593" s="5"/>
    </row>
    <row r="594" spans="3:10" x14ac:dyDescent="0.35">
      <c r="C594" s="5"/>
      <c r="J594" s="5"/>
    </row>
    <row r="595" spans="3:10" x14ac:dyDescent="0.35">
      <c r="C595" s="5"/>
      <c r="J595" s="5"/>
    </row>
    <row r="596" spans="3:10" x14ac:dyDescent="0.35">
      <c r="C596" s="5"/>
      <c r="J596" s="5"/>
    </row>
    <row r="597" spans="3:10" x14ac:dyDescent="0.35">
      <c r="C597" s="5"/>
      <c r="J597" s="5"/>
    </row>
    <row r="598" spans="3:10" x14ac:dyDescent="0.35">
      <c r="C598" s="5"/>
      <c r="J598" s="5"/>
    </row>
    <row r="599" spans="3:10" x14ac:dyDescent="0.35">
      <c r="C599" s="5"/>
      <c r="J599" s="5"/>
    </row>
    <row r="600" spans="3:10" x14ac:dyDescent="0.35">
      <c r="C600" s="5"/>
      <c r="J600" s="5"/>
    </row>
    <row r="601" spans="3:10" x14ac:dyDescent="0.35">
      <c r="C601" s="5"/>
      <c r="J601" s="5"/>
    </row>
    <row r="602" spans="3:10" x14ac:dyDescent="0.35">
      <c r="C602" s="5"/>
      <c r="J602" s="5"/>
    </row>
    <row r="603" spans="3:10" x14ac:dyDescent="0.35">
      <c r="C603" s="5"/>
      <c r="J603" s="5"/>
    </row>
    <row r="604" spans="3:10" x14ac:dyDescent="0.35">
      <c r="C604" s="5"/>
      <c r="J604" s="5"/>
    </row>
    <row r="605" spans="3:10" x14ac:dyDescent="0.35">
      <c r="C605" s="5"/>
      <c r="J605" s="5"/>
    </row>
    <row r="606" spans="3:10" x14ac:dyDescent="0.35">
      <c r="C606" s="5"/>
      <c r="J606" s="5"/>
    </row>
    <row r="607" spans="3:10" x14ac:dyDescent="0.35">
      <c r="C607" s="5"/>
      <c r="J607" s="5"/>
    </row>
    <row r="608" spans="3:10" x14ac:dyDescent="0.35">
      <c r="C608" s="5"/>
      <c r="J608" s="5"/>
    </row>
    <row r="609" spans="3:10" x14ac:dyDescent="0.35">
      <c r="C609" s="5"/>
      <c r="J609" s="5"/>
    </row>
    <row r="610" spans="3:10" x14ac:dyDescent="0.35">
      <c r="C610" s="5"/>
      <c r="J610" s="5"/>
    </row>
    <row r="611" spans="3:10" x14ac:dyDescent="0.35">
      <c r="C611" s="5"/>
      <c r="J611" s="5"/>
    </row>
    <row r="612" spans="3:10" x14ac:dyDescent="0.35">
      <c r="C612" s="5"/>
      <c r="J612" s="5"/>
    </row>
    <row r="613" spans="3:10" x14ac:dyDescent="0.35">
      <c r="C613" s="5"/>
      <c r="J613" s="5"/>
    </row>
    <row r="614" spans="3:10" x14ac:dyDescent="0.35">
      <c r="C614" s="5"/>
      <c r="J614" s="5"/>
    </row>
    <row r="615" spans="3:10" x14ac:dyDescent="0.35">
      <c r="C615" s="5"/>
      <c r="J615" s="5"/>
    </row>
    <row r="616" spans="3:10" x14ac:dyDescent="0.35">
      <c r="C616" s="5"/>
      <c r="J616" s="5"/>
    </row>
    <row r="617" spans="3:10" x14ac:dyDescent="0.35">
      <c r="C617" s="5"/>
      <c r="J617" s="5"/>
    </row>
    <row r="618" spans="3:10" x14ac:dyDescent="0.35">
      <c r="C618" s="5"/>
      <c r="J618" s="5"/>
    </row>
    <row r="619" spans="3:10" x14ac:dyDescent="0.35">
      <c r="C619" s="5"/>
      <c r="J619" s="5"/>
    </row>
    <row r="620" spans="3:10" x14ac:dyDescent="0.35">
      <c r="C620" s="5"/>
      <c r="J620" s="5"/>
    </row>
    <row r="621" spans="3:10" x14ac:dyDescent="0.35">
      <c r="C621" s="5"/>
      <c r="J621" s="5"/>
    </row>
    <row r="622" spans="3:10" x14ac:dyDescent="0.35">
      <c r="C622" s="5"/>
      <c r="J622" s="5"/>
    </row>
    <row r="623" spans="3:10" x14ac:dyDescent="0.35">
      <c r="C623" s="5"/>
      <c r="J623" s="5"/>
    </row>
    <row r="624" spans="3:10" x14ac:dyDescent="0.35">
      <c r="C624" s="5"/>
      <c r="J624" s="5"/>
    </row>
    <row r="625" spans="3:10" x14ac:dyDescent="0.35">
      <c r="C625" s="5"/>
      <c r="J625" s="5"/>
    </row>
    <row r="626" spans="3:10" x14ac:dyDescent="0.35">
      <c r="C626" s="5"/>
      <c r="J626" s="5"/>
    </row>
    <row r="627" spans="3:10" x14ac:dyDescent="0.35">
      <c r="C627" s="5"/>
      <c r="J627" s="5"/>
    </row>
    <row r="628" spans="3:10" x14ac:dyDescent="0.35">
      <c r="C628" s="5"/>
      <c r="J628" s="5"/>
    </row>
    <row r="629" spans="3:10" x14ac:dyDescent="0.35">
      <c r="C629" s="5"/>
      <c r="J629" s="5"/>
    </row>
    <row r="630" spans="3:10" x14ac:dyDescent="0.35">
      <c r="C630" s="5"/>
      <c r="J630" s="5"/>
    </row>
    <row r="631" spans="3:10" x14ac:dyDescent="0.35">
      <c r="C631" s="5"/>
      <c r="J631" s="5"/>
    </row>
    <row r="632" spans="3:10" x14ac:dyDescent="0.35">
      <c r="C632" s="5"/>
      <c r="J632" s="5"/>
    </row>
    <row r="633" spans="3:10" x14ac:dyDescent="0.35">
      <c r="C633" s="5"/>
      <c r="J633" s="5"/>
    </row>
    <row r="634" spans="3:10" x14ac:dyDescent="0.35">
      <c r="C634" s="5"/>
      <c r="J634" s="5"/>
    </row>
    <row r="635" spans="3:10" x14ac:dyDescent="0.35">
      <c r="C635" s="5"/>
      <c r="J635" s="5"/>
    </row>
    <row r="636" spans="3:10" x14ac:dyDescent="0.35">
      <c r="C636" s="5"/>
      <c r="J636" s="5"/>
    </row>
    <row r="637" spans="3:10" x14ac:dyDescent="0.35">
      <c r="C637" s="5"/>
      <c r="J637" s="5"/>
    </row>
    <row r="638" spans="3:10" x14ac:dyDescent="0.35">
      <c r="C638" s="5"/>
      <c r="J638" s="5"/>
    </row>
    <row r="639" spans="3:10" x14ac:dyDescent="0.35">
      <c r="C639" s="5"/>
      <c r="J639" s="5"/>
    </row>
    <row r="640" spans="3:10" x14ac:dyDescent="0.35">
      <c r="C640" s="5"/>
      <c r="J640" s="5"/>
    </row>
    <row r="641" spans="3:10" x14ac:dyDescent="0.35">
      <c r="C641" s="5"/>
      <c r="J641" s="5"/>
    </row>
    <row r="642" spans="3:10" x14ac:dyDescent="0.35">
      <c r="C642" s="5"/>
      <c r="J642" s="5"/>
    </row>
    <row r="643" spans="3:10" x14ac:dyDescent="0.35">
      <c r="C643" s="5"/>
      <c r="J643" s="5"/>
    </row>
    <row r="644" spans="3:10" x14ac:dyDescent="0.35">
      <c r="C644" s="5"/>
      <c r="J644" s="5"/>
    </row>
    <row r="645" spans="3:10" x14ac:dyDescent="0.35">
      <c r="C645" s="5"/>
      <c r="J645" s="5"/>
    </row>
    <row r="646" spans="3:10" x14ac:dyDescent="0.35">
      <c r="C646" s="5"/>
      <c r="J646" s="5"/>
    </row>
    <row r="647" spans="3:10" x14ac:dyDescent="0.35">
      <c r="C647" s="5"/>
      <c r="J647" s="5"/>
    </row>
    <row r="648" spans="3:10" x14ac:dyDescent="0.35">
      <c r="C648" s="5"/>
      <c r="J648" s="5"/>
    </row>
    <row r="649" spans="3:10" x14ac:dyDescent="0.35">
      <c r="C649" s="5"/>
      <c r="J649" s="5"/>
    </row>
    <row r="650" spans="3:10" x14ac:dyDescent="0.35">
      <c r="C650" s="5"/>
      <c r="J650" s="5"/>
    </row>
    <row r="651" spans="3:10" x14ac:dyDescent="0.35">
      <c r="C651" s="5"/>
      <c r="J651" s="5"/>
    </row>
    <row r="652" spans="3:10" x14ac:dyDescent="0.35">
      <c r="C652" s="5"/>
      <c r="J652" s="5"/>
    </row>
    <row r="653" spans="3:10" x14ac:dyDescent="0.35">
      <c r="C653" s="5"/>
      <c r="J653" s="5"/>
    </row>
    <row r="654" spans="3:10" x14ac:dyDescent="0.35">
      <c r="C654" s="5"/>
      <c r="J654" s="5"/>
    </row>
    <row r="655" spans="3:10" x14ac:dyDescent="0.35">
      <c r="C655" s="5"/>
      <c r="J655" s="5"/>
    </row>
    <row r="656" spans="3:10" x14ac:dyDescent="0.35">
      <c r="C656" s="5"/>
      <c r="J656" s="5"/>
    </row>
    <row r="657" spans="3:10" x14ac:dyDescent="0.35">
      <c r="C657" s="5"/>
      <c r="J657" s="5"/>
    </row>
    <row r="658" spans="3:10" x14ac:dyDescent="0.35">
      <c r="C658" s="5"/>
      <c r="J658" s="5"/>
    </row>
    <row r="659" spans="3:10" x14ac:dyDescent="0.35">
      <c r="C659" s="5"/>
      <c r="J659" s="5"/>
    </row>
    <row r="660" spans="3:10" x14ac:dyDescent="0.35">
      <c r="C660" s="5"/>
      <c r="J660" s="5"/>
    </row>
    <row r="661" spans="3:10" x14ac:dyDescent="0.35">
      <c r="C661" s="5"/>
      <c r="J661" s="5"/>
    </row>
    <row r="662" spans="3:10" x14ac:dyDescent="0.35">
      <c r="C662" s="5"/>
      <c r="J662" s="5"/>
    </row>
    <row r="663" spans="3:10" x14ac:dyDescent="0.35">
      <c r="C663" s="5"/>
      <c r="J663" s="5"/>
    </row>
    <row r="664" spans="3:10" x14ac:dyDescent="0.35">
      <c r="C664" s="5"/>
      <c r="J664" s="5"/>
    </row>
    <row r="665" spans="3:10" x14ac:dyDescent="0.35">
      <c r="C665" s="5"/>
      <c r="J665" s="5"/>
    </row>
    <row r="666" spans="3:10" x14ac:dyDescent="0.35">
      <c r="C666" s="5"/>
      <c r="J666" s="5"/>
    </row>
    <row r="667" spans="3:10" x14ac:dyDescent="0.35">
      <c r="C667" s="5"/>
      <c r="J667" s="5"/>
    </row>
    <row r="668" spans="3:10" x14ac:dyDescent="0.35">
      <c r="C668" s="5"/>
      <c r="J668" s="5"/>
    </row>
    <row r="669" spans="3:10" x14ac:dyDescent="0.35">
      <c r="C669" s="5"/>
      <c r="J669" s="5"/>
    </row>
    <row r="670" spans="3:10" x14ac:dyDescent="0.35">
      <c r="C670" s="5"/>
      <c r="J670" s="5"/>
    </row>
    <row r="671" spans="3:10" x14ac:dyDescent="0.35">
      <c r="C671" s="5"/>
      <c r="J671" s="5"/>
    </row>
    <row r="672" spans="3:10" x14ac:dyDescent="0.35">
      <c r="C672" s="5"/>
      <c r="J672" s="5"/>
    </row>
    <row r="673" spans="3:10" x14ac:dyDescent="0.35">
      <c r="C673" s="5"/>
      <c r="J673" s="5"/>
    </row>
    <row r="674" spans="3:10" x14ac:dyDescent="0.35">
      <c r="C674" s="5"/>
      <c r="J674" s="5"/>
    </row>
    <row r="675" spans="3:10" x14ac:dyDescent="0.35">
      <c r="C675" s="5"/>
      <c r="J675" s="5"/>
    </row>
    <row r="676" spans="3:10" x14ac:dyDescent="0.35">
      <c r="C676" s="5"/>
      <c r="J676" s="5"/>
    </row>
    <row r="677" spans="3:10" x14ac:dyDescent="0.35">
      <c r="C677" s="5"/>
      <c r="J677" s="5"/>
    </row>
    <row r="678" spans="3:10" x14ac:dyDescent="0.35">
      <c r="C678" s="5"/>
      <c r="J678" s="5"/>
    </row>
    <row r="679" spans="3:10" x14ac:dyDescent="0.35">
      <c r="C679" s="5"/>
      <c r="J679" s="5"/>
    </row>
    <row r="680" spans="3:10" x14ac:dyDescent="0.35">
      <c r="C680" s="5"/>
      <c r="J680" s="5"/>
    </row>
    <row r="681" spans="3:10" x14ac:dyDescent="0.35">
      <c r="C681" s="5"/>
      <c r="J681" s="5"/>
    </row>
    <row r="682" spans="3:10" x14ac:dyDescent="0.35">
      <c r="C682" s="5"/>
      <c r="J682" s="5"/>
    </row>
    <row r="683" spans="3:10" x14ac:dyDescent="0.35">
      <c r="C683" s="5"/>
      <c r="J683" s="5"/>
    </row>
    <row r="684" spans="3:10" x14ac:dyDescent="0.35">
      <c r="C684" s="5"/>
      <c r="J684" s="5"/>
    </row>
    <row r="685" spans="3:10" x14ac:dyDescent="0.35">
      <c r="C685" s="5"/>
      <c r="J685" s="5"/>
    </row>
    <row r="686" spans="3:10" x14ac:dyDescent="0.35">
      <c r="C686" s="5"/>
      <c r="J686" s="5"/>
    </row>
    <row r="687" spans="3:10" x14ac:dyDescent="0.35">
      <c r="C687" s="5"/>
      <c r="J687" s="5"/>
    </row>
    <row r="688" spans="3:10" x14ac:dyDescent="0.35">
      <c r="C688" s="5"/>
      <c r="J688" s="5"/>
    </row>
    <row r="689" spans="3:10" x14ac:dyDescent="0.35">
      <c r="C689" s="5"/>
      <c r="J689" s="5"/>
    </row>
    <row r="690" spans="3:10" x14ac:dyDescent="0.35">
      <c r="C690" s="5"/>
      <c r="J690" s="5"/>
    </row>
    <row r="691" spans="3:10" x14ac:dyDescent="0.35">
      <c r="C691" s="5"/>
      <c r="J691" s="5"/>
    </row>
    <row r="692" spans="3:10" x14ac:dyDescent="0.35">
      <c r="C692" s="5"/>
      <c r="J692" s="5"/>
    </row>
    <row r="693" spans="3:10" x14ac:dyDescent="0.35">
      <c r="C693" s="5"/>
      <c r="J693" s="5"/>
    </row>
    <row r="694" spans="3:10" x14ac:dyDescent="0.35">
      <c r="C694" s="5"/>
      <c r="J694" s="5"/>
    </row>
    <row r="695" spans="3:10" x14ac:dyDescent="0.35">
      <c r="C695" s="5"/>
      <c r="J695" s="5"/>
    </row>
    <row r="696" spans="3:10" x14ac:dyDescent="0.35">
      <c r="C696" s="5"/>
      <c r="J696" s="5"/>
    </row>
    <row r="697" spans="3:10" x14ac:dyDescent="0.35">
      <c r="C697" s="5"/>
      <c r="J697" s="5"/>
    </row>
    <row r="698" spans="3:10" x14ac:dyDescent="0.35">
      <c r="C698" s="5"/>
      <c r="J698" s="5"/>
    </row>
    <row r="699" spans="3:10" x14ac:dyDescent="0.35">
      <c r="C699" s="5"/>
      <c r="J699" s="5"/>
    </row>
    <row r="700" spans="3:10" x14ac:dyDescent="0.35">
      <c r="C700" s="5"/>
      <c r="J700" s="5"/>
    </row>
    <row r="701" spans="3:10" x14ac:dyDescent="0.35">
      <c r="C701" s="5"/>
      <c r="J701" s="5"/>
    </row>
    <row r="702" spans="3:10" x14ac:dyDescent="0.35">
      <c r="C702" s="5"/>
      <c r="J702" s="5"/>
    </row>
    <row r="703" spans="3:10" x14ac:dyDescent="0.35">
      <c r="C703" s="5"/>
      <c r="J703" s="5"/>
    </row>
    <row r="704" spans="3:10" x14ac:dyDescent="0.35">
      <c r="C704" s="5"/>
      <c r="J704" s="5"/>
    </row>
    <row r="705" spans="3:10" x14ac:dyDescent="0.35">
      <c r="C705" s="5"/>
      <c r="J705" s="5"/>
    </row>
    <row r="706" spans="3:10" x14ac:dyDescent="0.35">
      <c r="C706" s="5"/>
      <c r="J706" s="5"/>
    </row>
    <row r="707" spans="3:10" x14ac:dyDescent="0.35">
      <c r="C707" s="5"/>
      <c r="J707" s="5"/>
    </row>
    <row r="708" spans="3:10" x14ac:dyDescent="0.35">
      <c r="C708" s="5"/>
      <c r="J708" s="5"/>
    </row>
    <row r="709" spans="3:10" x14ac:dyDescent="0.35">
      <c r="C709" s="5"/>
      <c r="J709" s="5"/>
    </row>
    <row r="710" spans="3:10" x14ac:dyDescent="0.35">
      <c r="C710" s="5"/>
      <c r="J710" s="5"/>
    </row>
    <row r="711" spans="3:10" x14ac:dyDescent="0.35">
      <c r="C711" s="5"/>
      <c r="J711" s="5"/>
    </row>
    <row r="712" spans="3:10" x14ac:dyDescent="0.35">
      <c r="C712" s="5"/>
      <c r="J712" s="5"/>
    </row>
    <row r="713" spans="3:10" x14ac:dyDescent="0.35">
      <c r="C713" s="5"/>
      <c r="J713" s="5"/>
    </row>
    <row r="714" spans="3:10" x14ac:dyDescent="0.35">
      <c r="C714" s="5"/>
      <c r="J714" s="5"/>
    </row>
    <row r="715" spans="3:10" x14ac:dyDescent="0.35">
      <c r="C715" s="5"/>
      <c r="J715" s="5"/>
    </row>
    <row r="716" spans="3:10" x14ac:dyDescent="0.35">
      <c r="C716" s="5"/>
      <c r="J716" s="5"/>
    </row>
    <row r="717" spans="3:10" x14ac:dyDescent="0.35">
      <c r="C717" s="5"/>
      <c r="J717" s="5"/>
    </row>
    <row r="718" spans="3:10" x14ac:dyDescent="0.35">
      <c r="C718" s="5"/>
      <c r="J718" s="5"/>
    </row>
    <row r="719" spans="3:10" x14ac:dyDescent="0.35">
      <c r="C719" s="5"/>
      <c r="J719" s="5"/>
    </row>
    <row r="720" spans="3:10" x14ac:dyDescent="0.35">
      <c r="C720" s="5"/>
      <c r="J720" s="5"/>
    </row>
    <row r="721" spans="3:10" x14ac:dyDescent="0.35">
      <c r="C721" s="5"/>
      <c r="J721" s="5"/>
    </row>
    <row r="722" spans="3:10" x14ac:dyDescent="0.35">
      <c r="C722" s="5"/>
      <c r="J722" s="5"/>
    </row>
    <row r="723" spans="3:10" x14ac:dyDescent="0.35">
      <c r="C723" s="5"/>
      <c r="J723" s="5"/>
    </row>
    <row r="724" spans="3:10" x14ac:dyDescent="0.35">
      <c r="C724" s="5"/>
      <c r="J724" s="5"/>
    </row>
    <row r="725" spans="3:10" x14ac:dyDescent="0.35">
      <c r="C725" s="5"/>
      <c r="J725" s="5"/>
    </row>
    <row r="726" spans="3:10" x14ac:dyDescent="0.35">
      <c r="C726" s="5"/>
      <c r="J726" s="5"/>
    </row>
    <row r="727" spans="3:10" x14ac:dyDescent="0.35">
      <c r="C727" s="5"/>
      <c r="J727" s="5"/>
    </row>
    <row r="728" spans="3:10" x14ac:dyDescent="0.35">
      <c r="C728" s="5"/>
      <c r="J728" s="5"/>
    </row>
    <row r="729" spans="3:10" x14ac:dyDescent="0.35">
      <c r="C729" s="5"/>
      <c r="J729" s="5"/>
    </row>
    <row r="730" spans="3:10" x14ac:dyDescent="0.35">
      <c r="C730" s="5"/>
      <c r="J730" s="5"/>
    </row>
    <row r="731" spans="3:10" x14ac:dyDescent="0.35">
      <c r="C731" s="5"/>
      <c r="J731" s="5"/>
    </row>
    <row r="732" spans="3:10" x14ac:dyDescent="0.35">
      <c r="C732" s="5"/>
      <c r="J732" s="5"/>
    </row>
    <row r="733" spans="3:10" x14ac:dyDescent="0.35">
      <c r="C733" s="5"/>
      <c r="J733" s="5"/>
    </row>
    <row r="734" spans="3:10" x14ac:dyDescent="0.35">
      <c r="C734" s="5"/>
      <c r="J734" s="5"/>
    </row>
    <row r="735" spans="3:10" x14ac:dyDescent="0.35">
      <c r="C735" s="5"/>
      <c r="J735" s="5"/>
    </row>
    <row r="736" spans="3:10" x14ac:dyDescent="0.35">
      <c r="C736" s="5"/>
      <c r="J736" s="5"/>
    </row>
    <row r="737" spans="3:10" x14ac:dyDescent="0.35">
      <c r="C737" s="5"/>
      <c r="J737" s="5"/>
    </row>
    <row r="738" spans="3:10" x14ac:dyDescent="0.35">
      <c r="C738" s="5"/>
      <c r="J738" s="5"/>
    </row>
    <row r="739" spans="3:10" x14ac:dyDescent="0.35">
      <c r="C739" s="5"/>
      <c r="J739" s="5"/>
    </row>
    <row r="740" spans="3:10" x14ac:dyDescent="0.35">
      <c r="C740" s="5"/>
      <c r="J740" s="5"/>
    </row>
    <row r="741" spans="3:10" x14ac:dyDescent="0.35">
      <c r="C741" s="5"/>
      <c r="J741" s="5"/>
    </row>
    <row r="742" spans="3:10" x14ac:dyDescent="0.35">
      <c r="C742" s="5"/>
      <c r="J742" s="5"/>
    </row>
    <row r="743" spans="3:10" x14ac:dyDescent="0.35">
      <c r="C743" s="5"/>
      <c r="J743" s="5"/>
    </row>
    <row r="744" spans="3:10" x14ac:dyDescent="0.35">
      <c r="C744" s="5"/>
      <c r="J744" s="5"/>
    </row>
    <row r="745" spans="3:10" x14ac:dyDescent="0.35">
      <c r="C745" s="5"/>
      <c r="J745" s="5"/>
    </row>
    <row r="746" spans="3:10" x14ac:dyDescent="0.35">
      <c r="C746" s="5"/>
      <c r="J746" s="5"/>
    </row>
    <row r="747" spans="3:10" x14ac:dyDescent="0.35">
      <c r="C747" s="5"/>
      <c r="J747" s="5"/>
    </row>
    <row r="748" spans="3:10" x14ac:dyDescent="0.35">
      <c r="C748" s="5"/>
      <c r="J748" s="5"/>
    </row>
    <row r="749" spans="3:10" x14ac:dyDescent="0.35">
      <c r="C749" s="5"/>
      <c r="J749" s="5"/>
    </row>
    <row r="750" spans="3:10" x14ac:dyDescent="0.35">
      <c r="C750" s="5"/>
      <c r="J750" s="5"/>
    </row>
    <row r="751" spans="3:10" x14ac:dyDescent="0.35">
      <c r="C751" s="5"/>
      <c r="J751" s="5"/>
    </row>
    <row r="752" spans="3:10" x14ac:dyDescent="0.35">
      <c r="C752" s="5"/>
      <c r="J752" s="5"/>
    </row>
    <row r="753" spans="3:10" x14ac:dyDescent="0.35">
      <c r="C753" s="5"/>
      <c r="J753" s="5"/>
    </row>
    <row r="754" spans="3:10" x14ac:dyDescent="0.35">
      <c r="C754" s="5"/>
      <c r="J754" s="5"/>
    </row>
    <row r="755" spans="3:10" x14ac:dyDescent="0.35">
      <c r="C755" s="5"/>
      <c r="J755" s="5"/>
    </row>
    <row r="756" spans="3:10" x14ac:dyDescent="0.35">
      <c r="C756" s="5"/>
      <c r="J756" s="5"/>
    </row>
    <row r="757" spans="3:10" x14ac:dyDescent="0.35">
      <c r="C757" s="5"/>
      <c r="J757" s="5"/>
    </row>
    <row r="758" spans="3:10" x14ac:dyDescent="0.35">
      <c r="C758" s="5"/>
      <c r="J758" s="5"/>
    </row>
    <row r="759" spans="3:10" x14ac:dyDescent="0.35">
      <c r="C759" s="5"/>
      <c r="J759" s="5"/>
    </row>
    <row r="760" spans="3:10" x14ac:dyDescent="0.35">
      <c r="C760" s="5"/>
      <c r="J760" s="5"/>
    </row>
    <row r="761" spans="3:10" x14ac:dyDescent="0.35">
      <c r="C761" s="5"/>
      <c r="J761" s="5"/>
    </row>
    <row r="762" spans="3:10" x14ac:dyDescent="0.35">
      <c r="C762" s="5"/>
      <c r="J762" s="5"/>
    </row>
    <row r="763" spans="3:10" x14ac:dyDescent="0.35">
      <c r="C763" s="5"/>
      <c r="J763" s="5"/>
    </row>
    <row r="764" spans="3:10" x14ac:dyDescent="0.35">
      <c r="C764" s="5"/>
      <c r="J764" s="5"/>
    </row>
    <row r="765" spans="3:10" x14ac:dyDescent="0.35">
      <c r="C765" s="5"/>
      <c r="J765" s="5"/>
    </row>
    <row r="766" spans="3:10" x14ac:dyDescent="0.35">
      <c r="C766" s="5"/>
      <c r="J766" s="5"/>
    </row>
    <row r="767" spans="3:10" x14ac:dyDescent="0.35">
      <c r="C767" s="5"/>
      <c r="J767" s="5"/>
    </row>
    <row r="768" spans="3:10" x14ac:dyDescent="0.35">
      <c r="C768" s="5"/>
      <c r="J768" s="5"/>
    </row>
    <row r="769" spans="3:10" x14ac:dyDescent="0.35">
      <c r="C769" s="5"/>
      <c r="J769" s="5"/>
    </row>
    <row r="770" spans="3:10" x14ac:dyDescent="0.35">
      <c r="C770" s="5"/>
      <c r="J770" s="5"/>
    </row>
    <row r="771" spans="3:10" x14ac:dyDescent="0.35">
      <c r="C771" s="5"/>
      <c r="J771" s="5"/>
    </row>
    <row r="772" spans="3:10" x14ac:dyDescent="0.35">
      <c r="C772" s="5"/>
      <c r="J772" s="5"/>
    </row>
    <row r="773" spans="3:10" x14ac:dyDescent="0.35">
      <c r="C773" s="5"/>
      <c r="J773" s="5"/>
    </row>
    <row r="774" spans="3:10" x14ac:dyDescent="0.35">
      <c r="C774" s="5"/>
      <c r="J774" s="5"/>
    </row>
    <row r="775" spans="3:10" x14ac:dyDescent="0.35">
      <c r="C775" s="5"/>
      <c r="J775" s="5"/>
    </row>
    <row r="776" spans="3:10" x14ac:dyDescent="0.35">
      <c r="C776" s="5"/>
      <c r="J776" s="5"/>
    </row>
    <row r="777" spans="3:10" x14ac:dyDescent="0.35">
      <c r="C777" s="5"/>
      <c r="J777" s="5"/>
    </row>
    <row r="778" spans="3:10" x14ac:dyDescent="0.35">
      <c r="C778" s="5"/>
      <c r="J778" s="5"/>
    </row>
    <row r="779" spans="3:10" x14ac:dyDescent="0.35">
      <c r="C779" s="5"/>
      <c r="J779" s="5"/>
    </row>
    <row r="780" spans="3:10" x14ac:dyDescent="0.35">
      <c r="C780" s="5"/>
      <c r="J780" s="5"/>
    </row>
    <row r="781" spans="3:10" x14ac:dyDescent="0.35">
      <c r="C781" s="5"/>
      <c r="J781" s="5"/>
    </row>
    <row r="782" spans="3:10" x14ac:dyDescent="0.35">
      <c r="C782" s="5"/>
      <c r="J782" s="5"/>
    </row>
    <row r="783" spans="3:10" x14ac:dyDescent="0.35">
      <c r="C783" s="5"/>
      <c r="J783" s="5"/>
    </row>
    <row r="784" spans="3:10" x14ac:dyDescent="0.35">
      <c r="C784" s="5"/>
      <c r="J784" s="5"/>
    </row>
    <row r="785" spans="3:10" x14ac:dyDescent="0.35">
      <c r="C785" s="5"/>
      <c r="J785" s="5"/>
    </row>
    <row r="786" spans="3:10" x14ac:dyDescent="0.35">
      <c r="C786" s="5"/>
      <c r="J786" s="5"/>
    </row>
    <row r="787" spans="3:10" x14ac:dyDescent="0.35">
      <c r="C787" s="5"/>
      <c r="J787" s="5"/>
    </row>
    <row r="788" spans="3:10" x14ac:dyDescent="0.35">
      <c r="C788" s="5"/>
      <c r="J788" s="5"/>
    </row>
    <row r="789" spans="3:10" x14ac:dyDescent="0.35">
      <c r="C789" s="5"/>
      <c r="J789" s="5"/>
    </row>
    <row r="790" spans="3:10" x14ac:dyDescent="0.35">
      <c r="C790" s="5"/>
      <c r="J790" s="5"/>
    </row>
    <row r="791" spans="3:10" x14ac:dyDescent="0.35">
      <c r="C791" s="5"/>
      <c r="J791" s="5"/>
    </row>
    <row r="792" spans="3:10" x14ac:dyDescent="0.35">
      <c r="C792" s="5"/>
      <c r="J792" s="5"/>
    </row>
    <row r="793" spans="3:10" x14ac:dyDescent="0.35">
      <c r="C793" s="5"/>
      <c r="J793" s="5"/>
    </row>
    <row r="794" spans="3:10" x14ac:dyDescent="0.35">
      <c r="C794" s="5"/>
      <c r="J794" s="5"/>
    </row>
    <row r="795" spans="3:10" x14ac:dyDescent="0.35">
      <c r="C795" s="5"/>
      <c r="J795" s="5"/>
    </row>
    <row r="796" spans="3:10" x14ac:dyDescent="0.35">
      <c r="C796" s="5"/>
      <c r="J796" s="5"/>
    </row>
    <row r="797" spans="3:10" x14ac:dyDescent="0.35">
      <c r="C797" s="5"/>
      <c r="J797" s="5"/>
    </row>
    <row r="798" spans="3:10" x14ac:dyDescent="0.35">
      <c r="C798" s="5"/>
      <c r="J798" s="5"/>
    </row>
    <row r="799" spans="3:10" x14ac:dyDescent="0.35">
      <c r="C799" s="5"/>
      <c r="J799" s="5"/>
    </row>
    <row r="800" spans="3:10" x14ac:dyDescent="0.35">
      <c r="C800" s="5"/>
      <c r="J800" s="5"/>
    </row>
    <row r="801" spans="3:10" x14ac:dyDescent="0.35">
      <c r="C801" s="5"/>
      <c r="J801" s="5"/>
    </row>
    <row r="802" spans="3:10" x14ac:dyDescent="0.35">
      <c r="C802" s="5"/>
      <c r="J802" s="5"/>
    </row>
    <row r="803" spans="3:10" x14ac:dyDescent="0.35">
      <c r="C803" s="5"/>
      <c r="J803" s="5"/>
    </row>
    <row r="804" spans="3:10" x14ac:dyDescent="0.35">
      <c r="C804" s="5"/>
      <c r="J804" s="5"/>
    </row>
    <row r="805" spans="3:10" x14ac:dyDescent="0.35">
      <c r="C805" s="5"/>
      <c r="J805" s="5"/>
    </row>
    <row r="806" spans="3:10" x14ac:dyDescent="0.35">
      <c r="C806" s="5"/>
      <c r="J806" s="5"/>
    </row>
    <row r="807" spans="3:10" x14ac:dyDescent="0.35">
      <c r="C807" s="5"/>
      <c r="J807" s="5"/>
    </row>
    <row r="808" spans="3:10" x14ac:dyDescent="0.35">
      <c r="C808" s="5"/>
      <c r="J808" s="5"/>
    </row>
    <row r="809" spans="3:10" x14ac:dyDescent="0.35">
      <c r="C809" s="5"/>
      <c r="J809" s="5"/>
    </row>
    <row r="810" spans="3:10" x14ac:dyDescent="0.35">
      <c r="C810" s="5"/>
      <c r="J810" s="5"/>
    </row>
    <row r="811" spans="3:10" x14ac:dyDescent="0.35">
      <c r="C811" s="5"/>
      <c r="J811" s="5"/>
    </row>
    <row r="812" spans="3:10" x14ac:dyDescent="0.35">
      <c r="C812" s="5"/>
      <c r="J812" s="5"/>
    </row>
    <row r="813" spans="3:10" x14ac:dyDescent="0.35">
      <c r="C813" s="5"/>
      <c r="J813" s="5"/>
    </row>
    <row r="814" spans="3:10" x14ac:dyDescent="0.35">
      <c r="C814" s="5"/>
      <c r="J814" s="5"/>
    </row>
    <row r="815" spans="3:10" x14ac:dyDescent="0.35">
      <c r="C815" s="5"/>
      <c r="J815" s="5"/>
    </row>
    <row r="816" spans="3:10" x14ac:dyDescent="0.35">
      <c r="C816" s="5"/>
      <c r="J816" s="5"/>
    </row>
    <row r="817" spans="3:10" x14ac:dyDescent="0.35">
      <c r="C817" s="5"/>
      <c r="J817" s="5"/>
    </row>
    <row r="818" spans="3:10" x14ac:dyDescent="0.35">
      <c r="C818" s="5"/>
      <c r="J818" s="5"/>
    </row>
    <row r="819" spans="3:10" x14ac:dyDescent="0.35">
      <c r="C819" s="5"/>
      <c r="J819" s="5"/>
    </row>
    <row r="820" spans="3:10" x14ac:dyDescent="0.35">
      <c r="C820" s="5"/>
      <c r="J820" s="5"/>
    </row>
    <row r="821" spans="3:10" x14ac:dyDescent="0.35">
      <c r="C821" s="5"/>
      <c r="J821" s="5"/>
    </row>
    <row r="822" spans="3:10" x14ac:dyDescent="0.35">
      <c r="C822" s="5"/>
      <c r="J822" s="5"/>
    </row>
    <row r="823" spans="3:10" x14ac:dyDescent="0.35">
      <c r="C823" s="5"/>
      <c r="J823" s="5"/>
    </row>
    <row r="824" spans="3:10" x14ac:dyDescent="0.35">
      <c r="C824" s="5"/>
      <c r="J824" s="5"/>
    </row>
    <row r="825" spans="3:10" x14ac:dyDescent="0.35">
      <c r="C825" s="5"/>
      <c r="J825" s="5"/>
    </row>
    <row r="826" spans="3:10" x14ac:dyDescent="0.35">
      <c r="C826" s="5"/>
      <c r="J826" s="5"/>
    </row>
    <row r="827" spans="3:10" x14ac:dyDescent="0.35">
      <c r="C827" s="5"/>
      <c r="J827" s="5"/>
    </row>
    <row r="828" spans="3:10" x14ac:dyDescent="0.35">
      <c r="C828" s="5"/>
      <c r="J828" s="5"/>
    </row>
    <row r="829" spans="3:10" x14ac:dyDescent="0.35">
      <c r="C829" s="5"/>
      <c r="J829" s="5"/>
    </row>
    <row r="830" spans="3:10" x14ac:dyDescent="0.35">
      <c r="C830" s="5"/>
      <c r="J830" s="5"/>
    </row>
    <row r="831" spans="3:10" x14ac:dyDescent="0.35">
      <c r="C831" s="5"/>
      <c r="J831" s="5"/>
    </row>
    <row r="832" spans="3:10" x14ac:dyDescent="0.35">
      <c r="C832" s="5"/>
      <c r="J832" s="5"/>
    </row>
    <row r="833" spans="3:10" x14ac:dyDescent="0.35">
      <c r="C833" s="5"/>
      <c r="J833" s="5"/>
    </row>
    <row r="834" spans="3:10" x14ac:dyDescent="0.35">
      <c r="C834" s="5"/>
      <c r="J834" s="5"/>
    </row>
    <row r="835" spans="3:10" x14ac:dyDescent="0.35">
      <c r="C835" s="5"/>
      <c r="J835" s="5"/>
    </row>
    <row r="836" spans="3:10" x14ac:dyDescent="0.35">
      <c r="C836" s="5"/>
      <c r="J836" s="5"/>
    </row>
    <row r="837" spans="3:10" x14ac:dyDescent="0.35">
      <c r="C837" s="5"/>
      <c r="J837" s="5"/>
    </row>
    <row r="838" spans="3:10" x14ac:dyDescent="0.35">
      <c r="C838" s="5"/>
      <c r="J838" s="5"/>
    </row>
    <row r="839" spans="3:10" x14ac:dyDescent="0.35">
      <c r="C839" s="5"/>
      <c r="J839" s="5"/>
    </row>
    <row r="840" spans="3:10" x14ac:dyDescent="0.35">
      <c r="C840" s="5"/>
      <c r="J840" s="5"/>
    </row>
    <row r="841" spans="3:10" x14ac:dyDescent="0.35">
      <c r="C841" s="5"/>
      <c r="J841" s="5"/>
    </row>
    <row r="842" spans="3:10" x14ac:dyDescent="0.35">
      <c r="C842" s="5"/>
      <c r="J842" s="5"/>
    </row>
    <row r="843" spans="3:10" x14ac:dyDescent="0.35">
      <c r="C843" s="5"/>
      <c r="J843" s="5"/>
    </row>
    <row r="844" spans="3:10" x14ac:dyDescent="0.35">
      <c r="C844" s="5"/>
      <c r="J844" s="5"/>
    </row>
    <row r="845" spans="3:10" x14ac:dyDescent="0.35">
      <c r="C845" s="5"/>
      <c r="J845" s="5"/>
    </row>
    <row r="846" spans="3:10" x14ac:dyDescent="0.35">
      <c r="C846" s="5"/>
      <c r="J846" s="5"/>
    </row>
    <row r="847" spans="3:10" x14ac:dyDescent="0.35">
      <c r="C847" s="5"/>
      <c r="J847" s="5"/>
    </row>
    <row r="848" spans="3:10" x14ac:dyDescent="0.35">
      <c r="C848" s="5"/>
      <c r="J848" s="5"/>
    </row>
    <row r="849" spans="3:10" x14ac:dyDescent="0.35">
      <c r="C849" s="5"/>
      <c r="J849" s="5"/>
    </row>
    <row r="850" spans="3:10" x14ac:dyDescent="0.35">
      <c r="C850" s="5"/>
      <c r="J850" s="5"/>
    </row>
    <row r="851" spans="3:10" x14ac:dyDescent="0.35">
      <c r="C851" s="5"/>
      <c r="J851" s="5"/>
    </row>
    <row r="852" spans="3:10" x14ac:dyDescent="0.35">
      <c r="C852" s="5"/>
      <c r="J852" s="5"/>
    </row>
    <row r="853" spans="3:10" x14ac:dyDescent="0.35">
      <c r="C853" s="5"/>
      <c r="J853" s="5"/>
    </row>
    <row r="854" spans="3:10" x14ac:dyDescent="0.35">
      <c r="C854" s="5"/>
      <c r="J854" s="5"/>
    </row>
    <row r="855" spans="3:10" x14ac:dyDescent="0.35">
      <c r="C855" s="5"/>
      <c r="J855" s="5"/>
    </row>
    <row r="856" spans="3:10" x14ac:dyDescent="0.35">
      <c r="C856" s="5"/>
      <c r="J856" s="5"/>
    </row>
    <row r="857" spans="3:10" x14ac:dyDescent="0.35">
      <c r="C857" s="5"/>
      <c r="J857" s="5"/>
    </row>
    <row r="858" spans="3:10" x14ac:dyDescent="0.35">
      <c r="C858" s="5"/>
      <c r="J858" s="5"/>
    </row>
    <row r="859" spans="3:10" x14ac:dyDescent="0.35">
      <c r="C859" s="5"/>
      <c r="J859" s="5"/>
    </row>
    <row r="860" spans="3:10" x14ac:dyDescent="0.35">
      <c r="C860" s="5"/>
      <c r="J860" s="5"/>
    </row>
    <row r="861" spans="3:10" x14ac:dyDescent="0.35">
      <c r="C861" s="5"/>
      <c r="J861" s="5"/>
    </row>
    <row r="862" spans="3:10" x14ac:dyDescent="0.35">
      <c r="C862" s="5"/>
      <c r="J862" s="5"/>
    </row>
    <row r="863" spans="3:10" x14ac:dyDescent="0.35">
      <c r="C863" s="5"/>
      <c r="J863" s="5"/>
    </row>
    <row r="864" spans="3:10" x14ac:dyDescent="0.35">
      <c r="C864" s="5"/>
      <c r="J864" s="5"/>
    </row>
    <row r="865" spans="3:10" x14ac:dyDescent="0.35">
      <c r="C865" s="5"/>
      <c r="J865" s="5"/>
    </row>
    <row r="866" spans="3:10" x14ac:dyDescent="0.35">
      <c r="C866" s="5"/>
      <c r="J866" s="5"/>
    </row>
    <row r="867" spans="3:10" x14ac:dyDescent="0.35">
      <c r="C867" s="5"/>
      <c r="J867" s="5"/>
    </row>
    <row r="868" spans="3:10" x14ac:dyDescent="0.35">
      <c r="C868" s="5"/>
      <c r="J868" s="5"/>
    </row>
    <row r="869" spans="3:10" x14ac:dyDescent="0.35">
      <c r="C869" s="5"/>
      <c r="J869" s="5"/>
    </row>
    <row r="870" spans="3:10" x14ac:dyDescent="0.35">
      <c r="C870" s="5"/>
      <c r="J870" s="5"/>
    </row>
    <row r="871" spans="3:10" x14ac:dyDescent="0.35">
      <c r="C871" s="5"/>
      <c r="J871" s="5"/>
    </row>
    <row r="872" spans="3:10" x14ac:dyDescent="0.35">
      <c r="C872" s="5"/>
      <c r="J872" s="5"/>
    </row>
    <row r="873" spans="3:10" x14ac:dyDescent="0.35">
      <c r="C873" s="5"/>
      <c r="J873" s="5"/>
    </row>
    <row r="874" spans="3:10" x14ac:dyDescent="0.35">
      <c r="C874" s="5"/>
      <c r="J874" s="5"/>
    </row>
    <row r="875" spans="3:10" x14ac:dyDescent="0.35">
      <c r="C875" s="5"/>
      <c r="J875" s="5"/>
    </row>
    <row r="876" spans="3:10" x14ac:dyDescent="0.35">
      <c r="C876" s="5"/>
      <c r="J876" s="5"/>
    </row>
    <row r="877" spans="3:10" x14ac:dyDescent="0.35">
      <c r="C877" s="5"/>
      <c r="J877" s="5"/>
    </row>
    <row r="878" spans="3:10" x14ac:dyDescent="0.35">
      <c r="C878" s="5"/>
      <c r="J878" s="5"/>
    </row>
    <row r="879" spans="3:10" x14ac:dyDescent="0.35">
      <c r="C879" s="5"/>
      <c r="J879" s="5"/>
    </row>
    <row r="880" spans="3:10" x14ac:dyDescent="0.35">
      <c r="C880" s="5"/>
      <c r="J880" s="5"/>
    </row>
    <row r="881" spans="3:10" x14ac:dyDescent="0.35">
      <c r="C881" s="5"/>
      <c r="J881" s="5"/>
    </row>
    <row r="882" spans="3:10" x14ac:dyDescent="0.35">
      <c r="C882" s="5"/>
      <c r="J882" s="5"/>
    </row>
    <row r="883" spans="3:10" x14ac:dyDescent="0.35">
      <c r="C883" s="5"/>
      <c r="J883" s="5"/>
    </row>
    <row r="884" spans="3:10" x14ac:dyDescent="0.35">
      <c r="C884" s="5"/>
      <c r="J884" s="5"/>
    </row>
    <row r="885" spans="3:10" x14ac:dyDescent="0.35">
      <c r="C885" s="5"/>
      <c r="J885" s="5"/>
    </row>
    <row r="886" spans="3:10" x14ac:dyDescent="0.35">
      <c r="C886" s="5"/>
      <c r="J886" s="5"/>
    </row>
    <row r="887" spans="3:10" x14ac:dyDescent="0.35">
      <c r="C887" s="5"/>
      <c r="J887" s="5"/>
    </row>
    <row r="888" spans="3:10" x14ac:dyDescent="0.35">
      <c r="C888" s="5"/>
      <c r="J888" s="5"/>
    </row>
    <row r="889" spans="3:10" x14ac:dyDescent="0.35">
      <c r="C889" s="5"/>
      <c r="J889" s="5"/>
    </row>
    <row r="890" spans="3:10" x14ac:dyDescent="0.35">
      <c r="C890" s="5"/>
      <c r="J890" s="5"/>
    </row>
    <row r="891" spans="3:10" x14ac:dyDescent="0.35">
      <c r="C891" s="5"/>
      <c r="J891" s="5"/>
    </row>
    <row r="892" spans="3:10" x14ac:dyDescent="0.35">
      <c r="C892" s="5"/>
      <c r="J892" s="5"/>
    </row>
    <row r="893" spans="3:10" x14ac:dyDescent="0.35">
      <c r="C893" s="5"/>
      <c r="J893" s="5"/>
    </row>
    <row r="894" spans="3:10" x14ac:dyDescent="0.35">
      <c r="C894" s="5"/>
      <c r="J894" s="5"/>
    </row>
    <row r="895" spans="3:10" x14ac:dyDescent="0.35">
      <c r="C895" s="5"/>
      <c r="J895" s="5"/>
    </row>
    <row r="896" spans="3:10" x14ac:dyDescent="0.35">
      <c r="C896" s="5"/>
      <c r="J896" s="5"/>
    </row>
    <row r="897" spans="3:10" x14ac:dyDescent="0.35">
      <c r="C897" s="5"/>
      <c r="J897" s="5"/>
    </row>
    <row r="898" spans="3:10" x14ac:dyDescent="0.35">
      <c r="C898" s="5"/>
      <c r="J898" s="5"/>
    </row>
    <row r="899" spans="3:10" x14ac:dyDescent="0.35">
      <c r="C899" s="5"/>
      <c r="J899" s="5"/>
    </row>
    <row r="900" spans="3:10" x14ac:dyDescent="0.35">
      <c r="C900" s="5"/>
      <c r="J900" s="5"/>
    </row>
    <row r="901" spans="3:10" x14ac:dyDescent="0.35">
      <c r="C901" s="5"/>
      <c r="J901" s="5"/>
    </row>
    <row r="902" spans="3:10" x14ac:dyDescent="0.35">
      <c r="C902" s="5"/>
      <c r="J902" s="5"/>
    </row>
    <row r="903" spans="3:10" x14ac:dyDescent="0.35">
      <c r="C903" s="5"/>
      <c r="J903" s="5"/>
    </row>
    <row r="904" spans="3:10" x14ac:dyDescent="0.35">
      <c r="C904" s="5"/>
      <c r="J904" s="5"/>
    </row>
    <row r="905" spans="3:10" x14ac:dyDescent="0.35">
      <c r="C905" s="5"/>
      <c r="J905" s="5"/>
    </row>
    <row r="906" spans="3:10" x14ac:dyDescent="0.35">
      <c r="C906" s="5"/>
      <c r="J906" s="5"/>
    </row>
    <row r="907" spans="3:10" x14ac:dyDescent="0.35">
      <c r="C907" s="5"/>
      <c r="J907" s="5"/>
    </row>
    <row r="908" spans="3:10" x14ac:dyDescent="0.35">
      <c r="C908" s="5"/>
      <c r="J908" s="5"/>
    </row>
    <row r="909" spans="3:10" x14ac:dyDescent="0.35">
      <c r="C909" s="5"/>
      <c r="J909" s="5"/>
    </row>
    <row r="910" spans="3:10" x14ac:dyDescent="0.35">
      <c r="C910" s="5"/>
      <c r="J910" s="5"/>
    </row>
    <row r="911" spans="3:10" x14ac:dyDescent="0.35">
      <c r="C911" s="5"/>
      <c r="J911" s="5"/>
    </row>
    <row r="912" spans="3:10" x14ac:dyDescent="0.35">
      <c r="C912" s="5"/>
      <c r="J912" s="5"/>
    </row>
    <row r="913" spans="3:10" x14ac:dyDescent="0.35">
      <c r="C913" s="5"/>
      <c r="J913" s="5"/>
    </row>
    <row r="914" spans="3:10" x14ac:dyDescent="0.35">
      <c r="C914" s="5"/>
      <c r="J914" s="5"/>
    </row>
    <row r="915" spans="3:10" x14ac:dyDescent="0.35">
      <c r="C915" s="5"/>
      <c r="J915" s="5"/>
    </row>
    <row r="916" spans="3:10" x14ac:dyDescent="0.35">
      <c r="C916" s="5"/>
      <c r="J916" s="5"/>
    </row>
    <row r="917" spans="3:10" x14ac:dyDescent="0.35">
      <c r="C917" s="5"/>
      <c r="J917" s="5"/>
    </row>
    <row r="918" spans="3:10" x14ac:dyDescent="0.35">
      <c r="C918" s="5"/>
      <c r="J918" s="5"/>
    </row>
    <row r="919" spans="3:10" x14ac:dyDescent="0.35">
      <c r="C919" s="5"/>
      <c r="J919" s="5"/>
    </row>
    <row r="920" spans="3:10" x14ac:dyDescent="0.35">
      <c r="C920" s="5"/>
      <c r="J920" s="5"/>
    </row>
    <row r="921" spans="3:10" x14ac:dyDescent="0.35">
      <c r="C921" s="5"/>
      <c r="J921" s="5"/>
    </row>
    <row r="922" spans="3:10" x14ac:dyDescent="0.35">
      <c r="C922" s="5"/>
      <c r="J922" s="5"/>
    </row>
    <row r="923" spans="3:10" x14ac:dyDescent="0.35">
      <c r="C923" s="5"/>
      <c r="J923" s="5"/>
    </row>
    <row r="924" spans="3:10" x14ac:dyDescent="0.35">
      <c r="C924" s="5"/>
      <c r="J924" s="5"/>
    </row>
    <row r="925" spans="3:10" x14ac:dyDescent="0.35">
      <c r="C925" s="5"/>
      <c r="J925" s="5"/>
    </row>
    <row r="926" spans="3:10" x14ac:dyDescent="0.35">
      <c r="C926" s="5"/>
      <c r="J926" s="5"/>
    </row>
    <row r="927" spans="3:10" x14ac:dyDescent="0.35">
      <c r="C927" s="5"/>
      <c r="J927" s="5"/>
    </row>
    <row r="928" spans="3:10" x14ac:dyDescent="0.35">
      <c r="C928" s="5"/>
      <c r="J928" s="5"/>
    </row>
    <row r="929" spans="3:10" x14ac:dyDescent="0.35">
      <c r="C929" s="5"/>
      <c r="J929" s="5"/>
    </row>
    <row r="930" spans="3:10" x14ac:dyDescent="0.35">
      <c r="C930" s="5"/>
      <c r="J930" s="5"/>
    </row>
    <row r="931" spans="3:10" x14ac:dyDescent="0.35">
      <c r="C931" s="5"/>
      <c r="J931" s="5"/>
    </row>
    <row r="932" spans="3:10" x14ac:dyDescent="0.35">
      <c r="C932" s="5"/>
      <c r="J932" s="5"/>
    </row>
    <row r="933" spans="3:10" x14ac:dyDescent="0.35">
      <c r="C933" s="5"/>
      <c r="J933" s="5"/>
    </row>
    <row r="934" spans="3:10" x14ac:dyDescent="0.35">
      <c r="C934" s="5"/>
      <c r="J934" s="5"/>
    </row>
    <row r="935" spans="3:10" x14ac:dyDescent="0.35">
      <c r="C935" s="5"/>
      <c r="J935" s="5"/>
    </row>
    <row r="936" spans="3:10" x14ac:dyDescent="0.35">
      <c r="C936" s="5"/>
      <c r="J936" s="5"/>
    </row>
    <row r="937" spans="3:10" x14ac:dyDescent="0.35">
      <c r="C937" s="5"/>
      <c r="J937" s="5"/>
    </row>
    <row r="938" spans="3:10" x14ac:dyDescent="0.35">
      <c r="C938" s="5"/>
      <c r="J938" s="5"/>
    </row>
    <row r="939" spans="3:10" x14ac:dyDescent="0.35">
      <c r="C939" s="5"/>
      <c r="J939" s="5"/>
    </row>
    <row r="940" spans="3:10" x14ac:dyDescent="0.35">
      <c r="C940" s="5"/>
      <c r="J940" s="5"/>
    </row>
    <row r="941" spans="3:10" x14ac:dyDescent="0.35">
      <c r="C941" s="5"/>
      <c r="J941" s="5"/>
    </row>
    <row r="942" spans="3:10" x14ac:dyDescent="0.35">
      <c r="C942" s="5"/>
      <c r="J942" s="5"/>
    </row>
    <row r="943" spans="3:10" x14ac:dyDescent="0.35">
      <c r="C943" s="5"/>
      <c r="J943" s="5"/>
    </row>
    <row r="944" spans="3:10" x14ac:dyDescent="0.35">
      <c r="C944" s="5"/>
      <c r="J944" s="5"/>
    </row>
    <row r="945" spans="3:10" x14ac:dyDescent="0.35">
      <c r="C945" s="5"/>
      <c r="J945" s="5"/>
    </row>
    <row r="946" spans="3:10" x14ac:dyDescent="0.35">
      <c r="C946" s="5"/>
      <c r="J946" s="5"/>
    </row>
    <row r="947" spans="3:10" x14ac:dyDescent="0.35">
      <c r="C947" s="5"/>
      <c r="J947" s="5"/>
    </row>
    <row r="948" spans="3:10" x14ac:dyDescent="0.35">
      <c r="C948" s="5"/>
      <c r="J948" s="5"/>
    </row>
    <row r="949" spans="3:10" x14ac:dyDescent="0.35">
      <c r="C949" s="5"/>
      <c r="J949" s="5"/>
    </row>
    <row r="950" spans="3:10" x14ac:dyDescent="0.35">
      <c r="C950" s="5"/>
      <c r="J950" s="5"/>
    </row>
    <row r="951" spans="3:10" x14ac:dyDescent="0.35">
      <c r="C951" s="5"/>
      <c r="J951" s="5"/>
    </row>
    <row r="952" spans="3:10" x14ac:dyDescent="0.35">
      <c r="C952" s="5"/>
      <c r="J952" s="5"/>
    </row>
    <row r="953" spans="3:10" x14ac:dyDescent="0.35">
      <c r="C953" s="5"/>
      <c r="J953" s="5"/>
    </row>
    <row r="954" spans="3:10" x14ac:dyDescent="0.35">
      <c r="C954" s="5"/>
      <c r="J954" s="5"/>
    </row>
    <row r="955" spans="3:10" x14ac:dyDescent="0.35">
      <c r="C955" s="5"/>
      <c r="J955" s="5"/>
    </row>
    <row r="956" spans="3:10" x14ac:dyDescent="0.35">
      <c r="C956" s="5"/>
      <c r="J956" s="5"/>
    </row>
    <row r="957" spans="3:10" x14ac:dyDescent="0.35">
      <c r="C957" s="5"/>
      <c r="J957" s="5"/>
    </row>
    <row r="958" spans="3:10" x14ac:dyDescent="0.35">
      <c r="C958" s="5"/>
      <c r="J958" s="5"/>
    </row>
    <row r="959" spans="3:10" x14ac:dyDescent="0.35">
      <c r="C959" s="5"/>
      <c r="J959" s="5"/>
    </row>
    <row r="960" spans="3:10" x14ac:dyDescent="0.35">
      <c r="C960" s="5"/>
      <c r="J960" s="5"/>
    </row>
    <row r="961" spans="3:10" x14ac:dyDescent="0.35">
      <c r="C961" s="5"/>
      <c r="J961" s="5"/>
    </row>
    <row r="962" spans="3:10" x14ac:dyDescent="0.35">
      <c r="C962" s="5"/>
      <c r="J962" s="5"/>
    </row>
    <row r="963" spans="3:10" x14ac:dyDescent="0.35">
      <c r="C963" s="5"/>
      <c r="J963" s="5"/>
    </row>
    <row r="964" spans="3:10" x14ac:dyDescent="0.35">
      <c r="C964" s="5"/>
      <c r="J964" s="5"/>
    </row>
    <row r="965" spans="3:10" x14ac:dyDescent="0.35">
      <c r="C965" s="5"/>
      <c r="J965" s="5"/>
    </row>
    <row r="966" spans="3:10" x14ac:dyDescent="0.35">
      <c r="C966" s="5"/>
      <c r="J966" s="5"/>
    </row>
    <row r="967" spans="3:10" x14ac:dyDescent="0.35">
      <c r="C967" s="5"/>
      <c r="J967" s="5"/>
    </row>
    <row r="968" spans="3:10" x14ac:dyDescent="0.35">
      <c r="C968" s="5"/>
      <c r="J968" s="5"/>
    </row>
    <row r="969" spans="3:10" x14ac:dyDescent="0.35">
      <c r="C969" s="5"/>
      <c r="J969" s="5"/>
    </row>
    <row r="970" spans="3:10" x14ac:dyDescent="0.35">
      <c r="C970" s="5"/>
      <c r="J970" s="5"/>
    </row>
    <row r="971" spans="3:10" x14ac:dyDescent="0.35">
      <c r="C971" s="5"/>
      <c r="J971" s="5"/>
    </row>
    <row r="972" spans="3:10" x14ac:dyDescent="0.35">
      <c r="C972" s="5"/>
      <c r="J972" s="5"/>
    </row>
    <row r="973" spans="3:10" x14ac:dyDescent="0.35">
      <c r="C973" s="5"/>
      <c r="J973" s="5"/>
    </row>
    <row r="974" spans="3:10" x14ac:dyDescent="0.35">
      <c r="C974" s="5"/>
      <c r="J974" s="5"/>
    </row>
    <row r="975" spans="3:10" x14ac:dyDescent="0.35">
      <c r="C975" s="5"/>
      <c r="J975" s="5"/>
    </row>
    <row r="976" spans="3:10" x14ac:dyDescent="0.35">
      <c r="C976" s="5"/>
      <c r="J976" s="5"/>
    </row>
    <row r="977" spans="3:10" x14ac:dyDescent="0.35">
      <c r="C977" s="5"/>
      <c r="J977" s="5"/>
    </row>
    <row r="978" spans="3:10" x14ac:dyDescent="0.35">
      <c r="C978" s="5"/>
      <c r="J978" s="5"/>
    </row>
    <row r="979" spans="3:10" x14ac:dyDescent="0.35">
      <c r="C979" s="5"/>
      <c r="J979" s="5"/>
    </row>
    <row r="980" spans="3:10" x14ac:dyDescent="0.35">
      <c r="C980" s="5"/>
      <c r="J980" s="5"/>
    </row>
    <row r="981" spans="3:10" x14ac:dyDescent="0.35">
      <c r="C981" s="5"/>
      <c r="J981" s="5"/>
    </row>
    <row r="982" spans="3:10" x14ac:dyDescent="0.35">
      <c r="C982" s="5"/>
      <c r="J982" s="5"/>
    </row>
    <row r="983" spans="3:10" x14ac:dyDescent="0.35">
      <c r="C983" s="5"/>
      <c r="J983" s="5"/>
    </row>
    <row r="984" spans="3:10" x14ac:dyDescent="0.35">
      <c r="C984" s="5"/>
      <c r="J984" s="5"/>
    </row>
    <row r="985" spans="3:10" x14ac:dyDescent="0.35">
      <c r="C985" s="5"/>
      <c r="J985" s="5"/>
    </row>
    <row r="986" spans="3:10" x14ac:dyDescent="0.35">
      <c r="C986" s="5"/>
      <c r="J986" s="5"/>
    </row>
    <row r="987" spans="3:10" x14ac:dyDescent="0.35">
      <c r="C987" s="5"/>
      <c r="J987" s="5"/>
    </row>
    <row r="988" spans="3:10" x14ac:dyDescent="0.35">
      <c r="C988" s="5"/>
      <c r="J988" s="5"/>
    </row>
    <row r="989" spans="3:10" x14ac:dyDescent="0.35">
      <c r="C989" s="5"/>
      <c r="J989" s="5"/>
    </row>
    <row r="990" spans="3:10" x14ac:dyDescent="0.35">
      <c r="C990" s="5"/>
      <c r="J990" s="5"/>
    </row>
    <row r="991" spans="3:10" x14ac:dyDescent="0.35">
      <c r="C991" s="5"/>
      <c r="J991" s="5"/>
    </row>
    <row r="992" spans="3:10" x14ac:dyDescent="0.35">
      <c r="C992" s="5"/>
      <c r="J992" s="5"/>
    </row>
    <row r="993" spans="3:10" x14ac:dyDescent="0.35">
      <c r="C993" s="5"/>
      <c r="J993" s="5"/>
    </row>
    <row r="994" spans="3:10" x14ac:dyDescent="0.35">
      <c r="C994" s="5"/>
      <c r="J994" s="5"/>
    </row>
    <row r="995" spans="3:10" x14ac:dyDescent="0.35">
      <c r="C995" s="5"/>
      <c r="J995" s="5"/>
    </row>
    <row r="996" spans="3:10" x14ac:dyDescent="0.35">
      <c r="C996" s="5"/>
      <c r="J996" s="5"/>
    </row>
    <row r="997" spans="3:10" x14ac:dyDescent="0.35">
      <c r="C997" s="5"/>
      <c r="J997" s="5"/>
    </row>
    <row r="998" spans="3:10" x14ac:dyDescent="0.35">
      <c r="C998" s="5"/>
      <c r="J998" s="5"/>
    </row>
    <row r="999" spans="3:10" x14ac:dyDescent="0.35">
      <c r="C999" s="5"/>
      <c r="J999" s="5"/>
    </row>
    <row r="1000" spans="3:10" x14ac:dyDescent="0.35">
      <c r="C1000" s="5"/>
      <c r="J1000" s="5"/>
    </row>
    <row r="1001" spans="3:10" x14ac:dyDescent="0.35">
      <c r="C1001" s="5"/>
      <c r="J1001" s="5"/>
    </row>
    <row r="1002" spans="3:10" x14ac:dyDescent="0.35">
      <c r="C1002" s="5"/>
      <c r="J1002" s="5"/>
    </row>
    <row r="1003" spans="3:10" x14ac:dyDescent="0.35">
      <c r="C1003" s="5"/>
      <c r="J1003" s="5"/>
    </row>
    <row r="1004" spans="3:10" x14ac:dyDescent="0.35">
      <c r="C1004" s="5"/>
      <c r="J1004" s="5"/>
    </row>
    <row r="1005" spans="3:10" x14ac:dyDescent="0.35">
      <c r="C1005" s="5"/>
      <c r="J1005" s="5"/>
    </row>
    <row r="1006" spans="3:10" x14ac:dyDescent="0.35">
      <c r="C1006" s="5"/>
      <c r="J1006" s="5"/>
    </row>
    <row r="1007" spans="3:10" x14ac:dyDescent="0.35">
      <c r="C1007" s="5"/>
      <c r="J1007" s="5"/>
    </row>
    <row r="1008" spans="3:10" x14ac:dyDescent="0.35">
      <c r="C1008" s="5"/>
      <c r="J1008" s="5"/>
    </row>
    <row r="1009" spans="3:10" x14ac:dyDescent="0.35">
      <c r="C1009" s="5"/>
      <c r="J1009" s="5"/>
    </row>
    <row r="1010" spans="3:10" x14ac:dyDescent="0.35">
      <c r="C1010" s="5"/>
      <c r="J1010" s="5"/>
    </row>
    <row r="1011" spans="3:10" x14ac:dyDescent="0.35">
      <c r="C1011" s="5"/>
      <c r="J1011" s="5"/>
    </row>
    <row r="1012" spans="3:10" x14ac:dyDescent="0.35">
      <c r="C1012" s="5"/>
      <c r="J1012" s="5"/>
    </row>
    <row r="1013" spans="3:10" x14ac:dyDescent="0.35">
      <c r="C1013" s="5"/>
      <c r="J1013" s="5"/>
    </row>
    <row r="1014" spans="3:10" x14ac:dyDescent="0.35">
      <c r="C1014" s="5"/>
      <c r="J1014" s="5"/>
    </row>
    <row r="1015" spans="3:10" x14ac:dyDescent="0.35">
      <c r="C1015" s="5"/>
      <c r="J1015" s="5"/>
    </row>
    <row r="1016" spans="3:10" x14ac:dyDescent="0.35">
      <c r="C1016" s="5"/>
      <c r="J1016" s="5"/>
    </row>
    <row r="1017" spans="3:10" x14ac:dyDescent="0.35">
      <c r="C1017" s="5"/>
      <c r="J1017" s="5"/>
    </row>
    <row r="1018" spans="3:10" x14ac:dyDescent="0.35">
      <c r="C1018" s="5"/>
      <c r="J1018" s="5"/>
    </row>
    <row r="1019" spans="3:10" x14ac:dyDescent="0.35">
      <c r="C1019" s="5"/>
      <c r="J1019" s="5"/>
    </row>
    <row r="1020" spans="3:10" x14ac:dyDescent="0.35">
      <c r="C1020" s="5"/>
      <c r="J1020" s="5"/>
    </row>
    <row r="1021" spans="3:10" x14ac:dyDescent="0.35">
      <c r="C1021" s="5"/>
      <c r="J1021" s="5"/>
    </row>
    <row r="1022" spans="3:10" x14ac:dyDescent="0.35">
      <c r="C1022" s="5"/>
      <c r="J1022" s="5"/>
    </row>
    <row r="1023" spans="3:10" x14ac:dyDescent="0.35">
      <c r="C1023" s="5"/>
      <c r="J1023" s="5"/>
    </row>
    <row r="1024" spans="3:10" x14ac:dyDescent="0.35">
      <c r="C1024" s="5"/>
      <c r="J1024" s="5"/>
    </row>
    <row r="1025" spans="3:10" x14ac:dyDescent="0.35">
      <c r="C1025" s="5"/>
      <c r="J1025" s="5"/>
    </row>
    <row r="1026" spans="3:10" x14ac:dyDescent="0.35">
      <c r="C1026" s="5"/>
      <c r="J1026" s="5"/>
    </row>
    <row r="1027" spans="3:10" x14ac:dyDescent="0.35">
      <c r="C1027" s="5"/>
      <c r="J1027" s="5"/>
    </row>
    <row r="1028" spans="3:10" x14ac:dyDescent="0.35">
      <c r="C1028" s="5"/>
      <c r="J1028" s="5"/>
    </row>
    <row r="1029" spans="3:10" x14ac:dyDescent="0.35">
      <c r="C1029" s="5"/>
      <c r="J1029" s="5"/>
    </row>
    <row r="1030" spans="3:10" x14ac:dyDescent="0.35">
      <c r="C1030" s="5"/>
      <c r="J1030" s="5"/>
    </row>
    <row r="1031" spans="3:10" x14ac:dyDescent="0.35">
      <c r="C1031" s="5"/>
      <c r="J1031" s="5"/>
    </row>
    <row r="1032" spans="3:10" x14ac:dyDescent="0.35">
      <c r="C1032" s="5"/>
      <c r="J1032" s="5"/>
    </row>
    <row r="1033" spans="3:10" x14ac:dyDescent="0.35">
      <c r="C1033" s="5"/>
      <c r="J1033" s="5"/>
    </row>
    <row r="1034" spans="3:10" x14ac:dyDescent="0.35">
      <c r="C1034" s="5"/>
      <c r="J1034" s="5"/>
    </row>
    <row r="1035" spans="3:10" x14ac:dyDescent="0.35">
      <c r="C1035" s="5"/>
      <c r="J1035" s="5"/>
    </row>
    <row r="1036" spans="3:10" x14ac:dyDescent="0.35">
      <c r="C1036" s="5"/>
      <c r="J1036" s="5"/>
    </row>
    <row r="1037" spans="3:10" x14ac:dyDescent="0.35">
      <c r="C1037" s="5"/>
      <c r="J1037" s="5"/>
    </row>
    <row r="1038" spans="3:10" x14ac:dyDescent="0.35">
      <c r="C1038" s="5"/>
      <c r="J1038" s="5"/>
    </row>
    <row r="1039" spans="3:10" x14ac:dyDescent="0.35">
      <c r="C1039" s="5"/>
      <c r="J1039" s="5"/>
    </row>
    <row r="1040" spans="3:10" x14ac:dyDescent="0.35">
      <c r="C1040" s="5"/>
      <c r="J1040" s="5"/>
    </row>
    <row r="1041" spans="3:10" x14ac:dyDescent="0.35">
      <c r="C1041" s="5"/>
      <c r="J1041" s="5"/>
    </row>
    <row r="1042" spans="3:10" x14ac:dyDescent="0.35">
      <c r="C1042" s="5"/>
      <c r="J1042" s="5"/>
    </row>
    <row r="1043" spans="3:10" x14ac:dyDescent="0.35">
      <c r="C1043" s="5"/>
      <c r="J1043" s="5"/>
    </row>
    <row r="1044" spans="3:10" x14ac:dyDescent="0.35">
      <c r="C1044" s="5"/>
      <c r="J1044" s="5"/>
    </row>
    <row r="1045" spans="3:10" x14ac:dyDescent="0.35">
      <c r="C1045" s="5"/>
      <c r="J1045" s="5"/>
    </row>
    <row r="1046" spans="3:10" x14ac:dyDescent="0.35">
      <c r="C1046" s="5"/>
      <c r="J1046" s="5"/>
    </row>
    <row r="1047" spans="3:10" x14ac:dyDescent="0.35">
      <c r="C1047" s="5"/>
      <c r="J1047" s="5"/>
    </row>
    <row r="1048" spans="3:10" x14ac:dyDescent="0.35">
      <c r="C1048" s="5"/>
      <c r="J1048" s="5"/>
    </row>
    <row r="1049" spans="3:10" x14ac:dyDescent="0.35">
      <c r="C1049" s="5"/>
      <c r="J1049" s="5"/>
    </row>
    <row r="1050" spans="3:10" x14ac:dyDescent="0.35">
      <c r="C1050" s="5"/>
      <c r="J1050" s="5"/>
    </row>
    <row r="1051" spans="3:10" x14ac:dyDescent="0.35">
      <c r="C1051" s="5"/>
      <c r="J1051" s="5"/>
    </row>
    <row r="1052" spans="3:10" x14ac:dyDescent="0.35">
      <c r="C1052" s="5"/>
      <c r="J1052" s="5"/>
    </row>
    <row r="1053" spans="3:10" x14ac:dyDescent="0.35">
      <c r="C1053" s="5"/>
      <c r="J1053" s="5"/>
    </row>
    <row r="1054" spans="3:10" x14ac:dyDescent="0.35">
      <c r="C1054" s="5"/>
      <c r="J1054" s="5"/>
    </row>
    <row r="1055" spans="3:10" x14ac:dyDescent="0.35">
      <c r="C1055" s="5"/>
      <c r="J1055" s="5"/>
    </row>
    <row r="1056" spans="3:10" x14ac:dyDescent="0.35">
      <c r="C1056" s="5"/>
      <c r="J1056" s="5"/>
    </row>
    <row r="1057" spans="3:10" x14ac:dyDescent="0.35">
      <c r="C1057" s="5"/>
      <c r="J1057" s="5"/>
    </row>
    <row r="1058" spans="3:10" x14ac:dyDescent="0.35">
      <c r="C1058" s="5"/>
      <c r="J1058" s="5"/>
    </row>
    <row r="1059" spans="3:10" x14ac:dyDescent="0.35">
      <c r="C1059" s="5"/>
      <c r="J1059" s="5"/>
    </row>
    <row r="1060" spans="3:10" x14ac:dyDescent="0.35">
      <c r="C1060" s="5"/>
      <c r="J1060" s="5"/>
    </row>
    <row r="1061" spans="3:10" x14ac:dyDescent="0.35">
      <c r="C1061" s="5"/>
      <c r="J1061" s="5"/>
    </row>
    <row r="1062" spans="3:10" x14ac:dyDescent="0.35">
      <c r="C1062" s="5"/>
      <c r="J1062" s="5"/>
    </row>
    <row r="1063" spans="3:10" x14ac:dyDescent="0.35">
      <c r="C1063" s="5"/>
      <c r="J1063" s="5"/>
    </row>
    <row r="1064" spans="3:10" x14ac:dyDescent="0.35">
      <c r="C1064" s="5"/>
      <c r="J1064" s="5"/>
    </row>
    <row r="1065" spans="3:10" x14ac:dyDescent="0.35">
      <c r="C1065" s="5"/>
      <c r="J1065" s="5"/>
    </row>
    <row r="1066" spans="3:10" x14ac:dyDescent="0.35">
      <c r="C1066" s="5"/>
      <c r="J1066" s="5"/>
    </row>
    <row r="1067" spans="3:10" x14ac:dyDescent="0.35">
      <c r="C1067" s="5"/>
      <c r="J1067" s="5"/>
    </row>
    <row r="1068" spans="3:10" x14ac:dyDescent="0.35">
      <c r="C1068" s="5"/>
      <c r="J1068" s="5"/>
    </row>
    <row r="1069" spans="3:10" x14ac:dyDescent="0.35">
      <c r="C1069" s="5"/>
      <c r="J1069" s="5"/>
    </row>
    <row r="1070" spans="3:10" x14ac:dyDescent="0.35">
      <c r="C1070" s="5"/>
      <c r="J1070" s="5"/>
    </row>
    <row r="1071" spans="3:10" x14ac:dyDescent="0.35">
      <c r="C1071" s="5"/>
      <c r="J1071" s="5"/>
    </row>
    <row r="1072" spans="3:10" x14ac:dyDescent="0.35">
      <c r="C1072" s="5"/>
      <c r="J1072" s="5"/>
    </row>
    <row r="1073" spans="3:10" x14ac:dyDescent="0.35">
      <c r="C1073" s="5"/>
      <c r="J1073" s="5"/>
    </row>
    <row r="1074" spans="3:10" x14ac:dyDescent="0.35">
      <c r="C1074" s="5"/>
      <c r="J1074" s="5"/>
    </row>
    <row r="1075" spans="3:10" x14ac:dyDescent="0.35">
      <c r="C1075" s="5"/>
      <c r="J1075" s="5"/>
    </row>
    <row r="1076" spans="3:10" x14ac:dyDescent="0.35">
      <c r="C1076" s="5"/>
      <c r="J1076" s="5"/>
    </row>
    <row r="1077" spans="3:10" x14ac:dyDescent="0.35">
      <c r="C1077" s="5"/>
      <c r="J1077" s="5"/>
    </row>
    <row r="1078" spans="3:10" x14ac:dyDescent="0.35">
      <c r="C1078" s="5"/>
      <c r="J1078" s="5"/>
    </row>
    <row r="1079" spans="3:10" x14ac:dyDescent="0.35">
      <c r="C1079" s="5"/>
      <c r="J1079" s="5"/>
    </row>
    <row r="1080" spans="3:10" x14ac:dyDescent="0.35">
      <c r="C1080" s="5"/>
      <c r="J1080" s="5"/>
    </row>
    <row r="1081" spans="3:10" x14ac:dyDescent="0.35">
      <c r="C1081" s="5"/>
      <c r="J1081" s="5"/>
    </row>
    <row r="1082" spans="3:10" x14ac:dyDescent="0.35">
      <c r="C1082" s="5"/>
      <c r="J1082" s="5"/>
    </row>
    <row r="1083" spans="3:10" x14ac:dyDescent="0.35">
      <c r="C1083" s="5"/>
      <c r="J1083" s="5"/>
    </row>
    <row r="1084" spans="3:10" x14ac:dyDescent="0.35">
      <c r="C1084" s="5"/>
      <c r="J1084" s="5"/>
    </row>
    <row r="1085" spans="3:10" x14ac:dyDescent="0.35">
      <c r="C1085" s="5"/>
      <c r="J1085" s="5"/>
    </row>
    <row r="1086" spans="3:10" x14ac:dyDescent="0.35">
      <c r="C1086" s="5"/>
      <c r="J1086" s="5"/>
    </row>
    <row r="1087" spans="3:10" x14ac:dyDescent="0.35">
      <c r="C1087" s="5"/>
      <c r="J1087" s="5"/>
    </row>
    <row r="1088" spans="3:10" x14ac:dyDescent="0.35">
      <c r="C1088" s="5"/>
      <c r="J1088" s="5"/>
    </row>
    <row r="1089" spans="3:10" x14ac:dyDescent="0.35">
      <c r="C1089" s="5"/>
      <c r="J1089" s="5"/>
    </row>
    <row r="1090" spans="3:10" x14ac:dyDescent="0.35">
      <c r="C1090" s="5"/>
      <c r="J1090" s="5"/>
    </row>
    <row r="1091" spans="3:10" x14ac:dyDescent="0.35">
      <c r="C1091" s="5"/>
      <c r="J1091" s="5"/>
    </row>
    <row r="1092" spans="3:10" x14ac:dyDescent="0.35">
      <c r="C1092" s="5"/>
      <c r="J1092" s="5"/>
    </row>
    <row r="1093" spans="3:10" x14ac:dyDescent="0.35">
      <c r="C1093" s="5"/>
      <c r="J1093" s="5"/>
    </row>
    <row r="1094" spans="3:10" x14ac:dyDescent="0.35">
      <c r="C1094" s="5"/>
      <c r="J1094" s="5"/>
    </row>
    <row r="1095" spans="3:10" x14ac:dyDescent="0.35">
      <c r="C1095" s="5"/>
      <c r="J1095" s="5"/>
    </row>
    <row r="1096" spans="3:10" x14ac:dyDescent="0.35">
      <c r="C1096" s="5"/>
      <c r="J1096" s="5"/>
    </row>
    <row r="1097" spans="3:10" x14ac:dyDescent="0.35">
      <c r="C1097" s="5"/>
      <c r="J1097" s="5"/>
    </row>
    <row r="1098" spans="3:10" x14ac:dyDescent="0.35">
      <c r="C1098" s="5"/>
      <c r="J1098" s="5"/>
    </row>
    <row r="1099" spans="3:10" x14ac:dyDescent="0.35">
      <c r="C1099" s="5"/>
      <c r="J1099" s="5"/>
    </row>
    <row r="1100" spans="3:10" x14ac:dyDescent="0.35">
      <c r="C1100" s="5"/>
      <c r="J1100" s="5"/>
    </row>
    <row r="1101" spans="3:10" x14ac:dyDescent="0.35">
      <c r="C1101" s="5"/>
      <c r="J1101" s="5"/>
    </row>
    <row r="1102" spans="3:10" x14ac:dyDescent="0.35">
      <c r="C1102" s="5"/>
      <c r="J1102" s="5"/>
    </row>
    <row r="1103" spans="3:10" x14ac:dyDescent="0.35">
      <c r="C1103" s="5"/>
      <c r="J1103" s="5"/>
    </row>
    <row r="1104" spans="3:10" x14ac:dyDescent="0.35">
      <c r="C1104" s="5"/>
      <c r="J1104" s="5"/>
    </row>
    <row r="1105" spans="3:10" x14ac:dyDescent="0.35">
      <c r="C1105" s="5"/>
      <c r="J1105" s="5"/>
    </row>
    <row r="1106" spans="3:10" x14ac:dyDescent="0.35">
      <c r="C1106" s="5"/>
      <c r="J1106" s="5"/>
    </row>
    <row r="1107" spans="3:10" x14ac:dyDescent="0.35">
      <c r="C1107" s="5"/>
      <c r="J1107" s="5"/>
    </row>
    <row r="1108" spans="3:10" x14ac:dyDescent="0.35">
      <c r="C1108" s="5"/>
      <c r="J1108" s="5"/>
    </row>
    <row r="1109" spans="3:10" x14ac:dyDescent="0.35">
      <c r="C1109" s="5"/>
      <c r="J1109" s="5"/>
    </row>
    <row r="1110" spans="3:10" x14ac:dyDescent="0.35">
      <c r="C1110" s="5"/>
      <c r="J1110" s="5"/>
    </row>
    <row r="1111" spans="3:10" x14ac:dyDescent="0.35">
      <c r="C1111" s="5"/>
      <c r="J1111" s="5"/>
    </row>
    <row r="1112" spans="3:10" x14ac:dyDescent="0.35">
      <c r="C1112" s="5"/>
      <c r="J1112" s="5"/>
    </row>
    <row r="1113" spans="3:10" x14ac:dyDescent="0.35">
      <c r="C1113" s="5"/>
      <c r="J1113" s="5"/>
    </row>
    <row r="1114" spans="3:10" x14ac:dyDescent="0.35">
      <c r="C1114" s="5"/>
      <c r="J1114" s="5"/>
    </row>
    <row r="1115" spans="3:10" x14ac:dyDescent="0.35">
      <c r="C1115" s="5"/>
      <c r="J1115" s="5"/>
    </row>
    <row r="1116" spans="3:10" x14ac:dyDescent="0.35">
      <c r="C1116" s="5"/>
      <c r="J1116" s="5"/>
    </row>
    <row r="1117" spans="3:10" x14ac:dyDescent="0.35">
      <c r="C1117" s="5"/>
      <c r="J1117" s="5"/>
    </row>
    <row r="1118" spans="3:10" x14ac:dyDescent="0.35">
      <c r="C1118" s="5"/>
      <c r="J1118" s="5"/>
    </row>
    <row r="1119" spans="3:10" x14ac:dyDescent="0.35">
      <c r="C1119" s="5"/>
      <c r="J1119" s="5"/>
    </row>
    <row r="1120" spans="3:10" x14ac:dyDescent="0.35">
      <c r="C1120" s="5"/>
      <c r="J1120" s="5"/>
    </row>
    <row r="1121" spans="3:10" x14ac:dyDescent="0.35">
      <c r="C1121" s="5"/>
      <c r="J1121" s="5"/>
    </row>
    <row r="1122" spans="3:10" x14ac:dyDescent="0.35">
      <c r="C1122" s="5"/>
      <c r="J1122" s="5"/>
    </row>
    <row r="1123" spans="3:10" x14ac:dyDescent="0.35">
      <c r="C1123" s="5"/>
      <c r="J1123" s="5"/>
    </row>
    <row r="1124" spans="3:10" x14ac:dyDescent="0.35">
      <c r="C1124" s="5"/>
      <c r="J1124" s="5"/>
    </row>
    <row r="1125" spans="3:10" x14ac:dyDescent="0.35">
      <c r="C1125" s="5"/>
      <c r="J1125" s="5"/>
    </row>
    <row r="1126" spans="3:10" x14ac:dyDescent="0.35">
      <c r="C1126" s="5"/>
      <c r="J1126" s="5"/>
    </row>
    <row r="1127" spans="3:10" x14ac:dyDescent="0.35">
      <c r="C1127" s="5"/>
      <c r="J1127" s="5"/>
    </row>
    <row r="1128" spans="3:10" x14ac:dyDescent="0.35">
      <c r="C1128" s="5"/>
      <c r="J1128" s="5"/>
    </row>
    <row r="1129" spans="3:10" x14ac:dyDescent="0.35">
      <c r="C1129" s="5"/>
      <c r="J1129" s="5"/>
    </row>
    <row r="1130" spans="3:10" x14ac:dyDescent="0.35">
      <c r="C1130" s="5"/>
      <c r="J1130" s="5"/>
    </row>
    <row r="1131" spans="3:10" x14ac:dyDescent="0.35">
      <c r="C1131" s="5"/>
      <c r="J1131" s="5"/>
    </row>
    <row r="1132" spans="3:10" x14ac:dyDescent="0.35">
      <c r="C1132" s="5"/>
      <c r="J1132" s="5"/>
    </row>
    <row r="1133" spans="3:10" x14ac:dyDescent="0.35">
      <c r="C1133" s="5"/>
      <c r="J1133" s="5"/>
    </row>
    <row r="1134" spans="3:10" x14ac:dyDescent="0.35">
      <c r="C1134" s="5"/>
      <c r="J1134" s="5"/>
    </row>
    <row r="1135" spans="3:10" x14ac:dyDescent="0.35">
      <c r="C1135" s="5"/>
      <c r="J1135" s="5"/>
    </row>
    <row r="1136" spans="3:10" x14ac:dyDescent="0.35">
      <c r="C1136" s="5"/>
      <c r="J1136" s="5"/>
    </row>
    <row r="1137" spans="3:10" x14ac:dyDescent="0.35">
      <c r="C1137" s="5"/>
      <c r="J1137" s="5"/>
    </row>
    <row r="1138" spans="3:10" x14ac:dyDescent="0.35">
      <c r="C1138" s="5"/>
      <c r="J1138" s="5"/>
    </row>
    <row r="1139" spans="3:10" x14ac:dyDescent="0.35">
      <c r="C1139" s="5"/>
      <c r="J1139" s="5"/>
    </row>
    <row r="1140" spans="3:10" x14ac:dyDescent="0.35">
      <c r="C1140" s="5"/>
      <c r="J1140" s="5"/>
    </row>
    <row r="1141" spans="3:10" x14ac:dyDescent="0.35">
      <c r="C1141" s="5"/>
      <c r="J1141" s="5"/>
    </row>
    <row r="1142" spans="3:10" x14ac:dyDescent="0.35">
      <c r="C1142" s="5"/>
      <c r="J1142" s="5"/>
    </row>
    <row r="1143" spans="3:10" x14ac:dyDescent="0.35">
      <c r="C1143" s="5"/>
      <c r="J1143" s="5"/>
    </row>
    <row r="1144" spans="3:10" x14ac:dyDescent="0.35">
      <c r="C1144" s="5"/>
      <c r="J1144" s="5"/>
    </row>
    <row r="1145" spans="3:10" x14ac:dyDescent="0.35">
      <c r="C1145" s="5"/>
      <c r="J1145" s="5"/>
    </row>
    <row r="1146" spans="3:10" x14ac:dyDescent="0.35">
      <c r="C1146" s="5"/>
      <c r="J1146" s="5"/>
    </row>
    <row r="1147" spans="3:10" x14ac:dyDescent="0.35">
      <c r="C1147" s="5"/>
      <c r="J1147" s="5"/>
    </row>
    <row r="1148" spans="3:10" x14ac:dyDescent="0.35">
      <c r="C1148" s="5"/>
      <c r="J1148" s="5"/>
    </row>
    <row r="1149" spans="3:10" x14ac:dyDescent="0.35">
      <c r="C1149" s="5"/>
      <c r="J1149" s="5"/>
    </row>
    <row r="1150" spans="3:10" x14ac:dyDescent="0.35">
      <c r="C1150" s="5"/>
      <c r="J1150" s="5"/>
    </row>
    <row r="1151" spans="3:10" x14ac:dyDescent="0.35">
      <c r="C1151" s="5"/>
      <c r="J1151" s="5"/>
    </row>
    <row r="1152" spans="3:10" x14ac:dyDescent="0.35">
      <c r="C1152" s="5"/>
      <c r="J1152" s="5"/>
    </row>
    <row r="1153" spans="3:10" x14ac:dyDescent="0.35">
      <c r="C1153" s="5"/>
      <c r="J1153" s="5"/>
    </row>
    <row r="1154" spans="3:10" x14ac:dyDescent="0.35">
      <c r="C1154" s="5"/>
      <c r="J1154" s="5"/>
    </row>
    <row r="1155" spans="3:10" x14ac:dyDescent="0.35">
      <c r="C1155" s="5"/>
      <c r="J1155" s="5"/>
    </row>
    <row r="1156" spans="3:10" x14ac:dyDescent="0.35">
      <c r="C1156" s="5"/>
      <c r="J1156" s="5"/>
    </row>
    <row r="1157" spans="3:10" x14ac:dyDescent="0.35">
      <c r="C1157" s="5"/>
      <c r="J1157" s="5"/>
    </row>
    <row r="1158" spans="3:10" x14ac:dyDescent="0.35">
      <c r="C1158" s="5"/>
      <c r="J1158" s="5"/>
    </row>
    <row r="1159" spans="3:10" x14ac:dyDescent="0.35">
      <c r="C1159" s="5"/>
      <c r="J1159" s="5"/>
    </row>
    <row r="1160" spans="3:10" x14ac:dyDescent="0.35">
      <c r="C1160" s="5"/>
      <c r="J1160" s="5"/>
    </row>
    <row r="1161" spans="3:10" x14ac:dyDescent="0.35">
      <c r="C1161" s="5"/>
      <c r="J1161" s="5"/>
    </row>
    <row r="1162" spans="3:10" x14ac:dyDescent="0.35">
      <c r="C1162" s="5"/>
      <c r="J1162" s="5"/>
    </row>
    <row r="1163" spans="3:10" x14ac:dyDescent="0.35">
      <c r="C1163" s="5"/>
      <c r="J1163" s="5"/>
    </row>
    <row r="1164" spans="3:10" x14ac:dyDescent="0.35">
      <c r="C1164" s="5"/>
      <c r="J1164" s="5"/>
    </row>
    <row r="1165" spans="3:10" x14ac:dyDescent="0.35">
      <c r="C1165" s="5"/>
      <c r="J1165" s="5"/>
    </row>
    <row r="1166" spans="3:10" x14ac:dyDescent="0.35">
      <c r="C1166" s="5"/>
      <c r="J1166" s="5"/>
    </row>
    <row r="1167" spans="3:10" x14ac:dyDescent="0.35">
      <c r="C1167" s="5"/>
      <c r="J1167" s="5"/>
    </row>
    <row r="1168" spans="3:10" x14ac:dyDescent="0.35">
      <c r="C1168" s="5"/>
      <c r="J1168" s="5"/>
    </row>
    <row r="1169" spans="3:10" x14ac:dyDescent="0.35">
      <c r="C1169" s="5"/>
      <c r="J1169" s="5"/>
    </row>
    <row r="1170" spans="3:10" x14ac:dyDescent="0.35">
      <c r="C1170" s="5"/>
      <c r="J1170" s="5"/>
    </row>
    <row r="1171" spans="3:10" x14ac:dyDescent="0.35">
      <c r="C1171" s="5"/>
      <c r="J1171" s="5"/>
    </row>
    <row r="1172" spans="3:10" x14ac:dyDescent="0.35">
      <c r="C1172" s="5"/>
      <c r="J1172" s="5"/>
    </row>
    <row r="1173" spans="3:10" x14ac:dyDescent="0.35">
      <c r="C1173" s="5"/>
      <c r="J1173" s="5"/>
    </row>
    <row r="1174" spans="3:10" x14ac:dyDescent="0.35">
      <c r="C1174" s="5"/>
      <c r="J1174" s="5"/>
    </row>
    <row r="1175" spans="3:10" x14ac:dyDescent="0.35">
      <c r="C1175" s="5"/>
      <c r="J1175" s="5"/>
    </row>
    <row r="1176" spans="3:10" x14ac:dyDescent="0.35">
      <c r="C1176" s="5"/>
      <c r="J1176" s="5"/>
    </row>
    <row r="1177" spans="3:10" x14ac:dyDescent="0.35">
      <c r="C1177" s="5"/>
      <c r="J1177" s="5"/>
    </row>
    <row r="1178" spans="3:10" x14ac:dyDescent="0.35">
      <c r="C1178" s="5"/>
      <c r="J1178" s="5"/>
    </row>
    <row r="1179" spans="3:10" x14ac:dyDescent="0.35">
      <c r="C1179" s="5"/>
      <c r="J1179" s="5"/>
    </row>
    <row r="1180" spans="3:10" x14ac:dyDescent="0.35">
      <c r="C1180" s="5"/>
      <c r="J1180" s="5"/>
    </row>
    <row r="1181" spans="3:10" x14ac:dyDescent="0.35">
      <c r="C1181" s="5"/>
      <c r="J1181" s="5"/>
    </row>
    <row r="1182" spans="3:10" x14ac:dyDescent="0.35">
      <c r="C1182" s="5"/>
      <c r="J1182" s="5"/>
    </row>
    <row r="1183" spans="3:10" x14ac:dyDescent="0.35">
      <c r="C1183" s="5"/>
      <c r="J1183" s="5"/>
    </row>
    <row r="1184" spans="3:10" x14ac:dyDescent="0.35">
      <c r="C1184" s="5"/>
      <c r="J1184" s="5"/>
    </row>
    <row r="1185" spans="3:10" x14ac:dyDescent="0.35">
      <c r="C1185" s="5"/>
      <c r="J1185" s="5"/>
    </row>
    <row r="1186" spans="3:10" x14ac:dyDescent="0.35">
      <c r="C1186" s="5"/>
      <c r="J1186" s="5"/>
    </row>
    <row r="1187" spans="3:10" x14ac:dyDescent="0.35">
      <c r="C1187" s="5"/>
      <c r="J1187" s="5"/>
    </row>
    <row r="1188" spans="3:10" x14ac:dyDescent="0.35">
      <c r="C1188" s="5"/>
      <c r="J1188" s="5"/>
    </row>
    <row r="1189" spans="3:10" x14ac:dyDescent="0.35">
      <c r="C1189" s="5"/>
      <c r="J1189" s="5"/>
    </row>
    <row r="1190" spans="3:10" x14ac:dyDescent="0.35">
      <c r="C1190" s="5"/>
      <c r="J1190" s="5"/>
    </row>
    <row r="1191" spans="3:10" x14ac:dyDescent="0.35">
      <c r="C1191" s="5"/>
      <c r="J1191" s="5"/>
    </row>
    <row r="1192" spans="3:10" x14ac:dyDescent="0.35">
      <c r="C1192" s="5"/>
      <c r="J1192" s="5"/>
    </row>
    <row r="1193" spans="3:10" x14ac:dyDescent="0.35">
      <c r="C1193" s="5"/>
      <c r="J1193" s="5"/>
    </row>
    <row r="1194" spans="3:10" x14ac:dyDescent="0.35">
      <c r="C1194" s="5"/>
      <c r="J1194" s="5"/>
    </row>
    <row r="1195" spans="3:10" x14ac:dyDescent="0.35">
      <c r="C1195" s="5"/>
      <c r="J1195" s="5"/>
    </row>
    <row r="1196" spans="3:10" x14ac:dyDescent="0.35">
      <c r="C1196" s="5"/>
      <c r="J1196" s="5"/>
    </row>
    <row r="1197" spans="3:10" x14ac:dyDescent="0.35">
      <c r="C1197" s="5"/>
      <c r="J1197" s="5"/>
    </row>
    <row r="1198" spans="3:10" x14ac:dyDescent="0.35">
      <c r="C1198" s="5"/>
      <c r="J1198" s="5"/>
    </row>
    <row r="1199" spans="3:10" x14ac:dyDescent="0.35">
      <c r="C1199" s="5"/>
      <c r="J1199" s="5"/>
    </row>
    <row r="1200" spans="3:10" x14ac:dyDescent="0.35">
      <c r="C1200" s="5"/>
      <c r="J1200" s="5"/>
    </row>
    <row r="1201" spans="3:10" x14ac:dyDescent="0.35">
      <c r="C1201" s="5"/>
      <c r="J1201" s="5"/>
    </row>
    <row r="1202" spans="3:10" x14ac:dyDescent="0.35">
      <c r="C1202" s="5"/>
      <c r="J1202" s="5"/>
    </row>
    <row r="1203" spans="3:10" x14ac:dyDescent="0.35">
      <c r="C1203" s="5"/>
      <c r="J1203" s="5"/>
    </row>
    <row r="1204" spans="3:10" x14ac:dyDescent="0.35">
      <c r="C1204" s="5"/>
      <c r="J1204" s="5"/>
    </row>
    <row r="1205" spans="3:10" x14ac:dyDescent="0.35">
      <c r="C1205" s="5"/>
      <c r="J1205" s="5"/>
    </row>
    <row r="1206" spans="3:10" x14ac:dyDescent="0.35">
      <c r="C1206" s="5"/>
      <c r="J1206" s="5"/>
    </row>
    <row r="1207" spans="3:10" x14ac:dyDescent="0.35">
      <c r="C1207" s="5"/>
      <c r="J1207" s="5"/>
    </row>
    <row r="1208" spans="3:10" x14ac:dyDescent="0.35">
      <c r="C1208" s="5"/>
      <c r="J1208" s="5"/>
    </row>
    <row r="1209" spans="3:10" x14ac:dyDescent="0.35">
      <c r="C1209" s="5"/>
      <c r="J1209" s="5"/>
    </row>
    <row r="1210" spans="3:10" x14ac:dyDescent="0.35">
      <c r="C1210" s="5"/>
      <c r="J1210" s="5"/>
    </row>
    <row r="1211" spans="3:10" x14ac:dyDescent="0.35">
      <c r="C1211" s="5"/>
      <c r="J1211" s="5"/>
    </row>
    <row r="1212" spans="3:10" x14ac:dyDescent="0.35">
      <c r="C1212" s="5"/>
      <c r="J1212" s="5"/>
    </row>
    <row r="1213" spans="3:10" x14ac:dyDescent="0.35">
      <c r="C1213" s="5"/>
      <c r="J1213" s="5"/>
    </row>
    <row r="1214" spans="3:10" x14ac:dyDescent="0.35">
      <c r="C1214" s="5"/>
      <c r="J1214" s="5"/>
    </row>
    <row r="1215" spans="3:10" x14ac:dyDescent="0.35">
      <c r="C1215" s="5"/>
      <c r="J1215" s="5"/>
    </row>
    <row r="1216" spans="3:10" x14ac:dyDescent="0.35">
      <c r="C1216" s="5"/>
      <c r="J1216" s="5"/>
    </row>
    <row r="1217" spans="3:10" x14ac:dyDescent="0.35">
      <c r="C1217" s="5"/>
      <c r="J1217" s="5"/>
    </row>
    <row r="1218" spans="3:10" x14ac:dyDescent="0.35">
      <c r="C1218" s="5"/>
      <c r="J1218" s="5"/>
    </row>
    <row r="1219" spans="3:10" x14ac:dyDescent="0.35">
      <c r="C1219" s="5"/>
      <c r="J1219" s="5"/>
    </row>
    <row r="1220" spans="3:10" x14ac:dyDescent="0.35">
      <c r="C1220" s="5"/>
      <c r="J1220" s="5"/>
    </row>
    <row r="1221" spans="3:10" x14ac:dyDescent="0.35">
      <c r="C1221" s="5"/>
      <c r="J1221" s="5"/>
    </row>
    <row r="1222" spans="3:10" x14ac:dyDescent="0.35">
      <c r="C1222" s="5"/>
      <c r="J1222" s="5"/>
    </row>
    <row r="1223" spans="3:10" x14ac:dyDescent="0.35">
      <c r="C1223" s="5"/>
      <c r="J1223" s="5"/>
    </row>
    <row r="1224" spans="3:10" x14ac:dyDescent="0.35">
      <c r="C1224" s="5"/>
      <c r="J1224" s="5"/>
    </row>
    <row r="1225" spans="3:10" x14ac:dyDescent="0.35">
      <c r="C1225" s="5"/>
      <c r="J1225" s="5"/>
    </row>
    <row r="1226" spans="3:10" x14ac:dyDescent="0.35">
      <c r="C1226" s="5"/>
      <c r="J1226" s="5"/>
    </row>
    <row r="1227" spans="3:10" x14ac:dyDescent="0.35">
      <c r="C1227" s="5"/>
      <c r="J1227" s="5"/>
    </row>
    <row r="1228" spans="3:10" x14ac:dyDescent="0.35">
      <c r="C1228" s="5"/>
      <c r="J1228" s="5"/>
    </row>
    <row r="1229" spans="3:10" x14ac:dyDescent="0.35">
      <c r="C1229" s="5"/>
      <c r="J1229" s="5"/>
    </row>
    <row r="1230" spans="3:10" x14ac:dyDescent="0.35">
      <c r="C1230" s="5"/>
      <c r="J1230" s="5"/>
    </row>
    <row r="1231" spans="3:10" x14ac:dyDescent="0.35">
      <c r="C1231" s="5"/>
      <c r="J1231" s="5"/>
    </row>
    <row r="1232" spans="3:10" x14ac:dyDescent="0.35">
      <c r="C1232" s="5"/>
      <c r="J1232" s="5"/>
    </row>
    <row r="1233" spans="3:10" x14ac:dyDescent="0.35">
      <c r="C1233" s="5"/>
      <c r="J1233" s="5"/>
    </row>
    <row r="1234" spans="3:10" x14ac:dyDescent="0.35">
      <c r="C1234" s="5"/>
      <c r="J1234" s="5"/>
    </row>
    <row r="1235" spans="3:10" x14ac:dyDescent="0.35">
      <c r="C1235" s="5"/>
      <c r="J1235" s="5"/>
    </row>
    <row r="1236" spans="3:10" x14ac:dyDescent="0.35">
      <c r="C1236" s="5"/>
      <c r="J1236" s="5"/>
    </row>
    <row r="1237" spans="3:10" x14ac:dyDescent="0.35">
      <c r="C1237" s="5"/>
      <c r="J1237" s="5"/>
    </row>
    <row r="1238" spans="3:10" x14ac:dyDescent="0.35">
      <c r="C1238" s="5"/>
      <c r="J1238" s="5"/>
    </row>
    <row r="1239" spans="3:10" x14ac:dyDescent="0.35">
      <c r="C1239" s="5"/>
      <c r="J1239" s="5"/>
    </row>
    <row r="1240" spans="3:10" x14ac:dyDescent="0.35">
      <c r="C1240" s="5"/>
      <c r="J1240" s="5"/>
    </row>
    <row r="1241" spans="3:10" x14ac:dyDescent="0.35">
      <c r="C1241" s="5"/>
      <c r="J1241" s="5"/>
    </row>
    <row r="1242" spans="3:10" x14ac:dyDescent="0.35">
      <c r="C1242" s="5"/>
      <c r="J1242" s="5"/>
    </row>
    <row r="1243" spans="3:10" x14ac:dyDescent="0.35">
      <c r="C1243" s="5"/>
      <c r="J1243" s="5"/>
    </row>
    <row r="1244" spans="3:10" x14ac:dyDescent="0.35">
      <c r="C1244" s="5"/>
      <c r="J1244" s="5"/>
    </row>
    <row r="1245" spans="3:10" x14ac:dyDescent="0.35">
      <c r="C1245" s="5"/>
      <c r="J1245" s="5"/>
    </row>
    <row r="1246" spans="3:10" x14ac:dyDescent="0.35">
      <c r="C1246" s="5"/>
      <c r="J1246" s="5"/>
    </row>
    <row r="1247" spans="3:10" x14ac:dyDescent="0.35">
      <c r="C1247" s="5"/>
      <c r="J1247" s="5"/>
    </row>
    <row r="1248" spans="3:10" x14ac:dyDescent="0.35">
      <c r="C1248" s="5"/>
      <c r="J1248" s="5"/>
    </row>
    <row r="1249" spans="3:10" x14ac:dyDescent="0.35">
      <c r="C1249" s="5"/>
      <c r="J1249" s="5"/>
    </row>
    <row r="1250" spans="3:10" x14ac:dyDescent="0.35">
      <c r="C1250" s="5"/>
      <c r="J1250" s="5"/>
    </row>
    <row r="1251" spans="3:10" x14ac:dyDescent="0.35">
      <c r="C1251" s="5"/>
      <c r="J1251" s="5"/>
    </row>
    <row r="1252" spans="3:10" x14ac:dyDescent="0.35">
      <c r="C1252" s="5"/>
      <c r="J1252" s="5"/>
    </row>
    <row r="1253" spans="3:10" x14ac:dyDescent="0.35">
      <c r="C1253" s="5"/>
      <c r="J1253" s="5"/>
    </row>
    <row r="1254" spans="3:10" x14ac:dyDescent="0.35">
      <c r="C1254" s="5"/>
      <c r="J1254" s="5"/>
    </row>
    <row r="1255" spans="3:10" x14ac:dyDescent="0.35">
      <c r="C1255" s="5"/>
      <c r="J1255" s="5"/>
    </row>
    <row r="1256" spans="3:10" x14ac:dyDescent="0.35">
      <c r="C1256" s="5"/>
      <c r="J1256" s="5"/>
    </row>
    <row r="1257" spans="3:10" x14ac:dyDescent="0.35">
      <c r="C1257" s="5"/>
      <c r="J1257" s="5"/>
    </row>
    <row r="1258" spans="3:10" x14ac:dyDescent="0.35">
      <c r="C1258" s="5"/>
      <c r="J1258" s="5"/>
    </row>
    <row r="1259" spans="3:10" x14ac:dyDescent="0.35">
      <c r="C1259" s="5"/>
      <c r="J1259" s="5"/>
    </row>
    <row r="1260" spans="3:10" x14ac:dyDescent="0.35">
      <c r="C1260" s="5"/>
      <c r="J1260" s="5"/>
    </row>
    <row r="1261" spans="3:10" x14ac:dyDescent="0.35">
      <c r="C1261" s="5"/>
      <c r="J1261" s="5"/>
    </row>
    <row r="1262" spans="3:10" x14ac:dyDescent="0.35">
      <c r="C1262" s="5"/>
      <c r="J1262" s="5"/>
    </row>
    <row r="1263" spans="3:10" x14ac:dyDescent="0.35">
      <c r="C1263" s="5"/>
      <c r="J1263" s="5"/>
    </row>
    <row r="1264" spans="3:10" x14ac:dyDescent="0.35">
      <c r="C1264" s="5"/>
      <c r="J1264" s="5"/>
    </row>
    <row r="1265" spans="3:10" x14ac:dyDescent="0.35">
      <c r="C1265" s="5"/>
      <c r="J1265" s="5"/>
    </row>
    <row r="1266" spans="3:10" x14ac:dyDescent="0.35">
      <c r="C1266" s="5"/>
      <c r="J1266" s="5"/>
    </row>
    <row r="1267" spans="3:10" x14ac:dyDescent="0.35">
      <c r="C1267" s="5"/>
      <c r="J1267" s="5"/>
    </row>
    <row r="1268" spans="3:10" x14ac:dyDescent="0.35">
      <c r="C1268" s="5"/>
      <c r="J1268" s="5"/>
    </row>
    <row r="1269" spans="3:10" x14ac:dyDescent="0.35">
      <c r="C1269" s="5"/>
      <c r="J1269" s="5"/>
    </row>
    <row r="1270" spans="3:10" x14ac:dyDescent="0.35">
      <c r="C1270" s="5"/>
      <c r="J1270" s="5"/>
    </row>
    <row r="1271" spans="3:10" x14ac:dyDescent="0.35">
      <c r="C1271" s="5"/>
      <c r="J1271" s="5"/>
    </row>
    <row r="1272" spans="3:10" x14ac:dyDescent="0.35">
      <c r="C1272" s="5"/>
      <c r="J1272" s="5"/>
    </row>
    <row r="1273" spans="3:10" x14ac:dyDescent="0.35">
      <c r="C1273" s="5"/>
      <c r="J1273" s="5"/>
    </row>
    <row r="1274" spans="3:10" x14ac:dyDescent="0.35">
      <c r="C1274" s="5"/>
      <c r="J1274" s="5"/>
    </row>
    <row r="1275" spans="3:10" x14ac:dyDescent="0.35">
      <c r="C1275" s="5"/>
      <c r="J1275" s="5"/>
    </row>
    <row r="1276" spans="3:10" x14ac:dyDescent="0.35">
      <c r="C1276" s="5"/>
      <c r="J1276" s="5"/>
    </row>
    <row r="1277" spans="3:10" x14ac:dyDescent="0.35">
      <c r="C1277" s="5"/>
      <c r="J1277" s="5"/>
    </row>
    <row r="1278" spans="3:10" x14ac:dyDescent="0.35">
      <c r="C1278" s="5"/>
      <c r="J1278" s="5"/>
    </row>
    <row r="1279" spans="3:10" x14ac:dyDescent="0.35">
      <c r="C1279" s="5"/>
      <c r="J1279" s="5"/>
    </row>
    <row r="1280" spans="3:10" x14ac:dyDescent="0.35">
      <c r="C1280" s="5"/>
      <c r="J1280" s="5"/>
    </row>
    <row r="1281" spans="3:10" x14ac:dyDescent="0.35">
      <c r="C1281" s="5"/>
      <c r="J1281" s="5"/>
    </row>
    <row r="1282" spans="3:10" x14ac:dyDescent="0.35">
      <c r="C1282" s="5"/>
      <c r="J1282" s="5"/>
    </row>
    <row r="1283" spans="3:10" x14ac:dyDescent="0.35">
      <c r="C1283" s="5"/>
      <c r="J1283" s="5"/>
    </row>
    <row r="1284" spans="3:10" x14ac:dyDescent="0.35">
      <c r="C1284" s="5"/>
      <c r="J1284" s="5"/>
    </row>
    <row r="1285" spans="3:10" x14ac:dyDescent="0.35">
      <c r="C1285" s="5"/>
      <c r="J1285" s="5"/>
    </row>
    <row r="1286" spans="3:10" x14ac:dyDescent="0.35">
      <c r="C1286" s="5"/>
      <c r="J1286" s="5"/>
    </row>
    <row r="1287" spans="3:10" x14ac:dyDescent="0.35">
      <c r="C1287" s="5"/>
      <c r="J1287" s="5"/>
    </row>
    <row r="1288" spans="3:10" x14ac:dyDescent="0.35">
      <c r="C1288" s="5"/>
      <c r="J1288" s="5"/>
    </row>
    <row r="1289" spans="3:10" x14ac:dyDescent="0.35">
      <c r="C1289" s="5"/>
      <c r="J1289" s="5"/>
    </row>
    <row r="1290" spans="3:10" x14ac:dyDescent="0.35">
      <c r="C1290" s="5"/>
      <c r="J1290" s="5"/>
    </row>
    <row r="1291" spans="3:10" x14ac:dyDescent="0.35">
      <c r="C1291" s="5"/>
      <c r="J1291" s="5"/>
    </row>
    <row r="1292" spans="3:10" x14ac:dyDescent="0.35">
      <c r="C1292" s="5"/>
      <c r="J1292" s="5"/>
    </row>
    <row r="1293" spans="3:10" x14ac:dyDescent="0.35">
      <c r="C1293" s="5"/>
      <c r="J1293" s="5"/>
    </row>
    <row r="1294" spans="3:10" x14ac:dyDescent="0.35">
      <c r="C1294" s="5"/>
      <c r="J1294" s="5"/>
    </row>
    <row r="1295" spans="3:10" x14ac:dyDescent="0.35">
      <c r="C1295" s="5"/>
      <c r="J1295" s="5"/>
    </row>
    <row r="1296" spans="3:10" x14ac:dyDescent="0.35">
      <c r="C1296" s="5"/>
      <c r="J1296" s="5"/>
    </row>
    <row r="1297" spans="3:10" x14ac:dyDescent="0.35">
      <c r="C1297" s="5"/>
      <c r="J1297" s="5"/>
    </row>
    <row r="1298" spans="3:10" x14ac:dyDescent="0.35">
      <c r="C1298" s="5"/>
      <c r="J1298" s="5"/>
    </row>
    <row r="1299" spans="3:10" x14ac:dyDescent="0.35">
      <c r="C1299" s="5"/>
      <c r="J1299" s="5"/>
    </row>
    <row r="1300" spans="3:10" x14ac:dyDescent="0.35">
      <c r="C1300" s="5"/>
      <c r="J1300" s="5"/>
    </row>
    <row r="1301" spans="3:10" x14ac:dyDescent="0.35">
      <c r="C1301" s="5"/>
      <c r="J1301" s="5"/>
    </row>
    <row r="1302" spans="3:10" x14ac:dyDescent="0.35">
      <c r="C1302" s="5"/>
      <c r="J1302" s="5"/>
    </row>
    <row r="1303" spans="3:10" x14ac:dyDescent="0.35">
      <c r="C1303" s="5"/>
      <c r="J1303" s="5"/>
    </row>
    <row r="1304" spans="3:10" x14ac:dyDescent="0.35">
      <c r="C1304" s="5"/>
      <c r="J1304" s="5"/>
    </row>
    <row r="1305" spans="3:10" x14ac:dyDescent="0.35">
      <c r="C1305" s="5"/>
      <c r="J1305" s="5"/>
    </row>
    <row r="1306" spans="3:10" x14ac:dyDescent="0.35">
      <c r="C1306" s="5"/>
      <c r="J1306" s="5"/>
    </row>
    <row r="1307" spans="3:10" x14ac:dyDescent="0.35">
      <c r="C1307" s="5"/>
      <c r="J1307" s="5"/>
    </row>
    <row r="1308" spans="3:10" x14ac:dyDescent="0.35">
      <c r="C1308" s="5"/>
      <c r="J1308" s="5"/>
    </row>
    <row r="1309" spans="3:10" x14ac:dyDescent="0.35">
      <c r="C1309" s="5"/>
      <c r="J1309" s="5"/>
    </row>
    <row r="1310" spans="3:10" x14ac:dyDescent="0.35">
      <c r="C1310" s="5"/>
      <c r="J1310" s="5"/>
    </row>
    <row r="1311" spans="3:10" x14ac:dyDescent="0.35">
      <c r="C1311" s="5"/>
      <c r="J1311" s="5"/>
    </row>
    <row r="1312" spans="3:10" x14ac:dyDescent="0.35">
      <c r="C1312" s="5"/>
      <c r="J1312" s="5"/>
    </row>
    <row r="1313" spans="3:10" x14ac:dyDescent="0.35">
      <c r="C1313" s="5"/>
      <c r="J1313" s="5"/>
    </row>
    <row r="1314" spans="3:10" x14ac:dyDescent="0.35">
      <c r="C1314" s="5"/>
      <c r="J1314" s="5"/>
    </row>
    <row r="1315" spans="3:10" x14ac:dyDescent="0.35">
      <c r="C1315" s="5"/>
      <c r="J1315" s="5"/>
    </row>
    <row r="1316" spans="3:10" x14ac:dyDescent="0.35">
      <c r="C1316" s="5"/>
      <c r="J1316" s="5"/>
    </row>
    <row r="1317" spans="3:10" x14ac:dyDescent="0.35">
      <c r="C1317" s="5"/>
      <c r="J1317" s="5"/>
    </row>
    <row r="1318" spans="3:10" x14ac:dyDescent="0.35">
      <c r="C1318" s="5"/>
      <c r="J1318" s="5"/>
    </row>
    <row r="1319" spans="3:10" x14ac:dyDescent="0.35">
      <c r="C1319" s="5"/>
      <c r="J1319" s="5"/>
    </row>
    <row r="1320" spans="3:10" x14ac:dyDescent="0.35">
      <c r="C1320" s="5"/>
      <c r="J1320" s="5"/>
    </row>
    <row r="1321" spans="3:10" x14ac:dyDescent="0.35">
      <c r="C1321" s="5"/>
      <c r="J1321" s="5"/>
    </row>
    <row r="1322" spans="3:10" x14ac:dyDescent="0.35">
      <c r="C1322" s="5"/>
      <c r="J1322" s="5"/>
    </row>
    <row r="1323" spans="3:10" x14ac:dyDescent="0.35">
      <c r="C1323" s="5"/>
      <c r="J1323" s="5"/>
    </row>
    <row r="1324" spans="3:10" x14ac:dyDescent="0.35">
      <c r="C1324" s="5"/>
      <c r="J1324" s="5"/>
    </row>
    <row r="1325" spans="3:10" x14ac:dyDescent="0.35">
      <c r="C1325" s="5"/>
      <c r="J1325" s="5"/>
    </row>
    <row r="1326" spans="3:10" x14ac:dyDescent="0.35">
      <c r="C1326" s="5"/>
      <c r="J1326" s="5"/>
    </row>
    <row r="1327" spans="3:10" x14ac:dyDescent="0.35">
      <c r="C1327" s="5"/>
      <c r="J1327" s="5"/>
    </row>
    <row r="1328" spans="3:10" x14ac:dyDescent="0.35">
      <c r="C1328" s="5"/>
      <c r="J1328" s="5"/>
    </row>
    <row r="1329" spans="3:10" x14ac:dyDescent="0.35">
      <c r="C1329" s="5"/>
      <c r="J1329" s="5"/>
    </row>
    <row r="1330" spans="3:10" x14ac:dyDescent="0.35">
      <c r="C1330" s="5"/>
      <c r="J1330" s="5"/>
    </row>
    <row r="1331" spans="3:10" x14ac:dyDescent="0.35">
      <c r="C1331" s="5"/>
      <c r="J1331" s="5"/>
    </row>
    <row r="1332" spans="3:10" x14ac:dyDescent="0.35">
      <c r="C1332" s="5"/>
      <c r="J1332" s="5"/>
    </row>
    <row r="1333" spans="3:10" x14ac:dyDescent="0.35">
      <c r="C1333" s="5"/>
      <c r="J1333" s="5"/>
    </row>
    <row r="1334" spans="3:10" x14ac:dyDescent="0.35">
      <c r="C1334" s="5"/>
      <c r="J1334" s="5"/>
    </row>
    <row r="1335" spans="3:10" x14ac:dyDescent="0.35">
      <c r="C1335" s="5"/>
      <c r="J1335" s="5"/>
    </row>
    <row r="1336" spans="3:10" x14ac:dyDescent="0.35">
      <c r="C1336" s="5"/>
      <c r="J1336" s="5"/>
    </row>
    <row r="1337" spans="3:10" x14ac:dyDescent="0.35">
      <c r="C1337" s="5"/>
      <c r="J1337" s="5"/>
    </row>
    <row r="1338" spans="3:10" x14ac:dyDescent="0.35">
      <c r="C1338" s="5"/>
      <c r="J1338" s="5"/>
    </row>
    <row r="1339" spans="3:10" x14ac:dyDescent="0.35">
      <c r="C1339" s="5"/>
      <c r="J1339" s="5"/>
    </row>
    <row r="1340" spans="3:10" x14ac:dyDescent="0.35">
      <c r="C1340" s="5"/>
      <c r="J1340" s="5"/>
    </row>
    <row r="1341" spans="3:10" x14ac:dyDescent="0.35">
      <c r="C1341" s="5"/>
      <c r="J1341" s="5"/>
    </row>
    <row r="1342" spans="3:10" x14ac:dyDescent="0.35">
      <c r="C1342" s="5"/>
      <c r="J1342" s="5"/>
    </row>
    <row r="1343" spans="3:10" x14ac:dyDescent="0.35">
      <c r="C1343" s="5"/>
      <c r="J1343" s="5"/>
    </row>
    <row r="1344" spans="3:10" x14ac:dyDescent="0.35">
      <c r="C1344" s="5"/>
      <c r="J1344" s="5"/>
    </row>
    <row r="1345" spans="3:10" x14ac:dyDescent="0.35">
      <c r="C1345" s="5"/>
      <c r="J1345" s="5"/>
    </row>
    <row r="1346" spans="3:10" x14ac:dyDescent="0.35">
      <c r="C1346" s="5"/>
      <c r="J1346" s="5"/>
    </row>
    <row r="1347" spans="3:10" x14ac:dyDescent="0.35">
      <c r="C1347" s="5"/>
      <c r="J1347" s="5"/>
    </row>
    <row r="1348" spans="3:10" x14ac:dyDescent="0.35">
      <c r="C1348" s="5"/>
      <c r="J1348" s="5"/>
    </row>
    <row r="1349" spans="3:10" x14ac:dyDescent="0.35">
      <c r="C1349" s="5"/>
      <c r="J1349" s="5"/>
    </row>
    <row r="1350" spans="3:10" x14ac:dyDescent="0.35">
      <c r="C1350" s="5"/>
      <c r="J1350" s="5"/>
    </row>
    <row r="1351" spans="3:10" x14ac:dyDescent="0.35">
      <c r="C1351" s="5"/>
      <c r="J1351" s="5"/>
    </row>
    <row r="1352" spans="3:10" x14ac:dyDescent="0.35">
      <c r="C1352" s="5"/>
      <c r="J1352" s="5"/>
    </row>
    <row r="1353" spans="3:10" x14ac:dyDescent="0.35">
      <c r="C1353" s="5"/>
      <c r="J1353" s="5"/>
    </row>
    <row r="1354" spans="3:10" x14ac:dyDescent="0.35">
      <c r="C1354" s="5"/>
      <c r="J1354" s="5"/>
    </row>
    <row r="1355" spans="3:10" x14ac:dyDescent="0.35">
      <c r="C1355" s="5"/>
      <c r="J1355" s="5"/>
    </row>
    <row r="1356" spans="3:10" x14ac:dyDescent="0.35">
      <c r="C1356" s="5"/>
      <c r="J1356" s="5"/>
    </row>
    <row r="1357" spans="3:10" x14ac:dyDescent="0.35">
      <c r="C1357" s="5"/>
      <c r="J1357" s="5"/>
    </row>
    <row r="1358" spans="3:10" x14ac:dyDescent="0.35">
      <c r="C1358" s="5"/>
      <c r="J1358" s="5"/>
    </row>
    <row r="1359" spans="3:10" x14ac:dyDescent="0.35">
      <c r="C1359" s="5"/>
      <c r="J1359" s="5"/>
    </row>
    <row r="1360" spans="3:10" x14ac:dyDescent="0.35">
      <c r="C1360" s="5"/>
      <c r="J1360" s="5"/>
    </row>
    <row r="1361" spans="3:10" x14ac:dyDescent="0.35">
      <c r="C1361" s="5"/>
      <c r="J1361" s="5"/>
    </row>
    <row r="1362" spans="3:10" x14ac:dyDescent="0.35">
      <c r="C1362" s="5"/>
      <c r="J1362" s="5"/>
    </row>
    <row r="1363" spans="3:10" x14ac:dyDescent="0.35">
      <c r="C1363" s="5"/>
      <c r="J1363" s="5"/>
    </row>
    <row r="1364" spans="3:10" x14ac:dyDescent="0.35">
      <c r="C1364" s="5"/>
      <c r="J1364" s="5"/>
    </row>
    <row r="1365" spans="3:10" x14ac:dyDescent="0.35">
      <c r="C1365" s="5"/>
      <c r="J1365" s="5"/>
    </row>
    <row r="1366" spans="3:10" x14ac:dyDescent="0.35">
      <c r="C1366" s="5"/>
      <c r="J1366" s="5"/>
    </row>
    <row r="1367" spans="3:10" x14ac:dyDescent="0.35">
      <c r="C1367" s="5"/>
      <c r="J1367" s="5"/>
    </row>
    <row r="1368" spans="3:10" x14ac:dyDescent="0.35">
      <c r="C1368" s="5"/>
      <c r="J1368" s="5"/>
    </row>
    <row r="1369" spans="3:10" x14ac:dyDescent="0.35">
      <c r="C1369" s="5"/>
      <c r="J1369" s="5"/>
    </row>
    <row r="1370" spans="3:10" x14ac:dyDescent="0.35">
      <c r="C1370" s="5"/>
      <c r="J1370" s="5"/>
    </row>
    <row r="1371" spans="3:10" x14ac:dyDescent="0.35">
      <c r="C1371" s="5"/>
      <c r="J1371" s="5"/>
    </row>
    <row r="1372" spans="3:10" x14ac:dyDescent="0.35">
      <c r="C1372" s="5"/>
      <c r="J1372" s="5"/>
    </row>
    <row r="1373" spans="3:10" x14ac:dyDescent="0.35">
      <c r="C1373" s="5"/>
      <c r="J1373" s="5"/>
    </row>
    <row r="1374" spans="3:10" x14ac:dyDescent="0.35">
      <c r="C1374" s="5"/>
      <c r="J1374" s="5"/>
    </row>
    <row r="1375" spans="3:10" x14ac:dyDescent="0.35">
      <c r="C1375" s="5"/>
      <c r="J1375" s="5"/>
    </row>
    <row r="1376" spans="3:10" x14ac:dyDescent="0.35">
      <c r="C1376" s="5"/>
      <c r="J1376" s="5"/>
    </row>
    <row r="1377" spans="3:10" x14ac:dyDescent="0.35">
      <c r="C1377" s="5"/>
      <c r="J1377" s="5"/>
    </row>
    <row r="1378" spans="3:10" x14ac:dyDescent="0.35">
      <c r="C1378" s="5"/>
      <c r="J1378" s="5"/>
    </row>
    <row r="1379" spans="3:10" x14ac:dyDescent="0.35">
      <c r="C1379" s="5"/>
      <c r="J1379" s="5"/>
    </row>
    <row r="1380" spans="3:10" x14ac:dyDescent="0.35">
      <c r="C1380" s="5"/>
      <c r="J1380" s="5"/>
    </row>
    <row r="1381" spans="3:10" x14ac:dyDescent="0.35">
      <c r="C1381" s="5"/>
      <c r="J1381" s="5"/>
    </row>
    <row r="1382" spans="3:10" x14ac:dyDescent="0.35">
      <c r="C1382" s="5"/>
      <c r="J1382" s="5"/>
    </row>
    <row r="1383" spans="3:10" x14ac:dyDescent="0.35">
      <c r="C1383" s="5"/>
      <c r="J1383" s="5"/>
    </row>
    <row r="1384" spans="3:10" x14ac:dyDescent="0.35">
      <c r="C1384" s="5"/>
      <c r="J1384" s="5"/>
    </row>
    <row r="1385" spans="3:10" x14ac:dyDescent="0.35">
      <c r="C1385" s="5"/>
      <c r="J1385" s="5"/>
    </row>
    <row r="1386" spans="3:10" x14ac:dyDescent="0.35">
      <c r="C1386" s="5"/>
      <c r="J1386" s="5"/>
    </row>
    <row r="1387" spans="3:10" x14ac:dyDescent="0.35">
      <c r="C1387" s="5"/>
      <c r="J1387" s="5"/>
    </row>
    <row r="1388" spans="3:10" x14ac:dyDescent="0.35">
      <c r="C1388" s="5"/>
      <c r="J1388" s="5"/>
    </row>
    <row r="1389" spans="3:10" x14ac:dyDescent="0.35">
      <c r="C1389" s="5"/>
      <c r="J1389" s="5"/>
    </row>
    <row r="1390" spans="3:10" x14ac:dyDescent="0.35">
      <c r="C1390" s="5"/>
      <c r="J1390" s="5"/>
    </row>
    <row r="1391" spans="3:10" x14ac:dyDescent="0.35">
      <c r="C1391" s="5"/>
      <c r="J1391" s="5"/>
    </row>
    <row r="1392" spans="3:10" x14ac:dyDescent="0.35">
      <c r="C1392" s="5"/>
      <c r="J1392" s="5"/>
    </row>
    <row r="1393" spans="3:10" x14ac:dyDescent="0.35">
      <c r="C1393" s="5"/>
      <c r="J1393" s="5"/>
    </row>
    <row r="1394" spans="3:10" x14ac:dyDescent="0.35">
      <c r="C1394" s="5"/>
      <c r="J1394" s="5"/>
    </row>
    <row r="1395" spans="3:10" x14ac:dyDescent="0.35">
      <c r="C1395" s="5"/>
      <c r="J1395" s="5"/>
    </row>
    <row r="1396" spans="3:10" x14ac:dyDescent="0.35">
      <c r="C1396" s="5"/>
      <c r="J1396" s="5"/>
    </row>
    <row r="1397" spans="3:10" x14ac:dyDescent="0.35">
      <c r="C1397" s="5"/>
      <c r="J1397" s="5"/>
    </row>
    <row r="1398" spans="3:10" x14ac:dyDescent="0.35">
      <c r="C1398" s="5"/>
      <c r="J1398" s="5"/>
    </row>
    <row r="1399" spans="3:10" x14ac:dyDescent="0.35">
      <c r="C1399" s="5"/>
      <c r="J1399" s="5"/>
    </row>
    <row r="1400" spans="3:10" x14ac:dyDescent="0.35">
      <c r="C1400" s="5"/>
      <c r="J1400" s="5"/>
    </row>
    <row r="1401" spans="3:10" x14ac:dyDescent="0.35">
      <c r="C1401" s="5"/>
      <c r="J1401" s="5"/>
    </row>
    <row r="1402" spans="3:10" x14ac:dyDescent="0.35">
      <c r="C1402" s="5"/>
      <c r="J1402" s="5"/>
    </row>
    <row r="1403" spans="3:10" x14ac:dyDescent="0.35">
      <c r="C1403" s="5"/>
      <c r="J1403" s="5"/>
    </row>
    <row r="1404" spans="3:10" x14ac:dyDescent="0.35">
      <c r="C1404" s="5"/>
      <c r="J1404" s="5"/>
    </row>
    <row r="1405" spans="3:10" x14ac:dyDescent="0.35">
      <c r="C1405" s="5"/>
      <c r="J1405" s="5"/>
    </row>
    <row r="1406" spans="3:10" x14ac:dyDescent="0.35">
      <c r="C1406" s="5"/>
      <c r="J1406" s="5"/>
    </row>
    <row r="1407" spans="3:10" x14ac:dyDescent="0.35">
      <c r="C1407" s="5"/>
      <c r="J1407" s="5"/>
    </row>
    <row r="1408" spans="3:10" x14ac:dyDescent="0.35">
      <c r="C1408" s="5"/>
      <c r="J1408" s="5"/>
    </row>
    <row r="1409" spans="3:10" x14ac:dyDescent="0.35">
      <c r="C1409" s="5"/>
      <c r="J1409" s="5"/>
    </row>
    <row r="1410" spans="3:10" x14ac:dyDescent="0.35">
      <c r="C1410" s="5"/>
      <c r="J1410" s="5"/>
    </row>
    <row r="1411" spans="3:10" x14ac:dyDescent="0.35">
      <c r="C1411" s="5"/>
      <c r="J1411" s="5"/>
    </row>
    <row r="1412" spans="3:10" x14ac:dyDescent="0.35">
      <c r="C1412" s="5"/>
      <c r="J1412" s="5"/>
    </row>
    <row r="1413" spans="3:10" x14ac:dyDescent="0.35">
      <c r="C1413" s="5"/>
      <c r="J1413" s="5"/>
    </row>
    <row r="1414" spans="3:10" x14ac:dyDescent="0.35">
      <c r="C1414" s="5"/>
      <c r="J1414" s="5"/>
    </row>
    <row r="1415" spans="3:10" x14ac:dyDescent="0.35">
      <c r="C1415" s="5"/>
      <c r="J1415" s="5"/>
    </row>
    <row r="1416" spans="3:10" x14ac:dyDescent="0.35">
      <c r="C1416" s="5"/>
      <c r="J1416" s="5"/>
    </row>
    <row r="1417" spans="3:10" x14ac:dyDescent="0.35">
      <c r="C1417" s="5"/>
      <c r="J1417" s="5"/>
    </row>
    <row r="1418" spans="3:10" x14ac:dyDescent="0.35">
      <c r="C1418" s="5"/>
      <c r="J1418" s="5"/>
    </row>
    <row r="1419" spans="3:10" x14ac:dyDescent="0.35">
      <c r="C1419" s="5"/>
      <c r="J1419" s="5"/>
    </row>
    <row r="1420" spans="3:10" x14ac:dyDescent="0.35">
      <c r="C1420" s="5"/>
      <c r="J1420" s="5"/>
    </row>
    <row r="1421" spans="3:10" x14ac:dyDescent="0.35">
      <c r="C1421" s="5"/>
      <c r="J1421" s="5"/>
    </row>
    <row r="1422" spans="3:10" x14ac:dyDescent="0.35">
      <c r="C1422" s="5"/>
      <c r="J1422" s="5"/>
    </row>
    <row r="1423" spans="3:10" x14ac:dyDescent="0.35">
      <c r="C1423" s="5"/>
      <c r="J1423" s="5"/>
    </row>
    <row r="1424" spans="3:10" x14ac:dyDescent="0.35">
      <c r="C1424" s="5"/>
      <c r="J1424" s="5"/>
    </row>
    <row r="1425" spans="3:10" x14ac:dyDescent="0.35">
      <c r="C1425" s="5"/>
      <c r="J1425" s="5"/>
    </row>
    <row r="1426" spans="3:10" x14ac:dyDescent="0.35">
      <c r="C1426" s="5"/>
      <c r="J1426" s="5"/>
    </row>
    <row r="1427" spans="3:10" x14ac:dyDescent="0.35">
      <c r="C1427" s="5"/>
      <c r="J1427" s="5"/>
    </row>
    <row r="1428" spans="3:10" x14ac:dyDescent="0.35">
      <c r="C1428" s="5"/>
      <c r="J1428" s="5"/>
    </row>
    <row r="1429" spans="3:10" x14ac:dyDescent="0.35">
      <c r="C1429" s="5"/>
      <c r="J1429" s="5"/>
    </row>
    <row r="1430" spans="3:10" x14ac:dyDescent="0.35">
      <c r="C1430" s="5"/>
      <c r="J1430" s="5"/>
    </row>
    <row r="1431" spans="3:10" x14ac:dyDescent="0.35">
      <c r="C1431" s="5"/>
      <c r="J1431" s="5"/>
    </row>
    <row r="1432" spans="3:10" x14ac:dyDescent="0.35">
      <c r="C1432" s="5"/>
      <c r="J1432" s="5"/>
    </row>
    <row r="1433" spans="3:10" x14ac:dyDescent="0.35">
      <c r="C1433" s="5"/>
      <c r="J1433" s="5"/>
    </row>
    <row r="1434" spans="3:10" x14ac:dyDescent="0.35">
      <c r="C1434" s="5"/>
      <c r="J1434" s="5"/>
    </row>
    <row r="1435" spans="3:10" x14ac:dyDescent="0.35">
      <c r="C1435" s="5"/>
      <c r="J1435" s="5"/>
    </row>
    <row r="1436" spans="3:10" x14ac:dyDescent="0.35">
      <c r="C1436" s="5"/>
      <c r="J1436" s="5"/>
    </row>
    <row r="1437" spans="3:10" x14ac:dyDescent="0.35">
      <c r="C1437" s="5"/>
      <c r="J1437" s="5"/>
    </row>
    <row r="1438" spans="3:10" x14ac:dyDescent="0.35">
      <c r="C1438" s="5"/>
      <c r="J1438" s="5"/>
    </row>
    <row r="1439" spans="3:10" x14ac:dyDescent="0.35">
      <c r="C1439" s="5"/>
      <c r="J1439" s="5"/>
    </row>
    <row r="1440" spans="3:10" x14ac:dyDescent="0.35">
      <c r="C1440" s="5"/>
      <c r="J1440" s="5"/>
    </row>
    <row r="1441" spans="3:10" x14ac:dyDescent="0.35">
      <c r="C1441" s="5"/>
      <c r="J1441" s="5"/>
    </row>
    <row r="1442" spans="3:10" x14ac:dyDescent="0.35">
      <c r="C1442" s="5"/>
      <c r="J1442" s="5"/>
    </row>
    <row r="1443" spans="3:10" x14ac:dyDescent="0.35">
      <c r="C1443" s="5"/>
      <c r="J1443" s="5"/>
    </row>
    <row r="1444" spans="3:10" x14ac:dyDescent="0.35">
      <c r="C1444" s="5"/>
      <c r="J1444" s="5"/>
    </row>
    <row r="1445" spans="3:10" x14ac:dyDescent="0.35">
      <c r="C1445" s="5"/>
      <c r="J1445" s="5"/>
    </row>
    <row r="1446" spans="3:10" x14ac:dyDescent="0.35">
      <c r="C1446" s="5"/>
      <c r="J1446" s="5"/>
    </row>
    <row r="1447" spans="3:10" x14ac:dyDescent="0.35">
      <c r="C1447" s="5"/>
      <c r="J1447" s="5"/>
    </row>
    <row r="1448" spans="3:10" x14ac:dyDescent="0.35">
      <c r="C1448" s="5"/>
      <c r="J1448" s="5"/>
    </row>
    <row r="1449" spans="3:10" x14ac:dyDescent="0.35">
      <c r="C1449" s="5"/>
      <c r="J1449" s="5"/>
    </row>
    <row r="1450" spans="3:10" x14ac:dyDescent="0.35">
      <c r="C1450" s="5"/>
      <c r="J1450" s="5"/>
    </row>
    <row r="1451" spans="3:10" x14ac:dyDescent="0.35">
      <c r="C1451" s="5"/>
      <c r="J1451" s="5"/>
    </row>
    <row r="1452" spans="3:10" x14ac:dyDescent="0.35">
      <c r="C1452" s="5"/>
      <c r="J1452" s="5"/>
    </row>
    <row r="1453" spans="3:10" x14ac:dyDescent="0.35">
      <c r="C1453" s="5"/>
      <c r="J1453" s="5"/>
    </row>
    <row r="1454" spans="3:10" x14ac:dyDescent="0.35">
      <c r="C1454" s="5"/>
      <c r="J1454" s="5"/>
    </row>
    <row r="1455" spans="3:10" x14ac:dyDescent="0.35">
      <c r="C1455" s="5"/>
      <c r="J1455" s="5"/>
    </row>
    <row r="1456" spans="3:10" x14ac:dyDescent="0.35">
      <c r="C1456" s="5"/>
      <c r="J1456" s="5"/>
    </row>
    <row r="1457" spans="3:10" x14ac:dyDescent="0.35">
      <c r="C1457" s="5"/>
      <c r="J1457" s="5"/>
    </row>
    <row r="1458" spans="3:10" x14ac:dyDescent="0.35">
      <c r="C1458" s="5"/>
      <c r="J1458" s="5"/>
    </row>
    <row r="1459" spans="3:10" x14ac:dyDescent="0.35">
      <c r="C1459" s="5"/>
      <c r="J1459" s="5"/>
    </row>
    <row r="1460" spans="3:10" x14ac:dyDescent="0.35">
      <c r="C1460" s="5"/>
      <c r="J1460" s="5"/>
    </row>
    <row r="1461" spans="3:10" x14ac:dyDescent="0.35">
      <c r="C1461" s="5"/>
      <c r="J1461" s="5"/>
    </row>
    <row r="1462" spans="3:10" x14ac:dyDescent="0.35">
      <c r="C1462" s="5"/>
      <c r="J1462" s="5"/>
    </row>
    <row r="1463" spans="3:10" x14ac:dyDescent="0.35">
      <c r="C1463" s="5"/>
      <c r="J1463" s="5"/>
    </row>
    <row r="1464" spans="3:10" x14ac:dyDescent="0.35">
      <c r="C1464" s="5"/>
      <c r="J1464" s="5"/>
    </row>
    <row r="1465" spans="3:10" x14ac:dyDescent="0.35">
      <c r="C1465" s="5"/>
      <c r="J1465" s="5"/>
    </row>
    <row r="1466" spans="3:10" x14ac:dyDescent="0.35">
      <c r="C1466" s="5"/>
      <c r="J1466" s="5"/>
    </row>
    <row r="1467" spans="3:10" x14ac:dyDescent="0.35">
      <c r="C1467" s="5"/>
      <c r="J1467" s="5"/>
    </row>
    <row r="1468" spans="3:10" x14ac:dyDescent="0.35">
      <c r="C1468" s="5"/>
      <c r="J1468" s="5"/>
    </row>
    <row r="1469" spans="3:10" x14ac:dyDescent="0.35">
      <c r="C1469" s="5"/>
      <c r="J1469" s="5"/>
    </row>
    <row r="1470" spans="3:10" x14ac:dyDescent="0.35">
      <c r="C1470" s="5"/>
      <c r="J1470" s="5"/>
    </row>
    <row r="1471" spans="3:10" x14ac:dyDescent="0.35">
      <c r="C1471" s="5"/>
      <c r="J1471" s="5"/>
    </row>
    <row r="1472" spans="3:10" x14ac:dyDescent="0.35">
      <c r="C1472" s="5"/>
      <c r="J1472" s="5"/>
    </row>
    <row r="1473" spans="3:10" x14ac:dyDescent="0.35">
      <c r="C1473" s="5"/>
      <c r="J1473" s="5"/>
    </row>
    <row r="1474" spans="3:10" x14ac:dyDescent="0.35">
      <c r="C1474" s="5"/>
      <c r="J1474" s="5"/>
    </row>
    <row r="1475" spans="3:10" x14ac:dyDescent="0.35">
      <c r="C1475" s="5"/>
      <c r="J1475" s="5"/>
    </row>
    <row r="1476" spans="3:10" x14ac:dyDescent="0.35">
      <c r="C1476" s="5"/>
      <c r="J1476" s="5"/>
    </row>
    <row r="1477" spans="3:10" x14ac:dyDescent="0.35">
      <c r="C1477" s="5"/>
      <c r="J1477" s="5"/>
    </row>
    <row r="1478" spans="3:10" x14ac:dyDescent="0.35">
      <c r="C1478" s="5"/>
      <c r="J1478" s="5"/>
    </row>
    <row r="1479" spans="3:10" x14ac:dyDescent="0.35">
      <c r="C1479" s="5"/>
      <c r="J1479" s="5"/>
    </row>
    <row r="1480" spans="3:10" x14ac:dyDescent="0.35">
      <c r="C1480" s="5"/>
      <c r="J1480" s="5"/>
    </row>
    <row r="1481" spans="3:10" x14ac:dyDescent="0.35">
      <c r="C1481" s="5"/>
      <c r="J1481" s="5"/>
    </row>
    <row r="1482" spans="3:10" x14ac:dyDescent="0.35">
      <c r="C1482" s="5"/>
      <c r="J1482" s="5"/>
    </row>
    <row r="1483" spans="3:10" x14ac:dyDescent="0.35">
      <c r="C1483" s="5"/>
      <c r="J1483" s="5"/>
    </row>
    <row r="1484" spans="3:10" x14ac:dyDescent="0.35">
      <c r="C1484" s="5"/>
      <c r="J1484" s="5"/>
    </row>
    <row r="1485" spans="3:10" x14ac:dyDescent="0.35">
      <c r="C1485" s="5"/>
      <c r="J1485" s="5"/>
    </row>
    <row r="1486" spans="3:10" x14ac:dyDescent="0.35">
      <c r="C1486" s="5"/>
      <c r="J1486" s="5"/>
    </row>
    <row r="1487" spans="3:10" x14ac:dyDescent="0.35">
      <c r="C1487" s="5"/>
      <c r="J1487" s="5"/>
    </row>
    <row r="1488" spans="3:10" x14ac:dyDescent="0.35">
      <c r="C1488" s="5"/>
      <c r="J1488" s="5"/>
    </row>
    <row r="1489" spans="3:10" x14ac:dyDescent="0.35">
      <c r="C1489" s="5"/>
      <c r="J1489" s="5"/>
    </row>
    <row r="1490" spans="3:10" x14ac:dyDescent="0.35">
      <c r="C1490" s="5"/>
      <c r="J1490" s="5"/>
    </row>
    <row r="1491" spans="3:10" x14ac:dyDescent="0.35">
      <c r="C1491" s="5"/>
      <c r="J1491" s="5"/>
    </row>
    <row r="1492" spans="3:10" x14ac:dyDescent="0.35">
      <c r="C1492" s="5"/>
      <c r="J1492" s="5"/>
    </row>
    <row r="1493" spans="3:10" x14ac:dyDescent="0.35">
      <c r="C1493" s="5"/>
      <c r="J1493" s="5"/>
    </row>
    <row r="1494" spans="3:10" x14ac:dyDescent="0.35">
      <c r="C1494" s="5"/>
      <c r="J1494" s="5"/>
    </row>
    <row r="1495" spans="3:10" x14ac:dyDescent="0.35">
      <c r="C1495" s="5"/>
      <c r="J1495" s="5"/>
    </row>
    <row r="1496" spans="3:10" x14ac:dyDescent="0.35">
      <c r="C1496" s="5"/>
      <c r="J1496" s="5"/>
    </row>
    <row r="1497" spans="3:10" x14ac:dyDescent="0.35">
      <c r="C1497" s="5"/>
      <c r="J1497" s="5"/>
    </row>
    <row r="1498" spans="3:10" x14ac:dyDescent="0.35">
      <c r="C1498" s="5"/>
      <c r="J1498" s="5"/>
    </row>
    <row r="1499" spans="3:10" x14ac:dyDescent="0.35">
      <c r="C1499" s="5"/>
      <c r="J1499" s="5"/>
    </row>
    <row r="1500" spans="3:10" x14ac:dyDescent="0.35">
      <c r="C1500" s="5"/>
      <c r="J1500" s="5"/>
    </row>
    <row r="1501" spans="3:10" x14ac:dyDescent="0.35">
      <c r="C1501" s="5"/>
      <c r="J1501" s="5"/>
    </row>
    <row r="1502" spans="3:10" x14ac:dyDescent="0.35">
      <c r="C1502" s="5"/>
      <c r="J1502" s="5"/>
    </row>
    <row r="1503" spans="3:10" x14ac:dyDescent="0.35">
      <c r="C1503" s="5"/>
      <c r="J1503" s="5"/>
    </row>
    <row r="1504" spans="3:10" x14ac:dyDescent="0.35">
      <c r="C1504" s="5"/>
      <c r="J1504" s="5"/>
    </row>
    <row r="1505" spans="3:10" x14ac:dyDescent="0.35">
      <c r="C1505" s="5"/>
      <c r="J1505" s="5"/>
    </row>
    <row r="1506" spans="3:10" x14ac:dyDescent="0.35">
      <c r="C1506" s="5"/>
      <c r="J1506" s="5"/>
    </row>
    <row r="1507" spans="3:10" x14ac:dyDescent="0.35">
      <c r="C1507" s="5"/>
      <c r="J1507" s="5"/>
    </row>
    <row r="1508" spans="3:10" x14ac:dyDescent="0.35">
      <c r="C1508" s="5"/>
      <c r="J1508" s="5"/>
    </row>
    <row r="1509" spans="3:10" x14ac:dyDescent="0.35">
      <c r="C1509" s="5"/>
      <c r="J1509" s="5"/>
    </row>
    <row r="1510" spans="3:10" x14ac:dyDescent="0.35">
      <c r="C1510" s="5"/>
      <c r="J1510" s="5"/>
    </row>
    <row r="1511" spans="3:10" x14ac:dyDescent="0.35">
      <c r="C1511" s="5"/>
      <c r="J1511" s="5"/>
    </row>
    <row r="1512" spans="3:10" x14ac:dyDescent="0.35">
      <c r="C1512" s="5"/>
      <c r="J1512" s="5"/>
    </row>
    <row r="1513" spans="3:10" x14ac:dyDescent="0.35">
      <c r="C1513" s="5"/>
      <c r="J1513" s="5"/>
    </row>
    <row r="1514" spans="3:10" x14ac:dyDescent="0.35">
      <c r="C1514" s="5"/>
      <c r="J1514" s="5"/>
    </row>
    <row r="1515" spans="3:10" x14ac:dyDescent="0.35">
      <c r="C1515" s="5"/>
      <c r="J1515" s="5"/>
    </row>
    <row r="1516" spans="3:10" x14ac:dyDescent="0.35">
      <c r="C1516" s="5"/>
      <c r="J1516" s="5"/>
    </row>
    <row r="1517" spans="3:10" x14ac:dyDescent="0.35">
      <c r="C1517" s="5"/>
      <c r="J1517" s="5"/>
    </row>
    <row r="1518" spans="3:10" x14ac:dyDescent="0.35">
      <c r="C1518" s="5"/>
      <c r="J1518" s="5"/>
    </row>
    <row r="1519" spans="3:10" x14ac:dyDescent="0.35">
      <c r="C1519" s="5"/>
      <c r="J1519" s="5"/>
    </row>
    <row r="1520" spans="3:10" x14ac:dyDescent="0.35">
      <c r="C1520" s="5"/>
      <c r="J1520" s="5"/>
    </row>
    <row r="1521" spans="3:10" x14ac:dyDescent="0.35">
      <c r="C1521" s="5"/>
      <c r="J1521" s="5"/>
    </row>
    <row r="1522" spans="3:10" x14ac:dyDescent="0.35">
      <c r="C1522" s="5"/>
      <c r="J1522" s="5"/>
    </row>
    <row r="1523" spans="3:10" x14ac:dyDescent="0.35">
      <c r="C1523" s="5"/>
      <c r="J1523" s="5"/>
    </row>
    <row r="1524" spans="3:10" x14ac:dyDescent="0.35">
      <c r="C1524" s="5"/>
      <c r="J1524" s="5"/>
    </row>
    <row r="1525" spans="3:10" x14ac:dyDescent="0.35">
      <c r="C1525" s="5"/>
      <c r="J1525" s="5"/>
    </row>
    <row r="1526" spans="3:10" x14ac:dyDescent="0.35">
      <c r="C1526" s="5"/>
      <c r="J1526" s="5"/>
    </row>
    <row r="1527" spans="3:10" x14ac:dyDescent="0.35">
      <c r="C1527" s="5"/>
      <c r="J1527" s="5"/>
    </row>
    <row r="1528" spans="3:10" x14ac:dyDescent="0.35">
      <c r="C1528" s="5"/>
      <c r="J1528" s="5"/>
    </row>
    <row r="1529" spans="3:10" x14ac:dyDescent="0.35">
      <c r="C1529" s="5"/>
      <c r="J1529" s="5"/>
    </row>
    <row r="1530" spans="3:10" x14ac:dyDescent="0.35">
      <c r="C1530" s="5"/>
      <c r="J1530" s="5"/>
    </row>
    <row r="1531" spans="3:10" x14ac:dyDescent="0.35">
      <c r="C1531" s="5"/>
      <c r="J1531" s="5"/>
    </row>
    <row r="1532" spans="3:10" x14ac:dyDescent="0.35">
      <c r="C1532" s="5"/>
      <c r="J1532" s="5"/>
    </row>
    <row r="1533" spans="3:10" x14ac:dyDescent="0.35">
      <c r="C1533" s="5"/>
      <c r="J1533" s="5"/>
    </row>
    <row r="1534" spans="3:10" x14ac:dyDescent="0.35">
      <c r="C1534" s="5"/>
      <c r="J1534" s="5"/>
    </row>
    <row r="1535" spans="3:10" x14ac:dyDescent="0.35">
      <c r="C1535" s="5"/>
      <c r="J1535" s="5"/>
    </row>
    <row r="1536" spans="3:10" x14ac:dyDescent="0.35">
      <c r="C1536" s="5"/>
      <c r="J1536" s="5"/>
    </row>
    <row r="1537" spans="3:10" x14ac:dyDescent="0.35">
      <c r="C1537" s="5"/>
      <c r="J1537" s="5"/>
    </row>
    <row r="1538" spans="3:10" x14ac:dyDescent="0.35">
      <c r="C1538" s="5"/>
      <c r="J1538" s="5"/>
    </row>
    <row r="1539" spans="3:10" x14ac:dyDescent="0.35">
      <c r="C1539" s="5"/>
      <c r="J1539" s="5"/>
    </row>
    <row r="1540" spans="3:10" x14ac:dyDescent="0.35">
      <c r="C1540" s="5"/>
      <c r="J1540" s="5"/>
    </row>
    <row r="1541" spans="3:10" x14ac:dyDescent="0.35">
      <c r="C1541" s="5"/>
      <c r="J1541" s="5"/>
    </row>
    <row r="1542" spans="3:10" x14ac:dyDescent="0.35">
      <c r="C1542" s="5"/>
      <c r="J1542" s="5"/>
    </row>
    <row r="1543" spans="3:10" x14ac:dyDescent="0.35">
      <c r="C1543" s="5"/>
      <c r="J1543" s="5"/>
    </row>
    <row r="1544" spans="3:10" x14ac:dyDescent="0.35">
      <c r="C1544" s="5"/>
      <c r="J1544" s="5"/>
    </row>
    <row r="1545" spans="3:10" x14ac:dyDescent="0.35">
      <c r="C1545" s="5"/>
      <c r="J1545" s="5"/>
    </row>
    <row r="1546" spans="3:10" x14ac:dyDescent="0.35">
      <c r="C1546" s="5"/>
      <c r="J1546" s="5"/>
    </row>
    <row r="1547" spans="3:10" x14ac:dyDescent="0.35">
      <c r="C1547" s="5"/>
      <c r="J1547" s="5"/>
    </row>
    <row r="1548" spans="3:10" x14ac:dyDescent="0.35">
      <c r="C1548" s="5"/>
      <c r="J1548" s="5"/>
    </row>
    <row r="1549" spans="3:10" x14ac:dyDescent="0.35">
      <c r="C1549" s="5"/>
      <c r="J1549" s="5"/>
    </row>
    <row r="1550" spans="3:10" x14ac:dyDescent="0.35">
      <c r="C1550" s="5"/>
      <c r="J1550" s="5"/>
    </row>
    <row r="1551" spans="3:10" x14ac:dyDescent="0.35">
      <c r="C1551" s="5"/>
      <c r="J1551" s="5"/>
    </row>
    <row r="1552" spans="3:10" x14ac:dyDescent="0.35">
      <c r="C1552" s="5"/>
      <c r="J1552" s="5"/>
    </row>
    <row r="1553" spans="3:10" x14ac:dyDescent="0.35">
      <c r="C1553" s="5"/>
      <c r="J1553" s="5"/>
    </row>
    <row r="1554" spans="3:10" x14ac:dyDescent="0.35">
      <c r="C1554" s="5"/>
      <c r="J1554" s="5"/>
    </row>
    <row r="1555" spans="3:10" x14ac:dyDescent="0.35">
      <c r="C1555" s="5"/>
      <c r="J1555" s="5"/>
    </row>
    <row r="1556" spans="3:10" x14ac:dyDescent="0.35">
      <c r="C1556" s="5"/>
      <c r="J1556" s="5"/>
    </row>
    <row r="1557" spans="3:10" x14ac:dyDescent="0.35">
      <c r="C1557" s="5"/>
      <c r="J1557" s="5"/>
    </row>
    <row r="1558" spans="3:10" x14ac:dyDescent="0.35">
      <c r="C1558" s="5"/>
      <c r="J1558" s="5"/>
    </row>
    <row r="1559" spans="3:10" x14ac:dyDescent="0.35">
      <c r="C1559" s="5"/>
      <c r="J1559" s="5"/>
    </row>
    <row r="1560" spans="3:10" x14ac:dyDescent="0.35">
      <c r="C1560" s="5"/>
      <c r="J1560" s="5"/>
    </row>
    <row r="1561" spans="3:10" x14ac:dyDescent="0.35">
      <c r="C1561" s="5"/>
      <c r="J1561" s="5"/>
    </row>
    <row r="1562" spans="3:10" x14ac:dyDescent="0.35">
      <c r="C1562" s="5"/>
      <c r="J1562" s="5"/>
    </row>
    <row r="1563" spans="3:10" x14ac:dyDescent="0.35">
      <c r="C1563" s="5"/>
      <c r="J1563" s="5"/>
    </row>
    <row r="1564" spans="3:10" x14ac:dyDescent="0.35">
      <c r="C1564" s="5"/>
      <c r="J1564" s="5"/>
    </row>
    <row r="1565" spans="3:10" x14ac:dyDescent="0.35">
      <c r="C1565" s="5"/>
      <c r="J1565" s="5"/>
    </row>
    <row r="1566" spans="3:10" x14ac:dyDescent="0.35">
      <c r="C1566" s="5"/>
      <c r="J1566" s="5"/>
    </row>
    <row r="1567" spans="3:10" x14ac:dyDescent="0.35">
      <c r="C1567" s="5"/>
      <c r="J1567" s="5"/>
    </row>
    <row r="1568" spans="3:10" x14ac:dyDescent="0.35">
      <c r="C1568" s="5"/>
      <c r="J1568" s="5"/>
    </row>
    <row r="1569" spans="3:10" x14ac:dyDescent="0.35">
      <c r="C1569" s="5"/>
      <c r="J1569" s="5"/>
    </row>
    <row r="1570" spans="3:10" x14ac:dyDescent="0.35">
      <c r="C1570" s="5"/>
      <c r="J1570" s="5"/>
    </row>
    <row r="1571" spans="3:10" x14ac:dyDescent="0.35">
      <c r="C1571" s="5"/>
      <c r="J1571" s="5"/>
    </row>
    <row r="1572" spans="3:10" x14ac:dyDescent="0.35">
      <c r="C1572" s="5"/>
      <c r="J1572" s="5"/>
    </row>
    <row r="1573" spans="3:10" x14ac:dyDescent="0.35">
      <c r="C1573" s="5"/>
      <c r="J1573" s="5"/>
    </row>
    <row r="1574" spans="3:10" x14ac:dyDescent="0.35">
      <c r="C1574" s="5"/>
      <c r="J1574" s="5"/>
    </row>
    <row r="1575" spans="3:10" x14ac:dyDescent="0.35">
      <c r="C1575" s="5"/>
      <c r="J1575" s="5"/>
    </row>
    <row r="1576" spans="3:10" x14ac:dyDescent="0.35">
      <c r="C1576" s="5"/>
      <c r="J1576" s="5"/>
    </row>
    <row r="1577" spans="3:10" x14ac:dyDescent="0.35">
      <c r="C1577" s="5"/>
      <c r="J1577" s="5"/>
    </row>
    <row r="1578" spans="3:10" x14ac:dyDescent="0.35">
      <c r="C1578" s="5"/>
      <c r="J1578" s="5"/>
    </row>
    <row r="1579" spans="3:10" x14ac:dyDescent="0.35">
      <c r="C1579" s="5"/>
      <c r="J1579" s="5"/>
    </row>
    <row r="1580" spans="3:10" x14ac:dyDescent="0.35">
      <c r="C1580" s="5"/>
      <c r="J1580" s="5"/>
    </row>
    <row r="1581" spans="3:10" x14ac:dyDescent="0.35">
      <c r="C1581" s="5"/>
      <c r="J1581" s="5"/>
    </row>
    <row r="1582" spans="3:10" x14ac:dyDescent="0.35">
      <c r="C1582" s="5"/>
      <c r="J1582" s="5"/>
    </row>
    <row r="1583" spans="3:10" x14ac:dyDescent="0.35">
      <c r="C1583" s="5"/>
      <c r="J1583" s="5"/>
    </row>
    <row r="1584" spans="3:10" x14ac:dyDescent="0.35">
      <c r="C1584" s="5"/>
      <c r="J1584" s="5"/>
    </row>
    <row r="1585" spans="3:10" x14ac:dyDescent="0.35">
      <c r="C1585" s="5"/>
      <c r="J1585" s="5"/>
    </row>
    <row r="1586" spans="3:10" x14ac:dyDescent="0.35">
      <c r="C1586" s="5"/>
      <c r="J1586" s="5"/>
    </row>
    <row r="1587" spans="3:10" x14ac:dyDescent="0.35">
      <c r="C1587" s="5"/>
      <c r="J1587" s="5"/>
    </row>
    <row r="1588" spans="3:10" x14ac:dyDescent="0.35">
      <c r="C1588" s="5"/>
      <c r="J1588" s="5"/>
    </row>
    <row r="1589" spans="3:10" x14ac:dyDescent="0.35">
      <c r="C1589" s="5"/>
      <c r="J1589" s="5"/>
    </row>
    <row r="1590" spans="3:10" x14ac:dyDescent="0.35">
      <c r="C1590" s="5"/>
      <c r="J1590" s="5"/>
    </row>
    <row r="1591" spans="3:10" x14ac:dyDescent="0.35">
      <c r="C1591" s="5"/>
      <c r="J1591" s="5"/>
    </row>
    <row r="1592" spans="3:10" x14ac:dyDescent="0.35">
      <c r="C1592" s="5"/>
      <c r="J1592" s="5"/>
    </row>
    <row r="1593" spans="3:10" x14ac:dyDescent="0.35">
      <c r="C1593" s="5"/>
      <c r="J1593" s="5"/>
    </row>
    <row r="1594" spans="3:10" x14ac:dyDescent="0.35">
      <c r="C1594" s="5"/>
      <c r="J1594" s="5"/>
    </row>
    <row r="1595" spans="3:10" x14ac:dyDescent="0.35">
      <c r="C1595" s="5"/>
      <c r="J1595" s="5"/>
    </row>
    <row r="1596" spans="3:10" x14ac:dyDescent="0.35">
      <c r="C1596" s="5"/>
      <c r="J1596" s="5"/>
    </row>
    <row r="1597" spans="3:10" x14ac:dyDescent="0.35">
      <c r="C1597" s="5"/>
      <c r="J1597" s="5"/>
    </row>
    <row r="1598" spans="3:10" x14ac:dyDescent="0.35">
      <c r="C1598" s="5"/>
      <c r="J1598" s="5"/>
    </row>
    <row r="1599" spans="3:10" x14ac:dyDescent="0.35">
      <c r="C1599" s="5"/>
      <c r="J1599" s="5"/>
    </row>
    <row r="1600" spans="3:10" x14ac:dyDescent="0.35">
      <c r="C1600" s="5"/>
      <c r="J1600" s="5"/>
    </row>
    <row r="1601" spans="3:10" x14ac:dyDescent="0.35">
      <c r="C1601" s="5"/>
      <c r="J1601" s="5"/>
    </row>
    <row r="1602" spans="3:10" x14ac:dyDescent="0.35">
      <c r="C1602" s="5"/>
      <c r="J1602" s="5"/>
    </row>
    <row r="1603" spans="3:10" x14ac:dyDescent="0.35">
      <c r="C1603" s="5"/>
      <c r="J1603" s="5"/>
    </row>
    <row r="1604" spans="3:10" x14ac:dyDescent="0.35">
      <c r="C1604" s="5"/>
      <c r="J1604" s="5"/>
    </row>
    <row r="1605" spans="3:10" x14ac:dyDescent="0.35">
      <c r="C1605" s="5"/>
      <c r="J1605" s="5"/>
    </row>
    <row r="1606" spans="3:10" x14ac:dyDescent="0.35">
      <c r="C1606" s="5"/>
      <c r="J1606" s="5"/>
    </row>
    <row r="1607" spans="3:10" x14ac:dyDescent="0.35">
      <c r="C1607" s="5"/>
      <c r="J1607" s="5"/>
    </row>
    <row r="1608" spans="3:10" x14ac:dyDescent="0.35">
      <c r="C1608" s="5"/>
      <c r="J1608" s="5"/>
    </row>
    <row r="1609" spans="3:10" x14ac:dyDescent="0.35">
      <c r="C1609" s="5"/>
      <c r="J1609" s="5"/>
    </row>
    <row r="1610" spans="3:10" x14ac:dyDescent="0.35">
      <c r="C1610" s="5"/>
      <c r="J1610" s="5"/>
    </row>
    <row r="1611" spans="3:10" x14ac:dyDescent="0.35">
      <c r="C1611" s="5"/>
      <c r="J1611" s="5"/>
    </row>
    <row r="1612" spans="3:10" x14ac:dyDescent="0.35">
      <c r="C1612" s="5"/>
      <c r="J1612" s="5"/>
    </row>
    <row r="1613" spans="3:10" x14ac:dyDescent="0.35">
      <c r="C1613" s="5"/>
      <c r="J1613" s="5"/>
    </row>
    <row r="1614" spans="3:10" x14ac:dyDescent="0.35">
      <c r="C1614" s="5"/>
      <c r="J1614" s="5"/>
    </row>
    <row r="1615" spans="3:10" x14ac:dyDescent="0.35">
      <c r="C1615" s="5"/>
      <c r="J1615" s="5"/>
    </row>
    <row r="1616" spans="3:10" x14ac:dyDescent="0.35">
      <c r="C1616" s="5"/>
      <c r="J1616" s="5"/>
    </row>
    <row r="1617" spans="3:10" x14ac:dyDescent="0.35">
      <c r="C1617" s="5"/>
      <c r="J1617" s="5"/>
    </row>
    <row r="1618" spans="3:10" x14ac:dyDescent="0.35">
      <c r="C1618" s="5"/>
      <c r="J1618" s="5"/>
    </row>
    <row r="1619" spans="3:10" x14ac:dyDescent="0.35">
      <c r="C1619" s="5"/>
      <c r="J1619" s="5"/>
    </row>
    <row r="1620" spans="3:10" x14ac:dyDescent="0.35">
      <c r="C1620" s="5"/>
      <c r="J1620" s="5"/>
    </row>
    <row r="1621" spans="3:10" x14ac:dyDescent="0.35">
      <c r="C1621" s="5"/>
      <c r="J1621" s="5"/>
    </row>
    <row r="1622" spans="3:10" x14ac:dyDescent="0.35">
      <c r="C1622" s="5"/>
      <c r="J1622" s="5"/>
    </row>
    <row r="1623" spans="3:10" x14ac:dyDescent="0.35">
      <c r="C1623" s="5"/>
      <c r="J1623" s="5"/>
    </row>
    <row r="1624" spans="3:10" x14ac:dyDescent="0.35">
      <c r="C1624" s="5"/>
      <c r="J1624" s="5"/>
    </row>
    <row r="1625" spans="3:10" x14ac:dyDescent="0.35">
      <c r="C1625" s="5"/>
      <c r="J1625" s="5"/>
    </row>
    <row r="1626" spans="3:10" x14ac:dyDescent="0.35">
      <c r="C1626" s="5"/>
      <c r="J1626" s="5"/>
    </row>
    <row r="1627" spans="3:10" x14ac:dyDescent="0.35">
      <c r="C1627" s="5"/>
      <c r="J1627" s="5"/>
    </row>
    <row r="1628" spans="3:10" x14ac:dyDescent="0.35">
      <c r="C1628" s="5"/>
      <c r="J1628" s="5"/>
    </row>
    <row r="1629" spans="3:10" x14ac:dyDescent="0.35">
      <c r="C1629" s="5"/>
      <c r="J1629" s="5"/>
    </row>
    <row r="1630" spans="3:10" x14ac:dyDescent="0.35">
      <c r="C1630" s="5"/>
      <c r="J1630" s="5"/>
    </row>
    <row r="1631" spans="3:10" x14ac:dyDescent="0.35">
      <c r="C1631" s="5"/>
      <c r="J1631" s="5"/>
    </row>
    <row r="1632" spans="3:10" x14ac:dyDescent="0.35">
      <c r="C1632" s="5"/>
      <c r="J1632" s="5"/>
    </row>
    <row r="1633" spans="3:10" x14ac:dyDescent="0.35">
      <c r="C1633" s="5"/>
      <c r="J1633" s="5"/>
    </row>
    <row r="1634" spans="3:10" x14ac:dyDescent="0.35">
      <c r="C1634" s="5"/>
      <c r="J1634" s="5"/>
    </row>
    <row r="1635" spans="3:10" x14ac:dyDescent="0.35">
      <c r="C1635" s="5"/>
      <c r="J1635" s="5"/>
    </row>
    <row r="1636" spans="3:10" x14ac:dyDescent="0.35">
      <c r="C1636" s="5"/>
      <c r="J1636" s="5"/>
    </row>
    <row r="1637" spans="3:10" x14ac:dyDescent="0.35">
      <c r="C1637" s="5"/>
      <c r="J1637" s="5"/>
    </row>
    <row r="1638" spans="3:10" x14ac:dyDescent="0.35">
      <c r="C1638" s="5"/>
      <c r="J1638" s="5"/>
    </row>
    <row r="1639" spans="3:10" x14ac:dyDescent="0.35">
      <c r="C1639" s="5"/>
      <c r="J1639" s="5"/>
    </row>
    <row r="1640" spans="3:10" x14ac:dyDescent="0.35">
      <c r="C1640" s="5"/>
      <c r="J1640" s="5"/>
    </row>
    <row r="1641" spans="3:10" x14ac:dyDescent="0.35">
      <c r="C1641" s="5"/>
      <c r="J1641" s="5"/>
    </row>
    <row r="1642" spans="3:10" x14ac:dyDescent="0.35">
      <c r="C1642" s="5"/>
      <c r="J1642" s="5"/>
    </row>
    <row r="1643" spans="3:10" x14ac:dyDescent="0.35">
      <c r="C1643" s="5"/>
      <c r="J1643" s="5"/>
    </row>
    <row r="1644" spans="3:10" x14ac:dyDescent="0.35">
      <c r="C1644" s="5"/>
      <c r="J1644" s="5"/>
    </row>
    <row r="1645" spans="3:10" x14ac:dyDescent="0.35">
      <c r="C1645" s="5"/>
      <c r="J1645" s="5"/>
    </row>
    <row r="1646" spans="3:10" x14ac:dyDescent="0.35">
      <c r="C1646" s="5"/>
      <c r="J1646" s="5"/>
    </row>
    <row r="1647" spans="3:10" x14ac:dyDescent="0.35">
      <c r="C1647" s="5"/>
      <c r="J1647" s="5"/>
    </row>
    <row r="1648" spans="3:10" x14ac:dyDescent="0.35">
      <c r="C1648" s="5"/>
      <c r="J1648" s="5"/>
    </row>
    <row r="1649" spans="3:10" x14ac:dyDescent="0.35">
      <c r="C1649" s="5"/>
      <c r="J1649" s="5"/>
    </row>
    <row r="1650" spans="3:10" x14ac:dyDescent="0.35">
      <c r="C1650" s="5"/>
      <c r="J1650" s="5"/>
    </row>
    <row r="1651" spans="3:10" x14ac:dyDescent="0.35">
      <c r="C1651" s="5"/>
      <c r="J1651" s="5"/>
    </row>
    <row r="1652" spans="3:10" x14ac:dyDescent="0.35">
      <c r="C1652" s="5"/>
      <c r="J1652" s="5"/>
    </row>
    <row r="1653" spans="3:10" x14ac:dyDescent="0.35">
      <c r="C1653" s="5"/>
      <c r="J1653" s="5"/>
    </row>
    <row r="1654" spans="3:10" x14ac:dyDescent="0.35">
      <c r="C1654" s="5"/>
      <c r="J1654" s="5"/>
    </row>
    <row r="1655" spans="3:10" x14ac:dyDescent="0.35">
      <c r="C1655" s="5"/>
      <c r="J1655" s="5"/>
    </row>
    <row r="1656" spans="3:10" x14ac:dyDescent="0.35">
      <c r="C1656" s="5"/>
      <c r="J1656" s="5"/>
    </row>
    <row r="1657" spans="3:10" x14ac:dyDescent="0.35">
      <c r="C1657" s="5"/>
      <c r="J1657" s="5"/>
    </row>
    <row r="1658" spans="3:10" x14ac:dyDescent="0.35">
      <c r="C1658" s="5"/>
      <c r="J1658" s="5"/>
    </row>
    <row r="1659" spans="3:10" x14ac:dyDescent="0.35">
      <c r="C1659" s="5"/>
      <c r="J1659" s="5"/>
    </row>
    <row r="1660" spans="3:10" x14ac:dyDescent="0.35">
      <c r="C1660" s="5"/>
      <c r="J1660" s="5"/>
    </row>
    <row r="1661" spans="3:10" x14ac:dyDescent="0.35">
      <c r="C1661" s="5"/>
      <c r="J1661" s="5"/>
    </row>
    <row r="1662" spans="3:10" x14ac:dyDescent="0.35">
      <c r="C1662" s="5"/>
      <c r="J1662" s="5"/>
    </row>
    <row r="1663" spans="3:10" x14ac:dyDescent="0.35">
      <c r="C1663" s="5"/>
      <c r="J1663" s="5"/>
    </row>
    <row r="1664" spans="3:10" x14ac:dyDescent="0.35">
      <c r="C1664" s="5"/>
      <c r="J1664" s="5"/>
    </row>
    <row r="1665" spans="3:10" x14ac:dyDescent="0.35">
      <c r="C1665" s="5"/>
      <c r="J1665" s="5"/>
    </row>
    <row r="1666" spans="3:10" x14ac:dyDescent="0.35">
      <c r="C1666" s="5"/>
      <c r="J1666" s="5"/>
    </row>
    <row r="1667" spans="3:10" x14ac:dyDescent="0.35">
      <c r="C1667" s="5"/>
      <c r="J1667" s="5"/>
    </row>
    <row r="1668" spans="3:10" x14ac:dyDescent="0.35">
      <c r="C1668" s="5"/>
      <c r="J1668" s="5"/>
    </row>
    <row r="1669" spans="3:10" x14ac:dyDescent="0.35">
      <c r="C1669" s="5"/>
      <c r="J1669" s="5"/>
    </row>
    <row r="1670" spans="3:10" x14ac:dyDescent="0.35">
      <c r="C1670" s="5"/>
      <c r="J1670" s="5"/>
    </row>
    <row r="1671" spans="3:10" x14ac:dyDescent="0.35">
      <c r="C1671" s="5"/>
      <c r="J1671" s="5"/>
    </row>
    <row r="1672" spans="3:10" x14ac:dyDescent="0.35">
      <c r="C1672" s="5"/>
      <c r="J1672" s="5"/>
    </row>
    <row r="1673" spans="3:10" x14ac:dyDescent="0.35">
      <c r="C1673" s="5"/>
      <c r="J1673" s="5"/>
    </row>
    <row r="1674" spans="3:10" x14ac:dyDescent="0.35">
      <c r="C1674" s="5"/>
      <c r="J1674" s="5"/>
    </row>
    <row r="1675" spans="3:10" x14ac:dyDescent="0.35">
      <c r="C1675" s="5"/>
      <c r="J1675" s="5"/>
    </row>
    <row r="1676" spans="3:10" x14ac:dyDescent="0.35">
      <c r="C1676" s="5"/>
      <c r="J1676" s="5"/>
    </row>
    <row r="1677" spans="3:10" x14ac:dyDescent="0.35">
      <c r="C1677" s="5"/>
      <c r="J1677" s="5"/>
    </row>
    <row r="1678" spans="3:10" x14ac:dyDescent="0.35">
      <c r="C1678" s="5"/>
      <c r="J1678" s="5"/>
    </row>
    <row r="1679" spans="3:10" x14ac:dyDescent="0.35">
      <c r="C1679" s="5"/>
      <c r="J1679" s="5"/>
    </row>
    <row r="1680" spans="3:10" x14ac:dyDescent="0.35">
      <c r="C1680" s="5"/>
      <c r="J1680" s="5"/>
    </row>
    <row r="1681" spans="3:10" x14ac:dyDescent="0.35">
      <c r="C1681" s="5"/>
      <c r="J1681" s="5"/>
    </row>
    <row r="1682" spans="3:10" x14ac:dyDescent="0.35">
      <c r="C1682" s="5"/>
      <c r="J1682" s="5"/>
    </row>
    <row r="1683" spans="3:10" x14ac:dyDescent="0.35">
      <c r="C1683" s="5"/>
      <c r="J1683" s="5"/>
    </row>
    <row r="1684" spans="3:10" x14ac:dyDescent="0.35">
      <c r="C1684" s="5"/>
      <c r="J1684" s="5"/>
    </row>
    <row r="1685" spans="3:10" x14ac:dyDescent="0.35">
      <c r="C1685" s="5"/>
      <c r="J1685" s="5"/>
    </row>
    <row r="1686" spans="3:10" x14ac:dyDescent="0.35">
      <c r="C1686" s="5"/>
      <c r="J1686" s="5"/>
    </row>
    <row r="1687" spans="3:10" x14ac:dyDescent="0.35">
      <c r="C1687" s="5"/>
      <c r="J1687" s="5"/>
    </row>
    <row r="1688" spans="3:10" x14ac:dyDescent="0.35">
      <c r="C1688" s="5"/>
      <c r="J1688" s="5"/>
    </row>
    <row r="1689" spans="3:10" x14ac:dyDescent="0.35">
      <c r="C1689" s="5"/>
      <c r="J1689" s="5"/>
    </row>
    <row r="1690" spans="3:10" x14ac:dyDescent="0.35">
      <c r="C1690" s="5"/>
      <c r="J1690" s="5"/>
    </row>
    <row r="1691" spans="3:10" x14ac:dyDescent="0.35">
      <c r="C1691" s="5"/>
      <c r="J1691" s="5"/>
    </row>
    <row r="1692" spans="3:10" x14ac:dyDescent="0.35">
      <c r="C1692" s="5"/>
      <c r="J1692" s="5"/>
    </row>
    <row r="1693" spans="3:10" x14ac:dyDescent="0.35">
      <c r="C1693" s="5"/>
      <c r="J1693" s="5"/>
    </row>
    <row r="1694" spans="3:10" x14ac:dyDescent="0.35">
      <c r="C1694" s="5"/>
      <c r="J1694" s="5"/>
    </row>
    <row r="1695" spans="3:10" x14ac:dyDescent="0.35">
      <c r="C1695" s="5"/>
      <c r="J1695" s="5"/>
    </row>
    <row r="1696" spans="3:10" x14ac:dyDescent="0.35">
      <c r="C1696" s="5"/>
      <c r="J1696" s="5"/>
    </row>
    <row r="1697" spans="3:10" x14ac:dyDescent="0.35">
      <c r="C1697" s="5"/>
      <c r="J1697" s="5"/>
    </row>
    <row r="1698" spans="3:10" x14ac:dyDescent="0.35">
      <c r="C1698" s="5"/>
      <c r="J1698" s="5"/>
    </row>
    <row r="1699" spans="3:10" x14ac:dyDescent="0.35">
      <c r="C1699" s="5"/>
      <c r="J1699" s="5"/>
    </row>
    <row r="1700" spans="3:10" x14ac:dyDescent="0.35">
      <c r="C1700" s="5"/>
      <c r="J1700" s="5"/>
    </row>
    <row r="1701" spans="3:10" x14ac:dyDescent="0.35">
      <c r="C1701" s="5"/>
      <c r="J1701" s="5"/>
    </row>
    <row r="1702" spans="3:10" x14ac:dyDescent="0.35">
      <c r="C1702" s="5"/>
      <c r="J1702" s="5"/>
    </row>
    <row r="1703" spans="3:10" x14ac:dyDescent="0.35">
      <c r="C1703" s="5"/>
      <c r="J1703" s="5"/>
    </row>
    <row r="1704" spans="3:10" x14ac:dyDescent="0.35">
      <c r="C1704" s="5"/>
      <c r="J1704" s="5"/>
    </row>
    <row r="1705" spans="3:10" x14ac:dyDescent="0.35">
      <c r="C1705" s="5"/>
      <c r="J1705" s="5"/>
    </row>
    <row r="1706" spans="3:10" x14ac:dyDescent="0.35">
      <c r="C1706" s="5"/>
      <c r="J1706" s="5"/>
    </row>
    <row r="1707" spans="3:10" x14ac:dyDescent="0.35">
      <c r="C1707" s="5"/>
      <c r="J1707" s="5"/>
    </row>
    <row r="1708" spans="3:10" x14ac:dyDescent="0.35">
      <c r="C1708" s="5"/>
      <c r="J1708" s="5"/>
    </row>
    <row r="1709" spans="3:10" x14ac:dyDescent="0.35">
      <c r="C1709" s="5"/>
      <c r="J1709" s="5"/>
    </row>
    <row r="1710" spans="3:10" x14ac:dyDescent="0.35">
      <c r="C1710" s="5"/>
      <c r="J1710" s="5"/>
    </row>
    <row r="1711" spans="3:10" x14ac:dyDescent="0.35">
      <c r="C1711" s="5"/>
      <c r="J1711" s="5"/>
    </row>
    <row r="1712" spans="3:10" x14ac:dyDescent="0.35">
      <c r="C1712" s="5"/>
      <c r="J1712" s="5"/>
    </row>
    <row r="1713" spans="3:10" x14ac:dyDescent="0.35">
      <c r="C1713" s="5"/>
      <c r="J1713" s="5"/>
    </row>
    <row r="1714" spans="3:10" x14ac:dyDescent="0.35">
      <c r="C1714" s="5"/>
      <c r="J1714" s="5"/>
    </row>
    <row r="1715" spans="3:10" x14ac:dyDescent="0.35">
      <c r="C1715" s="5"/>
      <c r="J1715" s="5"/>
    </row>
    <row r="1716" spans="3:10" x14ac:dyDescent="0.35">
      <c r="C1716" s="5"/>
      <c r="J1716" s="5"/>
    </row>
    <row r="1717" spans="3:10" x14ac:dyDescent="0.35">
      <c r="C1717" s="5"/>
      <c r="J1717" s="5"/>
    </row>
    <row r="1718" spans="3:10" x14ac:dyDescent="0.35">
      <c r="C1718" s="5"/>
      <c r="J1718" s="5"/>
    </row>
    <row r="1719" spans="3:10" x14ac:dyDescent="0.35">
      <c r="C1719" s="5"/>
      <c r="J1719" s="5"/>
    </row>
    <row r="1720" spans="3:10" x14ac:dyDescent="0.35">
      <c r="C1720" s="5"/>
      <c r="J1720" s="5"/>
    </row>
    <row r="1721" spans="3:10" x14ac:dyDescent="0.35">
      <c r="C1721" s="5"/>
      <c r="J1721" s="5"/>
    </row>
    <row r="1722" spans="3:10" x14ac:dyDescent="0.35">
      <c r="C1722" s="5"/>
      <c r="J1722" s="5"/>
    </row>
    <row r="1723" spans="3:10" x14ac:dyDescent="0.35">
      <c r="C1723" s="5"/>
      <c r="J1723" s="5"/>
    </row>
    <row r="1724" spans="3:10" x14ac:dyDescent="0.35">
      <c r="C1724" s="5"/>
      <c r="J1724" s="5"/>
    </row>
    <row r="1725" spans="3:10" x14ac:dyDescent="0.35">
      <c r="C1725" s="5"/>
      <c r="J1725" s="5"/>
    </row>
    <row r="1726" spans="3:10" x14ac:dyDescent="0.35">
      <c r="C1726" s="5"/>
      <c r="J1726" s="5"/>
    </row>
    <row r="1727" spans="3:10" x14ac:dyDescent="0.35">
      <c r="C1727" s="5"/>
      <c r="J1727" s="5"/>
    </row>
    <row r="1728" spans="3:10" x14ac:dyDescent="0.35">
      <c r="C1728" s="5"/>
      <c r="J1728" s="5"/>
    </row>
    <row r="1729" spans="3:10" x14ac:dyDescent="0.35">
      <c r="C1729" s="5"/>
      <c r="J1729" s="5"/>
    </row>
    <row r="1730" spans="3:10" x14ac:dyDescent="0.35">
      <c r="C1730" s="5"/>
      <c r="J1730" s="5"/>
    </row>
    <row r="1731" spans="3:10" x14ac:dyDescent="0.35">
      <c r="C1731" s="5"/>
      <c r="J1731" s="5"/>
    </row>
    <row r="1732" spans="3:10" x14ac:dyDescent="0.35">
      <c r="C1732" s="5"/>
      <c r="J1732" s="5"/>
    </row>
    <row r="1733" spans="3:10" x14ac:dyDescent="0.35">
      <c r="C1733" s="5"/>
      <c r="J1733" s="5"/>
    </row>
    <row r="1734" spans="3:10" x14ac:dyDescent="0.35">
      <c r="C1734" s="5"/>
      <c r="J1734" s="5"/>
    </row>
    <row r="1735" spans="3:10" x14ac:dyDescent="0.35">
      <c r="C1735" s="5"/>
      <c r="J1735" s="5"/>
    </row>
    <row r="1736" spans="3:10" x14ac:dyDescent="0.35">
      <c r="C1736" s="5"/>
      <c r="J1736" s="5"/>
    </row>
    <row r="1737" spans="3:10" x14ac:dyDescent="0.35">
      <c r="C1737" s="5"/>
      <c r="J1737" s="5"/>
    </row>
    <row r="1738" spans="3:10" x14ac:dyDescent="0.35">
      <c r="C1738" s="5"/>
      <c r="J1738" s="5"/>
    </row>
    <row r="1739" spans="3:10" x14ac:dyDescent="0.35">
      <c r="C1739" s="5"/>
      <c r="J1739" s="5"/>
    </row>
    <row r="1740" spans="3:10" x14ac:dyDescent="0.35">
      <c r="C1740" s="5"/>
      <c r="J1740" s="5"/>
    </row>
    <row r="1741" spans="3:10" x14ac:dyDescent="0.35">
      <c r="C1741" s="5"/>
      <c r="J1741" s="5"/>
    </row>
    <row r="1742" spans="3:10" x14ac:dyDescent="0.35">
      <c r="C1742" s="5"/>
      <c r="J1742" s="5"/>
    </row>
    <row r="1743" spans="3:10" x14ac:dyDescent="0.35">
      <c r="C1743" s="5"/>
      <c r="J1743" s="5"/>
    </row>
    <row r="1744" spans="3:10" x14ac:dyDescent="0.35">
      <c r="C1744" s="5"/>
      <c r="J1744" s="5"/>
    </row>
    <row r="1745" spans="3:10" x14ac:dyDescent="0.35">
      <c r="C1745" s="5"/>
      <c r="J1745" s="5"/>
    </row>
    <row r="1746" spans="3:10" x14ac:dyDescent="0.35">
      <c r="C1746" s="5"/>
      <c r="J1746" s="5"/>
    </row>
    <row r="1747" spans="3:10" x14ac:dyDescent="0.35">
      <c r="C1747" s="5"/>
      <c r="J1747" s="5"/>
    </row>
    <row r="1748" spans="3:10" x14ac:dyDescent="0.35">
      <c r="C1748" s="5"/>
      <c r="J1748" s="5"/>
    </row>
    <row r="1749" spans="3:10" x14ac:dyDescent="0.35">
      <c r="C1749" s="5"/>
      <c r="J1749" s="5"/>
    </row>
    <row r="1750" spans="3:10" x14ac:dyDescent="0.35">
      <c r="C1750" s="5"/>
      <c r="J1750" s="5"/>
    </row>
    <row r="1751" spans="3:10" x14ac:dyDescent="0.35">
      <c r="C1751" s="5"/>
      <c r="J1751" s="5"/>
    </row>
    <row r="1752" spans="3:10" x14ac:dyDescent="0.35">
      <c r="C1752" s="5"/>
      <c r="J1752" s="5"/>
    </row>
    <row r="1753" spans="3:10" x14ac:dyDescent="0.35">
      <c r="C1753" s="5"/>
      <c r="J1753" s="5"/>
    </row>
    <row r="1754" spans="3:10" x14ac:dyDescent="0.35">
      <c r="C1754" s="5"/>
      <c r="J1754" s="5"/>
    </row>
    <row r="1755" spans="3:10" x14ac:dyDescent="0.35">
      <c r="C1755" s="5"/>
      <c r="J1755" s="5"/>
    </row>
    <row r="1756" spans="3:10" x14ac:dyDescent="0.35">
      <c r="C1756" s="5"/>
      <c r="J1756" s="5"/>
    </row>
    <row r="1757" spans="3:10" x14ac:dyDescent="0.35">
      <c r="C1757" s="5"/>
      <c r="J1757" s="5"/>
    </row>
    <row r="1758" spans="3:10" x14ac:dyDescent="0.35">
      <c r="C1758" s="5"/>
      <c r="J1758" s="5"/>
    </row>
    <row r="1759" spans="3:10" x14ac:dyDescent="0.35">
      <c r="C1759" s="5"/>
      <c r="J1759" s="5"/>
    </row>
    <row r="1760" spans="3:10" x14ac:dyDescent="0.35">
      <c r="C1760" s="5"/>
      <c r="J1760" s="5"/>
    </row>
    <row r="1761" spans="3:10" x14ac:dyDescent="0.35">
      <c r="C1761" s="5"/>
      <c r="J1761" s="5"/>
    </row>
    <row r="1762" spans="3:10" x14ac:dyDescent="0.35">
      <c r="C1762" s="5"/>
      <c r="J1762" s="5"/>
    </row>
    <row r="1763" spans="3:10" x14ac:dyDescent="0.35">
      <c r="C1763" s="5"/>
      <c r="J1763" s="5"/>
    </row>
    <row r="1764" spans="3:10" x14ac:dyDescent="0.35">
      <c r="C1764" s="5"/>
      <c r="J1764" s="5"/>
    </row>
    <row r="1765" spans="3:10" x14ac:dyDescent="0.35">
      <c r="C1765" s="5"/>
      <c r="J1765" s="5"/>
    </row>
    <row r="1766" spans="3:10" x14ac:dyDescent="0.35">
      <c r="C1766" s="5"/>
      <c r="J1766" s="5"/>
    </row>
    <row r="1767" spans="3:10" x14ac:dyDescent="0.35">
      <c r="C1767" s="5"/>
      <c r="J1767" s="5"/>
    </row>
    <row r="1768" spans="3:10" x14ac:dyDescent="0.35">
      <c r="C1768" s="5"/>
      <c r="J1768" s="5"/>
    </row>
    <row r="1769" spans="3:10" x14ac:dyDescent="0.35">
      <c r="C1769" s="5"/>
      <c r="J1769" s="5"/>
    </row>
    <row r="1770" spans="3:10" x14ac:dyDescent="0.35">
      <c r="C1770" s="5"/>
      <c r="J1770" s="5"/>
    </row>
    <row r="1771" spans="3:10" x14ac:dyDescent="0.35">
      <c r="C1771" s="5"/>
      <c r="J1771" s="5"/>
    </row>
    <row r="1772" spans="3:10" x14ac:dyDescent="0.35">
      <c r="C1772" s="5"/>
      <c r="J1772" s="5"/>
    </row>
    <row r="1773" spans="3:10" x14ac:dyDescent="0.35">
      <c r="C1773" s="5"/>
      <c r="J1773" s="5"/>
    </row>
    <row r="1774" spans="3:10" x14ac:dyDescent="0.35">
      <c r="C1774" s="5"/>
      <c r="J1774" s="5"/>
    </row>
    <row r="1775" spans="3:10" x14ac:dyDescent="0.35">
      <c r="C1775" s="5"/>
      <c r="J1775" s="5"/>
    </row>
    <row r="1776" spans="3:10" x14ac:dyDescent="0.35">
      <c r="C1776" s="5"/>
      <c r="J1776" s="5"/>
    </row>
    <row r="1777" spans="3:10" x14ac:dyDescent="0.35">
      <c r="C1777" s="5"/>
      <c r="J1777" s="5"/>
    </row>
    <row r="1778" spans="3:10" x14ac:dyDescent="0.35">
      <c r="C1778" s="5"/>
      <c r="J1778" s="5"/>
    </row>
    <row r="1779" spans="3:10" x14ac:dyDescent="0.35">
      <c r="C1779" s="5"/>
      <c r="J1779" s="5"/>
    </row>
    <row r="1780" spans="3:10" x14ac:dyDescent="0.35">
      <c r="C1780" s="5"/>
      <c r="J1780" s="5"/>
    </row>
    <row r="1781" spans="3:10" x14ac:dyDescent="0.35">
      <c r="C1781" s="5"/>
      <c r="J1781" s="5"/>
    </row>
    <row r="1782" spans="3:10" x14ac:dyDescent="0.35">
      <c r="C1782" s="5"/>
      <c r="J1782" s="5"/>
    </row>
    <row r="1783" spans="3:10" x14ac:dyDescent="0.35">
      <c r="C1783" s="5"/>
      <c r="J1783" s="5"/>
    </row>
    <row r="1784" spans="3:10" x14ac:dyDescent="0.35">
      <c r="C1784" s="5"/>
      <c r="J1784" s="5"/>
    </row>
    <row r="1785" spans="3:10" x14ac:dyDescent="0.35">
      <c r="C1785" s="5"/>
      <c r="J1785" s="5"/>
    </row>
    <row r="1786" spans="3:10" x14ac:dyDescent="0.35">
      <c r="C1786" s="5"/>
      <c r="J1786" s="5"/>
    </row>
    <row r="1787" spans="3:10" x14ac:dyDescent="0.35">
      <c r="C1787" s="5"/>
      <c r="J1787" s="5"/>
    </row>
    <row r="1788" spans="3:10" x14ac:dyDescent="0.35">
      <c r="C1788" s="5"/>
      <c r="J1788" s="5"/>
    </row>
    <row r="1789" spans="3:10" x14ac:dyDescent="0.35">
      <c r="C1789" s="5"/>
      <c r="J1789" s="5"/>
    </row>
    <row r="1790" spans="3:10" x14ac:dyDescent="0.35">
      <c r="C1790" s="5"/>
      <c r="J1790" s="5"/>
    </row>
    <row r="1791" spans="3:10" x14ac:dyDescent="0.35">
      <c r="C1791" s="5"/>
      <c r="J1791" s="5"/>
    </row>
    <row r="1792" spans="3:10" x14ac:dyDescent="0.35">
      <c r="C1792" s="5"/>
      <c r="J1792" s="5"/>
    </row>
    <row r="1793" spans="3:10" x14ac:dyDescent="0.35">
      <c r="C1793" s="5"/>
      <c r="J1793" s="5"/>
    </row>
    <row r="1794" spans="3:10" x14ac:dyDescent="0.35">
      <c r="C1794" s="5"/>
      <c r="J1794" s="5"/>
    </row>
    <row r="1795" spans="3:10" x14ac:dyDescent="0.35">
      <c r="C1795" s="5"/>
      <c r="J1795" s="5"/>
    </row>
    <row r="1796" spans="3:10" x14ac:dyDescent="0.35">
      <c r="C1796" s="5"/>
      <c r="J1796" s="5"/>
    </row>
    <row r="1797" spans="3:10" x14ac:dyDescent="0.35">
      <c r="C1797" s="5"/>
      <c r="J1797" s="5"/>
    </row>
    <row r="1798" spans="3:10" x14ac:dyDescent="0.35">
      <c r="C1798" s="5"/>
      <c r="J1798" s="5"/>
    </row>
    <row r="1799" spans="3:10" x14ac:dyDescent="0.35">
      <c r="C1799" s="5"/>
      <c r="J1799" s="5"/>
    </row>
    <row r="1800" spans="3:10" x14ac:dyDescent="0.35">
      <c r="C1800" s="5"/>
      <c r="J1800" s="5"/>
    </row>
    <row r="1801" spans="3:10" x14ac:dyDescent="0.35">
      <c r="C1801" s="5"/>
      <c r="J1801" s="5"/>
    </row>
    <row r="1802" spans="3:10" x14ac:dyDescent="0.35">
      <c r="C1802" s="5"/>
      <c r="J1802" s="5"/>
    </row>
    <row r="1803" spans="3:10" x14ac:dyDescent="0.35">
      <c r="C1803" s="5"/>
      <c r="J1803" s="5"/>
    </row>
    <row r="1804" spans="3:10" x14ac:dyDescent="0.35">
      <c r="C1804" s="5"/>
      <c r="J1804" s="5"/>
    </row>
    <row r="1805" spans="3:10" x14ac:dyDescent="0.35">
      <c r="C1805" s="5"/>
      <c r="J1805" s="5"/>
    </row>
    <row r="1806" spans="3:10" x14ac:dyDescent="0.35">
      <c r="C1806" s="5"/>
      <c r="J1806" s="5"/>
    </row>
    <row r="1807" spans="3:10" x14ac:dyDescent="0.35">
      <c r="C1807" s="5"/>
      <c r="J1807" s="5"/>
    </row>
    <row r="1808" spans="3:10" x14ac:dyDescent="0.35">
      <c r="C1808" s="5"/>
      <c r="J1808" s="5"/>
    </row>
    <row r="1809" spans="3:10" x14ac:dyDescent="0.35">
      <c r="C1809" s="5"/>
      <c r="J1809" s="5"/>
    </row>
    <row r="1810" spans="3:10" x14ac:dyDescent="0.35">
      <c r="C1810" s="5"/>
      <c r="J1810" s="5"/>
    </row>
    <row r="1811" spans="3:10" x14ac:dyDescent="0.35">
      <c r="C1811" s="5"/>
      <c r="J1811" s="5"/>
    </row>
    <row r="1812" spans="3:10" x14ac:dyDescent="0.35">
      <c r="C1812" s="5"/>
      <c r="J1812" s="5"/>
    </row>
    <row r="1813" spans="3:10" x14ac:dyDescent="0.35">
      <c r="C1813" s="5"/>
      <c r="J1813" s="5"/>
    </row>
    <row r="1814" spans="3:10" x14ac:dyDescent="0.35">
      <c r="C1814" s="5"/>
      <c r="J1814" s="5"/>
    </row>
    <row r="1815" spans="3:10" x14ac:dyDescent="0.35">
      <c r="C1815" s="5"/>
      <c r="J1815" s="5"/>
    </row>
    <row r="1816" spans="3:10" x14ac:dyDescent="0.35">
      <c r="C1816" s="5"/>
      <c r="J1816" s="5"/>
    </row>
    <row r="1817" spans="3:10" x14ac:dyDescent="0.35">
      <c r="C1817" s="5"/>
      <c r="J1817" s="5"/>
    </row>
    <row r="1818" spans="3:10" x14ac:dyDescent="0.35">
      <c r="C1818" s="5"/>
      <c r="J1818" s="5"/>
    </row>
    <row r="1819" spans="3:10" x14ac:dyDescent="0.35">
      <c r="C1819" s="5"/>
      <c r="J1819" s="5"/>
    </row>
    <row r="1820" spans="3:10" x14ac:dyDescent="0.35">
      <c r="C1820" s="5"/>
      <c r="J1820" s="5"/>
    </row>
    <row r="1821" spans="3:10" x14ac:dyDescent="0.35">
      <c r="C1821" s="5"/>
      <c r="J1821" s="5"/>
    </row>
    <row r="1822" spans="3:10" x14ac:dyDescent="0.35">
      <c r="C1822" s="5"/>
      <c r="J1822" s="5"/>
    </row>
    <row r="1823" spans="3:10" x14ac:dyDescent="0.35">
      <c r="C1823" s="5"/>
      <c r="J1823" s="5"/>
    </row>
    <row r="1824" spans="3:10" x14ac:dyDescent="0.35">
      <c r="C1824" s="5"/>
      <c r="J1824" s="5"/>
    </row>
    <row r="1825" spans="3:10" x14ac:dyDescent="0.35">
      <c r="C1825" s="5"/>
      <c r="J1825" s="5"/>
    </row>
    <row r="1826" spans="3:10" x14ac:dyDescent="0.35">
      <c r="C1826" s="5"/>
      <c r="J1826" s="5"/>
    </row>
    <row r="1827" spans="3:10" x14ac:dyDescent="0.35">
      <c r="C1827" s="5"/>
      <c r="J1827" s="5"/>
    </row>
    <row r="1828" spans="3:10" x14ac:dyDescent="0.35">
      <c r="C1828" s="5"/>
      <c r="J1828" s="5"/>
    </row>
    <row r="1829" spans="3:10" x14ac:dyDescent="0.35">
      <c r="C1829" s="5"/>
      <c r="J1829" s="5"/>
    </row>
    <row r="1830" spans="3:10" x14ac:dyDescent="0.35">
      <c r="C1830" s="5"/>
      <c r="J1830" s="5"/>
    </row>
    <row r="1831" spans="3:10" x14ac:dyDescent="0.35">
      <c r="C1831" s="5"/>
      <c r="J1831" s="5"/>
    </row>
    <row r="1832" spans="3:10" x14ac:dyDescent="0.35">
      <c r="C1832" s="5"/>
      <c r="J1832" s="5"/>
    </row>
    <row r="1833" spans="3:10" x14ac:dyDescent="0.35">
      <c r="C1833" s="5"/>
      <c r="J1833" s="5"/>
    </row>
    <row r="1834" spans="3:10" x14ac:dyDescent="0.35">
      <c r="C1834" s="5"/>
      <c r="J1834" s="5"/>
    </row>
    <row r="1835" spans="3:10" x14ac:dyDescent="0.35">
      <c r="C1835" s="5"/>
      <c r="J1835" s="5"/>
    </row>
    <row r="1836" spans="3:10" x14ac:dyDescent="0.35">
      <c r="C1836" s="5"/>
      <c r="J1836" s="5"/>
    </row>
    <row r="1837" spans="3:10" x14ac:dyDescent="0.35">
      <c r="C1837" s="5"/>
      <c r="J1837" s="5"/>
    </row>
    <row r="1838" spans="3:10" x14ac:dyDescent="0.35">
      <c r="C1838" s="5"/>
      <c r="J1838" s="5"/>
    </row>
    <row r="1839" spans="3:10" x14ac:dyDescent="0.35">
      <c r="C1839" s="5"/>
      <c r="J1839" s="5"/>
    </row>
    <row r="1840" spans="3:10" x14ac:dyDescent="0.35">
      <c r="C1840" s="5"/>
      <c r="J1840" s="5"/>
    </row>
    <row r="1841" spans="3:10" x14ac:dyDescent="0.35">
      <c r="C1841" s="5"/>
      <c r="J1841" s="5"/>
    </row>
    <row r="1842" spans="3:10" x14ac:dyDescent="0.35">
      <c r="C1842" s="5"/>
      <c r="J1842" s="5"/>
    </row>
    <row r="1843" spans="3:10" x14ac:dyDescent="0.35">
      <c r="C1843" s="5"/>
      <c r="J1843" s="5"/>
    </row>
    <row r="1844" spans="3:10" x14ac:dyDescent="0.35">
      <c r="C1844" s="5"/>
      <c r="J1844" s="5"/>
    </row>
    <row r="1845" spans="3:10" x14ac:dyDescent="0.35">
      <c r="C1845" s="5"/>
      <c r="J1845" s="5"/>
    </row>
    <row r="1846" spans="3:10" x14ac:dyDescent="0.35">
      <c r="C1846" s="5"/>
      <c r="J1846" s="5"/>
    </row>
    <row r="1847" spans="3:10" x14ac:dyDescent="0.35">
      <c r="C1847" s="5"/>
      <c r="J1847" s="5"/>
    </row>
    <row r="1848" spans="3:10" x14ac:dyDescent="0.35">
      <c r="C1848" s="5"/>
      <c r="J1848" s="5"/>
    </row>
    <row r="1849" spans="3:10" x14ac:dyDescent="0.35">
      <c r="C1849" s="5"/>
      <c r="J1849" s="5"/>
    </row>
    <row r="1850" spans="3:10" x14ac:dyDescent="0.35">
      <c r="C1850" s="5"/>
      <c r="J1850" s="5"/>
    </row>
    <row r="1851" spans="3:10" x14ac:dyDescent="0.35">
      <c r="C1851" s="5"/>
      <c r="J1851" s="5"/>
    </row>
    <row r="1852" spans="3:10" x14ac:dyDescent="0.35">
      <c r="C1852" s="5"/>
      <c r="J1852" s="5"/>
    </row>
    <row r="1853" spans="3:10" x14ac:dyDescent="0.35">
      <c r="C1853" s="5"/>
      <c r="J1853" s="5"/>
    </row>
    <row r="1854" spans="3:10" x14ac:dyDescent="0.35">
      <c r="C1854" s="5"/>
      <c r="J1854" s="5"/>
    </row>
    <row r="1855" spans="3:10" x14ac:dyDescent="0.35">
      <c r="C1855" s="5"/>
      <c r="J1855" s="5"/>
    </row>
    <row r="1856" spans="3:10" x14ac:dyDescent="0.35">
      <c r="C1856" s="5"/>
      <c r="J1856" s="5"/>
    </row>
    <row r="1857" spans="3:10" x14ac:dyDescent="0.35">
      <c r="C1857" s="5"/>
      <c r="J1857" s="5"/>
    </row>
    <row r="1858" spans="3:10" x14ac:dyDescent="0.35">
      <c r="C1858" s="5"/>
      <c r="J1858" s="5"/>
    </row>
    <row r="1859" spans="3:10" x14ac:dyDescent="0.35">
      <c r="C1859" s="5"/>
      <c r="J1859" s="5"/>
    </row>
    <row r="1860" spans="3:10" x14ac:dyDescent="0.35">
      <c r="C1860" s="5"/>
      <c r="J1860" s="5"/>
    </row>
    <row r="1861" spans="3:10" x14ac:dyDescent="0.35">
      <c r="C1861" s="5"/>
      <c r="J1861" s="5"/>
    </row>
    <row r="1862" spans="3:10" x14ac:dyDescent="0.35">
      <c r="C1862" s="5"/>
      <c r="J1862" s="5"/>
    </row>
    <row r="1863" spans="3:10" x14ac:dyDescent="0.35">
      <c r="C1863" s="5"/>
      <c r="J1863" s="5"/>
    </row>
    <row r="1864" spans="3:10" x14ac:dyDescent="0.35">
      <c r="C1864" s="5"/>
      <c r="J1864" s="5"/>
    </row>
    <row r="1865" spans="3:10" x14ac:dyDescent="0.35">
      <c r="C1865" s="5"/>
      <c r="J1865" s="5"/>
    </row>
    <row r="1866" spans="3:10" x14ac:dyDescent="0.35">
      <c r="C1866" s="5"/>
      <c r="J1866" s="5"/>
    </row>
    <row r="1867" spans="3:10" x14ac:dyDescent="0.35">
      <c r="C1867" s="5"/>
      <c r="J1867" s="5"/>
    </row>
    <row r="1868" spans="3:10" x14ac:dyDescent="0.35">
      <c r="C1868" s="5"/>
      <c r="J1868" s="5"/>
    </row>
    <row r="1869" spans="3:10" x14ac:dyDescent="0.35">
      <c r="C1869" s="5"/>
      <c r="J1869" s="5"/>
    </row>
    <row r="1870" spans="3:10" x14ac:dyDescent="0.35">
      <c r="C1870" s="5"/>
      <c r="J1870" s="5"/>
    </row>
    <row r="1871" spans="3:10" x14ac:dyDescent="0.35">
      <c r="C1871" s="5"/>
      <c r="J1871" s="5"/>
    </row>
    <row r="1872" spans="3:10" x14ac:dyDescent="0.35">
      <c r="C1872" s="5"/>
      <c r="J1872" s="5"/>
    </row>
    <row r="1873" spans="3:10" x14ac:dyDescent="0.35">
      <c r="C1873" s="5"/>
      <c r="J1873" s="5"/>
    </row>
    <row r="1874" spans="3:10" x14ac:dyDescent="0.35">
      <c r="C1874" s="5"/>
      <c r="J1874" s="5"/>
    </row>
    <row r="1875" spans="3:10" x14ac:dyDescent="0.35">
      <c r="C1875" s="5"/>
      <c r="J1875" s="5"/>
    </row>
    <row r="1876" spans="3:10" x14ac:dyDescent="0.35">
      <c r="C1876" s="5"/>
      <c r="J1876" s="5"/>
    </row>
    <row r="1877" spans="3:10" x14ac:dyDescent="0.35">
      <c r="C1877" s="5"/>
      <c r="J1877" s="5"/>
    </row>
    <row r="1878" spans="3:10" x14ac:dyDescent="0.35">
      <c r="C1878" s="5"/>
      <c r="J1878" s="5"/>
    </row>
    <row r="1879" spans="3:10" x14ac:dyDescent="0.35">
      <c r="C1879" s="5"/>
      <c r="J1879" s="5"/>
    </row>
    <row r="1880" spans="3:10" x14ac:dyDescent="0.35">
      <c r="C1880" s="5"/>
      <c r="J1880" s="5"/>
    </row>
    <row r="1881" spans="3:10" x14ac:dyDescent="0.35">
      <c r="C1881" s="5"/>
      <c r="J1881" s="5"/>
    </row>
    <row r="1882" spans="3:10" x14ac:dyDescent="0.35">
      <c r="C1882" s="5"/>
      <c r="J1882" s="5"/>
    </row>
    <row r="1883" spans="3:10" x14ac:dyDescent="0.35">
      <c r="C1883" s="5"/>
      <c r="J1883" s="5"/>
    </row>
    <row r="1884" spans="3:10" x14ac:dyDescent="0.35">
      <c r="C1884" s="5"/>
      <c r="J1884" s="5"/>
    </row>
    <row r="1885" spans="3:10" x14ac:dyDescent="0.35">
      <c r="C1885" s="5"/>
      <c r="J1885" s="5"/>
    </row>
    <row r="1886" spans="3:10" x14ac:dyDescent="0.35">
      <c r="C1886" s="5"/>
      <c r="J1886" s="5"/>
    </row>
    <row r="1887" spans="3:10" x14ac:dyDescent="0.35">
      <c r="C1887" s="5"/>
      <c r="J1887" s="5"/>
    </row>
    <row r="1888" spans="3:10" x14ac:dyDescent="0.35">
      <c r="C1888" s="5"/>
      <c r="J1888" s="5"/>
    </row>
    <row r="1889" spans="3:10" x14ac:dyDescent="0.35">
      <c r="C1889" s="5"/>
      <c r="J1889" s="5"/>
    </row>
    <row r="1890" spans="3:10" x14ac:dyDescent="0.35">
      <c r="C1890" s="5"/>
      <c r="J1890" s="5"/>
    </row>
    <row r="1891" spans="3:10" x14ac:dyDescent="0.35">
      <c r="C1891" s="5"/>
      <c r="J1891" s="5"/>
    </row>
    <row r="1892" spans="3:10" x14ac:dyDescent="0.35">
      <c r="C1892" s="5"/>
      <c r="J1892" s="5"/>
    </row>
    <row r="1893" spans="3:10" x14ac:dyDescent="0.35">
      <c r="C1893" s="5"/>
      <c r="J1893" s="5"/>
    </row>
    <row r="1894" spans="3:10" x14ac:dyDescent="0.35">
      <c r="C1894" s="5"/>
      <c r="J1894" s="5"/>
    </row>
    <row r="1895" spans="3:10" x14ac:dyDescent="0.35">
      <c r="C1895" s="5"/>
      <c r="J1895" s="5"/>
    </row>
    <row r="1896" spans="3:10" x14ac:dyDescent="0.35">
      <c r="C1896" s="5"/>
      <c r="J1896" s="5"/>
    </row>
    <row r="1897" spans="3:10" x14ac:dyDescent="0.35">
      <c r="C1897" s="5"/>
      <c r="J1897" s="5"/>
    </row>
    <row r="1898" spans="3:10" x14ac:dyDescent="0.35">
      <c r="C1898" s="5"/>
      <c r="J1898" s="5"/>
    </row>
    <row r="1899" spans="3:10" x14ac:dyDescent="0.35">
      <c r="C1899" s="5"/>
      <c r="J1899" s="5"/>
    </row>
    <row r="1900" spans="3:10" x14ac:dyDescent="0.35">
      <c r="C1900" s="5"/>
      <c r="J1900" s="5"/>
    </row>
    <row r="1901" spans="3:10" x14ac:dyDescent="0.35">
      <c r="C1901" s="5"/>
      <c r="J1901" s="5"/>
    </row>
    <row r="1902" spans="3:10" x14ac:dyDescent="0.35">
      <c r="C1902" s="5"/>
      <c r="J1902" s="5"/>
    </row>
    <row r="1903" spans="3:10" x14ac:dyDescent="0.35">
      <c r="C1903" s="5"/>
      <c r="J1903" s="5"/>
    </row>
    <row r="1904" spans="3:10" x14ac:dyDescent="0.35">
      <c r="C1904" s="5"/>
      <c r="J1904" s="5"/>
    </row>
    <row r="1905" spans="3:10" x14ac:dyDescent="0.35">
      <c r="C1905" s="5"/>
      <c r="J1905" s="5"/>
    </row>
    <row r="1906" spans="3:10" x14ac:dyDescent="0.35">
      <c r="C1906" s="5"/>
      <c r="J1906" s="5"/>
    </row>
    <row r="1907" spans="3:10" x14ac:dyDescent="0.35">
      <c r="C1907" s="5"/>
      <c r="J1907" s="5"/>
    </row>
    <row r="1908" spans="3:10" x14ac:dyDescent="0.35">
      <c r="C1908" s="5"/>
      <c r="J1908" s="5"/>
    </row>
    <row r="1909" spans="3:10" x14ac:dyDescent="0.35">
      <c r="C1909" s="5"/>
      <c r="J1909" s="5"/>
    </row>
    <row r="1910" spans="3:10" x14ac:dyDescent="0.35">
      <c r="C1910" s="5"/>
      <c r="J1910" s="5"/>
    </row>
    <row r="1911" spans="3:10" x14ac:dyDescent="0.35">
      <c r="C1911" s="5"/>
      <c r="J1911" s="5"/>
    </row>
    <row r="1912" spans="3:10" x14ac:dyDescent="0.35">
      <c r="C1912" s="5"/>
      <c r="J1912" s="5"/>
    </row>
    <row r="1913" spans="3:10" x14ac:dyDescent="0.35">
      <c r="C1913" s="5"/>
      <c r="J1913" s="5"/>
    </row>
    <row r="1914" spans="3:10" x14ac:dyDescent="0.35">
      <c r="C1914" s="5"/>
      <c r="J1914" s="5"/>
    </row>
    <row r="1915" spans="3:10" x14ac:dyDescent="0.35">
      <c r="C1915" s="5"/>
      <c r="J1915" s="5"/>
    </row>
    <row r="1916" spans="3:10" x14ac:dyDescent="0.35">
      <c r="C1916" s="5"/>
      <c r="J1916" s="5"/>
    </row>
    <row r="1917" spans="3:10" x14ac:dyDescent="0.35">
      <c r="C1917" s="5"/>
      <c r="J1917" s="5"/>
    </row>
    <row r="1918" spans="3:10" x14ac:dyDescent="0.35">
      <c r="C1918" s="5"/>
      <c r="J1918" s="5"/>
    </row>
    <row r="1919" spans="3:10" x14ac:dyDescent="0.35">
      <c r="C1919" s="5"/>
      <c r="J1919" s="5"/>
    </row>
    <row r="1920" spans="3:10" x14ac:dyDescent="0.35">
      <c r="C1920" s="5"/>
      <c r="J1920" s="5"/>
    </row>
    <row r="1921" spans="3:10" x14ac:dyDescent="0.35">
      <c r="C1921" s="5"/>
      <c r="J1921" s="5"/>
    </row>
    <row r="1922" spans="3:10" x14ac:dyDescent="0.35">
      <c r="C1922" s="5"/>
      <c r="J1922" s="5"/>
    </row>
    <row r="1923" spans="3:10" x14ac:dyDescent="0.35">
      <c r="C1923" s="5"/>
      <c r="J1923" s="5"/>
    </row>
    <row r="1924" spans="3:10" x14ac:dyDescent="0.35">
      <c r="C1924" s="5"/>
      <c r="J1924" s="5"/>
    </row>
    <row r="1925" spans="3:10" x14ac:dyDescent="0.35">
      <c r="C1925" s="5"/>
      <c r="J1925" s="5"/>
    </row>
    <row r="1926" spans="3:10" x14ac:dyDescent="0.35">
      <c r="C1926" s="5"/>
      <c r="J1926" s="5"/>
    </row>
    <row r="1927" spans="3:10" x14ac:dyDescent="0.35">
      <c r="C1927" s="5"/>
      <c r="J1927" s="5"/>
    </row>
    <row r="1928" spans="3:10" x14ac:dyDescent="0.35">
      <c r="C1928" s="5"/>
      <c r="J1928" s="5"/>
    </row>
    <row r="1929" spans="3:10" x14ac:dyDescent="0.35">
      <c r="C1929" s="5"/>
      <c r="J1929" s="5"/>
    </row>
    <row r="1930" spans="3:10" x14ac:dyDescent="0.35">
      <c r="C1930" s="5"/>
      <c r="J1930" s="5"/>
    </row>
    <row r="1931" spans="3:10" x14ac:dyDescent="0.35">
      <c r="C1931" s="5"/>
      <c r="J1931" s="5"/>
    </row>
    <row r="1932" spans="3:10" x14ac:dyDescent="0.35">
      <c r="C1932" s="5"/>
      <c r="J1932" s="5"/>
    </row>
    <row r="1933" spans="3:10" x14ac:dyDescent="0.35">
      <c r="C1933" s="5"/>
      <c r="J1933" s="5"/>
    </row>
    <row r="1934" spans="3:10" x14ac:dyDescent="0.35">
      <c r="C1934" s="5"/>
      <c r="J1934" s="5"/>
    </row>
    <row r="1935" spans="3:10" x14ac:dyDescent="0.35">
      <c r="C1935" s="5"/>
      <c r="J1935" s="5"/>
    </row>
    <row r="1936" spans="3:10" x14ac:dyDescent="0.35">
      <c r="C1936" s="5"/>
      <c r="J1936" s="5"/>
    </row>
    <row r="1937" spans="3:10" x14ac:dyDescent="0.35">
      <c r="C1937" s="5"/>
      <c r="J1937" s="5"/>
    </row>
    <row r="1938" spans="3:10" x14ac:dyDescent="0.35">
      <c r="C1938" s="5"/>
      <c r="J1938" s="5"/>
    </row>
    <row r="1939" spans="3:10" x14ac:dyDescent="0.35">
      <c r="C1939" s="5"/>
      <c r="J1939" s="5"/>
    </row>
    <row r="1940" spans="3:10" x14ac:dyDescent="0.35">
      <c r="C1940" s="5"/>
      <c r="J1940" s="5"/>
    </row>
    <row r="1941" spans="3:10" x14ac:dyDescent="0.35">
      <c r="C1941" s="5"/>
      <c r="J1941" s="5"/>
    </row>
    <row r="1942" spans="3:10" x14ac:dyDescent="0.35">
      <c r="C1942" s="5"/>
      <c r="J1942" s="5"/>
    </row>
    <row r="1943" spans="3:10" x14ac:dyDescent="0.35">
      <c r="C1943" s="5"/>
      <c r="J1943" s="5"/>
    </row>
    <row r="1944" spans="3:10" x14ac:dyDescent="0.35">
      <c r="C1944" s="5"/>
      <c r="J1944" s="5"/>
    </row>
    <row r="1945" spans="3:10" x14ac:dyDescent="0.35">
      <c r="C1945" s="5"/>
      <c r="J1945" s="5"/>
    </row>
    <row r="1946" spans="3:10" x14ac:dyDescent="0.35">
      <c r="C1946" s="5"/>
      <c r="J1946" s="5"/>
    </row>
    <row r="1947" spans="3:10" x14ac:dyDescent="0.35">
      <c r="C1947" s="5"/>
      <c r="J1947" s="5"/>
    </row>
    <row r="1948" spans="3:10" x14ac:dyDescent="0.35">
      <c r="C1948" s="5"/>
      <c r="J1948" s="5"/>
    </row>
    <row r="1949" spans="3:10" x14ac:dyDescent="0.35">
      <c r="C1949" s="5"/>
      <c r="J1949" s="5"/>
    </row>
    <row r="1950" spans="3:10" x14ac:dyDescent="0.35">
      <c r="C1950" s="5"/>
      <c r="J1950" s="5"/>
    </row>
    <row r="1951" spans="3:10" x14ac:dyDescent="0.35">
      <c r="C1951" s="5"/>
      <c r="J1951" s="5"/>
    </row>
    <row r="1952" spans="3:10" x14ac:dyDescent="0.35">
      <c r="C1952" s="5"/>
      <c r="J1952" s="5"/>
    </row>
    <row r="1953" spans="3:10" x14ac:dyDescent="0.35">
      <c r="C1953" s="5"/>
      <c r="J1953" s="5"/>
    </row>
    <row r="1954" spans="3:10" x14ac:dyDescent="0.35">
      <c r="C1954" s="5"/>
      <c r="J1954" s="5"/>
    </row>
    <row r="1955" spans="3:10" x14ac:dyDescent="0.35">
      <c r="C1955" s="5"/>
      <c r="J1955" s="5"/>
    </row>
    <row r="1956" spans="3:10" x14ac:dyDescent="0.35">
      <c r="C1956" s="5"/>
      <c r="J1956" s="5"/>
    </row>
    <row r="1957" spans="3:10" x14ac:dyDescent="0.35">
      <c r="C1957" s="5"/>
      <c r="J1957" s="5"/>
    </row>
    <row r="1958" spans="3:10" x14ac:dyDescent="0.35">
      <c r="C1958" s="5"/>
      <c r="J1958" s="5"/>
    </row>
    <row r="1959" spans="3:10" x14ac:dyDescent="0.35">
      <c r="C1959" s="5"/>
      <c r="J1959" s="5"/>
    </row>
    <row r="1960" spans="3:10" x14ac:dyDescent="0.35">
      <c r="C1960" s="5"/>
      <c r="J1960" s="5"/>
    </row>
    <row r="1961" spans="3:10" x14ac:dyDescent="0.35">
      <c r="C1961" s="5"/>
      <c r="J1961" s="5"/>
    </row>
    <row r="1962" spans="3:10" x14ac:dyDescent="0.35">
      <c r="C1962" s="5"/>
      <c r="J1962" s="5"/>
    </row>
    <row r="1963" spans="3:10" x14ac:dyDescent="0.35">
      <c r="C1963" s="5"/>
      <c r="J1963" s="5"/>
    </row>
    <row r="1964" spans="3:10" x14ac:dyDescent="0.35">
      <c r="C1964" s="5"/>
      <c r="J1964" s="5"/>
    </row>
    <row r="1965" spans="3:10" x14ac:dyDescent="0.35">
      <c r="C1965" s="5"/>
      <c r="J1965" s="5"/>
    </row>
    <row r="1966" spans="3:10" x14ac:dyDescent="0.35">
      <c r="C1966" s="5"/>
      <c r="J1966" s="5"/>
    </row>
    <row r="1967" spans="3:10" x14ac:dyDescent="0.35">
      <c r="C1967" s="5"/>
      <c r="J1967" s="5"/>
    </row>
    <row r="1968" spans="3:10" x14ac:dyDescent="0.35">
      <c r="C1968" s="5"/>
      <c r="J1968" s="5"/>
    </row>
    <row r="1969" spans="3:10" x14ac:dyDescent="0.35">
      <c r="C1969" s="5"/>
      <c r="J1969" s="5"/>
    </row>
    <row r="1970" spans="3:10" x14ac:dyDescent="0.35">
      <c r="C1970" s="5"/>
      <c r="J1970" s="5"/>
    </row>
    <row r="1971" spans="3:10" x14ac:dyDescent="0.35">
      <c r="C1971" s="5"/>
      <c r="J1971" s="5"/>
    </row>
    <row r="1972" spans="3:10" x14ac:dyDescent="0.35">
      <c r="C1972" s="5"/>
      <c r="J1972" s="5"/>
    </row>
    <row r="1973" spans="3:10" x14ac:dyDescent="0.35">
      <c r="C1973" s="5"/>
      <c r="J1973" s="5"/>
    </row>
    <row r="1974" spans="3:10" x14ac:dyDescent="0.35">
      <c r="C1974" s="5"/>
      <c r="J1974" s="5"/>
    </row>
    <row r="1975" spans="3:10" x14ac:dyDescent="0.35">
      <c r="C1975" s="5"/>
      <c r="J1975" s="5"/>
    </row>
    <row r="1976" spans="3:10" x14ac:dyDescent="0.35">
      <c r="C1976" s="5"/>
      <c r="J1976" s="5"/>
    </row>
    <row r="1977" spans="3:10" x14ac:dyDescent="0.35">
      <c r="C1977" s="5"/>
      <c r="J1977" s="5"/>
    </row>
    <row r="1978" spans="3:10" x14ac:dyDescent="0.35">
      <c r="C1978" s="5"/>
      <c r="J1978" s="5"/>
    </row>
    <row r="1979" spans="3:10" x14ac:dyDescent="0.35">
      <c r="C1979" s="5"/>
      <c r="J1979" s="5"/>
    </row>
    <row r="1980" spans="3:10" x14ac:dyDescent="0.35">
      <c r="C1980" s="5"/>
      <c r="J1980" s="5"/>
    </row>
    <row r="1981" spans="3:10" x14ac:dyDescent="0.35">
      <c r="C1981" s="5"/>
      <c r="J1981" s="5"/>
    </row>
    <row r="1982" spans="3:10" x14ac:dyDescent="0.35">
      <c r="C1982" s="5"/>
      <c r="J1982" s="5"/>
    </row>
    <row r="1983" spans="3:10" x14ac:dyDescent="0.35">
      <c r="C1983" s="5"/>
      <c r="J1983" s="5"/>
    </row>
    <row r="1984" spans="3:10" x14ac:dyDescent="0.35">
      <c r="C1984" s="5"/>
      <c r="J1984" s="5"/>
    </row>
    <row r="1985" spans="3:10" x14ac:dyDescent="0.35">
      <c r="C1985" s="5"/>
      <c r="J1985" s="5"/>
    </row>
    <row r="1986" spans="3:10" x14ac:dyDescent="0.35">
      <c r="C1986" s="5"/>
      <c r="J1986" s="5"/>
    </row>
    <row r="1987" spans="3:10" x14ac:dyDescent="0.35">
      <c r="C1987" s="5"/>
      <c r="J1987" s="5"/>
    </row>
    <row r="1988" spans="3:10" x14ac:dyDescent="0.35">
      <c r="C1988" s="5"/>
      <c r="J1988" s="5"/>
    </row>
    <row r="1989" spans="3:10" x14ac:dyDescent="0.35">
      <c r="C1989" s="5"/>
      <c r="J1989" s="5"/>
    </row>
    <row r="1990" spans="3:10" x14ac:dyDescent="0.35">
      <c r="C1990" s="5"/>
      <c r="J1990" s="5"/>
    </row>
    <row r="1991" spans="3:10" x14ac:dyDescent="0.35">
      <c r="C1991" s="5"/>
      <c r="J1991" s="5"/>
    </row>
    <row r="1992" spans="3:10" x14ac:dyDescent="0.35">
      <c r="C1992" s="5"/>
      <c r="J1992" s="5"/>
    </row>
    <row r="1993" spans="3:10" x14ac:dyDescent="0.35">
      <c r="C1993" s="5"/>
      <c r="J1993" s="5"/>
    </row>
    <row r="1994" spans="3:10" x14ac:dyDescent="0.35">
      <c r="C1994" s="5"/>
      <c r="J1994" s="5"/>
    </row>
    <row r="1995" spans="3:10" x14ac:dyDescent="0.35">
      <c r="C1995" s="5"/>
      <c r="J1995" s="5"/>
    </row>
    <row r="1996" spans="3:10" x14ac:dyDescent="0.35">
      <c r="C1996" s="5"/>
      <c r="J1996" s="5"/>
    </row>
    <row r="1997" spans="3:10" x14ac:dyDescent="0.35">
      <c r="C1997" s="5"/>
      <c r="J1997" s="5"/>
    </row>
    <row r="1998" spans="3:10" x14ac:dyDescent="0.35">
      <c r="C1998" s="5"/>
      <c r="J1998" s="5"/>
    </row>
    <row r="1999" spans="3:10" x14ac:dyDescent="0.35">
      <c r="C1999" s="5"/>
      <c r="J1999" s="5"/>
    </row>
    <row r="2000" spans="3:10" x14ac:dyDescent="0.35">
      <c r="C2000" s="5"/>
      <c r="J2000"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92"/>
  <sheetViews>
    <sheetView workbookViewId="0"/>
  </sheetViews>
  <sheetFormatPr defaultRowHeight="15.5" x14ac:dyDescent="0.35"/>
  <cols>
    <col min="1" max="1" width="14.83203125" customWidth="1"/>
    <col min="2" max="2" width="5.83203125" customWidth="1"/>
    <col min="3" max="3" width="40.83203125" customWidth="1"/>
    <col min="4" max="4" width="30.83203125" customWidth="1"/>
    <col min="5" max="5" width="6.83203125" customWidth="1"/>
    <col min="6" max="6" width="10.83203125" customWidth="1"/>
    <col min="7" max="8" width="11.83203125" customWidth="1"/>
    <col min="9" max="9" width="8.83203125" customWidth="1"/>
    <col min="10" max="10" width="9.83203125" customWidth="1"/>
    <col min="11" max="11" width="10.83203125" customWidth="1"/>
    <col min="12" max="12" width="7.83203125" customWidth="1"/>
    <col min="13" max="14" width="9.83203125" customWidth="1"/>
    <col min="15" max="15" width="8.83203125" customWidth="1"/>
    <col min="16" max="16" width="9.83203125" customWidth="1"/>
    <col min="17" max="18" width="11.83203125" customWidth="1"/>
    <col min="19" max="19" width="10.83203125" customWidth="1"/>
  </cols>
  <sheetData>
    <row r="1" spans="1:19" ht="17" customHeight="1" x14ac:dyDescent="0.4">
      <c r="A1" s="1" t="s">
        <v>151</v>
      </c>
    </row>
    <row r="2" spans="1:19" x14ac:dyDescent="0.35">
      <c r="A2" t="s">
        <v>152</v>
      </c>
    </row>
    <row r="3" spans="1:19" s="3" customFormat="1" ht="62" customHeight="1" x14ac:dyDescent="0.35">
      <c r="A3" s="3" t="s">
        <v>136</v>
      </c>
      <c r="B3" s="3" t="s">
        <v>153</v>
      </c>
      <c r="C3" s="3" t="s">
        <v>154</v>
      </c>
      <c r="D3" s="3" t="s">
        <v>155</v>
      </c>
      <c r="E3" s="3" t="s">
        <v>156</v>
      </c>
      <c r="F3" s="3" t="s">
        <v>157</v>
      </c>
      <c r="G3" s="3" t="s">
        <v>158</v>
      </c>
      <c r="H3" s="3" t="s">
        <v>159</v>
      </c>
      <c r="I3" s="3" t="s">
        <v>160</v>
      </c>
      <c r="J3" s="3" t="s">
        <v>161</v>
      </c>
      <c r="K3" s="3" t="s">
        <v>162</v>
      </c>
      <c r="L3" s="3" t="s">
        <v>163</v>
      </c>
      <c r="M3" s="3" t="s">
        <v>164</v>
      </c>
      <c r="N3" s="3" t="s">
        <v>139</v>
      </c>
      <c r="O3" s="3" t="s">
        <v>148</v>
      </c>
      <c r="P3" s="3" t="s">
        <v>165</v>
      </c>
      <c r="Q3" s="3" t="s">
        <v>166</v>
      </c>
      <c r="R3" s="3" t="s">
        <v>146</v>
      </c>
      <c r="S3" s="3" t="s">
        <v>142</v>
      </c>
    </row>
    <row r="4" spans="1:19" x14ac:dyDescent="0.35">
      <c r="A4" t="s">
        <v>167</v>
      </c>
      <c r="B4">
        <v>1</v>
      </c>
      <c r="C4" t="s">
        <v>168</v>
      </c>
      <c r="D4" t="s">
        <v>169</v>
      </c>
      <c r="E4">
        <v>4</v>
      </c>
      <c r="F4">
        <v>64</v>
      </c>
      <c r="G4">
        <f>E4*F4*GiaDinh!$C$18*GiaDinh!$C$17</f>
        <v>215.04</v>
      </c>
      <c r="H4">
        <v>1.2310000000000001</v>
      </c>
      <c r="I4">
        <f>GiaDinh!$C$15</f>
        <v>15</v>
      </c>
      <c r="J4">
        <f t="shared" ref="J4:J67" si="0">ROUNDDOWN(I4/H4,0)+1</f>
        <v>13</v>
      </c>
      <c r="K4">
        <f>J4*GiaDinh!$C$16</f>
        <v>91</v>
      </c>
      <c r="L4">
        <f t="shared" ref="L4:L67" si="1">MAX(1,ROUNDUP(G4/K4-0.0005,0))</f>
        <v>3</v>
      </c>
      <c r="M4">
        <f t="shared" ref="M4:M67" si="2">L4*I4</f>
        <v>45</v>
      </c>
      <c r="N4">
        <f>L4*ROUNDUP(I4/GiaDinh!$C$5-0.0005,0)</f>
        <v>9</v>
      </c>
      <c r="O4">
        <f>L4*(ROUNDUP(I4/GiaDinh!$C$5-0.0005,0)-1)</f>
        <v>6</v>
      </c>
      <c r="P4">
        <f t="shared" ref="P4:P67" si="3">L4*J4</f>
        <v>39</v>
      </c>
      <c r="Q4">
        <f t="shared" ref="Q4:Q67" si="4">2*P4</f>
        <v>78</v>
      </c>
      <c r="R4">
        <f t="shared" ref="R4:R67" si="5">P4</f>
        <v>39</v>
      </c>
      <c r="S4">
        <f>M4*GiaDinh!$C$7</f>
        <v>135.44999999999999</v>
      </c>
    </row>
    <row r="5" spans="1:19" x14ac:dyDescent="0.35">
      <c r="A5" t="s">
        <v>167</v>
      </c>
      <c r="B5">
        <v>2</v>
      </c>
      <c r="C5" t="s">
        <v>168</v>
      </c>
      <c r="D5" t="s">
        <v>170</v>
      </c>
      <c r="E5">
        <v>4</v>
      </c>
      <c r="F5">
        <v>64</v>
      </c>
      <c r="G5">
        <f>E5*F5*GiaDinh!$C$18*GiaDinh!$C$17</f>
        <v>215.04</v>
      </c>
      <c r="H5">
        <v>1.2310000000000001</v>
      </c>
      <c r="I5">
        <f>GiaDinh!$C$15</f>
        <v>15</v>
      </c>
      <c r="J5">
        <f t="shared" si="0"/>
        <v>13</v>
      </c>
      <c r="K5">
        <f>J5*GiaDinh!$C$16</f>
        <v>91</v>
      </c>
      <c r="L5">
        <f t="shared" si="1"/>
        <v>3</v>
      </c>
      <c r="M5">
        <f t="shared" si="2"/>
        <v>45</v>
      </c>
      <c r="N5">
        <f>L5*ROUNDUP(I5/GiaDinh!$C$5-0.0005,0)</f>
        <v>9</v>
      </c>
      <c r="O5">
        <f>L5*(ROUNDUP(I5/GiaDinh!$C$5-0.0005,0)-1)</f>
        <v>6</v>
      </c>
      <c r="P5">
        <f t="shared" si="3"/>
        <v>39</v>
      </c>
      <c r="Q5">
        <f t="shared" si="4"/>
        <v>78</v>
      </c>
      <c r="R5">
        <f t="shared" si="5"/>
        <v>39</v>
      </c>
      <c r="S5">
        <f>M5*GiaDinh!$C$7</f>
        <v>135.44999999999999</v>
      </c>
    </row>
    <row r="6" spans="1:19" x14ac:dyDescent="0.35">
      <c r="A6" t="s">
        <v>167</v>
      </c>
      <c r="B6">
        <v>3</v>
      </c>
      <c r="C6" t="s">
        <v>168</v>
      </c>
      <c r="D6" t="s">
        <v>171</v>
      </c>
      <c r="E6">
        <v>4</v>
      </c>
      <c r="F6">
        <v>64</v>
      </c>
      <c r="G6">
        <f>E6*F6*GiaDinh!$C$18*GiaDinh!$C$17</f>
        <v>215.04</v>
      </c>
      <c r="H6">
        <v>1.2310000000000001</v>
      </c>
      <c r="I6">
        <f>GiaDinh!$C$15</f>
        <v>15</v>
      </c>
      <c r="J6">
        <f t="shared" si="0"/>
        <v>13</v>
      </c>
      <c r="K6">
        <f>J6*GiaDinh!$C$16</f>
        <v>91</v>
      </c>
      <c r="L6">
        <f t="shared" si="1"/>
        <v>3</v>
      </c>
      <c r="M6">
        <f t="shared" si="2"/>
        <v>45</v>
      </c>
      <c r="N6">
        <f>L6*ROUNDUP(I6/GiaDinh!$C$5-0.0005,0)</f>
        <v>9</v>
      </c>
      <c r="O6">
        <f>L6*(ROUNDUP(I6/GiaDinh!$C$5-0.0005,0)-1)</f>
        <v>6</v>
      </c>
      <c r="P6">
        <f t="shared" si="3"/>
        <v>39</v>
      </c>
      <c r="Q6">
        <f t="shared" si="4"/>
        <v>78</v>
      </c>
      <c r="R6">
        <f t="shared" si="5"/>
        <v>39</v>
      </c>
      <c r="S6">
        <f>M6*GiaDinh!$C$7</f>
        <v>135.44999999999999</v>
      </c>
    </row>
    <row r="7" spans="1:19" x14ac:dyDescent="0.35">
      <c r="A7" t="s">
        <v>167</v>
      </c>
      <c r="B7">
        <v>4</v>
      </c>
      <c r="C7" t="s">
        <v>168</v>
      </c>
      <c r="D7" t="s">
        <v>172</v>
      </c>
      <c r="E7">
        <v>2</v>
      </c>
      <c r="F7">
        <v>64</v>
      </c>
      <c r="G7">
        <f>E7*F7*GiaDinh!$C$18*GiaDinh!$C$17</f>
        <v>107.52</v>
      </c>
      <c r="H7">
        <v>1.2310000000000001</v>
      </c>
      <c r="I7">
        <f>GiaDinh!$C$15</f>
        <v>15</v>
      </c>
      <c r="J7">
        <f t="shared" si="0"/>
        <v>13</v>
      </c>
      <c r="K7">
        <f>J7*GiaDinh!$C$16</f>
        <v>91</v>
      </c>
      <c r="L7">
        <f t="shared" si="1"/>
        <v>2</v>
      </c>
      <c r="M7">
        <f t="shared" si="2"/>
        <v>30</v>
      </c>
      <c r="N7">
        <f>L7*ROUNDUP(I7/GiaDinh!$C$5-0.0005,0)</f>
        <v>6</v>
      </c>
      <c r="O7">
        <f>L7*(ROUNDUP(I7/GiaDinh!$C$5-0.0005,0)-1)</f>
        <v>4</v>
      </c>
      <c r="P7">
        <f t="shared" si="3"/>
        <v>26</v>
      </c>
      <c r="Q7">
        <f t="shared" si="4"/>
        <v>52</v>
      </c>
      <c r="R7">
        <f t="shared" si="5"/>
        <v>26</v>
      </c>
      <c r="S7">
        <f>M7*GiaDinh!$C$7</f>
        <v>90.3</v>
      </c>
    </row>
    <row r="8" spans="1:19" x14ac:dyDescent="0.35">
      <c r="A8" t="s">
        <v>167</v>
      </c>
      <c r="B8">
        <v>5</v>
      </c>
      <c r="C8" t="s">
        <v>173</v>
      </c>
      <c r="D8" t="s">
        <v>174</v>
      </c>
      <c r="E8">
        <v>1</v>
      </c>
      <c r="F8">
        <v>64</v>
      </c>
      <c r="G8">
        <f>E8*F8*GiaDinh!$C$18*GiaDinh!$C$17</f>
        <v>53.76</v>
      </c>
      <c r="H8">
        <v>1.2310000000000001</v>
      </c>
      <c r="I8">
        <f>GiaDinh!$C$15</f>
        <v>15</v>
      </c>
      <c r="J8">
        <f t="shared" si="0"/>
        <v>13</v>
      </c>
      <c r="K8">
        <f>J8*GiaDinh!$C$16</f>
        <v>91</v>
      </c>
      <c r="L8">
        <f t="shared" si="1"/>
        <v>1</v>
      </c>
      <c r="M8">
        <f t="shared" si="2"/>
        <v>15</v>
      </c>
      <c r="N8">
        <f>L8*ROUNDUP(I8/GiaDinh!$C$5-0.0005,0)</f>
        <v>3</v>
      </c>
      <c r="O8">
        <f>L8*(ROUNDUP(I8/GiaDinh!$C$5-0.0005,0)-1)</f>
        <v>2</v>
      </c>
      <c r="P8">
        <f t="shared" si="3"/>
        <v>13</v>
      </c>
      <c r="Q8">
        <f t="shared" si="4"/>
        <v>26</v>
      </c>
      <c r="R8">
        <f t="shared" si="5"/>
        <v>13</v>
      </c>
      <c r="S8">
        <f>M8*GiaDinh!$C$7</f>
        <v>45.15</v>
      </c>
    </row>
    <row r="9" spans="1:19" x14ac:dyDescent="0.35">
      <c r="A9" t="s">
        <v>167</v>
      </c>
      <c r="B9">
        <v>6</v>
      </c>
      <c r="C9" t="s">
        <v>173</v>
      </c>
      <c r="D9" t="s">
        <v>175</v>
      </c>
      <c r="E9">
        <v>1</v>
      </c>
      <c r="F9">
        <v>64</v>
      </c>
      <c r="G9">
        <f>E9*F9*GiaDinh!$C$18*GiaDinh!$C$17</f>
        <v>53.76</v>
      </c>
      <c r="H9">
        <v>1.2310000000000001</v>
      </c>
      <c r="I9">
        <f>GiaDinh!$C$15</f>
        <v>15</v>
      </c>
      <c r="J9">
        <f t="shared" si="0"/>
        <v>13</v>
      </c>
      <c r="K9">
        <f>J9*GiaDinh!$C$16</f>
        <v>91</v>
      </c>
      <c r="L9">
        <f t="shared" si="1"/>
        <v>1</v>
      </c>
      <c r="M9">
        <f t="shared" si="2"/>
        <v>15</v>
      </c>
      <c r="N9">
        <f>L9*ROUNDUP(I9/GiaDinh!$C$5-0.0005,0)</f>
        <v>3</v>
      </c>
      <c r="O9">
        <f>L9*(ROUNDUP(I9/GiaDinh!$C$5-0.0005,0)-1)</f>
        <v>2</v>
      </c>
      <c r="P9">
        <f t="shared" si="3"/>
        <v>13</v>
      </c>
      <c r="Q9">
        <f t="shared" si="4"/>
        <v>26</v>
      </c>
      <c r="R9">
        <f t="shared" si="5"/>
        <v>13</v>
      </c>
      <c r="S9">
        <f>M9*GiaDinh!$C$7</f>
        <v>45.15</v>
      </c>
    </row>
    <row r="10" spans="1:19" x14ac:dyDescent="0.35">
      <c r="A10" t="s">
        <v>167</v>
      </c>
      <c r="B10">
        <v>7</v>
      </c>
      <c r="C10" t="s">
        <v>173</v>
      </c>
      <c r="D10" t="s">
        <v>176</v>
      </c>
      <c r="E10">
        <v>1</v>
      </c>
      <c r="F10">
        <v>64</v>
      </c>
      <c r="G10">
        <f>E10*F10*GiaDinh!$C$18*GiaDinh!$C$17</f>
        <v>53.76</v>
      </c>
      <c r="H10">
        <v>1.2310000000000001</v>
      </c>
      <c r="I10">
        <f>GiaDinh!$C$15</f>
        <v>15</v>
      </c>
      <c r="J10">
        <f t="shared" si="0"/>
        <v>13</v>
      </c>
      <c r="K10">
        <f>J10*GiaDinh!$C$16</f>
        <v>91</v>
      </c>
      <c r="L10">
        <f t="shared" si="1"/>
        <v>1</v>
      </c>
      <c r="M10">
        <f t="shared" si="2"/>
        <v>15</v>
      </c>
      <c r="N10">
        <f>L10*ROUNDUP(I10/GiaDinh!$C$5-0.0005,0)</f>
        <v>3</v>
      </c>
      <c r="O10">
        <f>L10*(ROUNDUP(I10/GiaDinh!$C$5-0.0005,0)-1)</f>
        <v>2</v>
      </c>
      <c r="P10">
        <f t="shared" si="3"/>
        <v>13</v>
      </c>
      <c r="Q10">
        <f t="shared" si="4"/>
        <v>26</v>
      </c>
      <c r="R10">
        <f t="shared" si="5"/>
        <v>13</v>
      </c>
      <c r="S10">
        <f>M10*GiaDinh!$C$7</f>
        <v>45.15</v>
      </c>
    </row>
    <row r="11" spans="1:19" x14ac:dyDescent="0.35">
      <c r="A11" t="s">
        <v>167</v>
      </c>
      <c r="B11">
        <v>8</v>
      </c>
      <c r="C11" t="s">
        <v>173</v>
      </c>
      <c r="D11" t="s">
        <v>177</v>
      </c>
      <c r="E11">
        <v>1</v>
      </c>
      <c r="F11">
        <v>64</v>
      </c>
      <c r="G11">
        <f>E11*F11*GiaDinh!$C$18*GiaDinh!$C$17</f>
        <v>53.76</v>
      </c>
      <c r="H11">
        <v>1.2310000000000001</v>
      </c>
      <c r="I11">
        <f>GiaDinh!$C$15</f>
        <v>15</v>
      </c>
      <c r="J11">
        <f t="shared" si="0"/>
        <v>13</v>
      </c>
      <c r="K11">
        <f>J11*GiaDinh!$C$16</f>
        <v>91</v>
      </c>
      <c r="L11">
        <f t="shared" si="1"/>
        <v>1</v>
      </c>
      <c r="M11">
        <f t="shared" si="2"/>
        <v>15</v>
      </c>
      <c r="N11">
        <f>L11*ROUNDUP(I11/GiaDinh!$C$5-0.0005,0)</f>
        <v>3</v>
      </c>
      <c r="O11">
        <f>L11*(ROUNDUP(I11/GiaDinh!$C$5-0.0005,0)-1)</f>
        <v>2</v>
      </c>
      <c r="P11">
        <f t="shared" si="3"/>
        <v>13</v>
      </c>
      <c r="Q11">
        <f t="shared" si="4"/>
        <v>26</v>
      </c>
      <c r="R11">
        <f t="shared" si="5"/>
        <v>13</v>
      </c>
      <c r="S11">
        <f>M11*GiaDinh!$C$7</f>
        <v>45.15</v>
      </c>
    </row>
    <row r="12" spans="1:19" x14ac:dyDescent="0.35">
      <c r="A12" t="s">
        <v>167</v>
      </c>
      <c r="B12">
        <v>9</v>
      </c>
      <c r="C12" t="s">
        <v>168</v>
      </c>
      <c r="D12" t="s">
        <v>178</v>
      </c>
      <c r="E12">
        <v>2</v>
      </c>
      <c r="F12">
        <v>64</v>
      </c>
      <c r="G12">
        <f>E12*F12*GiaDinh!$C$18*GiaDinh!$C$17</f>
        <v>107.52</v>
      </c>
      <c r="H12">
        <v>1.2310000000000001</v>
      </c>
      <c r="I12">
        <f>GiaDinh!$C$15</f>
        <v>15</v>
      </c>
      <c r="J12">
        <f t="shared" si="0"/>
        <v>13</v>
      </c>
      <c r="K12">
        <f>J12*GiaDinh!$C$16</f>
        <v>91</v>
      </c>
      <c r="L12">
        <f t="shared" si="1"/>
        <v>2</v>
      </c>
      <c r="M12">
        <f t="shared" si="2"/>
        <v>30</v>
      </c>
      <c r="N12">
        <f>L12*ROUNDUP(I12/GiaDinh!$C$5-0.0005,0)</f>
        <v>6</v>
      </c>
      <c r="O12">
        <f>L12*(ROUNDUP(I12/GiaDinh!$C$5-0.0005,0)-1)</f>
        <v>4</v>
      </c>
      <c r="P12">
        <f t="shared" si="3"/>
        <v>26</v>
      </c>
      <c r="Q12">
        <f t="shared" si="4"/>
        <v>52</v>
      </c>
      <c r="R12">
        <f t="shared" si="5"/>
        <v>26</v>
      </c>
      <c r="S12">
        <f>M12*GiaDinh!$C$7</f>
        <v>90.3</v>
      </c>
    </row>
    <row r="13" spans="1:19" x14ac:dyDescent="0.35">
      <c r="A13" t="s">
        <v>167</v>
      </c>
      <c r="B13">
        <v>10</v>
      </c>
      <c r="C13" t="s">
        <v>168</v>
      </c>
      <c r="D13" t="s">
        <v>179</v>
      </c>
      <c r="E13">
        <v>6</v>
      </c>
      <c r="F13">
        <v>64</v>
      </c>
      <c r="G13">
        <f>E13*F13*GiaDinh!$C$18*GiaDinh!$C$17</f>
        <v>322.55999999999995</v>
      </c>
      <c r="H13">
        <v>1.2310000000000001</v>
      </c>
      <c r="I13">
        <f>GiaDinh!$C$15</f>
        <v>15</v>
      </c>
      <c r="J13">
        <f t="shared" si="0"/>
        <v>13</v>
      </c>
      <c r="K13">
        <f>J13*GiaDinh!$C$16</f>
        <v>91</v>
      </c>
      <c r="L13">
        <f t="shared" si="1"/>
        <v>4</v>
      </c>
      <c r="M13">
        <f t="shared" si="2"/>
        <v>60</v>
      </c>
      <c r="N13">
        <f>L13*ROUNDUP(I13/GiaDinh!$C$5-0.0005,0)</f>
        <v>12</v>
      </c>
      <c r="O13">
        <f>L13*(ROUNDUP(I13/GiaDinh!$C$5-0.0005,0)-1)</f>
        <v>8</v>
      </c>
      <c r="P13">
        <f t="shared" si="3"/>
        <v>52</v>
      </c>
      <c r="Q13">
        <f t="shared" si="4"/>
        <v>104</v>
      </c>
      <c r="R13">
        <f t="shared" si="5"/>
        <v>52</v>
      </c>
      <c r="S13">
        <f>M13*GiaDinh!$C$7</f>
        <v>180.6</v>
      </c>
    </row>
    <row r="14" spans="1:19" x14ac:dyDescent="0.35">
      <c r="A14" t="s">
        <v>167</v>
      </c>
      <c r="B14">
        <v>11</v>
      </c>
      <c r="C14" t="s">
        <v>168</v>
      </c>
      <c r="D14" t="s">
        <v>180</v>
      </c>
      <c r="E14">
        <v>3</v>
      </c>
      <c r="F14">
        <v>64</v>
      </c>
      <c r="G14">
        <f>E14*F14*GiaDinh!$C$18*GiaDinh!$C$17</f>
        <v>161.27999999999997</v>
      </c>
      <c r="H14">
        <v>1.2310000000000001</v>
      </c>
      <c r="I14">
        <f>GiaDinh!$C$15</f>
        <v>15</v>
      </c>
      <c r="J14">
        <f t="shared" si="0"/>
        <v>13</v>
      </c>
      <c r="K14">
        <f>J14*GiaDinh!$C$16</f>
        <v>91</v>
      </c>
      <c r="L14">
        <f t="shared" si="1"/>
        <v>2</v>
      </c>
      <c r="M14">
        <f t="shared" si="2"/>
        <v>30</v>
      </c>
      <c r="N14">
        <f>L14*ROUNDUP(I14/GiaDinh!$C$5-0.0005,0)</f>
        <v>6</v>
      </c>
      <c r="O14">
        <f>L14*(ROUNDUP(I14/GiaDinh!$C$5-0.0005,0)-1)</f>
        <v>4</v>
      </c>
      <c r="P14">
        <f t="shared" si="3"/>
        <v>26</v>
      </c>
      <c r="Q14">
        <f t="shared" si="4"/>
        <v>52</v>
      </c>
      <c r="R14">
        <f t="shared" si="5"/>
        <v>26</v>
      </c>
      <c r="S14">
        <f>M14*GiaDinh!$C$7</f>
        <v>90.3</v>
      </c>
    </row>
    <row r="15" spans="1:19" x14ac:dyDescent="0.35">
      <c r="A15" t="s">
        <v>167</v>
      </c>
      <c r="B15">
        <v>12</v>
      </c>
      <c r="C15" t="s">
        <v>168</v>
      </c>
      <c r="D15" t="s">
        <v>181</v>
      </c>
      <c r="E15">
        <v>5</v>
      </c>
      <c r="F15">
        <v>64</v>
      </c>
      <c r="G15">
        <f>E15*F15*GiaDinh!$C$18*GiaDinh!$C$17</f>
        <v>268.8</v>
      </c>
      <c r="H15">
        <v>1.2310000000000001</v>
      </c>
      <c r="I15">
        <f>GiaDinh!$C$15</f>
        <v>15</v>
      </c>
      <c r="J15">
        <f t="shared" si="0"/>
        <v>13</v>
      </c>
      <c r="K15">
        <f>J15*GiaDinh!$C$16</f>
        <v>91</v>
      </c>
      <c r="L15">
        <f t="shared" si="1"/>
        <v>3</v>
      </c>
      <c r="M15">
        <f t="shared" si="2"/>
        <v>45</v>
      </c>
      <c r="N15">
        <f>L15*ROUNDUP(I15/GiaDinh!$C$5-0.0005,0)</f>
        <v>9</v>
      </c>
      <c r="O15">
        <f>L15*(ROUNDUP(I15/GiaDinh!$C$5-0.0005,0)-1)</f>
        <v>6</v>
      </c>
      <c r="P15">
        <f t="shared" si="3"/>
        <v>39</v>
      </c>
      <c r="Q15">
        <f t="shared" si="4"/>
        <v>78</v>
      </c>
      <c r="R15">
        <f t="shared" si="5"/>
        <v>39</v>
      </c>
      <c r="S15">
        <f>M15*GiaDinh!$C$7</f>
        <v>135.44999999999999</v>
      </c>
    </row>
    <row r="16" spans="1:19" x14ac:dyDescent="0.35">
      <c r="A16" t="s">
        <v>167</v>
      </c>
      <c r="B16">
        <v>13</v>
      </c>
      <c r="C16" t="s">
        <v>173</v>
      </c>
      <c r="D16" t="s">
        <v>182</v>
      </c>
      <c r="E16">
        <v>1</v>
      </c>
      <c r="F16">
        <v>64</v>
      </c>
      <c r="G16">
        <f>E16*F16*GiaDinh!$C$18*GiaDinh!$C$17</f>
        <v>53.76</v>
      </c>
      <c r="H16">
        <v>1.2310000000000001</v>
      </c>
      <c r="I16">
        <f>GiaDinh!$C$15</f>
        <v>15</v>
      </c>
      <c r="J16">
        <f t="shared" si="0"/>
        <v>13</v>
      </c>
      <c r="K16">
        <f>J16*GiaDinh!$C$16</f>
        <v>91</v>
      </c>
      <c r="L16">
        <f t="shared" si="1"/>
        <v>1</v>
      </c>
      <c r="M16">
        <f t="shared" si="2"/>
        <v>15</v>
      </c>
      <c r="N16">
        <f>L16*ROUNDUP(I16/GiaDinh!$C$5-0.0005,0)</f>
        <v>3</v>
      </c>
      <c r="O16">
        <f>L16*(ROUNDUP(I16/GiaDinh!$C$5-0.0005,0)-1)</f>
        <v>2</v>
      </c>
      <c r="P16">
        <f t="shared" si="3"/>
        <v>13</v>
      </c>
      <c r="Q16">
        <f t="shared" si="4"/>
        <v>26</v>
      </c>
      <c r="R16">
        <f t="shared" si="5"/>
        <v>13</v>
      </c>
      <c r="S16">
        <f>M16*GiaDinh!$C$7</f>
        <v>45.15</v>
      </c>
    </row>
    <row r="17" spans="1:19" x14ac:dyDescent="0.35">
      <c r="A17" t="s">
        <v>167</v>
      </c>
      <c r="B17">
        <v>14</v>
      </c>
      <c r="C17" t="s">
        <v>173</v>
      </c>
      <c r="D17" t="s">
        <v>183</v>
      </c>
      <c r="E17">
        <v>1</v>
      </c>
      <c r="F17">
        <v>64</v>
      </c>
      <c r="G17">
        <f>E17*F17*GiaDinh!$C$18*GiaDinh!$C$17</f>
        <v>53.76</v>
      </c>
      <c r="H17">
        <v>1.2310000000000001</v>
      </c>
      <c r="I17">
        <f>GiaDinh!$C$15</f>
        <v>15</v>
      </c>
      <c r="J17">
        <f t="shared" si="0"/>
        <v>13</v>
      </c>
      <c r="K17">
        <f>J17*GiaDinh!$C$16</f>
        <v>91</v>
      </c>
      <c r="L17">
        <f t="shared" si="1"/>
        <v>1</v>
      </c>
      <c r="M17">
        <f t="shared" si="2"/>
        <v>15</v>
      </c>
      <c r="N17">
        <f>L17*ROUNDUP(I17/GiaDinh!$C$5-0.0005,0)</f>
        <v>3</v>
      </c>
      <c r="O17">
        <f>L17*(ROUNDUP(I17/GiaDinh!$C$5-0.0005,0)-1)</f>
        <v>2</v>
      </c>
      <c r="P17">
        <f t="shared" si="3"/>
        <v>13</v>
      </c>
      <c r="Q17">
        <f t="shared" si="4"/>
        <v>26</v>
      </c>
      <c r="R17">
        <f t="shared" si="5"/>
        <v>13</v>
      </c>
      <c r="S17">
        <f>M17*GiaDinh!$C$7</f>
        <v>45.15</v>
      </c>
    </row>
    <row r="18" spans="1:19" x14ac:dyDescent="0.35">
      <c r="A18" t="s">
        <v>167</v>
      </c>
      <c r="B18">
        <v>15</v>
      </c>
      <c r="C18" t="s">
        <v>173</v>
      </c>
      <c r="D18" t="s">
        <v>184</v>
      </c>
      <c r="E18">
        <v>1</v>
      </c>
      <c r="F18">
        <v>64</v>
      </c>
      <c r="G18">
        <f>E18*F18*GiaDinh!$C$18*GiaDinh!$C$17</f>
        <v>53.76</v>
      </c>
      <c r="H18">
        <v>1.2310000000000001</v>
      </c>
      <c r="I18">
        <f>GiaDinh!$C$15</f>
        <v>15</v>
      </c>
      <c r="J18">
        <f t="shared" si="0"/>
        <v>13</v>
      </c>
      <c r="K18">
        <f>J18*GiaDinh!$C$16</f>
        <v>91</v>
      </c>
      <c r="L18">
        <f t="shared" si="1"/>
        <v>1</v>
      </c>
      <c r="M18">
        <f t="shared" si="2"/>
        <v>15</v>
      </c>
      <c r="N18">
        <f>L18*ROUNDUP(I18/GiaDinh!$C$5-0.0005,0)</f>
        <v>3</v>
      </c>
      <c r="O18">
        <f>L18*(ROUNDUP(I18/GiaDinh!$C$5-0.0005,0)-1)</f>
        <v>2</v>
      </c>
      <c r="P18">
        <f t="shared" si="3"/>
        <v>13</v>
      </c>
      <c r="Q18">
        <f t="shared" si="4"/>
        <v>26</v>
      </c>
      <c r="R18">
        <f t="shared" si="5"/>
        <v>13</v>
      </c>
      <c r="S18">
        <f>M18*GiaDinh!$C$7</f>
        <v>45.15</v>
      </c>
    </row>
    <row r="19" spans="1:19" x14ac:dyDescent="0.35">
      <c r="A19" t="s">
        <v>167</v>
      </c>
      <c r="B19">
        <v>16</v>
      </c>
      <c r="C19" t="s">
        <v>173</v>
      </c>
      <c r="D19" t="s">
        <v>185</v>
      </c>
      <c r="E19">
        <v>1</v>
      </c>
      <c r="F19">
        <v>64</v>
      </c>
      <c r="G19">
        <f>E19*F19*GiaDinh!$C$18*GiaDinh!$C$17</f>
        <v>53.76</v>
      </c>
      <c r="H19">
        <v>1.2310000000000001</v>
      </c>
      <c r="I19">
        <f>GiaDinh!$C$15</f>
        <v>15</v>
      </c>
      <c r="J19">
        <f t="shared" si="0"/>
        <v>13</v>
      </c>
      <c r="K19">
        <f>J19*GiaDinh!$C$16</f>
        <v>91</v>
      </c>
      <c r="L19">
        <f t="shared" si="1"/>
        <v>1</v>
      </c>
      <c r="M19">
        <f t="shared" si="2"/>
        <v>15</v>
      </c>
      <c r="N19">
        <f>L19*ROUNDUP(I19/GiaDinh!$C$5-0.0005,0)</f>
        <v>3</v>
      </c>
      <c r="O19">
        <f>L19*(ROUNDUP(I19/GiaDinh!$C$5-0.0005,0)-1)</f>
        <v>2</v>
      </c>
      <c r="P19">
        <f t="shared" si="3"/>
        <v>13</v>
      </c>
      <c r="Q19">
        <f t="shared" si="4"/>
        <v>26</v>
      </c>
      <c r="R19">
        <f t="shared" si="5"/>
        <v>13</v>
      </c>
      <c r="S19">
        <f>M19*GiaDinh!$C$7</f>
        <v>45.15</v>
      </c>
    </row>
    <row r="20" spans="1:19" x14ac:dyDescent="0.35">
      <c r="A20" t="s">
        <v>7</v>
      </c>
      <c r="B20">
        <v>1</v>
      </c>
      <c r="C20" t="s">
        <v>168</v>
      </c>
      <c r="D20" t="s">
        <v>186</v>
      </c>
      <c r="E20">
        <v>3</v>
      </c>
      <c r="F20">
        <v>67.5</v>
      </c>
      <c r="G20">
        <f>E20*F20*GiaDinh!$C$18*GiaDinh!$C$17</f>
        <v>170.1</v>
      </c>
      <c r="H20">
        <v>1.234</v>
      </c>
      <c r="I20">
        <f>GiaDinh!$C$15</f>
        <v>15</v>
      </c>
      <c r="J20">
        <f t="shared" si="0"/>
        <v>13</v>
      </c>
      <c r="K20">
        <f>J20*GiaDinh!$C$16</f>
        <v>91</v>
      </c>
      <c r="L20">
        <f t="shared" si="1"/>
        <v>2</v>
      </c>
      <c r="M20">
        <f t="shared" si="2"/>
        <v>30</v>
      </c>
      <c r="N20">
        <f>L20*ROUNDUP(I20/GiaDinh!$C$5-0.0005,0)</f>
        <v>6</v>
      </c>
      <c r="O20">
        <f>L20*(ROUNDUP(I20/GiaDinh!$C$5-0.0005,0)-1)</f>
        <v>4</v>
      </c>
      <c r="P20">
        <f t="shared" si="3"/>
        <v>26</v>
      </c>
      <c r="Q20">
        <f t="shared" si="4"/>
        <v>52</v>
      </c>
      <c r="R20">
        <f t="shared" si="5"/>
        <v>26</v>
      </c>
      <c r="S20">
        <f>M20*GiaDinh!$C$7</f>
        <v>90.3</v>
      </c>
    </row>
    <row r="21" spans="1:19" x14ac:dyDescent="0.35">
      <c r="A21" t="s">
        <v>7</v>
      </c>
      <c r="B21">
        <v>2</v>
      </c>
      <c r="C21" t="s">
        <v>168</v>
      </c>
      <c r="D21" t="s">
        <v>187</v>
      </c>
      <c r="E21">
        <v>3</v>
      </c>
      <c r="F21">
        <v>67.5</v>
      </c>
      <c r="G21">
        <f>E21*F21*GiaDinh!$C$18*GiaDinh!$C$17</f>
        <v>170.1</v>
      </c>
      <c r="H21">
        <v>1.234</v>
      </c>
      <c r="I21">
        <f>GiaDinh!$C$15</f>
        <v>15</v>
      </c>
      <c r="J21">
        <f t="shared" si="0"/>
        <v>13</v>
      </c>
      <c r="K21">
        <f>J21*GiaDinh!$C$16</f>
        <v>91</v>
      </c>
      <c r="L21">
        <f t="shared" si="1"/>
        <v>2</v>
      </c>
      <c r="M21">
        <f t="shared" si="2"/>
        <v>30</v>
      </c>
      <c r="N21">
        <f>L21*ROUNDUP(I21/GiaDinh!$C$5-0.0005,0)</f>
        <v>6</v>
      </c>
      <c r="O21">
        <f>L21*(ROUNDUP(I21/GiaDinh!$C$5-0.0005,0)-1)</f>
        <v>4</v>
      </c>
      <c r="P21">
        <f t="shared" si="3"/>
        <v>26</v>
      </c>
      <c r="Q21">
        <f t="shared" si="4"/>
        <v>52</v>
      </c>
      <c r="R21">
        <f t="shared" si="5"/>
        <v>26</v>
      </c>
      <c r="S21">
        <f>M21*GiaDinh!$C$7</f>
        <v>90.3</v>
      </c>
    </row>
    <row r="22" spans="1:19" x14ac:dyDescent="0.35">
      <c r="A22" t="s">
        <v>7</v>
      </c>
      <c r="B22">
        <v>3</v>
      </c>
      <c r="C22" t="s">
        <v>168</v>
      </c>
      <c r="D22" t="s">
        <v>188</v>
      </c>
      <c r="E22">
        <v>4</v>
      </c>
      <c r="F22">
        <v>67.5</v>
      </c>
      <c r="G22">
        <f>E22*F22*GiaDinh!$C$18*GiaDinh!$C$17</f>
        <v>226.79999999999998</v>
      </c>
      <c r="H22">
        <v>1.234</v>
      </c>
      <c r="I22">
        <f>GiaDinh!$C$15</f>
        <v>15</v>
      </c>
      <c r="J22">
        <f t="shared" si="0"/>
        <v>13</v>
      </c>
      <c r="K22">
        <f>J22*GiaDinh!$C$16</f>
        <v>91</v>
      </c>
      <c r="L22">
        <f t="shared" si="1"/>
        <v>3</v>
      </c>
      <c r="M22">
        <f t="shared" si="2"/>
        <v>45</v>
      </c>
      <c r="N22">
        <f>L22*ROUNDUP(I22/GiaDinh!$C$5-0.0005,0)</f>
        <v>9</v>
      </c>
      <c r="O22">
        <f>L22*(ROUNDUP(I22/GiaDinh!$C$5-0.0005,0)-1)</f>
        <v>6</v>
      </c>
      <c r="P22">
        <f t="shared" si="3"/>
        <v>39</v>
      </c>
      <c r="Q22">
        <f t="shared" si="4"/>
        <v>78</v>
      </c>
      <c r="R22">
        <f t="shared" si="5"/>
        <v>39</v>
      </c>
      <c r="S22">
        <f>M22*GiaDinh!$C$7</f>
        <v>135.44999999999999</v>
      </c>
    </row>
    <row r="23" spans="1:19" x14ac:dyDescent="0.35">
      <c r="A23" t="s">
        <v>7</v>
      </c>
      <c r="B23">
        <v>4</v>
      </c>
      <c r="C23" t="s">
        <v>168</v>
      </c>
      <c r="D23" t="s">
        <v>189</v>
      </c>
      <c r="E23">
        <v>3</v>
      </c>
      <c r="F23">
        <v>67.5</v>
      </c>
      <c r="G23">
        <f>E23*F23*GiaDinh!$C$18*GiaDinh!$C$17</f>
        <v>170.1</v>
      </c>
      <c r="H23">
        <v>1.234</v>
      </c>
      <c r="I23">
        <f>GiaDinh!$C$15</f>
        <v>15</v>
      </c>
      <c r="J23">
        <f t="shared" si="0"/>
        <v>13</v>
      </c>
      <c r="K23">
        <f>J23*GiaDinh!$C$16</f>
        <v>91</v>
      </c>
      <c r="L23">
        <f t="shared" si="1"/>
        <v>2</v>
      </c>
      <c r="M23">
        <f t="shared" si="2"/>
        <v>30</v>
      </c>
      <c r="N23">
        <f>L23*ROUNDUP(I23/GiaDinh!$C$5-0.0005,0)</f>
        <v>6</v>
      </c>
      <c r="O23">
        <f>L23*(ROUNDUP(I23/GiaDinh!$C$5-0.0005,0)-1)</f>
        <v>4</v>
      </c>
      <c r="P23">
        <f t="shared" si="3"/>
        <v>26</v>
      </c>
      <c r="Q23">
        <f t="shared" si="4"/>
        <v>52</v>
      </c>
      <c r="R23">
        <f t="shared" si="5"/>
        <v>26</v>
      </c>
      <c r="S23">
        <f>M23*GiaDinh!$C$7</f>
        <v>90.3</v>
      </c>
    </row>
    <row r="24" spans="1:19" x14ac:dyDescent="0.35">
      <c r="A24" t="s">
        <v>7</v>
      </c>
      <c r="B24">
        <v>5</v>
      </c>
      <c r="C24" t="s">
        <v>168</v>
      </c>
      <c r="D24" t="s">
        <v>190</v>
      </c>
      <c r="E24">
        <v>1</v>
      </c>
      <c r="F24">
        <v>67.5</v>
      </c>
      <c r="G24">
        <f>E24*F24*GiaDinh!$C$18*GiaDinh!$C$17</f>
        <v>56.699999999999996</v>
      </c>
      <c r="H24">
        <v>1.234</v>
      </c>
      <c r="I24">
        <f>GiaDinh!$C$15</f>
        <v>15</v>
      </c>
      <c r="J24">
        <f t="shared" si="0"/>
        <v>13</v>
      </c>
      <c r="K24">
        <f>J24*GiaDinh!$C$16</f>
        <v>91</v>
      </c>
      <c r="L24">
        <f t="shared" si="1"/>
        <v>1</v>
      </c>
      <c r="M24">
        <f t="shared" si="2"/>
        <v>15</v>
      </c>
      <c r="N24">
        <f>L24*ROUNDUP(I24/GiaDinh!$C$5-0.0005,0)</f>
        <v>3</v>
      </c>
      <c r="O24">
        <f>L24*(ROUNDUP(I24/GiaDinh!$C$5-0.0005,0)-1)</f>
        <v>2</v>
      </c>
      <c r="P24">
        <f t="shared" si="3"/>
        <v>13</v>
      </c>
      <c r="Q24">
        <f t="shared" si="4"/>
        <v>26</v>
      </c>
      <c r="R24">
        <f t="shared" si="5"/>
        <v>13</v>
      </c>
      <c r="S24">
        <f>M24*GiaDinh!$C$7</f>
        <v>45.15</v>
      </c>
    </row>
    <row r="25" spans="1:19" x14ac:dyDescent="0.35">
      <c r="A25" t="s">
        <v>7</v>
      </c>
      <c r="B25">
        <v>6</v>
      </c>
      <c r="C25" t="s">
        <v>173</v>
      </c>
      <c r="D25" t="s">
        <v>191</v>
      </c>
      <c r="E25">
        <v>1</v>
      </c>
      <c r="F25">
        <v>67.5</v>
      </c>
      <c r="G25">
        <f>E25*F25*GiaDinh!$C$18*GiaDinh!$C$17</f>
        <v>56.699999999999996</v>
      </c>
      <c r="H25">
        <v>1.234</v>
      </c>
      <c r="I25">
        <f>GiaDinh!$C$15</f>
        <v>15</v>
      </c>
      <c r="J25">
        <f t="shared" si="0"/>
        <v>13</v>
      </c>
      <c r="K25">
        <f>J25*GiaDinh!$C$16</f>
        <v>91</v>
      </c>
      <c r="L25">
        <f t="shared" si="1"/>
        <v>1</v>
      </c>
      <c r="M25">
        <f t="shared" si="2"/>
        <v>15</v>
      </c>
      <c r="N25">
        <f>L25*ROUNDUP(I25/GiaDinh!$C$5-0.0005,0)</f>
        <v>3</v>
      </c>
      <c r="O25">
        <f>L25*(ROUNDUP(I25/GiaDinh!$C$5-0.0005,0)-1)</f>
        <v>2</v>
      </c>
      <c r="P25">
        <f t="shared" si="3"/>
        <v>13</v>
      </c>
      <c r="Q25">
        <f t="shared" si="4"/>
        <v>26</v>
      </c>
      <c r="R25">
        <f t="shared" si="5"/>
        <v>13</v>
      </c>
      <c r="S25">
        <f>M25*GiaDinh!$C$7</f>
        <v>45.15</v>
      </c>
    </row>
    <row r="26" spans="1:19" x14ac:dyDescent="0.35">
      <c r="A26" t="s">
        <v>7</v>
      </c>
      <c r="B26">
        <v>7</v>
      </c>
      <c r="C26" t="s">
        <v>173</v>
      </c>
      <c r="D26" t="s">
        <v>192</v>
      </c>
      <c r="E26">
        <v>1</v>
      </c>
      <c r="F26">
        <v>67.5</v>
      </c>
      <c r="G26">
        <f>E26*F26*GiaDinh!$C$18*GiaDinh!$C$17</f>
        <v>56.699999999999996</v>
      </c>
      <c r="H26">
        <v>1.234</v>
      </c>
      <c r="I26">
        <f>GiaDinh!$C$15</f>
        <v>15</v>
      </c>
      <c r="J26">
        <f t="shared" si="0"/>
        <v>13</v>
      </c>
      <c r="K26">
        <f>J26*GiaDinh!$C$16</f>
        <v>91</v>
      </c>
      <c r="L26">
        <f t="shared" si="1"/>
        <v>1</v>
      </c>
      <c r="M26">
        <f t="shared" si="2"/>
        <v>15</v>
      </c>
      <c r="N26">
        <f>L26*ROUNDUP(I26/GiaDinh!$C$5-0.0005,0)</f>
        <v>3</v>
      </c>
      <c r="O26">
        <f>L26*(ROUNDUP(I26/GiaDinh!$C$5-0.0005,0)-1)</f>
        <v>2</v>
      </c>
      <c r="P26">
        <f t="shared" si="3"/>
        <v>13</v>
      </c>
      <c r="Q26">
        <f t="shared" si="4"/>
        <v>26</v>
      </c>
      <c r="R26">
        <f t="shared" si="5"/>
        <v>13</v>
      </c>
      <c r="S26">
        <f>M26*GiaDinh!$C$7</f>
        <v>45.15</v>
      </c>
    </row>
    <row r="27" spans="1:19" x14ac:dyDescent="0.35">
      <c r="A27" t="s">
        <v>7</v>
      </c>
      <c r="B27">
        <v>8</v>
      </c>
      <c r="C27" t="s">
        <v>173</v>
      </c>
      <c r="D27" t="s">
        <v>193</v>
      </c>
      <c r="E27">
        <v>1</v>
      </c>
      <c r="F27">
        <v>67.5</v>
      </c>
      <c r="G27">
        <f>E27*F27*GiaDinh!$C$18*GiaDinh!$C$17</f>
        <v>56.699999999999996</v>
      </c>
      <c r="H27">
        <v>1.234</v>
      </c>
      <c r="I27">
        <f>GiaDinh!$C$15</f>
        <v>15</v>
      </c>
      <c r="J27">
        <f t="shared" si="0"/>
        <v>13</v>
      </c>
      <c r="K27">
        <f>J27*GiaDinh!$C$16</f>
        <v>91</v>
      </c>
      <c r="L27">
        <f t="shared" si="1"/>
        <v>1</v>
      </c>
      <c r="M27">
        <f t="shared" si="2"/>
        <v>15</v>
      </c>
      <c r="N27">
        <f>L27*ROUNDUP(I27/GiaDinh!$C$5-0.0005,0)</f>
        <v>3</v>
      </c>
      <c r="O27">
        <f>L27*(ROUNDUP(I27/GiaDinh!$C$5-0.0005,0)-1)</f>
        <v>2</v>
      </c>
      <c r="P27">
        <f t="shared" si="3"/>
        <v>13</v>
      </c>
      <c r="Q27">
        <f t="shared" si="4"/>
        <v>26</v>
      </c>
      <c r="R27">
        <f t="shared" si="5"/>
        <v>13</v>
      </c>
      <c r="S27">
        <f>M27*GiaDinh!$C$7</f>
        <v>45.15</v>
      </c>
    </row>
    <row r="28" spans="1:19" x14ac:dyDescent="0.35">
      <c r="A28" t="s">
        <v>7</v>
      </c>
      <c r="B28">
        <v>9</v>
      </c>
      <c r="C28" t="s">
        <v>173</v>
      </c>
      <c r="D28" t="s">
        <v>194</v>
      </c>
      <c r="E28">
        <v>1</v>
      </c>
      <c r="F28">
        <v>67.5</v>
      </c>
      <c r="G28">
        <f>E28*F28*GiaDinh!$C$18*GiaDinh!$C$17</f>
        <v>56.699999999999996</v>
      </c>
      <c r="H28">
        <v>1.234</v>
      </c>
      <c r="I28">
        <f>GiaDinh!$C$15</f>
        <v>15</v>
      </c>
      <c r="J28">
        <f t="shared" si="0"/>
        <v>13</v>
      </c>
      <c r="K28">
        <f>J28*GiaDinh!$C$16</f>
        <v>91</v>
      </c>
      <c r="L28">
        <f t="shared" si="1"/>
        <v>1</v>
      </c>
      <c r="M28">
        <f t="shared" si="2"/>
        <v>15</v>
      </c>
      <c r="N28">
        <f>L28*ROUNDUP(I28/GiaDinh!$C$5-0.0005,0)</f>
        <v>3</v>
      </c>
      <c r="O28">
        <f>L28*(ROUNDUP(I28/GiaDinh!$C$5-0.0005,0)-1)</f>
        <v>2</v>
      </c>
      <c r="P28">
        <f t="shared" si="3"/>
        <v>13</v>
      </c>
      <c r="Q28">
        <f t="shared" si="4"/>
        <v>26</v>
      </c>
      <c r="R28">
        <f t="shared" si="5"/>
        <v>13</v>
      </c>
      <c r="S28">
        <f>M28*GiaDinh!$C$7</f>
        <v>45.15</v>
      </c>
    </row>
    <row r="29" spans="1:19" x14ac:dyDescent="0.35">
      <c r="A29" t="s">
        <v>7</v>
      </c>
      <c r="B29">
        <v>10</v>
      </c>
      <c r="C29" t="s">
        <v>173</v>
      </c>
      <c r="D29" t="s">
        <v>195</v>
      </c>
      <c r="E29">
        <v>1</v>
      </c>
      <c r="F29">
        <v>67.5</v>
      </c>
      <c r="G29">
        <f>E29*F29*GiaDinh!$C$18*GiaDinh!$C$17</f>
        <v>56.699999999999996</v>
      </c>
      <c r="H29">
        <v>1.234</v>
      </c>
      <c r="I29">
        <f>GiaDinh!$C$15</f>
        <v>15</v>
      </c>
      <c r="J29">
        <f t="shared" si="0"/>
        <v>13</v>
      </c>
      <c r="K29">
        <f>J29*GiaDinh!$C$16</f>
        <v>91</v>
      </c>
      <c r="L29">
        <f t="shared" si="1"/>
        <v>1</v>
      </c>
      <c r="M29">
        <f t="shared" si="2"/>
        <v>15</v>
      </c>
      <c r="N29">
        <f>L29*ROUNDUP(I29/GiaDinh!$C$5-0.0005,0)</f>
        <v>3</v>
      </c>
      <c r="O29">
        <f>L29*(ROUNDUP(I29/GiaDinh!$C$5-0.0005,0)-1)</f>
        <v>2</v>
      </c>
      <c r="P29">
        <f t="shared" si="3"/>
        <v>13</v>
      </c>
      <c r="Q29">
        <f t="shared" si="4"/>
        <v>26</v>
      </c>
      <c r="R29">
        <f t="shared" si="5"/>
        <v>13</v>
      </c>
      <c r="S29">
        <f>M29*GiaDinh!$C$7</f>
        <v>45.15</v>
      </c>
    </row>
    <row r="30" spans="1:19" x14ac:dyDescent="0.35">
      <c r="A30" t="s">
        <v>7</v>
      </c>
      <c r="B30">
        <v>11</v>
      </c>
      <c r="C30" t="s">
        <v>173</v>
      </c>
      <c r="D30" t="s">
        <v>196</v>
      </c>
      <c r="E30">
        <v>1</v>
      </c>
      <c r="F30">
        <v>67.5</v>
      </c>
      <c r="G30">
        <f>E30*F30*GiaDinh!$C$18*GiaDinh!$C$17</f>
        <v>56.699999999999996</v>
      </c>
      <c r="H30">
        <v>1.234</v>
      </c>
      <c r="I30">
        <f>GiaDinh!$C$15</f>
        <v>15</v>
      </c>
      <c r="J30">
        <f t="shared" si="0"/>
        <v>13</v>
      </c>
      <c r="K30">
        <f>J30*GiaDinh!$C$16</f>
        <v>91</v>
      </c>
      <c r="L30">
        <f t="shared" si="1"/>
        <v>1</v>
      </c>
      <c r="M30">
        <f t="shared" si="2"/>
        <v>15</v>
      </c>
      <c r="N30">
        <f>L30*ROUNDUP(I30/GiaDinh!$C$5-0.0005,0)</f>
        <v>3</v>
      </c>
      <c r="O30">
        <f>L30*(ROUNDUP(I30/GiaDinh!$C$5-0.0005,0)-1)</f>
        <v>2</v>
      </c>
      <c r="P30">
        <f t="shared" si="3"/>
        <v>13</v>
      </c>
      <c r="Q30">
        <f t="shared" si="4"/>
        <v>26</v>
      </c>
      <c r="R30">
        <f t="shared" si="5"/>
        <v>13</v>
      </c>
      <c r="S30">
        <f>M30*GiaDinh!$C$7</f>
        <v>45.15</v>
      </c>
    </row>
    <row r="31" spans="1:19" x14ac:dyDescent="0.35">
      <c r="A31" t="s">
        <v>7</v>
      </c>
      <c r="B31">
        <v>12</v>
      </c>
      <c r="C31" t="s">
        <v>168</v>
      </c>
      <c r="D31" t="s">
        <v>197</v>
      </c>
      <c r="E31">
        <v>4</v>
      </c>
      <c r="F31">
        <v>67.5</v>
      </c>
      <c r="G31">
        <f>E31*F31*GiaDinh!$C$18*GiaDinh!$C$17</f>
        <v>226.79999999999998</v>
      </c>
      <c r="H31">
        <v>1.234</v>
      </c>
      <c r="I31">
        <f>GiaDinh!$C$15</f>
        <v>15</v>
      </c>
      <c r="J31">
        <f t="shared" si="0"/>
        <v>13</v>
      </c>
      <c r="K31">
        <f>J31*GiaDinh!$C$16</f>
        <v>91</v>
      </c>
      <c r="L31">
        <f t="shared" si="1"/>
        <v>3</v>
      </c>
      <c r="M31">
        <f t="shared" si="2"/>
        <v>45</v>
      </c>
      <c r="N31">
        <f>L31*ROUNDUP(I31/GiaDinh!$C$5-0.0005,0)</f>
        <v>9</v>
      </c>
      <c r="O31">
        <f>L31*(ROUNDUP(I31/GiaDinh!$C$5-0.0005,0)-1)</f>
        <v>6</v>
      </c>
      <c r="P31">
        <f t="shared" si="3"/>
        <v>39</v>
      </c>
      <c r="Q31">
        <f t="shared" si="4"/>
        <v>78</v>
      </c>
      <c r="R31">
        <f t="shared" si="5"/>
        <v>39</v>
      </c>
      <c r="S31">
        <f>M31*GiaDinh!$C$7</f>
        <v>135.44999999999999</v>
      </c>
    </row>
    <row r="32" spans="1:19" x14ac:dyDescent="0.35">
      <c r="A32" t="s">
        <v>7</v>
      </c>
      <c r="B32">
        <v>13</v>
      </c>
      <c r="C32" t="s">
        <v>168</v>
      </c>
      <c r="D32" t="s">
        <v>198</v>
      </c>
      <c r="E32">
        <v>4</v>
      </c>
      <c r="F32">
        <v>67.5</v>
      </c>
      <c r="G32">
        <f>E32*F32*GiaDinh!$C$18*GiaDinh!$C$17</f>
        <v>226.79999999999998</v>
      </c>
      <c r="H32">
        <v>1.234</v>
      </c>
      <c r="I32">
        <f>GiaDinh!$C$15</f>
        <v>15</v>
      </c>
      <c r="J32">
        <f t="shared" si="0"/>
        <v>13</v>
      </c>
      <c r="K32">
        <f>J32*GiaDinh!$C$16</f>
        <v>91</v>
      </c>
      <c r="L32">
        <f t="shared" si="1"/>
        <v>3</v>
      </c>
      <c r="M32">
        <f t="shared" si="2"/>
        <v>45</v>
      </c>
      <c r="N32">
        <f>L32*ROUNDUP(I32/GiaDinh!$C$5-0.0005,0)</f>
        <v>9</v>
      </c>
      <c r="O32">
        <f>L32*(ROUNDUP(I32/GiaDinh!$C$5-0.0005,0)-1)</f>
        <v>6</v>
      </c>
      <c r="P32">
        <f t="shared" si="3"/>
        <v>39</v>
      </c>
      <c r="Q32">
        <f t="shared" si="4"/>
        <v>78</v>
      </c>
      <c r="R32">
        <f t="shared" si="5"/>
        <v>39</v>
      </c>
      <c r="S32">
        <f>M32*GiaDinh!$C$7</f>
        <v>135.44999999999999</v>
      </c>
    </row>
    <row r="33" spans="1:19" x14ac:dyDescent="0.35">
      <c r="A33" t="s">
        <v>7</v>
      </c>
      <c r="B33">
        <v>14</v>
      </c>
      <c r="C33" t="s">
        <v>168</v>
      </c>
      <c r="D33" t="s">
        <v>199</v>
      </c>
      <c r="E33">
        <v>3</v>
      </c>
      <c r="F33">
        <v>67.5</v>
      </c>
      <c r="G33">
        <f>E33*F33*GiaDinh!$C$18*GiaDinh!$C$17</f>
        <v>170.1</v>
      </c>
      <c r="H33">
        <v>1.234</v>
      </c>
      <c r="I33">
        <f>GiaDinh!$C$15</f>
        <v>15</v>
      </c>
      <c r="J33">
        <f t="shared" si="0"/>
        <v>13</v>
      </c>
      <c r="K33">
        <f>J33*GiaDinh!$C$16</f>
        <v>91</v>
      </c>
      <c r="L33">
        <f t="shared" si="1"/>
        <v>2</v>
      </c>
      <c r="M33">
        <f t="shared" si="2"/>
        <v>30</v>
      </c>
      <c r="N33">
        <f>L33*ROUNDUP(I33/GiaDinh!$C$5-0.0005,0)</f>
        <v>6</v>
      </c>
      <c r="O33">
        <f>L33*(ROUNDUP(I33/GiaDinh!$C$5-0.0005,0)-1)</f>
        <v>4</v>
      </c>
      <c r="P33">
        <f t="shared" si="3"/>
        <v>26</v>
      </c>
      <c r="Q33">
        <f t="shared" si="4"/>
        <v>52</v>
      </c>
      <c r="R33">
        <f t="shared" si="5"/>
        <v>26</v>
      </c>
      <c r="S33">
        <f>M33*GiaDinh!$C$7</f>
        <v>90.3</v>
      </c>
    </row>
    <row r="34" spans="1:19" x14ac:dyDescent="0.35">
      <c r="A34" t="s">
        <v>7</v>
      </c>
      <c r="B34">
        <v>15</v>
      </c>
      <c r="C34" t="s">
        <v>168</v>
      </c>
      <c r="D34" t="s">
        <v>200</v>
      </c>
      <c r="E34">
        <v>5</v>
      </c>
      <c r="F34">
        <v>67.5</v>
      </c>
      <c r="G34">
        <f>E34*F34*GiaDinh!$C$18*GiaDinh!$C$17</f>
        <v>283.49999999999994</v>
      </c>
      <c r="H34">
        <v>1.234</v>
      </c>
      <c r="I34">
        <f>GiaDinh!$C$15</f>
        <v>15</v>
      </c>
      <c r="J34">
        <f t="shared" si="0"/>
        <v>13</v>
      </c>
      <c r="K34">
        <f>J34*GiaDinh!$C$16</f>
        <v>91</v>
      </c>
      <c r="L34">
        <f t="shared" si="1"/>
        <v>4</v>
      </c>
      <c r="M34">
        <f t="shared" si="2"/>
        <v>60</v>
      </c>
      <c r="N34">
        <f>L34*ROUNDUP(I34/GiaDinh!$C$5-0.0005,0)</f>
        <v>12</v>
      </c>
      <c r="O34">
        <f>L34*(ROUNDUP(I34/GiaDinh!$C$5-0.0005,0)-1)</f>
        <v>8</v>
      </c>
      <c r="P34">
        <f t="shared" si="3"/>
        <v>52</v>
      </c>
      <c r="Q34">
        <f t="shared" si="4"/>
        <v>104</v>
      </c>
      <c r="R34">
        <f t="shared" si="5"/>
        <v>52</v>
      </c>
      <c r="S34">
        <f>M34*GiaDinh!$C$7</f>
        <v>180.6</v>
      </c>
    </row>
    <row r="35" spans="1:19" x14ac:dyDescent="0.35">
      <c r="A35" t="s">
        <v>7</v>
      </c>
      <c r="B35">
        <v>16</v>
      </c>
      <c r="C35" t="s">
        <v>173</v>
      </c>
      <c r="D35" t="s">
        <v>201</v>
      </c>
      <c r="E35">
        <v>1</v>
      </c>
      <c r="F35">
        <v>67.5</v>
      </c>
      <c r="G35">
        <f>E35*F35*GiaDinh!$C$18*GiaDinh!$C$17</f>
        <v>56.699999999999996</v>
      </c>
      <c r="H35">
        <v>1.234</v>
      </c>
      <c r="I35">
        <f>GiaDinh!$C$15</f>
        <v>15</v>
      </c>
      <c r="J35">
        <f t="shared" si="0"/>
        <v>13</v>
      </c>
      <c r="K35">
        <f>J35*GiaDinh!$C$16</f>
        <v>91</v>
      </c>
      <c r="L35">
        <f t="shared" si="1"/>
        <v>1</v>
      </c>
      <c r="M35">
        <f t="shared" si="2"/>
        <v>15</v>
      </c>
      <c r="N35">
        <f>L35*ROUNDUP(I35/GiaDinh!$C$5-0.0005,0)</f>
        <v>3</v>
      </c>
      <c r="O35">
        <f>L35*(ROUNDUP(I35/GiaDinh!$C$5-0.0005,0)-1)</f>
        <v>2</v>
      </c>
      <c r="P35">
        <f t="shared" si="3"/>
        <v>13</v>
      </c>
      <c r="Q35">
        <f t="shared" si="4"/>
        <v>26</v>
      </c>
      <c r="R35">
        <f t="shared" si="5"/>
        <v>13</v>
      </c>
      <c r="S35">
        <f>M35*GiaDinh!$C$7</f>
        <v>45.15</v>
      </c>
    </row>
    <row r="36" spans="1:19" x14ac:dyDescent="0.35">
      <c r="A36" t="s">
        <v>7</v>
      </c>
      <c r="B36">
        <v>17</v>
      </c>
      <c r="C36" t="s">
        <v>173</v>
      </c>
      <c r="D36" t="s">
        <v>202</v>
      </c>
      <c r="E36">
        <v>1</v>
      </c>
      <c r="F36">
        <v>67.5</v>
      </c>
      <c r="G36">
        <f>E36*F36*GiaDinh!$C$18*GiaDinh!$C$17</f>
        <v>56.699999999999996</v>
      </c>
      <c r="H36">
        <v>1.234</v>
      </c>
      <c r="I36">
        <f>GiaDinh!$C$15</f>
        <v>15</v>
      </c>
      <c r="J36">
        <f t="shared" si="0"/>
        <v>13</v>
      </c>
      <c r="K36">
        <f>J36*GiaDinh!$C$16</f>
        <v>91</v>
      </c>
      <c r="L36">
        <f t="shared" si="1"/>
        <v>1</v>
      </c>
      <c r="M36">
        <f t="shared" si="2"/>
        <v>15</v>
      </c>
      <c r="N36">
        <f>L36*ROUNDUP(I36/GiaDinh!$C$5-0.0005,0)</f>
        <v>3</v>
      </c>
      <c r="O36">
        <f>L36*(ROUNDUP(I36/GiaDinh!$C$5-0.0005,0)-1)</f>
        <v>2</v>
      </c>
      <c r="P36">
        <f t="shared" si="3"/>
        <v>13</v>
      </c>
      <c r="Q36">
        <f t="shared" si="4"/>
        <v>26</v>
      </c>
      <c r="R36">
        <f t="shared" si="5"/>
        <v>13</v>
      </c>
      <c r="S36">
        <f>M36*GiaDinh!$C$7</f>
        <v>45.15</v>
      </c>
    </row>
    <row r="37" spans="1:19" x14ac:dyDescent="0.35">
      <c r="A37" t="s">
        <v>7</v>
      </c>
      <c r="B37">
        <v>18</v>
      </c>
      <c r="C37" t="s">
        <v>173</v>
      </c>
      <c r="D37" t="s">
        <v>203</v>
      </c>
      <c r="E37">
        <v>1</v>
      </c>
      <c r="F37">
        <v>67.5</v>
      </c>
      <c r="G37">
        <f>E37*F37*GiaDinh!$C$18*GiaDinh!$C$17</f>
        <v>56.699999999999996</v>
      </c>
      <c r="H37">
        <v>1.234</v>
      </c>
      <c r="I37">
        <f>GiaDinh!$C$15</f>
        <v>15</v>
      </c>
      <c r="J37">
        <f t="shared" si="0"/>
        <v>13</v>
      </c>
      <c r="K37">
        <f>J37*GiaDinh!$C$16</f>
        <v>91</v>
      </c>
      <c r="L37">
        <f t="shared" si="1"/>
        <v>1</v>
      </c>
      <c r="M37">
        <f t="shared" si="2"/>
        <v>15</v>
      </c>
      <c r="N37">
        <f>L37*ROUNDUP(I37/GiaDinh!$C$5-0.0005,0)</f>
        <v>3</v>
      </c>
      <c r="O37">
        <f>L37*(ROUNDUP(I37/GiaDinh!$C$5-0.0005,0)-1)</f>
        <v>2</v>
      </c>
      <c r="P37">
        <f t="shared" si="3"/>
        <v>13</v>
      </c>
      <c r="Q37">
        <f t="shared" si="4"/>
        <v>26</v>
      </c>
      <c r="R37">
        <f t="shared" si="5"/>
        <v>13</v>
      </c>
      <c r="S37">
        <f>M37*GiaDinh!$C$7</f>
        <v>45.15</v>
      </c>
    </row>
    <row r="38" spans="1:19" x14ac:dyDescent="0.35">
      <c r="A38" t="s">
        <v>7</v>
      </c>
      <c r="B38">
        <v>19</v>
      </c>
      <c r="C38" t="s">
        <v>173</v>
      </c>
      <c r="D38" t="s">
        <v>204</v>
      </c>
      <c r="E38">
        <v>1</v>
      </c>
      <c r="F38">
        <v>67.5</v>
      </c>
      <c r="G38">
        <f>E38*F38*GiaDinh!$C$18*GiaDinh!$C$17</f>
        <v>56.699999999999996</v>
      </c>
      <c r="H38">
        <v>1.234</v>
      </c>
      <c r="I38">
        <f>GiaDinh!$C$15</f>
        <v>15</v>
      </c>
      <c r="J38">
        <f t="shared" si="0"/>
        <v>13</v>
      </c>
      <c r="K38">
        <f>J38*GiaDinh!$C$16</f>
        <v>91</v>
      </c>
      <c r="L38">
        <f t="shared" si="1"/>
        <v>1</v>
      </c>
      <c r="M38">
        <f t="shared" si="2"/>
        <v>15</v>
      </c>
      <c r="N38">
        <f>L38*ROUNDUP(I38/GiaDinh!$C$5-0.0005,0)</f>
        <v>3</v>
      </c>
      <c r="O38">
        <f>L38*(ROUNDUP(I38/GiaDinh!$C$5-0.0005,0)-1)</f>
        <v>2</v>
      </c>
      <c r="P38">
        <f t="shared" si="3"/>
        <v>13</v>
      </c>
      <c r="Q38">
        <f t="shared" si="4"/>
        <v>26</v>
      </c>
      <c r="R38">
        <f t="shared" si="5"/>
        <v>13</v>
      </c>
      <c r="S38">
        <f>M38*GiaDinh!$C$7</f>
        <v>45.15</v>
      </c>
    </row>
    <row r="39" spans="1:19" x14ac:dyDescent="0.35">
      <c r="A39" t="s">
        <v>8</v>
      </c>
      <c r="B39">
        <v>1</v>
      </c>
      <c r="C39" t="s">
        <v>173</v>
      </c>
      <c r="D39" t="s">
        <v>205</v>
      </c>
      <c r="E39">
        <v>1</v>
      </c>
      <c r="F39">
        <v>70.5</v>
      </c>
      <c r="G39">
        <f>E39*F39*GiaDinh!$C$18*GiaDinh!$C$17</f>
        <v>59.219999999999992</v>
      </c>
      <c r="H39">
        <v>1.228</v>
      </c>
      <c r="I39">
        <f>GiaDinh!$C$15</f>
        <v>15</v>
      </c>
      <c r="J39">
        <f t="shared" si="0"/>
        <v>13</v>
      </c>
      <c r="K39">
        <f>J39*GiaDinh!$C$16</f>
        <v>91</v>
      </c>
      <c r="L39">
        <f t="shared" si="1"/>
        <v>1</v>
      </c>
      <c r="M39">
        <f t="shared" si="2"/>
        <v>15</v>
      </c>
      <c r="N39">
        <f>L39*ROUNDUP(I39/GiaDinh!$C$5-0.0005,0)</f>
        <v>3</v>
      </c>
      <c r="O39">
        <f>L39*(ROUNDUP(I39/GiaDinh!$C$5-0.0005,0)-1)</f>
        <v>2</v>
      </c>
      <c r="P39">
        <f t="shared" si="3"/>
        <v>13</v>
      </c>
      <c r="Q39">
        <f t="shared" si="4"/>
        <v>26</v>
      </c>
      <c r="R39">
        <f t="shared" si="5"/>
        <v>13</v>
      </c>
      <c r="S39">
        <f>M39*GiaDinh!$C$7</f>
        <v>45.15</v>
      </c>
    </row>
    <row r="40" spans="1:19" x14ac:dyDescent="0.35">
      <c r="A40" t="s">
        <v>8</v>
      </c>
      <c r="B40">
        <v>2</v>
      </c>
      <c r="C40" t="s">
        <v>173</v>
      </c>
      <c r="D40" t="s">
        <v>206</v>
      </c>
      <c r="E40">
        <v>1</v>
      </c>
      <c r="F40">
        <v>70.5</v>
      </c>
      <c r="G40">
        <f>E40*F40*GiaDinh!$C$18*GiaDinh!$C$17</f>
        <v>59.219999999999992</v>
      </c>
      <c r="H40">
        <v>1.228</v>
      </c>
      <c r="I40">
        <f>GiaDinh!$C$15</f>
        <v>15</v>
      </c>
      <c r="J40">
        <f t="shared" si="0"/>
        <v>13</v>
      </c>
      <c r="K40">
        <f>J40*GiaDinh!$C$16</f>
        <v>91</v>
      </c>
      <c r="L40">
        <f t="shared" si="1"/>
        <v>1</v>
      </c>
      <c r="M40">
        <f t="shared" si="2"/>
        <v>15</v>
      </c>
      <c r="N40">
        <f>L40*ROUNDUP(I40/GiaDinh!$C$5-0.0005,0)</f>
        <v>3</v>
      </c>
      <c r="O40">
        <f>L40*(ROUNDUP(I40/GiaDinh!$C$5-0.0005,0)-1)</f>
        <v>2</v>
      </c>
      <c r="P40">
        <f t="shared" si="3"/>
        <v>13</v>
      </c>
      <c r="Q40">
        <f t="shared" si="4"/>
        <v>26</v>
      </c>
      <c r="R40">
        <f t="shared" si="5"/>
        <v>13</v>
      </c>
      <c r="S40">
        <f>M40*GiaDinh!$C$7</f>
        <v>45.15</v>
      </c>
    </row>
    <row r="41" spans="1:19" x14ac:dyDescent="0.35">
      <c r="A41" t="s">
        <v>8</v>
      </c>
      <c r="B41">
        <v>3</v>
      </c>
      <c r="C41" t="s">
        <v>168</v>
      </c>
      <c r="D41" t="s">
        <v>207</v>
      </c>
      <c r="E41">
        <v>2</v>
      </c>
      <c r="F41">
        <v>70.5</v>
      </c>
      <c r="G41">
        <f>E41*F41*GiaDinh!$C$18*GiaDinh!$C$17</f>
        <v>118.43999999999998</v>
      </c>
      <c r="H41">
        <v>1.228</v>
      </c>
      <c r="I41">
        <f>GiaDinh!$C$15</f>
        <v>15</v>
      </c>
      <c r="J41">
        <f t="shared" si="0"/>
        <v>13</v>
      </c>
      <c r="K41">
        <f>J41*GiaDinh!$C$16</f>
        <v>91</v>
      </c>
      <c r="L41">
        <f t="shared" si="1"/>
        <v>2</v>
      </c>
      <c r="M41">
        <f t="shared" si="2"/>
        <v>30</v>
      </c>
      <c r="N41">
        <f>L41*ROUNDUP(I41/GiaDinh!$C$5-0.0005,0)</f>
        <v>6</v>
      </c>
      <c r="O41">
        <f>L41*(ROUNDUP(I41/GiaDinh!$C$5-0.0005,0)-1)</f>
        <v>4</v>
      </c>
      <c r="P41">
        <f t="shared" si="3"/>
        <v>26</v>
      </c>
      <c r="Q41">
        <f t="shared" si="4"/>
        <v>52</v>
      </c>
      <c r="R41">
        <f t="shared" si="5"/>
        <v>26</v>
      </c>
      <c r="S41">
        <f>M41*GiaDinh!$C$7</f>
        <v>90.3</v>
      </c>
    </row>
    <row r="42" spans="1:19" x14ac:dyDescent="0.35">
      <c r="A42" t="s">
        <v>8</v>
      </c>
      <c r="B42">
        <v>4</v>
      </c>
      <c r="C42" t="s">
        <v>173</v>
      </c>
      <c r="D42" t="s">
        <v>208</v>
      </c>
      <c r="E42">
        <v>1</v>
      </c>
      <c r="F42">
        <v>70.5</v>
      </c>
      <c r="G42">
        <f>E42*F42*GiaDinh!$C$18*GiaDinh!$C$17</f>
        <v>59.219999999999992</v>
      </c>
      <c r="H42">
        <v>1.228</v>
      </c>
      <c r="I42">
        <f>GiaDinh!$C$15</f>
        <v>15</v>
      </c>
      <c r="J42">
        <f t="shared" si="0"/>
        <v>13</v>
      </c>
      <c r="K42">
        <f>J42*GiaDinh!$C$16</f>
        <v>91</v>
      </c>
      <c r="L42">
        <f t="shared" si="1"/>
        <v>1</v>
      </c>
      <c r="M42">
        <f t="shared" si="2"/>
        <v>15</v>
      </c>
      <c r="N42">
        <f>L42*ROUNDUP(I42/GiaDinh!$C$5-0.0005,0)</f>
        <v>3</v>
      </c>
      <c r="O42">
        <f>L42*(ROUNDUP(I42/GiaDinh!$C$5-0.0005,0)-1)</f>
        <v>2</v>
      </c>
      <c r="P42">
        <f t="shared" si="3"/>
        <v>13</v>
      </c>
      <c r="Q42">
        <f t="shared" si="4"/>
        <v>26</v>
      </c>
      <c r="R42">
        <f t="shared" si="5"/>
        <v>13</v>
      </c>
      <c r="S42">
        <f>M42*GiaDinh!$C$7</f>
        <v>45.15</v>
      </c>
    </row>
    <row r="43" spans="1:19" x14ac:dyDescent="0.35">
      <c r="A43" t="s">
        <v>8</v>
      </c>
      <c r="B43">
        <v>5</v>
      </c>
      <c r="C43" t="s">
        <v>173</v>
      </c>
      <c r="D43" t="s">
        <v>209</v>
      </c>
      <c r="E43">
        <v>1</v>
      </c>
      <c r="F43">
        <v>70.5</v>
      </c>
      <c r="G43">
        <f>E43*F43*GiaDinh!$C$18*GiaDinh!$C$17</f>
        <v>59.219999999999992</v>
      </c>
      <c r="H43">
        <v>1.228</v>
      </c>
      <c r="I43">
        <f>GiaDinh!$C$15</f>
        <v>15</v>
      </c>
      <c r="J43">
        <f t="shared" si="0"/>
        <v>13</v>
      </c>
      <c r="K43">
        <f>J43*GiaDinh!$C$16</f>
        <v>91</v>
      </c>
      <c r="L43">
        <f t="shared" si="1"/>
        <v>1</v>
      </c>
      <c r="M43">
        <f t="shared" si="2"/>
        <v>15</v>
      </c>
      <c r="N43">
        <f>L43*ROUNDUP(I43/GiaDinh!$C$5-0.0005,0)</f>
        <v>3</v>
      </c>
      <c r="O43">
        <f>L43*(ROUNDUP(I43/GiaDinh!$C$5-0.0005,0)-1)</f>
        <v>2</v>
      </c>
      <c r="P43">
        <f t="shared" si="3"/>
        <v>13</v>
      </c>
      <c r="Q43">
        <f t="shared" si="4"/>
        <v>26</v>
      </c>
      <c r="R43">
        <f t="shared" si="5"/>
        <v>13</v>
      </c>
      <c r="S43">
        <f>M43*GiaDinh!$C$7</f>
        <v>45.15</v>
      </c>
    </row>
    <row r="44" spans="1:19" x14ac:dyDescent="0.35">
      <c r="A44" t="s">
        <v>8</v>
      </c>
      <c r="B44">
        <v>6</v>
      </c>
      <c r="C44" t="s">
        <v>173</v>
      </c>
      <c r="D44" t="s">
        <v>210</v>
      </c>
      <c r="E44">
        <v>1</v>
      </c>
      <c r="F44">
        <v>70.5</v>
      </c>
      <c r="G44">
        <f>E44*F44*GiaDinh!$C$18*GiaDinh!$C$17</f>
        <v>59.219999999999992</v>
      </c>
      <c r="H44">
        <v>1.228</v>
      </c>
      <c r="I44">
        <f>GiaDinh!$C$15</f>
        <v>15</v>
      </c>
      <c r="J44">
        <f t="shared" si="0"/>
        <v>13</v>
      </c>
      <c r="K44">
        <f>J44*GiaDinh!$C$16</f>
        <v>91</v>
      </c>
      <c r="L44">
        <f t="shared" si="1"/>
        <v>1</v>
      </c>
      <c r="M44">
        <f t="shared" si="2"/>
        <v>15</v>
      </c>
      <c r="N44">
        <f>L44*ROUNDUP(I44/GiaDinh!$C$5-0.0005,0)</f>
        <v>3</v>
      </c>
      <c r="O44">
        <f>L44*(ROUNDUP(I44/GiaDinh!$C$5-0.0005,0)-1)</f>
        <v>2</v>
      </c>
      <c r="P44">
        <f t="shared" si="3"/>
        <v>13</v>
      </c>
      <c r="Q44">
        <f t="shared" si="4"/>
        <v>26</v>
      </c>
      <c r="R44">
        <f t="shared" si="5"/>
        <v>13</v>
      </c>
      <c r="S44">
        <f>M44*GiaDinh!$C$7</f>
        <v>45.15</v>
      </c>
    </row>
    <row r="45" spans="1:19" x14ac:dyDescent="0.35">
      <c r="A45" t="s">
        <v>8</v>
      </c>
      <c r="B45">
        <v>7</v>
      </c>
      <c r="C45" t="s">
        <v>173</v>
      </c>
      <c r="D45" t="s">
        <v>211</v>
      </c>
      <c r="E45">
        <v>1</v>
      </c>
      <c r="F45">
        <v>70.5</v>
      </c>
      <c r="G45">
        <f>E45*F45*GiaDinh!$C$18*GiaDinh!$C$17</f>
        <v>59.219999999999992</v>
      </c>
      <c r="H45">
        <v>1.228</v>
      </c>
      <c r="I45">
        <f>GiaDinh!$C$15</f>
        <v>15</v>
      </c>
      <c r="J45">
        <f t="shared" si="0"/>
        <v>13</v>
      </c>
      <c r="K45">
        <f>J45*GiaDinh!$C$16</f>
        <v>91</v>
      </c>
      <c r="L45">
        <f t="shared" si="1"/>
        <v>1</v>
      </c>
      <c r="M45">
        <f t="shared" si="2"/>
        <v>15</v>
      </c>
      <c r="N45">
        <f>L45*ROUNDUP(I45/GiaDinh!$C$5-0.0005,0)</f>
        <v>3</v>
      </c>
      <c r="O45">
        <f>L45*(ROUNDUP(I45/GiaDinh!$C$5-0.0005,0)-1)</f>
        <v>2</v>
      </c>
      <c r="P45">
        <f t="shared" si="3"/>
        <v>13</v>
      </c>
      <c r="Q45">
        <f t="shared" si="4"/>
        <v>26</v>
      </c>
      <c r="R45">
        <f t="shared" si="5"/>
        <v>13</v>
      </c>
      <c r="S45">
        <f>M45*GiaDinh!$C$7</f>
        <v>45.15</v>
      </c>
    </row>
    <row r="46" spans="1:19" x14ac:dyDescent="0.35">
      <c r="A46" t="s">
        <v>8</v>
      </c>
      <c r="B46">
        <v>8</v>
      </c>
      <c r="C46" t="s">
        <v>173</v>
      </c>
      <c r="D46" t="s">
        <v>212</v>
      </c>
      <c r="E46">
        <v>1</v>
      </c>
      <c r="F46">
        <v>70.5</v>
      </c>
      <c r="G46">
        <f>E46*F46*GiaDinh!$C$18*GiaDinh!$C$17</f>
        <v>59.219999999999992</v>
      </c>
      <c r="H46">
        <v>1.228</v>
      </c>
      <c r="I46">
        <f>GiaDinh!$C$15</f>
        <v>15</v>
      </c>
      <c r="J46">
        <f t="shared" si="0"/>
        <v>13</v>
      </c>
      <c r="K46">
        <f>J46*GiaDinh!$C$16</f>
        <v>91</v>
      </c>
      <c r="L46">
        <f t="shared" si="1"/>
        <v>1</v>
      </c>
      <c r="M46">
        <f t="shared" si="2"/>
        <v>15</v>
      </c>
      <c r="N46">
        <f>L46*ROUNDUP(I46/GiaDinh!$C$5-0.0005,0)</f>
        <v>3</v>
      </c>
      <c r="O46">
        <f>L46*(ROUNDUP(I46/GiaDinh!$C$5-0.0005,0)-1)</f>
        <v>2</v>
      </c>
      <c r="P46">
        <f t="shared" si="3"/>
        <v>13</v>
      </c>
      <c r="Q46">
        <f t="shared" si="4"/>
        <v>26</v>
      </c>
      <c r="R46">
        <f t="shared" si="5"/>
        <v>13</v>
      </c>
      <c r="S46">
        <f>M46*GiaDinh!$C$7</f>
        <v>45.15</v>
      </c>
    </row>
    <row r="47" spans="1:19" x14ac:dyDescent="0.35">
      <c r="A47" t="s">
        <v>8</v>
      </c>
      <c r="B47">
        <v>9</v>
      </c>
      <c r="C47" t="s">
        <v>173</v>
      </c>
      <c r="D47" t="s">
        <v>213</v>
      </c>
      <c r="E47">
        <v>1</v>
      </c>
      <c r="F47">
        <v>70.5</v>
      </c>
      <c r="G47">
        <f>E47*F47*GiaDinh!$C$18*GiaDinh!$C$17</f>
        <v>59.219999999999992</v>
      </c>
      <c r="H47">
        <v>1.228</v>
      </c>
      <c r="I47">
        <f>GiaDinh!$C$15</f>
        <v>15</v>
      </c>
      <c r="J47">
        <f t="shared" si="0"/>
        <v>13</v>
      </c>
      <c r="K47">
        <f>J47*GiaDinh!$C$16</f>
        <v>91</v>
      </c>
      <c r="L47">
        <f t="shared" si="1"/>
        <v>1</v>
      </c>
      <c r="M47">
        <f t="shared" si="2"/>
        <v>15</v>
      </c>
      <c r="N47">
        <f>L47*ROUNDUP(I47/GiaDinh!$C$5-0.0005,0)</f>
        <v>3</v>
      </c>
      <c r="O47">
        <f>L47*(ROUNDUP(I47/GiaDinh!$C$5-0.0005,0)-1)</f>
        <v>2</v>
      </c>
      <c r="P47">
        <f t="shared" si="3"/>
        <v>13</v>
      </c>
      <c r="Q47">
        <f t="shared" si="4"/>
        <v>26</v>
      </c>
      <c r="R47">
        <f t="shared" si="5"/>
        <v>13</v>
      </c>
      <c r="S47">
        <f>M47*GiaDinh!$C$7</f>
        <v>45.15</v>
      </c>
    </row>
    <row r="48" spans="1:19" x14ac:dyDescent="0.35">
      <c r="A48" t="s">
        <v>8</v>
      </c>
      <c r="B48">
        <v>10</v>
      </c>
      <c r="C48" t="s">
        <v>168</v>
      </c>
      <c r="D48" t="s">
        <v>214</v>
      </c>
      <c r="E48">
        <v>4</v>
      </c>
      <c r="F48">
        <v>70.5</v>
      </c>
      <c r="G48">
        <f>E48*F48*GiaDinh!$C$18*GiaDinh!$C$17</f>
        <v>236.87999999999997</v>
      </c>
      <c r="H48">
        <v>1.228</v>
      </c>
      <c r="I48">
        <f>GiaDinh!$C$15</f>
        <v>15</v>
      </c>
      <c r="J48">
        <f t="shared" si="0"/>
        <v>13</v>
      </c>
      <c r="K48">
        <f>J48*GiaDinh!$C$16</f>
        <v>91</v>
      </c>
      <c r="L48">
        <f t="shared" si="1"/>
        <v>3</v>
      </c>
      <c r="M48">
        <f t="shared" si="2"/>
        <v>45</v>
      </c>
      <c r="N48">
        <f>L48*ROUNDUP(I48/GiaDinh!$C$5-0.0005,0)</f>
        <v>9</v>
      </c>
      <c r="O48">
        <f>L48*(ROUNDUP(I48/GiaDinh!$C$5-0.0005,0)-1)</f>
        <v>6</v>
      </c>
      <c r="P48">
        <f t="shared" si="3"/>
        <v>39</v>
      </c>
      <c r="Q48">
        <f t="shared" si="4"/>
        <v>78</v>
      </c>
      <c r="R48">
        <f t="shared" si="5"/>
        <v>39</v>
      </c>
      <c r="S48">
        <f>M48*GiaDinh!$C$7</f>
        <v>135.44999999999999</v>
      </c>
    </row>
    <row r="49" spans="1:19" x14ac:dyDescent="0.35">
      <c r="A49" t="s">
        <v>8</v>
      </c>
      <c r="B49">
        <v>11</v>
      </c>
      <c r="C49" t="s">
        <v>168</v>
      </c>
      <c r="D49" t="s">
        <v>215</v>
      </c>
      <c r="E49">
        <v>5</v>
      </c>
      <c r="F49">
        <v>70.5</v>
      </c>
      <c r="G49">
        <f>E49*F49*GiaDinh!$C$18*GiaDinh!$C$17</f>
        <v>296.09999999999997</v>
      </c>
      <c r="H49">
        <v>1.228</v>
      </c>
      <c r="I49">
        <f>GiaDinh!$C$15</f>
        <v>15</v>
      </c>
      <c r="J49">
        <f t="shared" si="0"/>
        <v>13</v>
      </c>
      <c r="K49">
        <f>J49*GiaDinh!$C$16</f>
        <v>91</v>
      </c>
      <c r="L49">
        <f t="shared" si="1"/>
        <v>4</v>
      </c>
      <c r="M49">
        <f t="shared" si="2"/>
        <v>60</v>
      </c>
      <c r="N49">
        <f>L49*ROUNDUP(I49/GiaDinh!$C$5-0.0005,0)</f>
        <v>12</v>
      </c>
      <c r="O49">
        <f>L49*(ROUNDUP(I49/GiaDinh!$C$5-0.0005,0)-1)</f>
        <v>8</v>
      </c>
      <c r="P49">
        <f t="shared" si="3"/>
        <v>52</v>
      </c>
      <c r="Q49">
        <f t="shared" si="4"/>
        <v>104</v>
      </c>
      <c r="R49">
        <f t="shared" si="5"/>
        <v>52</v>
      </c>
      <c r="S49">
        <f>M49*GiaDinh!$C$7</f>
        <v>180.6</v>
      </c>
    </row>
    <row r="50" spans="1:19" x14ac:dyDescent="0.35">
      <c r="A50" t="s">
        <v>8</v>
      </c>
      <c r="B50">
        <v>12</v>
      </c>
      <c r="C50" t="s">
        <v>168</v>
      </c>
      <c r="D50" t="s">
        <v>216</v>
      </c>
      <c r="E50">
        <v>2</v>
      </c>
      <c r="F50">
        <v>70.5</v>
      </c>
      <c r="G50">
        <f>E50*F50*GiaDinh!$C$18*GiaDinh!$C$17</f>
        <v>118.43999999999998</v>
      </c>
      <c r="H50">
        <v>1.228</v>
      </c>
      <c r="I50">
        <f>GiaDinh!$C$15</f>
        <v>15</v>
      </c>
      <c r="J50">
        <f t="shared" si="0"/>
        <v>13</v>
      </c>
      <c r="K50">
        <f>J50*GiaDinh!$C$16</f>
        <v>91</v>
      </c>
      <c r="L50">
        <f t="shared" si="1"/>
        <v>2</v>
      </c>
      <c r="M50">
        <f t="shared" si="2"/>
        <v>30</v>
      </c>
      <c r="N50">
        <f>L50*ROUNDUP(I50/GiaDinh!$C$5-0.0005,0)</f>
        <v>6</v>
      </c>
      <c r="O50">
        <f>L50*(ROUNDUP(I50/GiaDinh!$C$5-0.0005,0)-1)</f>
        <v>4</v>
      </c>
      <c r="P50">
        <f t="shared" si="3"/>
        <v>26</v>
      </c>
      <c r="Q50">
        <f t="shared" si="4"/>
        <v>52</v>
      </c>
      <c r="R50">
        <f t="shared" si="5"/>
        <v>26</v>
      </c>
      <c r="S50">
        <f>M50*GiaDinh!$C$7</f>
        <v>90.3</v>
      </c>
    </row>
    <row r="51" spans="1:19" x14ac:dyDescent="0.35">
      <c r="A51" t="s">
        <v>8</v>
      </c>
      <c r="B51">
        <v>13</v>
      </c>
      <c r="C51" t="s">
        <v>168</v>
      </c>
      <c r="D51" t="s">
        <v>217</v>
      </c>
      <c r="E51">
        <v>1</v>
      </c>
      <c r="F51">
        <v>70.5</v>
      </c>
      <c r="G51">
        <f>E51*F51*GiaDinh!$C$18*GiaDinh!$C$17</f>
        <v>59.219999999999992</v>
      </c>
      <c r="H51">
        <v>1.228</v>
      </c>
      <c r="I51">
        <f>GiaDinh!$C$15</f>
        <v>15</v>
      </c>
      <c r="J51">
        <f t="shared" si="0"/>
        <v>13</v>
      </c>
      <c r="K51">
        <f>J51*GiaDinh!$C$16</f>
        <v>91</v>
      </c>
      <c r="L51">
        <f t="shared" si="1"/>
        <v>1</v>
      </c>
      <c r="M51">
        <f t="shared" si="2"/>
        <v>15</v>
      </c>
      <c r="N51">
        <f>L51*ROUNDUP(I51/GiaDinh!$C$5-0.0005,0)</f>
        <v>3</v>
      </c>
      <c r="O51">
        <f>L51*(ROUNDUP(I51/GiaDinh!$C$5-0.0005,0)-1)</f>
        <v>2</v>
      </c>
      <c r="P51">
        <f t="shared" si="3"/>
        <v>13</v>
      </c>
      <c r="Q51">
        <f t="shared" si="4"/>
        <v>26</v>
      </c>
      <c r="R51">
        <f t="shared" si="5"/>
        <v>13</v>
      </c>
      <c r="S51">
        <f>M51*GiaDinh!$C$7</f>
        <v>45.15</v>
      </c>
    </row>
    <row r="52" spans="1:19" x14ac:dyDescent="0.35">
      <c r="A52" t="s">
        <v>8</v>
      </c>
      <c r="B52">
        <v>14</v>
      </c>
      <c r="C52" t="s">
        <v>173</v>
      </c>
      <c r="D52" t="s">
        <v>218</v>
      </c>
      <c r="E52">
        <v>1</v>
      </c>
      <c r="F52">
        <v>70.5</v>
      </c>
      <c r="G52">
        <f>E52*F52*GiaDinh!$C$18*GiaDinh!$C$17</f>
        <v>59.219999999999992</v>
      </c>
      <c r="H52">
        <v>1.228</v>
      </c>
      <c r="I52">
        <f>GiaDinh!$C$15</f>
        <v>15</v>
      </c>
      <c r="J52">
        <f t="shared" si="0"/>
        <v>13</v>
      </c>
      <c r="K52">
        <f>J52*GiaDinh!$C$16</f>
        <v>91</v>
      </c>
      <c r="L52">
        <f t="shared" si="1"/>
        <v>1</v>
      </c>
      <c r="M52">
        <f t="shared" si="2"/>
        <v>15</v>
      </c>
      <c r="N52">
        <f>L52*ROUNDUP(I52/GiaDinh!$C$5-0.0005,0)</f>
        <v>3</v>
      </c>
      <c r="O52">
        <f>L52*(ROUNDUP(I52/GiaDinh!$C$5-0.0005,0)-1)</f>
        <v>2</v>
      </c>
      <c r="P52">
        <f t="shared" si="3"/>
        <v>13</v>
      </c>
      <c r="Q52">
        <f t="shared" si="4"/>
        <v>26</v>
      </c>
      <c r="R52">
        <f t="shared" si="5"/>
        <v>13</v>
      </c>
      <c r="S52">
        <f>M52*GiaDinh!$C$7</f>
        <v>45.15</v>
      </c>
    </row>
    <row r="53" spans="1:19" x14ac:dyDescent="0.35">
      <c r="A53" t="s">
        <v>8</v>
      </c>
      <c r="B53">
        <v>15</v>
      </c>
      <c r="C53" t="s">
        <v>173</v>
      </c>
      <c r="D53" t="s">
        <v>219</v>
      </c>
      <c r="E53">
        <v>1</v>
      </c>
      <c r="F53">
        <v>70.5</v>
      </c>
      <c r="G53">
        <f>E53*F53*GiaDinh!$C$18*GiaDinh!$C$17</f>
        <v>59.219999999999992</v>
      </c>
      <c r="H53">
        <v>1.228</v>
      </c>
      <c r="I53">
        <f>GiaDinh!$C$15</f>
        <v>15</v>
      </c>
      <c r="J53">
        <f t="shared" si="0"/>
        <v>13</v>
      </c>
      <c r="K53">
        <f>J53*GiaDinh!$C$16</f>
        <v>91</v>
      </c>
      <c r="L53">
        <f t="shared" si="1"/>
        <v>1</v>
      </c>
      <c r="M53">
        <f t="shared" si="2"/>
        <v>15</v>
      </c>
      <c r="N53">
        <f>L53*ROUNDUP(I53/GiaDinh!$C$5-0.0005,0)</f>
        <v>3</v>
      </c>
      <c r="O53">
        <f>L53*(ROUNDUP(I53/GiaDinh!$C$5-0.0005,0)-1)</f>
        <v>2</v>
      </c>
      <c r="P53">
        <f t="shared" si="3"/>
        <v>13</v>
      </c>
      <c r="Q53">
        <f t="shared" si="4"/>
        <v>26</v>
      </c>
      <c r="R53">
        <f t="shared" si="5"/>
        <v>13</v>
      </c>
      <c r="S53">
        <f>M53*GiaDinh!$C$7</f>
        <v>45.15</v>
      </c>
    </row>
    <row r="54" spans="1:19" x14ac:dyDescent="0.35">
      <c r="A54" t="s">
        <v>8</v>
      </c>
      <c r="B54">
        <v>16</v>
      </c>
      <c r="C54" t="s">
        <v>173</v>
      </c>
      <c r="D54" t="s">
        <v>220</v>
      </c>
      <c r="E54">
        <v>1</v>
      </c>
      <c r="F54">
        <v>70.5</v>
      </c>
      <c r="G54">
        <f>E54*F54*GiaDinh!$C$18*GiaDinh!$C$17</f>
        <v>59.219999999999992</v>
      </c>
      <c r="H54">
        <v>1.228</v>
      </c>
      <c r="I54">
        <f>GiaDinh!$C$15</f>
        <v>15</v>
      </c>
      <c r="J54">
        <f t="shared" si="0"/>
        <v>13</v>
      </c>
      <c r="K54">
        <f>J54*GiaDinh!$C$16</f>
        <v>91</v>
      </c>
      <c r="L54">
        <f t="shared" si="1"/>
        <v>1</v>
      </c>
      <c r="M54">
        <f t="shared" si="2"/>
        <v>15</v>
      </c>
      <c r="N54">
        <f>L54*ROUNDUP(I54/GiaDinh!$C$5-0.0005,0)</f>
        <v>3</v>
      </c>
      <c r="O54">
        <f>L54*(ROUNDUP(I54/GiaDinh!$C$5-0.0005,0)-1)</f>
        <v>2</v>
      </c>
      <c r="P54">
        <f t="shared" si="3"/>
        <v>13</v>
      </c>
      <c r="Q54">
        <f t="shared" si="4"/>
        <v>26</v>
      </c>
      <c r="R54">
        <f t="shared" si="5"/>
        <v>13</v>
      </c>
      <c r="S54">
        <f>M54*GiaDinh!$C$7</f>
        <v>45.15</v>
      </c>
    </row>
    <row r="55" spans="1:19" x14ac:dyDescent="0.35">
      <c r="A55" t="s">
        <v>8</v>
      </c>
      <c r="B55">
        <v>17</v>
      </c>
      <c r="C55" t="s">
        <v>173</v>
      </c>
      <c r="D55" t="s">
        <v>221</v>
      </c>
      <c r="E55">
        <v>1</v>
      </c>
      <c r="F55">
        <v>70.5</v>
      </c>
      <c r="G55">
        <f>E55*F55*GiaDinh!$C$18*GiaDinh!$C$17</f>
        <v>59.219999999999992</v>
      </c>
      <c r="H55">
        <v>1.228</v>
      </c>
      <c r="I55">
        <f>GiaDinh!$C$15</f>
        <v>15</v>
      </c>
      <c r="J55">
        <f t="shared" si="0"/>
        <v>13</v>
      </c>
      <c r="K55">
        <f>J55*GiaDinh!$C$16</f>
        <v>91</v>
      </c>
      <c r="L55">
        <f t="shared" si="1"/>
        <v>1</v>
      </c>
      <c r="M55">
        <f t="shared" si="2"/>
        <v>15</v>
      </c>
      <c r="N55">
        <f>L55*ROUNDUP(I55/GiaDinh!$C$5-0.0005,0)</f>
        <v>3</v>
      </c>
      <c r="O55">
        <f>L55*(ROUNDUP(I55/GiaDinh!$C$5-0.0005,0)-1)</f>
        <v>2</v>
      </c>
      <c r="P55">
        <f t="shared" si="3"/>
        <v>13</v>
      </c>
      <c r="Q55">
        <f t="shared" si="4"/>
        <v>26</v>
      </c>
      <c r="R55">
        <f t="shared" si="5"/>
        <v>13</v>
      </c>
      <c r="S55">
        <f>M55*GiaDinh!$C$7</f>
        <v>45.15</v>
      </c>
    </row>
    <row r="56" spans="1:19" x14ac:dyDescent="0.35">
      <c r="A56" t="s">
        <v>8</v>
      </c>
      <c r="B56">
        <v>18</v>
      </c>
      <c r="C56" t="s">
        <v>173</v>
      </c>
      <c r="D56" t="s">
        <v>222</v>
      </c>
      <c r="E56">
        <v>1</v>
      </c>
      <c r="F56">
        <v>70.5</v>
      </c>
      <c r="G56">
        <f>E56*F56*GiaDinh!$C$18*GiaDinh!$C$17</f>
        <v>59.219999999999992</v>
      </c>
      <c r="H56">
        <v>1.228</v>
      </c>
      <c r="I56">
        <f>GiaDinh!$C$15</f>
        <v>15</v>
      </c>
      <c r="J56">
        <f t="shared" si="0"/>
        <v>13</v>
      </c>
      <c r="K56">
        <f>J56*GiaDinh!$C$16</f>
        <v>91</v>
      </c>
      <c r="L56">
        <f t="shared" si="1"/>
        <v>1</v>
      </c>
      <c r="M56">
        <f t="shared" si="2"/>
        <v>15</v>
      </c>
      <c r="N56">
        <f>L56*ROUNDUP(I56/GiaDinh!$C$5-0.0005,0)</f>
        <v>3</v>
      </c>
      <c r="O56">
        <f>L56*(ROUNDUP(I56/GiaDinh!$C$5-0.0005,0)-1)</f>
        <v>2</v>
      </c>
      <c r="P56">
        <f t="shared" si="3"/>
        <v>13</v>
      </c>
      <c r="Q56">
        <f t="shared" si="4"/>
        <v>26</v>
      </c>
      <c r="R56">
        <f t="shared" si="5"/>
        <v>13</v>
      </c>
      <c r="S56">
        <f>M56*GiaDinh!$C$7</f>
        <v>45.15</v>
      </c>
    </row>
    <row r="57" spans="1:19" x14ac:dyDescent="0.35">
      <c r="A57" t="s">
        <v>8</v>
      </c>
      <c r="B57">
        <v>19</v>
      </c>
      <c r="C57" t="s">
        <v>173</v>
      </c>
      <c r="D57" t="s">
        <v>223</v>
      </c>
      <c r="E57">
        <v>1</v>
      </c>
      <c r="F57">
        <v>70.5</v>
      </c>
      <c r="G57">
        <f>E57*F57*GiaDinh!$C$18*GiaDinh!$C$17</f>
        <v>59.219999999999992</v>
      </c>
      <c r="H57">
        <v>1.228</v>
      </c>
      <c r="I57">
        <f>GiaDinh!$C$15</f>
        <v>15</v>
      </c>
      <c r="J57">
        <f t="shared" si="0"/>
        <v>13</v>
      </c>
      <c r="K57">
        <f>J57*GiaDinh!$C$16</f>
        <v>91</v>
      </c>
      <c r="L57">
        <f t="shared" si="1"/>
        <v>1</v>
      </c>
      <c r="M57">
        <f t="shared" si="2"/>
        <v>15</v>
      </c>
      <c r="N57">
        <f>L57*ROUNDUP(I57/GiaDinh!$C$5-0.0005,0)</f>
        <v>3</v>
      </c>
      <c r="O57">
        <f>L57*(ROUNDUP(I57/GiaDinh!$C$5-0.0005,0)-1)</f>
        <v>2</v>
      </c>
      <c r="P57">
        <f t="shared" si="3"/>
        <v>13</v>
      </c>
      <c r="Q57">
        <f t="shared" si="4"/>
        <v>26</v>
      </c>
      <c r="R57">
        <f t="shared" si="5"/>
        <v>13</v>
      </c>
      <c r="S57">
        <f>M57*GiaDinh!$C$7</f>
        <v>45.15</v>
      </c>
    </row>
    <row r="58" spans="1:19" x14ac:dyDescent="0.35">
      <c r="A58" t="s">
        <v>8</v>
      </c>
      <c r="B58">
        <v>20</v>
      </c>
      <c r="C58" t="s">
        <v>173</v>
      </c>
      <c r="D58" t="s">
        <v>224</v>
      </c>
      <c r="E58">
        <v>1</v>
      </c>
      <c r="F58">
        <v>70.5</v>
      </c>
      <c r="G58">
        <f>E58*F58*GiaDinh!$C$18*GiaDinh!$C$17</f>
        <v>59.219999999999992</v>
      </c>
      <c r="H58">
        <v>1.228</v>
      </c>
      <c r="I58">
        <f>GiaDinh!$C$15</f>
        <v>15</v>
      </c>
      <c r="J58">
        <f t="shared" si="0"/>
        <v>13</v>
      </c>
      <c r="K58">
        <f>J58*GiaDinh!$C$16</f>
        <v>91</v>
      </c>
      <c r="L58">
        <f t="shared" si="1"/>
        <v>1</v>
      </c>
      <c r="M58">
        <f t="shared" si="2"/>
        <v>15</v>
      </c>
      <c r="N58">
        <f>L58*ROUNDUP(I58/GiaDinh!$C$5-0.0005,0)</f>
        <v>3</v>
      </c>
      <c r="O58">
        <f>L58*(ROUNDUP(I58/GiaDinh!$C$5-0.0005,0)-1)</f>
        <v>2</v>
      </c>
      <c r="P58">
        <f t="shared" si="3"/>
        <v>13</v>
      </c>
      <c r="Q58">
        <f t="shared" si="4"/>
        <v>26</v>
      </c>
      <c r="R58">
        <f t="shared" si="5"/>
        <v>13</v>
      </c>
      <c r="S58">
        <f>M58*GiaDinh!$C$7</f>
        <v>45.15</v>
      </c>
    </row>
    <row r="59" spans="1:19" x14ac:dyDescent="0.35">
      <c r="A59" t="s">
        <v>8</v>
      </c>
      <c r="B59">
        <v>21</v>
      </c>
      <c r="C59" t="s">
        <v>173</v>
      </c>
      <c r="D59" t="s">
        <v>225</v>
      </c>
      <c r="E59">
        <v>1</v>
      </c>
      <c r="F59">
        <v>70.5</v>
      </c>
      <c r="G59">
        <f>E59*F59*GiaDinh!$C$18*GiaDinh!$C$17</f>
        <v>59.219999999999992</v>
      </c>
      <c r="H59">
        <v>1.228</v>
      </c>
      <c r="I59">
        <f>GiaDinh!$C$15</f>
        <v>15</v>
      </c>
      <c r="J59">
        <f t="shared" si="0"/>
        <v>13</v>
      </c>
      <c r="K59">
        <f>J59*GiaDinh!$C$16</f>
        <v>91</v>
      </c>
      <c r="L59">
        <f t="shared" si="1"/>
        <v>1</v>
      </c>
      <c r="M59">
        <f t="shared" si="2"/>
        <v>15</v>
      </c>
      <c r="N59">
        <f>L59*ROUNDUP(I59/GiaDinh!$C$5-0.0005,0)</f>
        <v>3</v>
      </c>
      <c r="O59">
        <f>L59*(ROUNDUP(I59/GiaDinh!$C$5-0.0005,0)-1)</f>
        <v>2</v>
      </c>
      <c r="P59">
        <f t="shared" si="3"/>
        <v>13</v>
      </c>
      <c r="Q59">
        <f t="shared" si="4"/>
        <v>26</v>
      </c>
      <c r="R59">
        <f t="shared" si="5"/>
        <v>13</v>
      </c>
      <c r="S59">
        <f>M59*GiaDinh!$C$7</f>
        <v>45.15</v>
      </c>
    </row>
    <row r="60" spans="1:19" x14ac:dyDescent="0.35">
      <c r="A60" t="s">
        <v>8</v>
      </c>
      <c r="B60">
        <v>22</v>
      </c>
      <c r="C60" t="s">
        <v>173</v>
      </c>
      <c r="D60" t="s">
        <v>226</v>
      </c>
      <c r="E60">
        <v>1</v>
      </c>
      <c r="F60">
        <v>70.5</v>
      </c>
      <c r="G60">
        <f>E60*F60*GiaDinh!$C$18*GiaDinh!$C$17</f>
        <v>59.219999999999992</v>
      </c>
      <c r="H60">
        <v>1.228</v>
      </c>
      <c r="I60">
        <f>GiaDinh!$C$15</f>
        <v>15</v>
      </c>
      <c r="J60">
        <f t="shared" si="0"/>
        <v>13</v>
      </c>
      <c r="K60">
        <f>J60*GiaDinh!$C$16</f>
        <v>91</v>
      </c>
      <c r="L60">
        <f t="shared" si="1"/>
        <v>1</v>
      </c>
      <c r="M60">
        <f t="shared" si="2"/>
        <v>15</v>
      </c>
      <c r="N60">
        <f>L60*ROUNDUP(I60/GiaDinh!$C$5-0.0005,0)</f>
        <v>3</v>
      </c>
      <c r="O60">
        <f>L60*(ROUNDUP(I60/GiaDinh!$C$5-0.0005,0)-1)</f>
        <v>2</v>
      </c>
      <c r="P60">
        <f t="shared" si="3"/>
        <v>13</v>
      </c>
      <c r="Q60">
        <f t="shared" si="4"/>
        <v>26</v>
      </c>
      <c r="R60">
        <f t="shared" si="5"/>
        <v>13</v>
      </c>
      <c r="S60">
        <f>M60*GiaDinh!$C$7</f>
        <v>45.15</v>
      </c>
    </row>
    <row r="61" spans="1:19" x14ac:dyDescent="0.35">
      <c r="A61" t="s">
        <v>8</v>
      </c>
      <c r="B61">
        <v>23</v>
      </c>
      <c r="C61" t="s">
        <v>173</v>
      </c>
      <c r="D61" t="s">
        <v>227</v>
      </c>
      <c r="E61">
        <v>1</v>
      </c>
      <c r="F61">
        <v>70.5</v>
      </c>
      <c r="G61">
        <f>E61*F61*GiaDinh!$C$18*GiaDinh!$C$17</f>
        <v>59.219999999999992</v>
      </c>
      <c r="H61">
        <v>1.228</v>
      </c>
      <c r="I61">
        <f>GiaDinh!$C$15</f>
        <v>15</v>
      </c>
      <c r="J61">
        <f t="shared" si="0"/>
        <v>13</v>
      </c>
      <c r="K61">
        <f>J61*GiaDinh!$C$16</f>
        <v>91</v>
      </c>
      <c r="L61">
        <f t="shared" si="1"/>
        <v>1</v>
      </c>
      <c r="M61">
        <f t="shared" si="2"/>
        <v>15</v>
      </c>
      <c r="N61">
        <f>L61*ROUNDUP(I61/GiaDinh!$C$5-0.0005,0)</f>
        <v>3</v>
      </c>
      <c r="O61">
        <f>L61*(ROUNDUP(I61/GiaDinh!$C$5-0.0005,0)-1)</f>
        <v>2</v>
      </c>
      <c r="P61">
        <f t="shared" si="3"/>
        <v>13</v>
      </c>
      <c r="Q61">
        <f t="shared" si="4"/>
        <v>26</v>
      </c>
      <c r="R61">
        <f t="shared" si="5"/>
        <v>13</v>
      </c>
      <c r="S61">
        <f>M61*GiaDinh!$C$7</f>
        <v>45.15</v>
      </c>
    </row>
    <row r="62" spans="1:19" x14ac:dyDescent="0.35">
      <c r="A62" t="s">
        <v>8</v>
      </c>
      <c r="B62">
        <v>24</v>
      </c>
      <c r="C62" t="s">
        <v>168</v>
      </c>
      <c r="D62" t="s">
        <v>228</v>
      </c>
      <c r="E62">
        <v>6</v>
      </c>
      <c r="F62">
        <v>70.5</v>
      </c>
      <c r="G62">
        <f>E62*F62*GiaDinh!$C$18*GiaDinh!$C$17</f>
        <v>355.31999999999994</v>
      </c>
      <c r="H62">
        <v>1.228</v>
      </c>
      <c r="I62">
        <f>GiaDinh!$C$15</f>
        <v>15</v>
      </c>
      <c r="J62">
        <f t="shared" si="0"/>
        <v>13</v>
      </c>
      <c r="K62">
        <f>J62*GiaDinh!$C$16</f>
        <v>91</v>
      </c>
      <c r="L62">
        <f t="shared" si="1"/>
        <v>4</v>
      </c>
      <c r="M62">
        <f t="shared" si="2"/>
        <v>60</v>
      </c>
      <c r="N62">
        <f>L62*ROUNDUP(I62/GiaDinh!$C$5-0.0005,0)</f>
        <v>12</v>
      </c>
      <c r="O62">
        <f>L62*(ROUNDUP(I62/GiaDinh!$C$5-0.0005,0)-1)</f>
        <v>8</v>
      </c>
      <c r="P62">
        <f t="shared" si="3"/>
        <v>52</v>
      </c>
      <c r="Q62">
        <f t="shared" si="4"/>
        <v>104</v>
      </c>
      <c r="R62">
        <f t="shared" si="5"/>
        <v>52</v>
      </c>
      <c r="S62">
        <f>M62*GiaDinh!$C$7</f>
        <v>180.6</v>
      </c>
    </row>
    <row r="63" spans="1:19" x14ac:dyDescent="0.35">
      <c r="A63" t="s">
        <v>8</v>
      </c>
      <c r="B63">
        <v>25</v>
      </c>
      <c r="C63" t="s">
        <v>168</v>
      </c>
      <c r="D63" t="s">
        <v>229</v>
      </c>
      <c r="E63">
        <v>4</v>
      </c>
      <c r="F63">
        <v>70.5</v>
      </c>
      <c r="G63">
        <f>E63*F63*GiaDinh!$C$18*GiaDinh!$C$17</f>
        <v>236.87999999999997</v>
      </c>
      <c r="H63">
        <v>1.228</v>
      </c>
      <c r="I63">
        <f>GiaDinh!$C$15</f>
        <v>15</v>
      </c>
      <c r="J63">
        <f t="shared" si="0"/>
        <v>13</v>
      </c>
      <c r="K63">
        <f>J63*GiaDinh!$C$16</f>
        <v>91</v>
      </c>
      <c r="L63">
        <f t="shared" si="1"/>
        <v>3</v>
      </c>
      <c r="M63">
        <f t="shared" si="2"/>
        <v>45</v>
      </c>
      <c r="N63">
        <f>L63*ROUNDUP(I63/GiaDinh!$C$5-0.0005,0)</f>
        <v>9</v>
      </c>
      <c r="O63">
        <f>L63*(ROUNDUP(I63/GiaDinh!$C$5-0.0005,0)-1)</f>
        <v>6</v>
      </c>
      <c r="P63">
        <f t="shared" si="3"/>
        <v>39</v>
      </c>
      <c r="Q63">
        <f t="shared" si="4"/>
        <v>78</v>
      </c>
      <c r="R63">
        <f t="shared" si="5"/>
        <v>39</v>
      </c>
      <c r="S63">
        <f>M63*GiaDinh!$C$7</f>
        <v>135.44999999999999</v>
      </c>
    </row>
    <row r="64" spans="1:19" x14ac:dyDescent="0.35">
      <c r="A64" t="s">
        <v>8</v>
      </c>
      <c r="B64">
        <v>26</v>
      </c>
      <c r="C64" t="s">
        <v>168</v>
      </c>
      <c r="D64" t="s">
        <v>230</v>
      </c>
      <c r="E64">
        <v>2</v>
      </c>
      <c r="F64">
        <v>70.5</v>
      </c>
      <c r="G64">
        <f>E64*F64*GiaDinh!$C$18*GiaDinh!$C$17</f>
        <v>118.43999999999998</v>
      </c>
      <c r="H64">
        <v>1.228</v>
      </c>
      <c r="I64">
        <f>GiaDinh!$C$15</f>
        <v>15</v>
      </c>
      <c r="J64">
        <f t="shared" si="0"/>
        <v>13</v>
      </c>
      <c r="K64">
        <f>J64*GiaDinh!$C$16</f>
        <v>91</v>
      </c>
      <c r="L64">
        <f t="shared" si="1"/>
        <v>2</v>
      </c>
      <c r="M64">
        <f t="shared" si="2"/>
        <v>30</v>
      </c>
      <c r="N64">
        <f>L64*ROUNDUP(I64/GiaDinh!$C$5-0.0005,0)</f>
        <v>6</v>
      </c>
      <c r="O64">
        <f>L64*(ROUNDUP(I64/GiaDinh!$C$5-0.0005,0)-1)</f>
        <v>4</v>
      </c>
      <c r="P64">
        <f t="shared" si="3"/>
        <v>26</v>
      </c>
      <c r="Q64">
        <f t="shared" si="4"/>
        <v>52</v>
      </c>
      <c r="R64">
        <f t="shared" si="5"/>
        <v>26</v>
      </c>
      <c r="S64">
        <f>M64*GiaDinh!$C$7</f>
        <v>90.3</v>
      </c>
    </row>
    <row r="65" spans="1:19" x14ac:dyDescent="0.35">
      <c r="A65" t="s">
        <v>9</v>
      </c>
      <c r="B65">
        <v>1</v>
      </c>
      <c r="C65" t="s">
        <v>173</v>
      </c>
      <c r="D65" t="s">
        <v>231</v>
      </c>
      <c r="E65">
        <v>1</v>
      </c>
      <c r="F65">
        <v>150.30000000000001</v>
      </c>
      <c r="G65">
        <f>E65*F65*GiaDinh!$C$18*GiaDinh!$C$17</f>
        <v>126.25200000000001</v>
      </c>
      <c r="H65">
        <v>1.2410000000000001</v>
      </c>
      <c r="I65">
        <f>GiaDinh!$C$15</f>
        <v>15</v>
      </c>
      <c r="J65">
        <f t="shared" si="0"/>
        <v>13</v>
      </c>
      <c r="K65">
        <f>J65*GiaDinh!$C$16</f>
        <v>91</v>
      </c>
      <c r="L65">
        <f t="shared" si="1"/>
        <v>2</v>
      </c>
      <c r="M65">
        <f t="shared" si="2"/>
        <v>30</v>
      </c>
      <c r="N65">
        <f>L65*ROUNDUP(I65/GiaDinh!$C$5-0.0005,0)</f>
        <v>6</v>
      </c>
      <c r="O65">
        <f>L65*(ROUNDUP(I65/GiaDinh!$C$5-0.0005,0)-1)</f>
        <v>4</v>
      </c>
      <c r="P65">
        <f t="shared" si="3"/>
        <v>26</v>
      </c>
      <c r="Q65">
        <f t="shared" si="4"/>
        <v>52</v>
      </c>
      <c r="R65">
        <f t="shared" si="5"/>
        <v>26</v>
      </c>
      <c r="S65">
        <f>M65*GiaDinh!$C$7</f>
        <v>90.3</v>
      </c>
    </row>
    <row r="66" spans="1:19" x14ac:dyDescent="0.35">
      <c r="A66" t="s">
        <v>9</v>
      </c>
      <c r="B66">
        <v>2</v>
      </c>
      <c r="C66" t="s">
        <v>173</v>
      </c>
      <c r="D66" t="s">
        <v>232</v>
      </c>
      <c r="E66">
        <v>1</v>
      </c>
      <c r="F66">
        <v>150.30000000000001</v>
      </c>
      <c r="G66">
        <f>E66*F66*GiaDinh!$C$18*GiaDinh!$C$17</f>
        <v>126.25200000000001</v>
      </c>
      <c r="H66">
        <v>1.2410000000000001</v>
      </c>
      <c r="I66">
        <f>GiaDinh!$C$15</f>
        <v>15</v>
      </c>
      <c r="J66">
        <f t="shared" si="0"/>
        <v>13</v>
      </c>
      <c r="K66">
        <f>J66*GiaDinh!$C$16</f>
        <v>91</v>
      </c>
      <c r="L66">
        <f t="shared" si="1"/>
        <v>2</v>
      </c>
      <c r="M66">
        <f t="shared" si="2"/>
        <v>30</v>
      </c>
      <c r="N66">
        <f>L66*ROUNDUP(I66/GiaDinh!$C$5-0.0005,0)</f>
        <v>6</v>
      </c>
      <c r="O66">
        <f>L66*(ROUNDUP(I66/GiaDinh!$C$5-0.0005,0)-1)</f>
        <v>4</v>
      </c>
      <c r="P66">
        <f t="shared" si="3"/>
        <v>26</v>
      </c>
      <c r="Q66">
        <f t="shared" si="4"/>
        <v>52</v>
      </c>
      <c r="R66">
        <f t="shared" si="5"/>
        <v>26</v>
      </c>
      <c r="S66">
        <f>M66*GiaDinh!$C$7</f>
        <v>90.3</v>
      </c>
    </row>
    <row r="67" spans="1:19" x14ac:dyDescent="0.35">
      <c r="A67" t="s">
        <v>9</v>
      </c>
      <c r="B67">
        <v>3</v>
      </c>
      <c r="C67" t="s">
        <v>173</v>
      </c>
      <c r="D67" t="s">
        <v>233</v>
      </c>
      <c r="E67">
        <v>1</v>
      </c>
      <c r="F67">
        <v>150.30000000000001</v>
      </c>
      <c r="G67">
        <f>E67*F67*GiaDinh!$C$18*GiaDinh!$C$17</f>
        <v>126.25200000000001</v>
      </c>
      <c r="H67">
        <v>1.2410000000000001</v>
      </c>
      <c r="I67">
        <f>GiaDinh!$C$15</f>
        <v>15</v>
      </c>
      <c r="J67">
        <f t="shared" si="0"/>
        <v>13</v>
      </c>
      <c r="K67">
        <f>J67*GiaDinh!$C$16</f>
        <v>91</v>
      </c>
      <c r="L67">
        <f t="shared" si="1"/>
        <v>2</v>
      </c>
      <c r="M67">
        <f t="shared" si="2"/>
        <v>30</v>
      </c>
      <c r="N67">
        <f>L67*ROUNDUP(I67/GiaDinh!$C$5-0.0005,0)</f>
        <v>6</v>
      </c>
      <c r="O67">
        <f>L67*(ROUNDUP(I67/GiaDinh!$C$5-0.0005,0)-1)</f>
        <v>4</v>
      </c>
      <c r="P67">
        <f t="shared" si="3"/>
        <v>26</v>
      </c>
      <c r="Q67">
        <f t="shared" si="4"/>
        <v>52</v>
      </c>
      <c r="R67">
        <f t="shared" si="5"/>
        <v>26</v>
      </c>
      <c r="S67">
        <f>M67*GiaDinh!$C$7</f>
        <v>90.3</v>
      </c>
    </row>
    <row r="68" spans="1:19" x14ac:dyDescent="0.35">
      <c r="A68" t="s">
        <v>9</v>
      </c>
      <c r="B68">
        <v>4</v>
      </c>
      <c r="C68" t="s">
        <v>173</v>
      </c>
      <c r="D68" t="s">
        <v>234</v>
      </c>
      <c r="E68">
        <v>1</v>
      </c>
      <c r="F68">
        <v>150.30000000000001</v>
      </c>
      <c r="G68">
        <f>E68*F68*GiaDinh!$C$18*GiaDinh!$C$17</f>
        <v>126.25200000000001</v>
      </c>
      <c r="H68">
        <v>1.2410000000000001</v>
      </c>
      <c r="I68">
        <f>GiaDinh!$C$15</f>
        <v>15</v>
      </c>
      <c r="J68">
        <f t="shared" ref="J68:J131" si="6">ROUNDDOWN(I68/H68,0)+1</f>
        <v>13</v>
      </c>
      <c r="K68">
        <f>J68*GiaDinh!$C$16</f>
        <v>91</v>
      </c>
      <c r="L68">
        <f t="shared" ref="L68:L131" si="7">MAX(1,ROUNDUP(G68/K68-0.0005,0))</f>
        <v>2</v>
      </c>
      <c r="M68">
        <f t="shared" ref="M68:M131" si="8">L68*I68</f>
        <v>30</v>
      </c>
      <c r="N68">
        <f>L68*ROUNDUP(I68/GiaDinh!$C$5-0.0005,0)</f>
        <v>6</v>
      </c>
      <c r="O68">
        <f>L68*(ROUNDUP(I68/GiaDinh!$C$5-0.0005,0)-1)</f>
        <v>4</v>
      </c>
      <c r="P68">
        <f t="shared" ref="P68:P131" si="9">L68*J68</f>
        <v>26</v>
      </c>
      <c r="Q68">
        <f t="shared" ref="Q68:Q131" si="10">2*P68</f>
        <v>52</v>
      </c>
      <c r="R68">
        <f t="shared" ref="R68:R131" si="11">P68</f>
        <v>26</v>
      </c>
      <c r="S68">
        <f>M68*GiaDinh!$C$7</f>
        <v>90.3</v>
      </c>
    </row>
    <row r="69" spans="1:19" x14ac:dyDescent="0.35">
      <c r="A69" t="s">
        <v>9</v>
      </c>
      <c r="B69">
        <v>5</v>
      </c>
      <c r="C69" t="s">
        <v>173</v>
      </c>
      <c r="D69" t="s">
        <v>235</v>
      </c>
      <c r="E69">
        <v>1</v>
      </c>
      <c r="F69">
        <v>150.30000000000001</v>
      </c>
      <c r="G69">
        <f>E69*F69*GiaDinh!$C$18*GiaDinh!$C$17</f>
        <v>126.25200000000001</v>
      </c>
      <c r="H69">
        <v>1.2410000000000001</v>
      </c>
      <c r="I69">
        <f>GiaDinh!$C$15</f>
        <v>15</v>
      </c>
      <c r="J69">
        <f t="shared" si="6"/>
        <v>13</v>
      </c>
      <c r="K69">
        <f>J69*GiaDinh!$C$16</f>
        <v>91</v>
      </c>
      <c r="L69">
        <f t="shared" si="7"/>
        <v>2</v>
      </c>
      <c r="M69">
        <f t="shared" si="8"/>
        <v>30</v>
      </c>
      <c r="N69">
        <f>L69*ROUNDUP(I69/GiaDinh!$C$5-0.0005,0)</f>
        <v>6</v>
      </c>
      <c r="O69">
        <f>L69*(ROUNDUP(I69/GiaDinh!$C$5-0.0005,0)-1)</f>
        <v>4</v>
      </c>
      <c r="P69">
        <f t="shared" si="9"/>
        <v>26</v>
      </c>
      <c r="Q69">
        <f t="shared" si="10"/>
        <v>52</v>
      </c>
      <c r="R69">
        <f t="shared" si="11"/>
        <v>26</v>
      </c>
      <c r="S69">
        <f>M69*GiaDinh!$C$7</f>
        <v>90.3</v>
      </c>
    </row>
    <row r="70" spans="1:19" x14ac:dyDescent="0.35">
      <c r="A70" t="s">
        <v>9</v>
      </c>
      <c r="B70">
        <v>6</v>
      </c>
      <c r="C70" t="s">
        <v>173</v>
      </c>
      <c r="D70" t="s">
        <v>236</v>
      </c>
      <c r="E70">
        <v>1</v>
      </c>
      <c r="F70">
        <v>150.30000000000001</v>
      </c>
      <c r="G70">
        <f>E70*F70*GiaDinh!$C$18*GiaDinh!$C$17</f>
        <v>126.25200000000001</v>
      </c>
      <c r="H70">
        <v>1.2410000000000001</v>
      </c>
      <c r="I70">
        <f>GiaDinh!$C$15</f>
        <v>15</v>
      </c>
      <c r="J70">
        <f t="shared" si="6"/>
        <v>13</v>
      </c>
      <c r="K70">
        <f>J70*GiaDinh!$C$16</f>
        <v>91</v>
      </c>
      <c r="L70">
        <f t="shared" si="7"/>
        <v>2</v>
      </c>
      <c r="M70">
        <f t="shared" si="8"/>
        <v>30</v>
      </c>
      <c r="N70">
        <f>L70*ROUNDUP(I70/GiaDinh!$C$5-0.0005,0)</f>
        <v>6</v>
      </c>
      <c r="O70">
        <f>L70*(ROUNDUP(I70/GiaDinh!$C$5-0.0005,0)-1)</f>
        <v>4</v>
      </c>
      <c r="P70">
        <f t="shared" si="9"/>
        <v>26</v>
      </c>
      <c r="Q70">
        <f t="shared" si="10"/>
        <v>52</v>
      </c>
      <c r="R70">
        <f t="shared" si="11"/>
        <v>26</v>
      </c>
      <c r="S70">
        <f>M70*GiaDinh!$C$7</f>
        <v>90.3</v>
      </c>
    </row>
    <row r="71" spans="1:19" x14ac:dyDescent="0.35">
      <c r="A71" t="s">
        <v>9</v>
      </c>
      <c r="B71">
        <v>7</v>
      </c>
      <c r="C71" t="s">
        <v>168</v>
      </c>
      <c r="D71" t="s">
        <v>237</v>
      </c>
      <c r="E71">
        <v>4</v>
      </c>
      <c r="F71">
        <v>150.30000000000001</v>
      </c>
      <c r="G71">
        <f>E71*F71*GiaDinh!$C$18*GiaDinh!$C$17</f>
        <v>505.00800000000004</v>
      </c>
      <c r="H71">
        <v>1.2410000000000001</v>
      </c>
      <c r="I71">
        <f>GiaDinh!$C$15</f>
        <v>15</v>
      </c>
      <c r="J71">
        <f t="shared" si="6"/>
        <v>13</v>
      </c>
      <c r="K71">
        <f>J71*GiaDinh!$C$16</f>
        <v>91</v>
      </c>
      <c r="L71">
        <f t="shared" si="7"/>
        <v>6</v>
      </c>
      <c r="M71">
        <f t="shared" si="8"/>
        <v>90</v>
      </c>
      <c r="N71">
        <f>L71*ROUNDUP(I71/GiaDinh!$C$5-0.0005,0)</f>
        <v>18</v>
      </c>
      <c r="O71">
        <f>L71*(ROUNDUP(I71/GiaDinh!$C$5-0.0005,0)-1)</f>
        <v>12</v>
      </c>
      <c r="P71">
        <f t="shared" si="9"/>
        <v>78</v>
      </c>
      <c r="Q71">
        <f t="shared" si="10"/>
        <v>156</v>
      </c>
      <c r="R71">
        <f t="shared" si="11"/>
        <v>78</v>
      </c>
      <c r="S71">
        <f>M71*GiaDinh!$C$7</f>
        <v>270.89999999999998</v>
      </c>
    </row>
    <row r="72" spans="1:19" x14ac:dyDescent="0.35">
      <c r="A72" t="s">
        <v>9</v>
      </c>
      <c r="B72">
        <v>8</v>
      </c>
      <c r="C72" t="s">
        <v>168</v>
      </c>
      <c r="D72" t="s">
        <v>238</v>
      </c>
      <c r="E72">
        <v>5</v>
      </c>
      <c r="F72">
        <v>150.30000000000001</v>
      </c>
      <c r="G72">
        <f>E72*F72*GiaDinh!$C$18*GiaDinh!$C$17</f>
        <v>631.25999999999988</v>
      </c>
      <c r="H72">
        <v>1.2410000000000001</v>
      </c>
      <c r="I72">
        <f>GiaDinh!$C$15</f>
        <v>15</v>
      </c>
      <c r="J72">
        <f t="shared" si="6"/>
        <v>13</v>
      </c>
      <c r="K72">
        <f>J72*GiaDinh!$C$16</f>
        <v>91</v>
      </c>
      <c r="L72">
        <f t="shared" si="7"/>
        <v>7</v>
      </c>
      <c r="M72">
        <f t="shared" si="8"/>
        <v>105</v>
      </c>
      <c r="N72">
        <f>L72*ROUNDUP(I72/GiaDinh!$C$5-0.0005,0)</f>
        <v>21</v>
      </c>
      <c r="O72">
        <f>L72*(ROUNDUP(I72/GiaDinh!$C$5-0.0005,0)-1)</f>
        <v>14</v>
      </c>
      <c r="P72">
        <f t="shared" si="9"/>
        <v>91</v>
      </c>
      <c r="Q72">
        <f t="shared" si="10"/>
        <v>182</v>
      </c>
      <c r="R72">
        <f t="shared" si="11"/>
        <v>91</v>
      </c>
      <c r="S72">
        <f>M72*GiaDinh!$C$7</f>
        <v>316.04999999999995</v>
      </c>
    </row>
    <row r="73" spans="1:19" x14ac:dyDescent="0.35">
      <c r="A73" t="s">
        <v>9</v>
      </c>
      <c r="B73">
        <v>9</v>
      </c>
      <c r="C73" t="s">
        <v>168</v>
      </c>
      <c r="D73" t="s">
        <v>239</v>
      </c>
      <c r="E73">
        <v>3</v>
      </c>
      <c r="F73">
        <v>150.30000000000001</v>
      </c>
      <c r="G73">
        <f>E73*F73*GiaDinh!$C$18*GiaDinh!$C$17</f>
        <v>378.75599999999997</v>
      </c>
      <c r="H73">
        <v>1.2410000000000001</v>
      </c>
      <c r="I73">
        <f>GiaDinh!$C$15</f>
        <v>15</v>
      </c>
      <c r="J73">
        <f t="shared" si="6"/>
        <v>13</v>
      </c>
      <c r="K73">
        <f>J73*GiaDinh!$C$16</f>
        <v>91</v>
      </c>
      <c r="L73">
        <f t="shared" si="7"/>
        <v>5</v>
      </c>
      <c r="M73">
        <f t="shared" si="8"/>
        <v>75</v>
      </c>
      <c r="N73">
        <f>L73*ROUNDUP(I73/GiaDinh!$C$5-0.0005,0)</f>
        <v>15</v>
      </c>
      <c r="O73">
        <f>L73*(ROUNDUP(I73/GiaDinh!$C$5-0.0005,0)-1)</f>
        <v>10</v>
      </c>
      <c r="P73">
        <f t="shared" si="9"/>
        <v>65</v>
      </c>
      <c r="Q73">
        <f t="shared" si="10"/>
        <v>130</v>
      </c>
      <c r="R73">
        <f t="shared" si="11"/>
        <v>65</v>
      </c>
      <c r="S73">
        <f>M73*GiaDinh!$C$7</f>
        <v>225.74999999999997</v>
      </c>
    </row>
    <row r="74" spans="1:19" x14ac:dyDescent="0.35">
      <c r="A74" t="s">
        <v>9</v>
      </c>
      <c r="B74">
        <v>10</v>
      </c>
      <c r="C74" t="s">
        <v>168</v>
      </c>
      <c r="D74" t="s">
        <v>240</v>
      </c>
      <c r="E74">
        <v>2</v>
      </c>
      <c r="F74">
        <v>150.30000000000001</v>
      </c>
      <c r="G74">
        <f>E74*F74*GiaDinh!$C$18*GiaDinh!$C$17</f>
        <v>252.50400000000002</v>
      </c>
      <c r="H74">
        <v>1.2410000000000001</v>
      </c>
      <c r="I74">
        <f>GiaDinh!$C$15</f>
        <v>15</v>
      </c>
      <c r="J74">
        <f t="shared" si="6"/>
        <v>13</v>
      </c>
      <c r="K74">
        <f>J74*GiaDinh!$C$16</f>
        <v>91</v>
      </c>
      <c r="L74">
        <f t="shared" si="7"/>
        <v>3</v>
      </c>
      <c r="M74">
        <f t="shared" si="8"/>
        <v>45</v>
      </c>
      <c r="N74">
        <f>L74*ROUNDUP(I74/GiaDinh!$C$5-0.0005,0)</f>
        <v>9</v>
      </c>
      <c r="O74">
        <f>L74*(ROUNDUP(I74/GiaDinh!$C$5-0.0005,0)-1)</f>
        <v>6</v>
      </c>
      <c r="P74">
        <f t="shared" si="9"/>
        <v>39</v>
      </c>
      <c r="Q74">
        <f t="shared" si="10"/>
        <v>78</v>
      </c>
      <c r="R74">
        <f t="shared" si="11"/>
        <v>39</v>
      </c>
      <c r="S74">
        <f>M74*GiaDinh!$C$7</f>
        <v>135.44999999999999</v>
      </c>
    </row>
    <row r="75" spans="1:19" x14ac:dyDescent="0.35">
      <c r="A75" t="s">
        <v>9</v>
      </c>
      <c r="B75">
        <v>11</v>
      </c>
      <c r="C75" t="s">
        <v>173</v>
      </c>
      <c r="D75" t="s">
        <v>241</v>
      </c>
      <c r="E75">
        <v>1</v>
      </c>
      <c r="F75">
        <v>150.30000000000001</v>
      </c>
      <c r="G75">
        <f>E75*F75*GiaDinh!$C$18*GiaDinh!$C$17</f>
        <v>126.25200000000001</v>
      </c>
      <c r="H75">
        <v>1.2410000000000001</v>
      </c>
      <c r="I75">
        <f>GiaDinh!$C$15</f>
        <v>15</v>
      </c>
      <c r="J75">
        <f t="shared" si="6"/>
        <v>13</v>
      </c>
      <c r="K75">
        <f>J75*GiaDinh!$C$16</f>
        <v>91</v>
      </c>
      <c r="L75">
        <f t="shared" si="7"/>
        <v>2</v>
      </c>
      <c r="M75">
        <f t="shared" si="8"/>
        <v>30</v>
      </c>
      <c r="N75">
        <f>L75*ROUNDUP(I75/GiaDinh!$C$5-0.0005,0)</f>
        <v>6</v>
      </c>
      <c r="O75">
        <f>L75*(ROUNDUP(I75/GiaDinh!$C$5-0.0005,0)-1)</f>
        <v>4</v>
      </c>
      <c r="P75">
        <f t="shared" si="9"/>
        <v>26</v>
      </c>
      <c r="Q75">
        <f t="shared" si="10"/>
        <v>52</v>
      </c>
      <c r="R75">
        <f t="shared" si="11"/>
        <v>26</v>
      </c>
      <c r="S75">
        <f>M75*GiaDinh!$C$7</f>
        <v>90.3</v>
      </c>
    </row>
    <row r="76" spans="1:19" x14ac:dyDescent="0.35">
      <c r="A76" t="s">
        <v>9</v>
      </c>
      <c r="B76">
        <v>12</v>
      </c>
      <c r="C76" t="s">
        <v>173</v>
      </c>
      <c r="D76" t="s">
        <v>242</v>
      </c>
      <c r="E76">
        <v>1</v>
      </c>
      <c r="F76">
        <v>150.30000000000001</v>
      </c>
      <c r="G76">
        <f>E76*F76*GiaDinh!$C$18*GiaDinh!$C$17</f>
        <v>126.25200000000001</v>
      </c>
      <c r="H76">
        <v>1.2410000000000001</v>
      </c>
      <c r="I76">
        <f>GiaDinh!$C$15</f>
        <v>15</v>
      </c>
      <c r="J76">
        <f t="shared" si="6"/>
        <v>13</v>
      </c>
      <c r="K76">
        <f>J76*GiaDinh!$C$16</f>
        <v>91</v>
      </c>
      <c r="L76">
        <f t="shared" si="7"/>
        <v>2</v>
      </c>
      <c r="M76">
        <f t="shared" si="8"/>
        <v>30</v>
      </c>
      <c r="N76">
        <f>L76*ROUNDUP(I76/GiaDinh!$C$5-0.0005,0)</f>
        <v>6</v>
      </c>
      <c r="O76">
        <f>L76*(ROUNDUP(I76/GiaDinh!$C$5-0.0005,0)-1)</f>
        <v>4</v>
      </c>
      <c r="P76">
        <f t="shared" si="9"/>
        <v>26</v>
      </c>
      <c r="Q76">
        <f t="shared" si="10"/>
        <v>52</v>
      </c>
      <c r="R76">
        <f t="shared" si="11"/>
        <v>26</v>
      </c>
      <c r="S76">
        <f>M76*GiaDinh!$C$7</f>
        <v>90.3</v>
      </c>
    </row>
    <row r="77" spans="1:19" x14ac:dyDescent="0.35">
      <c r="A77" t="s">
        <v>9</v>
      </c>
      <c r="B77">
        <v>13</v>
      </c>
      <c r="C77" t="s">
        <v>173</v>
      </c>
      <c r="D77" t="s">
        <v>243</v>
      </c>
      <c r="E77">
        <v>1</v>
      </c>
      <c r="F77">
        <v>150.30000000000001</v>
      </c>
      <c r="G77">
        <f>E77*F77*GiaDinh!$C$18*GiaDinh!$C$17</f>
        <v>126.25200000000001</v>
      </c>
      <c r="H77">
        <v>1.2410000000000001</v>
      </c>
      <c r="I77">
        <f>GiaDinh!$C$15</f>
        <v>15</v>
      </c>
      <c r="J77">
        <f t="shared" si="6"/>
        <v>13</v>
      </c>
      <c r="K77">
        <f>J77*GiaDinh!$C$16</f>
        <v>91</v>
      </c>
      <c r="L77">
        <f t="shared" si="7"/>
        <v>2</v>
      </c>
      <c r="M77">
        <f t="shared" si="8"/>
        <v>30</v>
      </c>
      <c r="N77">
        <f>L77*ROUNDUP(I77/GiaDinh!$C$5-0.0005,0)</f>
        <v>6</v>
      </c>
      <c r="O77">
        <f>L77*(ROUNDUP(I77/GiaDinh!$C$5-0.0005,0)-1)</f>
        <v>4</v>
      </c>
      <c r="P77">
        <f t="shared" si="9"/>
        <v>26</v>
      </c>
      <c r="Q77">
        <f t="shared" si="10"/>
        <v>52</v>
      </c>
      <c r="R77">
        <f t="shared" si="11"/>
        <v>26</v>
      </c>
      <c r="S77">
        <f>M77*GiaDinh!$C$7</f>
        <v>90.3</v>
      </c>
    </row>
    <row r="78" spans="1:19" x14ac:dyDescent="0.35">
      <c r="A78" t="s">
        <v>9</v>
      </c>
      <c r="B78">
        <v>14</v>
      </c>
      <c r="C78" t="s">
        <v>173</v>
      </c>
      <c r="D78" t="s">
        <v>244</v>
      </c>
      <c r="E78">
        <v>1</v>
      </c>
      <c r="F78">
        <v>150.30000000000001</v>
      </c>
      <c r="G78">
        <f>E78*F78*GiaDinh!$C$18*GiaDinh!$C$17</f>
        <v>126.25200000000001</v>
      </c>
      <c r="H78">
        <v>1.2410000000000001</v>
      </c>
      <c r="I78">
        <f>GiaDinh!$C$15</f>
        <v>15</v>
      </c>
      <c r="J78">
        <f t="shared" si="6"/>
        <v>13</v>
      </c>
      <c r="K78">
        <f>J78*GiaDinh!$C$16</f>
        <v>91</v>
      </c>
      <c r="L78">
        <f t="shared" si="7"/>
        <v>2</v>
      </c>
      <c r="M78">
        <f t="shared" si="8"/>
        <v>30</v>
      </c>
      <c r="N78">
        <f>L78*ROUNDUP(I78/GiaDinh!$C$5-0.0005,0)</f>
        <v>6</v>
      </c>
      <c r="O78">
        <f>L78*(ROUNDUP(I78/GiaDinh!$C$5-0.0005,0)-1)</f>
        <v>4</v>
      </c>
      <c r="P78">
        <f t="shared" si="9"/>
        <v>26</v>
      </c>
      <c r="Q78">
        <f t="shared" si="10"/>
        <v>52</v>
      </c>
      <c r="R78">
        <f t="shared" si="11"/>
        <v>26</v>
      </c>
      <c r="S78">
        <f>M78*GiaDinh!$C$7</f>
        <v>90.3</v>
      </c>
    </row>
    <row r="79" spans="1:19" x14ac:dyDescent="0.35">
      <c r="A79" t="s">
        <v>9</v>
      </c>
      <c r="B79">
        <v>15</v>
      </c>
      <c r="C79" t="s">
        <v>173</v>
      </c>
      <c r="D79" t="s">
        <v>245</v>
      </c>
      <c r="E79">
        <v>1</v>
      </c>
      <c r="F79">
        <v>150.30000000000001</v>
      </c>
      <c r="G79">
        <f>E79*F79*GiaDinh!$C$18*GiaDinh!$C$17</f>
        <v>126.25200000000001</v>
      </c>
      <c r="H79">
        <v>1.2410000000000001</v>
      </c>
      <c r="I79">
        <f>GiaDinh!$C$15</f>
        <v>15</v>
      </c>
      <c r="J79">
        <f t="shared" si="6"/>
        <v>13</v>
      </c>
      <c r="K79">
        <f>J79*GiaDinh!$C$16</f>
        <v>91</v>
      </c>
      <c r="L79">
        <f t="shared" si="7"/>
        <v>2</v>
      </c>
      <c r="M79">
        <f t="shared" si="8"/>
        <v>30</v>
      </c>
      <c r="N79">
        <f>L79*ROUNDUP(I79/GiaDinh!$C$5-0.0005,0)</f>
        <v>6</v>
      </c>
      <c r="O79">
        <f>L79*(ROUNDUP(I79/GiaDinh!$C$5-0.0005,0)-1)</f>
        <v>4</v>
      </c>
      <c r="P79">
        <f t="shared" si="9"/>
        <v>26</v>
      </c>
      <c r="Q79">
        <f t="shared" si="10"/>
        <v>52</v>
      </c>
      <c r="R79">
        <f t="shared" si="11"/>
        <v>26</v>
      </c>
      <c r="S79">
        <f>M79*GiaDinh!$C$7</f>
        <v>90.3</v>
      </c>
    </row>
    <row r="80" spans="1:19" x14ac:dyDescent="0.35">
      <c r="A80" t="s">
        <v>9</v>
      </c>
      <c r="B80">
        <v>16</v>
      </c>
      <c r="C80" t="s">
        <v>173</v>
      </c>
      <c r="D80" t="s">
        <v>246</v>
      </c>
      <c r="E80">
        <v>1</v>
      </c>
      <c r="F80">
        <v>150.30000000000001</v>
      </c>
      <c r="G80">
        <f>E80*F80*GiaDinh!$C$18*GiaDinh!$C$17</f>
        <v>126.25200000000001</v>
      </c>
      <c r="H80">
        <v>1.2410000000000001</v>
      </c>
      <c r="I80">
        <f>GiaDinh!$C$15</f>
        <v>15</v>
      </c>
      <c r="J80">
        <f t="shared" si="6"/>
        <v>13</v>
      </c>
      <c r="K80">
        <f>J80*GiaDinh!$C$16</f>
        <v>91</v>
      </c>
      <c r="L80">
        <f t="shared" si="7"/>
        <v>2</v>
      </c>
      <c r="M80">
        <f t="shared" si="8"/>
        <v>30</v>
      </c>
      <c r="N80">
        <f>L80*ROUNDUP(I80/GiaDinh!$C$5-0.0005,0)</f>
        <v>6</v>
      </c>
      <c r="O80">
        <f>L80*(ROUNDUP(I80/GiaDinh!$C$5-0.0005,0)-1)</f>
        <v>4</v>
      </c>
      <c r="P80">
        <f t="shared" si="9"/>
        <v>26</v>
      </c>
      <c r="Q80">
        <f t="shared" si="10"/>
        <v>52</v>
      </c>
      <c r="R80">
        <f t="shared" si="11"/>
        <v>26</v>
      </c>
      <c r="S80">
        <f>M80*GiaDinh!$C$7</f>
        <v>90.3</v>
      </c>
    </row>
    <row r="81" spans="1:19" x14ac:dyDescent="0.35">
      <c r="A81" t="s">
        <v>9</v>
      </c>
      <c r="B81">
        <v>17</v>
      </c>
      <c r="C81" t="s">
        <v>173</v>
      </c>
      <c r="D81" t="s">
        <v>247</v>
      </c>
      <c r="E81">
        <v>1</v>
      </c>
      <c r="F81">
        <v>150.30000000000001</v>
      </c>
      <c r="G81">
        <f>E81*F81*GiaDinh!$C$18*GiaDinh!$C$17</f>
        <v>126.25200000000001</v>
      </c>
      <c r="H81">
        <v>1.2410000000000001</v>
      </c>
      <c r="I81">
        <f>GiaDinh!$C$15</f>
        <v>15</v>
      </c>
      <c r="J81">
        <f t="shared" si="6"/>
        <v>13</v>
      </c>
      <c r="K81">
        <f>J81*GiaDinh!$C$16</f>
        <v>91</v>
      </c>
      <c r="L81">
        <f t="shared" si="7"/>
        <v>2</v>
      </c>
      <c r="M81">
        <f t="shared" si="8"/>
        <v>30</v>
      </c>
      <c r="N81">
        <f>L81*ROUNDUP(I81/GiaDinh!$C$5-0.0005,0)</f>
        <v>6</v>
      </c>
      <c r="O81">
        <f>L81*(ROUNDUP(I81/GiaDinh!$C$5-0.0005,0)-1)</f>
        <v>4</v>
      </c>
      <c r="P81">
        <f t="shared" si="9"/>
        <v>26</v>
      </c>
      <c r="Q81">
        <f t="shared" si="10"/>
        <v>52</v>
      </c>
      <c r="R81">
        <f t="shared" si="11"/>
        <v>26</v>
      </c>
      <c r="S81">
        <f>M81*GiaDinh!$C$7</f>
        <v>90.3</v>
      </c>
    </row>
    <row r="82" spans="1:19" x14ac:dyDescent="0.35">
      <c r="A82" t="s">
        <v>9</v>
      </c>
      <c r="B82">
        <v>18</v>
      </c>
      <c r="C82" t="s">
        <v>173</v>
      </c>
      <c r="D82" t="s">
        <v>248</v>
      </c>
      <c r="E82">
        <v>1</v>
      </c>
      <c r="F82">
        <v>150.30000000000001</v>
      </c>
      <c r="G82">
        <f>E82*F82*GiaDinh!$C$18*GiaDinh!$C$17</f>
        <v>126.25200000000001</v>
      </c>
      <c r="H82">
        <v>1.2410000000000001</v>
      </c>
      <c r="I82">
        <f>GiaDinh!$C$15</f>
        <v>15</v>
      </c>
      <c r="J82">
        <f t="shared" si="6"/>
        <v>13</v>
      </c>
      <c r="K82">
        <f>J82*GiaDinh!$C$16</f>
        <v>91</v>
      </c>
      <c r="L82">
        <f t="shared" si="7"/>
        <v>2</v>
      </c>
      <c r="M82">
        <f t="shared" si="8"/>
        <v>30</v>
      </c>
      <c r="N82">
        <f>L82*ROUNDUP(I82/GiaDinh!$C$5-0.0005,0)</f>
        <v>6</v>
      </c>
      <c r="O82">
        <f>L82*(ROUNDUP(I82/GiaDinh!$C$5-0.0005,0)-1)</f>
        <v>4</v>
      </c>
      <c r="P82">
        <f t="shared" si="9"/>
        <v>26</v>
      </c>
      <c r="Q82">
        <f t="shared" si="10"/>
        <v>52</v>
      </c>
      <c r="R82">
        <f t="shared" si="11"/>
        <v>26</v>
      </c>
      <c r="S82">
        <f>M82*GiaDinh!$C$7</f>
        <v>90.3</v>
      </c>
    </row>
    <row r="83" spans="1:19" x14ac:dyDescent="0.35">
      <c r="A83" t="s">
        <v>9</v>
      </c>
      <c r="B83">
        <v>19</v>
      </c>
      <c r="C83" t="s">
        <v>173</v>
      </c>
      <c r="D83" t="s">
        <v>249</v>
      </c>
      <c r="E83">
        <v>1</v>
      </c>
      <c r="F83">
        <v>150.30000000000001</v>
      </c>
      <c r="G83">
        <f>E83*F83*GiaDinh!$C$18*GiaDinh!$C$17</f>
        <v>126.25200000000001</v>
      </c>
      <c r="H83">
        <v>1.2410000000000001</v>
      </c>
      <c r="I83">
        <f>GiaDinh!$C$15</f>
        <v>15</v>
      </c>
      <c r="J83">
        <f t="shared" si="6"/>
        <v>13</v>
      </c>
      <c r="K83">
        <f>J83*GiaDinh!$C$16</f>
        <v>91</v>
      </c>
      <c r="L83">
        <f t="shared" si="7"/>
        <v>2</v>
      </c>
      <c r="M83">
        <f t="shared" si="8"/>
        <v>30</v>
      </c>
      <c r="N83">
        <f>L83*ROUNDUP(I83/GiaDinh!$C$5-0.0005,0)</f>
        <v>6</v>
      </c>
      <c r="O83">
        <f>L83*(ROUNDUP(I83/GiaDinh!$C$5-0.0005,0)-1)</f>
        <v>4</v>
      </c>
      <c r="P83">
        <f t="shared" si="9"/>
        <v>26</v>
      </c>
      <c r="Q83">
        <f t="shared" si="10"/>
        <v>52</v>
      </c>
      <c r="R83">
        <f t="shared" si="11"/>
        <v>26</v>
      </c>
      <c r="S83">
        <f>M83*GiaDinh!$C$7</f>
        <v>90.3</v>
      </c>
    </row>
    <row r="84" spans="1:19" x14ac:dyDescent="0.35">
      <c r="A84" t="s">
        <v>9</v>
      </c>
      <c r="B84">
        <v>20</v>
      </c>
      <c r="C84" t="s">
        <v>173</v>
      </c>
      <c r="D84" t="s">
        <v>250</v>
      </c>
      <c r="E84">
        <v>1</v>
      </c>
      <c r="F84">
        <v>150.30000000000001</v>
      </c>
      <c r="G84">
        <f>E84*F84*GiaDinh!$C$18*GiaDinh!$C$17</f>
        <v>126.25200000000001</v>
      </c>
      <c r="H84">
        <v>1.2410000000000001</v>
      </c>
      <c r="I84">
        <f>GiaDinh!$C$15</f>
        <v>15</v>
      </c>
      <c r="J84">
        <f t="shared" si="6"/>
        <v>13</v>
      </c>
      <c r="K84">
        <f>J84*GiaDinh!$C$16</f>
        <v>91</v>
      </c>
      <c r="L84">
        <f t="shared" si="7"/>
        <v>2</v>
      </c>
      <c r="M84">
        <f t="shared" si="8"/>
        <v>30</v>
      </c>
      <c r="N84">
        <f>L84*ROUNDUP(I84/GiaDinh!$C$5-0.0005,0)</f>
        <v>6</v>
      </c>
      <c r="O84">
        <f>L84*(ROUNDUP(I84/GiaDinh!$C$5-0.0005,0)-1)</f>
        <v>4</v>
      </c>
      <c r="P84">
        <f t="shared" si="9"/>
        <v>26</v>
      </c>
      <c r="Q84">
        <f t="shared" si="10"/>
        <v>52</v>
      </c>
      <c r="R84">
        <f t="shared" si="11"/>
        <v>26</v>
      </c>
      <c r="S84">
        <f>M84*GiaDinh!$C$7</f>
        <v>90.3</v>
      </c>
    </row>
    <row r="85" spans="1:19" x14ac:dyDescent="0.35">
      <c r="A85" t="s">
        <v>9</v>
      </c>
      <c r="B85">
        <v>21</v>
      </c>
      <c r="C85" t="s">
        <v>173</v>
      </c>
      <c r="D85" t="s">
        <v>251</v>
      </c>
      <c r="E85">
        <v>1</v>
      </c>
      <c r="F85">
        <v>150.30000000000001</v>
      </c>
      <c r="G85">
        <f>E85*F85*GiaDinh!$C$18*GiaDinh!$C$17</f>
        <v>126.25200000000001</v>
      </c>
      <c r="H85">
        <v>1.2410000000000001</v>
      </c>
      <c r="I85">
        <f>GiaDinh!$C$15</f>
        <v>15</v>
      </c>
      <c r="J85">
        <f t="shared" si="6"/>
        <v>13</v>
      </c>
      <c r="K85">
        <f>J85*GiaDinh!$C$16</f>
        <v>91</v>
      </c>
      <c r="L85">
        <f t="shared" si="7"/>
        <v>2</v>
      </c>
      <c r="M85">
        <f t="shared" si="8"/>
        <v>30</v>
      </c>
      <c r="N85">
        <f>L85*ROUNDUP(I85/GiaDinh!$C$5-0.0005,0)</f>
        <v>6</v>
      </c>
      <c r="O85">
        <f>L85*(ROUNDUP(I85/GiaDinh!$C$5-0.0005,0)-1)</f>
        <v>4</v>
      </c>
      <c r="P85">
        <f t="shared" si="9"/>
        <v>26</v>
      </c>
      <c r="Q85">
        <f t="shared" si="10"/>
        <v>52</v>
      </c>
      <c r="R85">
        <f t="shared" si="11"/>
        <v>26</v>
      </c>
      <c r="S85">
        <f>M85*GiaDinh!$C$7</f>
        <v>90.3</v>
      </c>
    </row>
    <row r="86" spans="1:19" x14ac:dyDescent="0.35">
      <c r="A86" t="s">
        <v>9</v>
      </c>
      <c r="B86">
        <v>22</v>
      </c>
      <c r="C86" t="s">
        <v>173</v>
      </c>
      <c r="D86" t="s">
        <v>252</v>
      </c>
      <c r="E86">
        <v>1</v>
      </c>
      <c r="F86">
        <v>150.30000000000001</v>
      </c>
      <c r="G86">
        <f>E86*F86*GiaDinh!$C$18*GiaDinh!$C$17</f>
        <v>126.25200000000001</v>
      </c>
      <c r="H86">
        <v>1.2410000000000001</v>
      </c>
      <c r="I86">
        <f>GiaDinh!$C$15</f>
        <v>15</v>
      </c>
      <c r="J86">
        <f t="shared" si="6"/>
        <v>13</v>
      </c>
      <c r="K86">
        <f>J86*GiaDinh!$C$16</f>
        <v>91</v>
      </c>
      <c r="L86">
        <f t="shared" si="7"/>
        <v>2</v>
      </c>
      <c r="M86">
        <f t="shared" si="8"/>
        <v>30</v>
      </c>
      <c r="N86">
        <f>L86*ROUNDUP(I86/GiaDinh!$C$5-0.0005,0)</f>
        <v>6</v>
      </c>
      <c r="O86">
        <f>L86*(ROUNDUP(I86/GiaDinh!$C$5-0.0005,0)-1)</f>
        <v>4</v>
      </c>
      <c r="P86">
        <f t="shared" si="9"/>
        <v>26</v>
      </c>
      <c r="Q86">
        <f t="shared" si="10"/>
        <v>52</v>
      </c>
      <c r="R86">
        <f t="shared" si="11"/>
        <v>26</v>
      </c>
      <c r="S86">
        <f>M86*GiaDinh!$C$7</f>
        <v>90.3</v>
      </c>
    </row>
    <row r="87" spans="1:19" x14ac:dyDescent="0.35">
      <c r="A87" t="s">
        <v>9</v>
      </c>
      <c r="B87">
        <v>23</v>
      </c>
      <c r="C87" t="s">
        <v>173</v>
      </c>
      <c r="D87" t="s">
        <v>253</v>
      </c>
      <c r="E87">
        <v>1</v>
      </c>
      <c r="F87">
        <v>150.30000000000001</v>
      </c>
      <c r="G87">
        <f>E87*F87*GiaDinh!$C$18*GiaDinh!$C$17</f>
        <v>126.25200000000001</v>
      </c>
      <c r="H87">
        <v>1.2410000000000001</v>
      </c>
      <c r="I87">
        <f>GiaDinh!$C$15</f>
        <v>15</v>
      </c>
      <c r="J87">
        <f t="shared" si="6"/>
        <v>13</v>
      </c>
      <c r="K87">
        <f>J87*GiaDinh!$C$16</f>
        <v>91</v>
      </c>
      <c r="L87">
        <f t="shared" si="7"/>
        <v>2</v>
      </c>
      <c r="M87">
        <f t="shared" si="8"/>
        <v>30</v>
      </c>
      <c r="N87">
        <f>L87*ROUNDUP(I87/GiaDinh!$C$5-0.0005,0)</f>
        <v>6</v>
      </c>
      <c r="O87">
        <f>L87*(ROUNDUP(I87/GiaDinh!$C$5-0.0005,0)-1)</f>
        <v>4</v>
      </c>
      <c r="P87">
        <f t="shared" si="9"/>
        <v>26</v>
      </c>
      <c r="Q87">
        <f t="shared" si="10"/>
        <v>52</v>
      </c>
      <c r="R87">
        <f t="shared" si="11"/>
        <v>26</v>
      </c>
      <c r="S87">
        <f>M87*GiaDinh!$C$7</f>
        <v>90.3</v>
      </c>
    </row>
    <row r="88" spans="1:19" x14ac:dyDescent="0.35">
      <c r="A88" t="s">
        <v>9</v>
      </c>
      <c r="B88">
        <v>24</v>
      </c>
      <c r="C88" t="s">
        <v>173</v>
      </c>
      <c r="D88" t="s">
        <v>254</v>
      </c>
      <c r="E88">
        <v>1</v>
      </c>
      <c r="F88">
        <v>150.30000000000001</v>
      </c>
      <c r="G88">
        <f>E88*F88*GiaDinh!$C$18*GiaDinh!$C$17</f>
        <v>126.25200000000001</v>
      </c>
      <c r="H88">
        <v>1.2410000000000001</v>
      </c>
      <c r="I88">
        <f>GiaDinh!$C$15</f>
        <v>15</v>
      </c>
      <c r="J88">
        <f t="shared" si="6"/>
        <v>13</v>
      </c>
      <c r="K88">
        <f>J88*GiaDinh!$C$16</f>
        <v>91</v>
      </c>
      <c r="L88">
        <f t="shared" si="7"/>
        <v>2</v>
      </c>
      <c r="M88">
        <f t="shared" si="8"/>
        <v>30</v>
      </c>
      <c r="N88">
        <f>L88*ROUNDUP(I88/GiaDinh!$C$5-0.0005,0)</f>
        <v>6</v>
      </c>
      <c r="O88">
        <f>L88*(ROUNDUP(I88/GiaDinh!$C$5-0.0005,0)-1)</f>
        <v>4</v>
      </c>
      <c r="P88">
        <f t="shared" si="9"/>
        <v>26</v>
      </c>
      <c r="Q88">
        <f t="shared" si="10"/>
        <v>52</v>
      </c>
      <c r="R88">
        <f t="shared" si="11"/>
        <v>26</v>
      </c>
      <c r="S88">
        <f>M88*GiaDinh!$C$7</f>
        <v>90.3</v>
      </c>
    </row>
    <row r="89" spans="1:19" x14ac:dyDescent="0.35">
      <c r="A89" t="s">
        <v>9</v>
      </c>
      <c r="B89">
        <v>25</v>
      </c>
      <c r="C89" t="s">
        <v>168</v>
      </c>
      <c r="D89" t="s">
        <v>255</v>
      </c>
      <c r="E89">
        <v>2</v>
      </c>
      <c r="F89">
        <v>150.30000000000001</v>
      </c>
      <c r="G89">
        <f>E89*F89*GiaDinh!$C$18*GiaDinh!$C$17</f>
        <v>252.50400000000002</v>
      </c>
      <c r="H89">
        <v>1.2410000000000001</v>
      </c>
      <c r="I89">
        <f>GiaDinh!$C$15</f>
        <v>15</v>
      </c>
      <c r="J89">
        <f t="shared" si="6"/>
        <v>13</v>
      </c>
      <c r="K89">
        <f>J89*GiaDinh!$C$16</f>
        <v>91</v>
      </c>
      <c r="L89">
        <f t="shared" si="7"/>
        <v>3</v>
      </c>
      <c r="M89">
        <f t="shared" si="8"/>
        <v>45</v>
      </c>
      <c r="N89">
        <f>L89*ROUNDUP(I89/GiaDinh!$C$5-0.0005,0)</f>
        <v>9</v>
      </c>
      <c r="O89">
        <f>L89*(ROUNDUP(I89/GiaDinh!$C$5-0.0005,0)-1)</f>
        <v>6</v>
      </c>
      <c r="P89">
        <f t="shared" si="9"/>
        <v>39</v>
      </c>
      <c r="Q89">
        <f t="shared" si="10"/>
        <v>78</v>
      </c>
      <c r="R89">
        <f t="shared" si="11"/>
        <v>39</v>
      </c>
      <c r="S89">
        <f>M89*GiaDinh!$C$7</f>
        <v>135.44999999999999</v>
      </c>
    </row>
    <row r="90" spans="1:19" x14ac:dyDescent="0.35">
      <c r="A90" t="s">
        <v>9</v>
      </c>
      <c r="B90">
        <v>26</v>
      </c>
      <c r="C90" t="s">
        <v>173</v>
      </c>
      <c r="D90" t="s">
        <v>256</v>
      </c>
      <c r="E90">
        <v>1</v>
      </c>
      <c r="F90">
        <v>150.30000000000001</v>
      </c>
      <c r="G90">
        <f>E90*F90*GiaDinh!$C$18*GiaDinh!$C$17</f>
        <v>126.25200000000001</v>
      </c>
      <c r="H90">
        <v>1.2410000000000001</v>
      </c>
      <c r="I90">
        <f>GiaDinh!$C$15</f>
        <v>15</v>
      </c>
      <c r="J90">
        <f t="shared" si="6"/>
        <v>13</v>
      </c>
      <c r="K90">
        <f>J90*GiaDinh!$C$16</f>
        <v>91</v>
      </c>
      <c r="L90">
        <f t="shared" si="7"/>
        <v>2</v>
      </c>
      <c r="M90">
        <f t="shared" si="8"/>
        <v>30</v>
      </c>
      <c r="N90">
        <f>L90*ROUNDUP(I90/GiaDinh!$C$5-0.0005,0)</f>
        <v>6</v>
      </c>
      <c r="O90">
        <f>L90*(ROUNDUP(I90/GiaDinh!$C$5-0.0005,0)-1)</f>
        <v>4</v>
      </c>
      <c r="P90">
        <f t="shared" si="9"/>
        <v>26</v>
      </c>
      <c r="Q90">
        <f t="shared" si="10"/>
        <v>52</v>
      </c>
      <c r="R90">
        <f t="shared" si="11"/>
        <v>26</v>
      </c>
      <c r="S90">
        <f>M90*GiaDinh!$C$7</f>
        <v>90.3</v>
      </c>
    </row>
    <row r="91" spans="1:19" x14ac:dyDescent="0.35">
      <c r="A91" t="s">
        <v>9</v>
      </c>
      <c r="B91">
        <v>27</v>
      </c>
      <c r="C91" t="s">
        <v>173</v>
      </c>
      <c r="D91" t="s">
        <v>257</v>
      </c>
      <c r="E91">
        <v>1</v>
      </c>
      <c r="F91">
        <v>150.30000000000001</v>
      </c>
      <c r="G91">
        <f>E91*F91*GiaDinh!$C$18*GiaDinh!$C$17</f>
        <v>126.25200000000001</v>
      </c>
      <c r="H91">
        <v>1.2410000000000001</v>
      </c>
      <c r="I91">
        <f>GiaDinh!$C$15</f>
        <v>15</v>
      </c>
      <c r="J91">
        <f t="shared" si="6"/>
        <v>13</v>
      </c>
      <c r="K91">
        <f>J91*GiaDinh!$C$16</f>
        <v>91</v>
      </c>
      <c r="L91">
        <f t="shared" si="7"/>
        <v>2</v>
      </c>
      <c r="M91">
        <f t="shared" si="8"/>
        <v>30</v>
      </c>
      <c r="N91">
        <f>L91*ROUNDUP(I91/GiaDinh!$C$5-0.0005,0)</f>
        <v>6</v>
      </c>
      <c r="O91">
        <f>L91*(ROUNDUP(I91/GiaDinh!$C$5-0.0005,0)-1)</f>
        <v>4</v>
      </c>
      <c r="P91">
        <f t="shared" si="9"/>
        <v>26</v>
      </c>
      <c r="Q91">
        <f t="shared" si="10"/>
        <v>52</v>
      </c>
      <c r="R91">
        <f t="shared" si="11"/>
        <v>26</v>
      </c>
      <c r="S91">
        <f>M91*GiaDinh!$C$7</f>
        <v>90.3</v>
      </c>
    </row>
    <row r="92" spans="1:19" x14ac:dyDescent="0.35">
      <c r="A92" t="s">
        <v>9</v>
      </c>
      <c r="B92">
        <v>28</v>
      </c>
      <c r="C92" t="s">
        <v>168</v>
      </c>
      <c r="D92" t="s">
        <v>258</v>
      </c>
      <c r="E92">
        <v>4</v>
      </c>
      <c r="F92">
        <v>150.30000000000001</v>
      </c>
      <c r="G92">
        <f>E92*F92*GiaDinh!$C$18*GiaDinh!$C$17</f>
        <v>505.00800000000004</v>
      </c>
      <c r="H92">
        <v>1.2410000000000001</v>
      </c>
      <c r="I92">
        <f>GiaDinh!$C$15</f>
        <v>15</v>
      </c>
      <c r="J92">
        <f t="shared" si="6"/>
        <v>13</v>
      </c>
      <c r="K92">
        <f>J92*GiaDinh!$C$16</f>
        <v>91</v>
      </c>
      <c r="L92">
        <f t="shared" si="7"/>
        <v>6</v>
      </c>
      <c r="M92">
        <f t="shared" si="8"/>
        <v>90</v>
      </c>
      <c r="N92">
        <f>L92*ROUNDUP(I92/GiaDinh!$C$5-0.0005,0)</f>
        <v>18</v>
      </c>
      <c r="O92">
        <f>L92*(ROUNDUP(I92/GiaDinh!$C$5-0.0005,0)-1)</f>
        <v>12</v>
      </c>
      <c r="P92">
        <f t="shared" si="9"/>
        <v>78</v>
      </c>
      <c r="Q92">
        <f t="shared" si="10"/>
        <v>156</v>
      </c>
      <c r="R92">
        <f t="shared" si="11"/>
        <v>78</v>
      </c>
      <c r="S92">
        <f>M92*GiaDinh!$C$7</f>
        <v>270.89999999999998</v>
      </c>
    </row>
    <row r="93" spans="1:19" x14ac:dyDescent="0.35">
      <c r="A93" t="s">
        <v>9</v>
      </c>
      <c r="B93">
        <v>29</v>
      </c>
      <c r="C93" t="s">
        <v>168</v>
      </c>
      <c r="D93" t="s">
        <v>259</v>
      </c>
      <c r="E93">
        <v>2</v>
      </c>
      <c r="F93">
        <v>150.30000000000001</v>
      </c>
      <c r="G93">
        <f>E93*F93*GiaDinh!$C$18*GiaDinh!$C$17</f>
        <v>252.50400000000002</v>
      </c>
      <c r="H93">
        <v>1.2410000000000001</v>
      </c>
      <c r="I93">
        <f>GiaDinh!$C$15</f>
        <v>15</v>
      </c>
      <c r="J93">
        <f t="shared" si="6"/>
        <v>13</v>
      </c>
      <c r="K93">
        <f>J93*GiaDinh!$C$16</f>
        <v>91</v>
      </c>
      <c r="L93">
        <f t="shared" si="7"/>
        <v>3</v>
      </c>
      <c r="M93">
        <f t="shared" si="8"/>
        <v>45</v>
      </c>
      <c r="N93">
        <f>L93*ROUNDUP(I93/GiaDinh!$C$5-0.0005,0)</f>
        <v>9</v>
      </c>
      <c r="O93">
        <f>L93*(ROUNDUP(I93/GiaDinh!$C$5-0.0005,0)-1)</f>
        <v>6</v>
      </c>
      <c r="P93">
        <f t="shared" si="9"/>
        <v>39</v>
      </c>
      <c r="Q93">
        <f t="shared" si="10"/>
        <v>78</v>
      </c>
      <c r="R93">
        <f t="shared" si="11"/>
        <v>39</v>
      </c>
      <c r="S93">
        <f>M93*GiaDinh!$C$7</f>
        <v>135.44999999999999</v>
      </c>
    </row>
    <row r="94" spans="1:19" x14ac:dyDescent="0.35">
      <c r="A94" t="s">
        <v>9</v>
      </c>
      <c r="B94">
        <v>30</v>
      </c>
      <c r="C94" t="s">
        <v>173</v>
      </c>
      <c r="D94" t="s">
        <v>260</v>
      </c>
      <c r="E94">
        <v>1</v>
      </c>
      <c r="F94">
        <v>150.30000000000001</v>
      </c>
      <c r="G94">
        <f>E94*F94*GiaDinh!$C$18*GiaDinh!$C$17</f>
        <v>126.25200000000001</v>
      </c>
      <c r="H94">
        <v>1.2410000000000001</v>
      </c>
      <c r="I94">
        <f>GiaDinh!$C$15</f>
        <v>15</v>
      </c>
      <c r="J94">
        <f t="shared" si="6"/>
        <v>13</v>
      </c>
      <c r="K94">
        <f>J94*GiaDinh!$C$16</f>
        <v>91</v>
      </c>
      <c r="L94">
        <f t="shared" si="7"/>
        <v>2</v>
      </c>
      <c r="M94">
        <f t="shared" si="8"/>
        <v>30</v>
      </c>
      <c r="N94">
        <f>L94*ROUNDUP(I94/GiaDinh!$C$5-0.0005,0)</f>
        <v>6</v>
      </c>
      <c r="O94">
        <f>L94*(ROUNDUP(I94/GiaDinh!$C$5-0.0005,0)-1)</f>
        <v>4</v>
      </c>
      <c r="P94">
        <f t="shared" si="9"/>
        <v>26</v>
      </c>
      <c r="Q94">
        <f t="shared" si="10"/>
        <v>52</v>
      </c>
      <c r="R94">
        <f t="shared" si="11"/>
        <v>26</v>
      </c>
      <c r="S94">
        <f>M94*GiaDinh!$C$7</f>
        <v>90.3</v>
      </c>
    </row>
    <row r="95" spans="1:19" x14ac:dyDescent="0.35">
      <c r="A95" t="s">
        <v>9</v>
      </c>
      <c r="B95">
        <v>31</v>
      </c>
      <c r="C95" t="s">
        <v>173</v>
      </c>
      <c r="D95" t="s">
        <v>261</v>
      </c>
      <c r="E95">
        <v>1</v>
      </c>
      <c r="F95">
        <v>150.30000000000001</v>
      </c>
      <c r="G95">
        <f>E95*F95*GiaDinh!$C$18*GiaDinh!$C$17</f>
        <v>126.25200000000001</v>
      </c>
      <c r="H95">
        <v>1.2410000000000001</v>
      </c>
      <c r="I95">
        <f>GiaDinh!$C$15</f>
        <v>15</v>
      </c>
      <c r="J95">
        <f t="shared" si="6"/>
        <v>13</v>
      </c>
      <c r="K95">
        <f>J95*GiaDinh!$C$16</f>
        <v>91</v>
      </c>
      <c r="L95">
        <f t="shared" si="7"/>
        <v>2</v>
      </c>
      <c r="M95">
        <f t="shared" si="8"/>
        <v>30</v>
      </c>
      <c r="N95">
        <f>L95*ROUNDUP(I95/GiaDinh!$C$5-0.0005,0)</f>
        <v>6</v>
      </c>
      <c r="O95">
        <f>L95*(ROUNDUP(I95/GiaDinh!$C$5-0.0005,0)-1)</f>
        <v>4</v>
      </c>
      <c r="P95">
        <f t="shared" si="9"/>
        <v>26</v>
      </c>
      <c r="Q95">
        <f t="shared" si="10"/>
        <v>52</v>
      </c>
      <c r="R95">
        <f t="shared" si="11"/>
        <v>26</v>
      </c>
      <c r="S95">
        <f>M95*GiaDinh!$C$7</f>
        <v>90.3</v>
      </c>
    </row>
    <row r="96" spans="1:19" x14ac:dyDescent="0.35">
      <c r="A96" t="s">
        <v>9</v>
      </c>
      <c r="B96">
        <v>32</v>
      </c>
      <c r="C96" t="s">
        <v>173</v>
      </c>
      <c r="D96" t="s">
        <v>262</v>
      </c>
      <c r="E96">
        <v>1</v>
      </c>
      <c r="F96">
        <v>150.30000000000001</v>
      </c>
      <c r="G96">
        <f>E96*F96*GiaDinh!$C$18*GiaDinh!$C$17</f>
        <v>126.25200000000001</v>
      </c>
      <c r="H96">
        <v>1.2410000000000001</v>
      </c>
      <c r="I96">
        <f>GiaDinh!$C$15</f>
        <v>15</v>
      </c>
      <c r="J96">
        <f t="shared" si="6"/>
        <v>13</v>
      </c>
      <c r="K96">
        <f>J96*GiaDinh!$C$16</f>
        <v>91</v>
      </c>
      <c r="L96">
        <f t="shared" si="7"/>
        <v>2</v>
      </c>
      <c r="M96">
        <f t="shared" si="8"/>
        <v>30</v>
      </c>
      <c r="N96">
        <f>L96*ROUNDUP(I96/GiaDinh!$C$5-0.0005,0)</f>
        <v>6</v>
      </c>
      <c r="O96">
        <f>L96*(ROUNDUP(I96/GiaDinh!$C$5-0.0005,0)-1)</f>
        <v>4</v>
      </c>
      <c r="P96">
        <f t="shared" si="9"/>
        <v>26</v>
      </c>
      <c r="Q96">
        <f t="shared" si="10"/>
        <v>52</v>
      </c>
      <c r="R96">
        <f t="shared" si="11"/>
        <v>26</v>
      </c>
      <c r="S96">
        <f>M96*GiaDinh!$C$7</f>
        <v>90.3</v>
      </c>
    </row>
    <row r="97" spans="1:19" x14ac:dyDescent="0.35">
      <c r="A97" t="s">
        <v>9</v>
      </c>
      <c r="B97">
        <v>33</v>
      </c>
      <c r="C97" t="s">
        <v>173</v>
      </c>
      <c r="D97" t="s">
        <v>263</v>
      </c>
      <c r="E97">
        <v>1</v>
      </c>
      <c r="F97">
        <v>150.30000000000001</v>
      </c>
      <c r="G97">
        <f>E97*F97*GiaDinh!$C$18*GiaDinh!$C$17</f>
        <v>126.25200000000001</v>
      </c>
      <c r="H97">
        <v>1.2410000000000001</v>
      </c>
      <c r="I97">
        <f>GiaDinh!$C$15</f>
        <v>15</v>
      </c>
      <c r="J97">
        <f t="shared" si="6"/>
        <v>13</v>
      </c>
      <c r="K97">
        <f>J97*GiaDinh!$C$16</f>
        <v>91</v>
      </c>
      <c r="L97">
        <f t="shared" si="7"/>
        <v>2</v>
      </c>
      <c r="M97">
        <f t="shared" si="8"/>
        <v>30</v>
      </c>
      <c r="N97">
        <f>L97*ROUNDUP(I97/GiaDinh!$C$5-0.0005,0)</f>
        <v>6</v>
      </c>
      <c r="O97">
        <f>L97*(ROUNDUP(I97/GiaDinh!$C$5-0.0005,0)-1)</f>
        <v>4</v>
      </c>
      <c r="P97">
        <f t="shared" si="9"/>
        <v>26</v>
      </c>
      <c r="Q97">
        <f t="shared" si="10"/>
        <v>52</v>
      </c>
      <c r="R97">
        <f t="shared" si="11"/>
        <v>26</v>
      </c>
      <c r="S97">
        <f>M97*GiaDinh!$C$7</f>
        <v>90.3</v>
      </c>
    </row>
    <row r="98" spans="1:19" x14ac:dyDescent="0.35">
      <c r="A98" t="s">
        <v>9</v>
      </c>
      <c r="B98">
        <v>34</v>
      </c>
      <c r="C98" t="s">
        <v>168</v>
      </c>
      <c r="D98" t="s">
        <v>264</v>
      </c>
      <c r="E98">
        <v>4</v>
      </c>
      <c r="F98">
        <v>150.30000000000001</v>
      </c>
      <c r="G98">
        <f>E98*F98*GiaDinh!$C$18*GiaDinh!$C$17</f>
        <v>505.00800000000004</v>
      </c>
      <c r="H98">
        <v>1.2410000000000001</v>
      </c>
      <c r="I98">
        <f>GiaDinh!$C$15</f>
        <v>15</v>
      </c>
      <c r="J98">
        <f t="shared" si="6"/>
        <v>13</v>
      </c>
      <c r="K98">
        <f>J98*GiaDinh!$C$16</f>
        <v>91</v>
      </c>
      <c r="L98">
        <f t="shared" si="7"/>
        <v>6</v>
      </c>
      <c r="M98">
        <f t="shared" si="8"/>
        <v>90</v>
      </c>
      <c r="N98">
        <f>L98*ROUNDUP(I98/GiaDinh!$C$5-0.0005,0)</f>
        <v>18</v>
      </c>
      <c r="O98">
        <f>L98*(ROUNDUP(I98/GiaDinh!$C$5-0.0005,0)-1)</f>
        <v>12</v>
      </c>
      <c r="P98">
        <f t="shared" si="9"/>
        <v>78</v>
      </c>
      <c r="Q98">
        <f t="shared" si="10"/>
        <v>156</v>
      </c>
      <c r="R98">
        <f t="shared" si="11"/>
        <v>78</v>
      </c>
      <c r="S98">
        <f>M98*GiaDinh!$C$7</f>
        <v>270.89999999999998</v>
      </c>
    </row>
    <row r="99" spans="1:19" x14ac:dyDescent="0.35">
      <c r="A99" t="s">
        <v>9</v>
      </c>
      <c r="B99">
        <v>35</v>
      </c>
      <c r="C99" t="s">
        <v>168</v>
      </c>
      <c r="D99" t="s">
        <v>265</v>
      </c>
      <c r="E99">
        <v>4</v>
      </c>
      <c r="F99">
        <v>150.30000000000001</v>
      </c>
      <c r="G99">
        <f>E99*F99*GiaDinh!$C$18*GiaDinh!$C$17</f>
        <v>505.00800000000004</v>
      </c>
      <c r="H99">
        <v>1.2410000000000001</v>
      </c>
      <c r="I99">
        <f>GiaDinh!$C$15</f>
        <v>15</v>
      </c>
      <c r="J99">
        <f t="shared" si="6"/>
        <v>13</v>
      </c>
      <c r="K99">
        <f>J99*GiaDinh!$C$16</f>
        <v>91</v>
      </c>
      <c r="L99">
        <f t="shared" si="7"/>
        <v>6</v>
      </c>
      <c r="M99">
        <f t="shared" si="8"/>
        <v>90</v>
      </c>
      <c r="N99">
        <f>L99*ROUNDUP(I99/GiaDinh!$C$5-0.0005,0)</f>
        <v>18</v>
      </c>
      <c r="O99">
        <f>L99*(ROUNDUP(I99/GiaDinh!$C$5-0.0005,0)-1)</f>
        <v>12</v>
      </c>
      <c r="P99">
        <f t="shared" si="9"/>
        <v>78</v>
      </c>
      <c r="Q99">
        <f t="shared" si="10"/>
        <v>156</v>
      </c>
      <c r="R99">
        <f t="shared" si="11"/>
        <v>78</v>
      </c>
      <c r="S99">
        <f>M99*GiaDinh!$C$7</f>
        <v>270.89999999999998</v>
      </c>
    </row>
    <row r="100" spans="1:19" x14ac:dyDescent="0.35">
      <c r="A100" t="s">
        <v>9</v>
      </c>
      <c r="B100">
        <v>36</v>
      </c>
      <c r="C100" t="s">
        <v>168</v>
      </c>
      <c r="D100" t="s">
        <v>266</v>
      </c>
      <c r="E100">
        <v>4</v>
      </c>
      <c r="F100">
        <v>150.30000000000001</v>
      </c>
      <c r="G100">
        <f>E100*F100*GiaDinh!$C$18*GiaDinh!$C$17</f>
        <v>505.00800000000004</v>
      </c>
      <c r="H100">
        <v>1.2410000000000001</v>
      </c>
      <c r="I100">
        <f>GiaDinh!$C$15</f>
        <v>15</v>
      </c>
      <c r="J100">
        <f t="shared" si="6"/>
        <v>13</v>
      </c>
      <c r="K100">
        <f>J100*GiaDinh!$C$16</f>
        <v>91</v>
      </c>
      <c r="L100">
        <f t="shared" si="7"/>
        <v>6</v>
      </c>
      <c r="M100">
        <f t="shared" si="8"/>
        <v>90</v>
      </c>
      <c r="N100">
        <f>L100*ROUNDUP(I100/GiaDinh!$C$5-0.0005,0)</f>
        <v>18</v>
      </c>
      <c r="O100">
        <f>L100*(ROUNDUP(I100/GiaDinh!$C$5-0.0005,0)-1)</f>
        <v>12</v>
      </c>
      <c r="P100">
        <f t="shared" si="9"/>
        <v>78</v>
      </c>
      <c r="Q100">
        <f t="shared" si="10"/>
        <v>156</v>
      </c>
      <c r="R100">
        <f t="shared" si="11"/>
        <v>78</v>
      </c>
      <c r="S100">
        <f>M100*GiaDinh!$C$7</f>
        <v>270.89999999999998</v>
      </c>
    </row>
    <row r="101" spans="1:19" x14ac:dyDescent="0.35">
      <c r="A101" t="s">
        <v>9</v>
      </c>
      <c r="B101">
        <v>37</v>
      </c>
      <c r="C101" t="s">
        <v>168</v>
      </c>
      <c r="D101" t="s">
        <v>267</v>
      </c>
      <c r="E101">
        <v>4</v>
      </c>
      <c r="F101">
        <v>150.30000000000001</v>
      </c>
      <c r="G101">
        <f>E101*F101*GiaDinh!$C$18*GiaDinh!$C$17</f>
        <v>505.00800000000004</v>
      </c>
      <c r="H101">
        <v>1.2410000000000001</v>
      </c>
      <c r="I101">
        <f>GiaDinh!$C$15</f>
        <v>15</v>
      </c>
      <c r="J101">
        <f t="shared" si="6"/>
        <v>13</v>
      </c>
      <c r="K101">
        <f>J101*GiaDinh!$C$16</f>
        <v>91</v>
      </c>
      <c r="L101">
        <f t="shared" si="7"/>
        <v>6</v>
      </c>
      <c r="M101">
        <f t="shared" si="8"/>
        <v>90</v>
      </c>
      <c r="N101">
        <f>L101*ROUNDUP(I101/GiaDinh!$C$5-0.0005,0)</f>
        <v>18</v>
      </c>
      <c r="O101">
        <f>L101*(ROUNDUP(I101/GiaDinh!$C$5-0.0005,0)-1)</f>
        <v>12</v>
      </c>
      <c r="P101">
        <f t="shared" si="9"/>
        <v>78</v>
      </c>
      <c r="Q101">
        <f t="shared" si="10"/>
        <v>156</v>
      </c>
      <c r="R101">
        <f t="shared" si="11"/>
        <v>78</v>
      </c>
      <c r="S101">
        <f>M101*GiaDinh!$C$7</f>
        <v>270.89999999999998</v>
      </c>
    </row>
    <row r="102" spans="1:19" x14ac:dyDescent="0.35">
      <c r="A102" t="s">
        <v>9</v>
      </c>
      <c r="B102">
        <v>38</v>
      </c>
      <c r="C102" t="s">
        <v>173</v>
      </c>
      <c r="D102" t="s">
        <v>268</v>
      </c>
      <c r="E102">
        <v>1</v>
      </c>
      <c r="F102">
        <v>150.30000000000001</v>
      </c>
      <c r="G102">
        <f>E102*F102*GiaDinh!$C$18*GiaDinh!$C$17</f>
        <v>126.25200000000001</v>
      </c>
      <c r="H102">
        <v>1.2410000000000001</v>
      </c>
      <c r="I102">
        <f>GiaDinh!$C$15</f>
        <v>15</v>
      </c>
      <c r="J102">
        <f t="shared" si="6"/>
        <v>13</v>
      </c>
      <c r="K102">
        <f>J102*GiaDinh!$C$16</f>
        <v>91</v>
      </c>
      <c r="L102">
        <f t="shared" si="7"/>
        <v>2</v>
      </c>
      <c r="M102">
        <f t="shared" si="8"/>
        <v>30</v>
      </c>
      <c r="N102">
        <f>L102*ROUNDUP(I102/GiaDinh!$C$5-0.0005,0)</f>
        <v>6</v>
      </c>
      <c r="O102">
        <f>L102*(ROUNDUP(I102/GiaDinh!$C$5-0.0005,0)-1)</f>
        <v>4</v>
      </c>
      <c r="P102">
        <f t="shared" si="9"/>
        <v>26</v>
      </c>
      <c r="Q102">
        <f t="shared" si="10"/>
        <v>52</v>
      </c>
      <c r="R102">
        <f t="shared" si="11"/>
        <v>26</v>
      </c>
      <c r="S102">
        <f>M102*GiaDinh!$C$7</f>
        <v>90.3</v>
      </c>
    </row>
    <row r="103" spans="1:19" x14ac:dyDescent="0.35">
      <c r="A103" t="s">
        <v>9</v>
      </c>
      <c r="B103">
        <v>39</v>
      </c>
      <c r="C103" t="s">
        <v>173</v>
      </c>
      <c r="D103" t="s">
        <v>269</v>
      </c>
      <c r="E103">
        <v>1</v>
      </c>
      <c r="F103">
        <v>150.30000000000001</v>
      </c>
      <c r="G103">
        <f>E103*F103*GiaDinh!$C$18*GiaDinh!$C$17</f>
        <v>126.25200000000001</v>
      </c>
      <c r="H103">
        <v>1.2410000000000001</v>
      </c>
      <c r="I103">
        <f>GiaDinh!$C$15</f>
        <v>15</v>
      </c>
      <c r="J103">
        <f t="shared" si="6"/>
        <v>13</v>
      </c>
      <c r="K103">
        <f>J103*GiaDinh!$C$16</f>
        <v>91</v>
      </c>
      <c r="L103">
        <f t="shared" si="7"/>
        <v>2</v>
      </c>
      <c r="M103">
        <f t="shared" si="8"/>
        <v>30</v>
      </c>
      <c r="N103">
        <f>L103*ROUNDUP(I103/GiaDinh!$C$5-0.0005,0)</f>
        <v>6</v>
      </c>
      <c r="O103">
        <f>L103*(ROUNDUP(I103/GiaDinh!$C$5-0.0005,0)-1)</f>
        <v>4</v>
      </c>
      <c r="P103">
        <f t="shared" si="9"/>
        <v>26</v>
      </c>
      <c r="Q103">
        <f t="shared" si="10"/>
        <v>52</v>
      </c>
      <c r="R103">
        <f t="shared" si="11"/>
        <v>26</v>
      </c>
      <c r="S103">
        <f>M103*GiaDinh!$C$7</f>
        <v>90.3</v>
      </c>
    </row>
    <row r="104" spans="1:19" x14ac:dyDescent="0.35">
      <c r="A104" t="s">
        <v>9</v>
      </c>
      <c r="B104">
        <v>40</v>
      </c>
      <c r="C104" t="s">
        <v>173</v>
      </c>
      <c r="D104" t="s">
        <v>270</v>
      </c>
      <c r="E104">
        <v>1</v>
      </c>
      <c r="F104">
        <v>150.30000000000001</v>
      </c>
      <c r="G104">
        <f>E104*F104*GiaDinh!$C$18*GiaDinh!$C$17</f>
        <v>126.25200000000001</v>
      </c>
      <c r="H104">
        <v>1.2410000000000001</v>
      </c>
      <c r="I104">
        <f>GiaDinh!$C$15</f>
        <v>15</v>
      </c>
      <c r="J104">
        <f t="shared" si="6"/>
        <v>13</v>
      </c>
      <c r="K104">
        <f>J104*GiaDinh!$C$16</f>
        <v>91</v>
      </c>
      <c r="L104">
        <f t="shared" si="7"/>
        <v>2</v>
      </c>
      <c r="M104">
        <f t="shared" si="8"/>
        <v>30</v>
      </c>
      <c r="N104">
        <f>L104*ROUNDUP(I104/GiaDinh!$C$5-0.0005,0)</f>
        <v>6</v>
      </c>
      <c r="O104">
        <f>L104*(ROUNDUP(I104/GiaDinh!$C$5-0.0005,0)-1)</f>
        <v>4</v>
      </c>
      <c r="P104">
        <f t="shared" si="9"/>
        <v>26</v>
      </c>
      <c r="Q104">
        <f t="shared" si="10"/>
        <v>52</v>
      </c>
      <c r="R104">
        <f t="shared" si="11"/>
        <v>26</v>
      </c>
      <c r="S104">
        <f>M104*GiaDinh!$C$7</f>
        <v>90.3</v>
      </c>
    </row>
    <row r="105" spans="1:19" x14ac:dyDescent="0.35">
      <c r="A105" t="s">
        <v>9</v>
      </c>
      <c r="B105">
        <v>41</v>
      </c>
      <c r="C105" t="s">
        <v>173</v>
      </c>
      <c r="D105" t="s">
        <v>271</v>
      </c>
      <c r="E105">
        <v>1</v>
      </c>
      <c r="F105">
        <v>150.30000000000001</v>
      </c>
      <c r="G105">
        <f>E105*F105*GiaDinh!$C$18*GiaDinh!$C$17</f>
        <v>126.25200000000001</v>
      </c>
      <c r="H105">
        <v>1.2410000000000001</v>
      </c>
      <c r="I105">
        <f>GiaDinh!$C$15</f>
        <v>15</v>
      </c>
      <c r="J105">
        <f t="shared" si="6"/>
        <v>13</v>
      </c>
      <c r="K105">
        <f>J105*GiaDinh!$C$16</f>
        <v>91</v>
      </c>
      <c r="L105">
        <f t="shared" si="7"/>
        <v>2</v>
      </c>
      <c r="M105">
        <f t="shared" si="8"/>
        <v>30</v>
      </c>
      <c r="N105">
        <f>L105*ROUNDUP(I105/GiaDinh!$C$5-0.0005,0)</f>
        <v>6</v>
      </c>
      <c r="O105">
        <f>L105*(ROUNDUP(I105/GiaDinh!$C$5-0.0005,0)-1)</f>
        <v>4</v>
      </c>
      <c r="P105">
        <f t="shared" si="9"/>
        <v>26</v>
      </c>
      <c r="Q105">
        <f t="shared" si="10"/>
        <v>52</v>
      </c>
      <c r="R105">
        <f t="shared" si="11"/>
        <v>26</v>
      </c>
      <c r="S105">
        <f>M105*GiaDinh!$C$7</f>
        <v>90.3</v>
      </c>
    </row>
    <row r="106" spans="1:19" x14ac:dyDescent="0.35">
      <c r="A106" t="s">
        <v>9</v>
      </c>
      <c r="B106">
        <v>42</v>
      </c>
      <c r="C106" t="s">
        <v>173</v>
      </c>
      <c r="D106" t="s">
        <v>272</v>
      </c>
      <c r="E106">
        <v>1</v>
      </c>
      <c r="F106">
        <v>150.30000000000001</v>
      </c>
      <c r="G106">
        <f>E106*F106*GiaDinh!$C$18*GiaDinh!$C$17</f>
        <v>126.25200000000001</v>
      </c>
      <c r="H106">
        <v>1.2410000000000001</v>
      </c>
      <c r="I106">
        <f>GiaDinh!$C$15</f>
        <v>15</v>
      </c>
      <c r="J106">
        <f t="shared" si="6"/>
        <v>13</v>
      </c>
      <c r="K106">
        <f>J106*GiaDinh!$C$16</f>
        <v>91</v>
      </c>
      <c r="L106">
        <f t="shared" si="7"/>
        <v>2</v>
      </c>
      <c r="M106">
        <f t="shared" si="8"/>
        <v>30</v>
      </c>
      <c r="N106">
        <f>L106*ROUNDUP(I106/GiaDinh!$C$5-0.0005,0)</f>
        <v>6</v>
      </c>
      <c r="O106">
        <f>L106*(ROUNDUP(I106/GiaDinh!$C$5-0.0005,0)-1)</f>
        <v>4</v>
      </c>
      <c r="P106">
        <f t="shared" si="9"/>
        <v>26</v>
      </c>
      <c r="Q106">
        <f t="shared" si="10"/>
        <v>52</v>
      </c>
      <c r="R106">
        <f t="shared" si="11"/>
        <v>26</v>
      </c>
      <c r="S106">
        <f>M106*GiaDinh!$C$7</f>
        <v>90.3</v>
      </c>
    </row>
    <row r="107" spans="1:19" x14ac:dyDescent="0.35">
      <c r="A107" t="s">
        <v>9</v>
      </c>
      <c r="B107">
        <v>43</v>
      </c>
      <c r="C107" t="s">
        <v>173</v>
      </c>
      <c r="D107" t="s">
        <v>273</v>
      </c>
      <c r="E107">
        <v>1</v>
      </c>
      <c r="F107">
        <v>150.30000000000001</v>
      </c>
      <c r="G107">
        <f>E107*F107*GiaDinh!$C$18*GiaDinh!$C$17</f>
        <v>126.25200000000001</v>
      </c>
      <c r="H107">
        <v>1.2410000000000001</v>
      </c>
      <c r="I107">
        <f>GiaDinh!$C$15</f>
        <v>15</v>
      </c>
      <c r="J107">
        <f t="shared" si="6"/>
        <v>13</v>
      </c>
      <c r="K107">
        <f>J107*GiaDinh!$C$16</f>
        <v>91</v>
      </c>
      <c r="L107">
        <f t="shared" si="7"/>
        <v>2</v>
      </c>
      <c r="M107">
        <f t="shared" si="8"/>
        <v>30</v>
      </c>
      <c r="N107">
        <f>L107*ROUNDUP(I107/GiaDinh!$C$5-0.0005,0)</f>
        <v>6</v>
      </c>
      <c r="O107">
        <f>L107*(ROUNDUP(I107/GiaDinh!$C$5-0.0005,0)-1)</f>
        <v>4</v>
      </c>
      <c r="P107">
        <f t="shared" si="9"/>
        <v>26</v>
      </c>
      <c r="Q107">
        <f t="shared" si="10"/>
        <v>52</v>
      </c>
      <c r="R107">
        <f t="shared" si="11"/>
        <v>26</v>
      </c>
      <c r="S107">
        <f>M107*GiaDinh!$C$7</f>
        <v>90.3</v>
      </c>
    </row>
    <row r="108" spans="1:19" x14ac:dyDescent="0.35">
      <c r="A108" t="s">
        <v>9</v>
      </c>
      <c r="B108">
        <v>44</v>
      </c>
      <c r="C108" t="s">
        <v>173</v>
      </c>
      <c r="D108" t="s">
        <v>274</v>
      </c>
      <c r="E108">
        <v>1</v>
      </c>
      <c r="F108">
        <v>150.30000000000001</v>
      </c>
      <c r="G108">
        <f>E108*F108*GiaDinh!$C$18*GiaDinh!$C$17</f>
        <v>126.25200000000001</v>
      </c>
      <c r="H108">
        <v>1.2410000000000001</v>
      </c>
      <c r="I108">
        <f>GiaDinh!$C$15</f>
        <v>15</v>
      </c>
      <c r="J108">
        <f t="shared" si="6"/>
        <v>13</v>
      </c>
      <c r="K108">
        <f>J108*GiaDinh!$C$16</f>
        <v>91</v>
      </c>
      <c r="L108">
        <f t="shared" si="7"/>
        <v>2</v>
      </c>
      <c r="M108">
        <f t="shared" si="8"/>
        <v>30</v>
      </c>
      <c r="N108">
        <f>L108*ROUNDUP(I108/GiaDinh!$C$5-0.0005,0)</f>
        <v>6</v>
      </c>
      <c r="O108">
        <f>L108*(ROUNDUP(I108/GiaDinh!$C$5-0.0005,0)-1)</f>
        <v>4</v>
      </c>
      <c r="P108">
        <f t="shared" si="9"/>
        <v>26</v>
      </c>
      <c r="Q108">
        <f t="shared" si="10"/>
        <v>52</v>
      </c>
      <c r="R108">
        <f t="shared" si="11"/>
        <v>26</v>
      </c>
      <c r="S108">
        <f>M108*GiaDinh!$C$7</f>
        <v>90.3</v>
      </c>
    </row>
    <row r="109" spans="1:19" x14ac:dyDescent="0.35">
      <c r="A109" t="s">
        <v>9</v>
      </c>
      <c r="B109">
        <v>45</v>
      </c>
      <c r="C109" t="s">
        <v>173</v>
      </c>
      <c r="D109" t="s">
        <v>275</v>
      </c>
      <c r="E109">
        <v>1</v>
      </c>
      <c r="F109">
        <v>150.30000000000001</v>
      </c>
      <c r="G109">
        <f>E109*F109*GiaDinh!$C$18*GiaDinh!$C$17</f>
        <v>126.25200000000001</v>
      </c>
      <c r="H109">
        <v>1.2410000000000001</v>
      </c>
      <c r="I109">
        <f>GiaDinh!$C$15</f>
        <v>15</v>
      </c>
      <c r="J109">
        <f t="shared" si="6"/>
        <v>13</v>
      </c>
      <c r="K109">
        <f>J109*GiaDinh!$C$16</f>
        <v>91</v>
      </c>
      <c r="L109">
        <f t="shared" si="7"/>
        <v>2</v>
      </c>
      <c r="M109">
        <f t="shared" si="8"/>
        <v>30</v>
      </c>
      <c r="N109">
        <f>L109*ROUNDUP(I109/GiaDinh!$C$5-0.0005,0)</f>
        <v>6</v>
      </c>
      <c r="O109">
        <f>L109*(ROUNDUP(I109/GiaDinh!$C$5-0.0005,0)-1)</f>
        <v>4</v>
      </c>
      <c r="P109">
        <f t="shared" si="9"/>
        <v>26</v>
      </c>
      <c r="Q109">
        <f t="shared" si="10"/>
        <v>52</v>
      </c>
      <c r="R109">
        <f t="shared" si="11"/>
        <v>26</v>
      </c>
      <c r="S109">
        <f>M109*GiaDinh!$C$7</f>
        <v>90.3</v>
      </c>
    </row>
    <row r="110" spans="1:19" x14ac:dyDescent="0.35">
      <c r="A110" t="s">
        <v>9</v>
      </c>
      <c r="B110">
        <v>46</v>
      </c>
      <c r="C110" t="s">
        <v>173</v>
      </c>
      <c r="D110" t="s">
        <v>276</v>
      </c>
      <c r="E110">
        <v>1</v>
      </c>
      <c r="F110">
        <v>150.30000000000001</v>
      </c>
      <c r="G110">
        <f>E110*F110*GiaDinh!$C$18*GiaDinh!$C$17</f>
        <v>126.25200000000001</v>
      </c>
      <c r="H110">
        <v>1.2410000000000001</v>
      </c>
      <c r="I110">
        <f>GiaDinh!$C$15</f>
        <v>15</v>
      </c>
      <c r="J110">
        <f t="shared" si="6"/>
        <v>13</v>
      </c>
      <c r="K110">
        <f>J110*GiaDinh!$C$16</f>
        <v>91</v>
      </c>
      <c r="L110">
        <f t="shared" si="7"/>
        <v>2</v>
      </c>
      <c r="M110">
        <f t="shared" si="8"/>
        <v>30</v>
      </c>
      <c r="N110">
        <f>L110*ROUNDUP(I110/GiaDinh!$C$5-0.0005,0)</f>
        <v>6</v>
      </c>
      <c r="O110">
        <f>L110*(ROUNDUP(I110/GiaDinh!$C$5-0.0005,0)-1)</f>
        <v>4</v>
      </c>
      <c r="P110">
        <f t="shared" si="9"/>
        <v>26</v>
      </c>
      <c r="Q110">
        <f t="shared" si="10"/>
        <v>52</v>
      </c>
      <c r="R110">
        <f t="shared" si="11"/>
        <v>26</v>
      </c>
      <c r="S110">
        <f>M110*GiaDinh!$C$7</f>
        <v>90.3</v>
      </c>
    </row>
    <row r="111" spans="1:19" x14ac:dyDescent="0.35">
      <c r="A111" t="s">
        <v>9</v>
      </c>
      <c r="B111">
        <v>47</v>
      </c>
      <c r="C111" t="s">
        <v>173</v>
      </c>
      <c r="D111" t="s">
        <v>277</v>
      </c>
      <c r="E111">
        <v>1</v>
      </c>
      <c r="F111">
        <v>150.30000000000001</v>
      </c>
      <c r="G111">
        <f>E111*F111*GiaDinh!$C$18*GiaDinh!$C$17</f>
        <v>126.25200000000001</v>
      </c>
      <c r="H111">
        <v>1.2410000000000001</v>
      </c>
      <c r="I111">
        <f>GiaDinh!$C$15</f>
        <v>15</v>
      </c>
      <c r="J111">
        <f t="shared" si="6"/>
        <v>13</v>
      </c>
      <c r="K111">
        <f>J111*GiaDinh!$C$16</f>
        <v>91</v>
      </c>
      <c r="L111">
        <f t="shared" si="7"/>
        <v>2</v>
      </c>
      <c r="M111">
        <f t="shared" si="8"/>
        <v>30</v>
      </c>
      <c r="N111">
        <f>L111*ROUNDUP(I111/GiaDinh!$C$5-0.0005,0)</f>
        <v>6</v>
      </c>
      <c r="O111">
        <f>L111*(ROUNDUP(I111/GiaDinh!$C$5-0.0005,0)-1)</f>
        <v>4</v>
      </c>
      <c r="P111">
        <f t="shared" si="9"/>
        <v>26</v>
      </c>
      <c r="Q111">
        <f t="shared" si="10"/>
        <v>52</v>
      </c>
      <c r="R111">
        <f t="shared" si="11"/>
        <v>26</v>
      </c>
      <c r="S111">
        <f>M111*GiaDinh!$C$7</f>
        <v>90.3</v>
      </c>
    </row>
    <row r="112" spans="1:19" x14ac:dyDescent="0.35">
      <c r="A112" t="s">
        <v>9</v>
      </c>
      <c r="B112">
        <v>48</v>
      </c>
      <c r="C112" t="s">
        <v>173</v>
      </c>
      <c r="D112" t="s">
        <v>278</v>
      </c>
      <c r="E112">
        <v>1</v>
      </c>
      <c r="F112">
        <v>150.30000000000001</v>
      </c>
      <c r="G112">
        <f>E112*F112*GiaDinh!$C$18*GiaDinh!$C$17</f>
        <v>126.25200000000001</v>
      </c>
      <c r="H112">
        <v>1.2410000000000001</v>
      </c>
      <c r="I112">
        <f>GiaDinh!$C$15</f>
        <v>15</v>
      </c>
      <c r="J112">
        <f t="shared" si="6"/>
        <v>13</v>
      </c>
      <c r="K112">
        <f>J112*GiaDinh!$C$16</f>
        <v>91</v>
      </c>
      <c r="L112">
        <f t="shared" si="7"/>
        <v>2</v>
      </c>
      <c r="M112">
        <f t="shared" si="8"/>
        <v>30</v>
      </c>
      <c r="N112">
        <f>L112*ROUNDUP(I112/GiaDinh!$C$5-0.0005,0)</f>
        <v>6</v>
      </c>
      <c r="O112">
        <f>L112*(ROUNDUP(I112/GiaDinh!$C$5-0.0005,0)-1)</f>
        <v>4</v>
      </c>
      <c r="P112">
        <f t="shared" si="9"/>
        <v>26</v>
      </c>
      <c r="Q112">
        <f t="shared" si="10"/>
        <v>52</v>
      </c>
      <c r="R112">
        <f t="shared" si="11"/>
        <v>26</v>
      </c>
      <c r="S112">
        <f>M112*GiaDinh!$C$7</f>
        <v>90.3</v>
      </c>
    </row>
    <row r="113" spans="1:19" x14ac:dyDescent="0.35">
      <c r="A113" t="s">
        <v>9</v>
      </c>
      <c r="B113">
        <v>49</v>
      </c>
      <c r="C113" t="s">
        <v>173</v>
      </c>
      <c r="D113" t="s">
        <v>279</v>
      </c>
      <c r="E113">
        <v>1</v>
      </c>
      <c r="F113">
        <v>150.30000000000001</v>
      </c>
      <c r="G113">
        <f>E113*F113*GiaDinh!$C$18*GiaDinh!$C$17</f>
        <v>126.25200000000001</v>
      </c>
      <c r="H113">
        <v>1.2410000000000001</v>
      </c>
      <c r="I113">
        <f>GiaDinh!$C$15</f>
        <v>15</v>
      </c>
      <c r="J113">
        <f t="shared" si="6"/>
        <v>13</v>
      </c>
      <c r="K113">
        <f>J113*GiaDinh!$C$16</f>
        <v>91</v>
      </c>
      <c r="L113">
        <f t="shared" si="7"/>
        <v>2</v>
      </c>
      <c r="M113">
        <f t="shared" si="8"/>
        <v>30</v>
      </c>
      <c r="N113">
        <f>L113*ROUNDUP(I113/GiaDinh!$C$5-0.0005,0)</f>
        <v>6</v>
      </c>
      <c r="O113">
        <f>L113*(ROUNDUP(I113/GiaDinh!$C$5-0.0005,0)-1)</f>
        <v>4</v>
      </c>
      <c r="P113">
        <f t="shared" si="9"/>
        <v>26</v>
      </c>
      <c r="Q113">
        <f t="shared" si="10"/>
        <v>52</v>
      </c>
      <c r="R113">
        <f t="shared" si="11"/>
        <v>26</v>
      </c>
      <c r="S113">
        <f>M113*GiaDinh!$C$7</f>
        <v>90.3</v>
      </c>
    </row>
    <row r="114" spans="1:19" x14ac:dyDescent="0.35">
      <c r="A114" t="s">
        <v>9</v>
      </c>
      <c r="B114">
        <v>50</v>
      </c>
      <c r="C114" t="s">
        <v>173</v>
      </c>
      <c r="D114" t="s">
        <v>280</v>
      </c>
      <c r="E114">
        <v>1</v>
      </c>
      <c r="F114">
        <v>150.30000000000001</v>
      </c>
      <c r="G114">
        <f>E114*F114*GiaDinh!$C$18*GiaDinh!$C$17</f>
        <v>126.25200000000001</v>
      </c>
      <c r="H114">
        <v>1.2410000000000001</v>
      </c>
      <c r="I114">
        <f>GiaDinh!$C$15</f>
        <v>15</v>
      </c>
      <c r="J114">
        <f t="shared" si="6"/>
        <v>13</v>
      </c>
      <c r="K114">
        <f>J114*GiaDinh!$C$16</f>
        <v>91</v>
      </c>
      <c r="L114">
        <f t="shared" si="7"/>
        <v>2</v>
      </c>
      <c r="M114">
        <f t="shared" si="8"/>
        <v>30</v>
      </c>
      <c r="N114">
        <f>L114*ROUNDUP(I114/GiaDinh!$C$5-0.0005,0)</f>
        <v>6</v>
      </c>
      <c r="O114">
        <f>L114*(ROUNDUP(I114/GiaDinh!$C$5-0.0005,0)-1)</f>
        <v>4</v>
      </c>
      <c r="P114">
        <f t="shared" si="9"/>
        <v>26</v>
      </c>
      <c r="Q114">
        <f t="shared" si="10"/>
        <v>52</v>
      </c>
      <c r="R114">
        <f t="shared" si="11"/>
        <v>26</v>
      </c>
      <c r="S114">
        <f>M114*GiaDinh!$C$7</f>
        <v>90.3</v>
      </c>
    </row>
    <row r="115" spans="1:19" x14ac:dyDescent="0.35">
      <c r="A115" t="s">
        <v>9</v>
      </c>
      <c r="B115">
        <v>51</v>
      </c>
      <c r="C115" t="s">
        <v>173</v>
      </c>
      <c r="D115" t="s">
        <v>281</v>
      </c>
      <c r="E115">
        <v>1</v>
      </c>
      <c r="F115">
        <v>150.30000000000001</v>
      </c>
      <c r="G115">
        <f>E115*F115*GiaDinh!$C$18*GiaDinh!$C$17</f>
        <v>126.25200000000001</v>
      </c>
      <c r="H115">
        <v>1.2410000000000001</v>
      </c>
      <c r="I115">
        <f>GiaDinh!$C$15</f>
        <v>15</v>
      </c>
      <c r="J115">
        <f t="shared" si="6"/>
        <v>13</v>
      </c>
      <c r="K115">
        <f>J115*GiaDinh!$C$16</f>
        <v>91</v>
      </c>
      <c r="L115">
        <f t="shared" si="7"/>
        <v>2</v>
      </c>
      <c r="M115">
        <f t="shared" si="8"/>
        <v>30</v>
      </c>
      <c r="N115">
        <f>L115*ROUNDUP(I115/GiaDinh!$C$5-0.0005,0)</f>
        <v>6</v>
      </c>
      <c r="O115">
        <f>L115*(ROUNDUP(I115/GiaDinh!$C$5-0.0005,0)-1)</f>
        <v>4</v>
      </c>
      <c r="P115">
        <f t="shared" si="9"/>
        <v>26</v>
      </c>
      <c r="Q115">
        <f t="shared" si="10"/>
        <v>52</v>
      </c>
      <c r="R115">
        <f t="shared" si="11"/>
        <v>26</v>
      </c>
      <c r="S115">
        <f>M115*GiaDinh!$C$7</f>
        <v>90.3</v>
      </c>
    </row>
    <row r="116" spans="1:19" x14ac:dyDescent="0.35">
      <c r="A116" t="s">
        <v>9</v>
      </c>
      <c r="B116">
        <v>52</v>
      </c>
      <c r="C116" t="s">
        <v>173</v>
      </c>
      <c r="D116" t="s">
        <v>282</v>
      </c>
      <c r="E116">
        <v>1</v>
      </c>
      <c r="F116">
        <v>150.30000000000001</v>
      </c>
      <c r="G116">
        <f>E116*F116*GiaDinh!$C$18*GiaDinh!$C$17</f>
        <v>126.25200000000001</v>
      </c>
      <c r="H116">
        <v>1.2410000000000001</v>
      </c>
      <c r="I116">
        <f>GiaDinh!$C$15</f>
        <v>15</v>
      </c>
      <c r="J116">
        <f t="shared" si="6"/>
        <v>13</v>
      </c>
      <c r="K116">
        <f>J116*GiaDinh!$C$16</f>
        <v>91</v>
      </c>
      <c r="L116">
        <f t="shared" si="7"/>
        <v>2</v>
      </c>
      <c r="M116">
        <f t="shared" si="8"/>
        <v>30</v>
      </c>
      <c r="N116">
        <f>L116*ROUNDUP(I116/GiaDinh!$C$5-0.0005,0)</f>
        <v>6</v>
      </c>
      <c r="O116">
        <f>L116*(ROUNDUP(I116/GiaDinh!$C$5-0.0005,0)-1)</f>
        <v>4</v>
      </c>
      <c r="P116">
        <f t="shared" si="9"/>
        <v>26</v>
      </c>
      <c r="Q116">
        <f t="shared" si="10"/>
        <v>52</v>
      </c>
      <c r="R116">
        <f t="shared" si="11"/>
        <v>26</v>
      </c>
      <c r="S116">
        <f>M116*GiaDinh!$C$7</f>
        <v>90.3</v>
      </c>
    </row>
    <row r="117" spans="1:19" x14ac:dyDescent="0.35">
      <c r="A117" t="s">
        <v>9</v>
      </c>
      <c r="B117">
        <v>53</v>
      </c>
      <c r="C117" t="s">
        <v>173</v>
      </c>
      <c r="D117" t="s">
        <v>283</v>
      </c>
      <c r="E117">
        <v>1</v>
      </c>
      <c r="F117">
        <v>150.30000000000001</v>
      </c>
      <c r="G117">
        <f>E117*F117*GiaDinh!$C$18*GiaDinh!$C$17</f>
        <v>126.25200000000001</v>
      </c>
      <c r="H117">
        <v>1.2410000000000001</v>
      </c>
      <c r="I117">
        <f>GiaDinh!$C$15</f>
        <v>15</v>
      </c>
      <c r="J117">
        <f t="shared" si="6"/>
        <v>13</v>
      </c>
      <c r="K117">
        <f>J117*GiaDinh!$C$16</f>
        <v>91</v>
      </c>
      <c r="L117">
        <f t="shared" si="7"/>
        <v>2</v>
      </c>
      <c r="M117">
        <f t="shared" si="8"/>
        <v>30</v>
      </c>
      <c r="N117">
        <f>L117*ROUNDUP(I117/GiaDinh!$C$5-0.0005,0)</f>
        <v>6</v>
      </c>
      <c r="O117">
        <f>L117*(ROUNDUP(I117/GiaDinh!$C$5-0.0005,0)-1)</f>
        <v>4</v>
      </c>
      <c r="P117">
        <f t="shared" si="9"/>
        <v>26</v>
      </c>
      <c r="Q117">
        <f t="shared" si="10"/>
        <v>52</v>
      </c>
      <c r="R117">
        <f t="shared" si="11"/>
        <v>26</v>
      </c>
      <c r="S117">
        <f>M117*GiaDinh!$C$7</f>
        <v>90.3</v>
      </c>
    </row>
    <row r="118" spans="1:19" x14ac:dyDescent="0.35">
      <c r="A118" t="s">
        <v>9</v>
      </c>
      <c r="B118">
        <v>54</v>
      </c>
      <c r="C118" t="s">
        <v>173</v>
      </c>
      <c r="D118" t="s">
        <v>284</v>
      </c>
      <c r="E118">
        <v>1</v>
      </c>
      <c r="F118">
        <v>150.30000000000001</v>
      </c>
      <c r="G118">
        <f>E118*F118*GiaDinh!$C$18*GiaDinh!$C$17</f>
        <v>126.25200000000001</v>
      </c>
      <c r="H118">
        <v>1.2410000000000001</v>
      </c>
      <c r="I118">
        <f>GiaDinh!$C$15</f>
        <v>15</v>
      </c>
      <c r="J118">
        <f t="shared" si="6"/>
        <v>13</v>
      </c>
      <c r="K118">
        <f>J118*GiaDinh!$C$16</f>
        <v>91</v>
      </c>
      <c r="L118">
        <f t="shared" si="7"/>
        <v>2</v>
      </c>
      <c r="M118">
        <f t="shared" si="8"/>
        <v>30</v>
      </c>
      <c r="N118">
        <f>L118*ROUNDUP(I118/GiaDinh!$C$5-0.0005,0)</f>
        <v>6</v>
      </c>
      <c r="O118">
        <f>L118*(ROUNDUP(I118/GiaDinh!$C$5-0.0005,0)-1)</f>
        <v>4</v>
      </c>
      <c r="P118">
        <f t="shared" si="9"/>
        <v>26</v>
      </c>
      <c r="Q118">
        <f t="shared" si="10"/>
        <v>52</v>
      </c>
      <c r="R118">
        <f t="shared" si="11"/>
        <v>26</v>
      </c>
      <c r="S118">
        <f>M118*GiaDinh!$C$7</f>
        <v>90.3</v>
      </c>
    </row>
    <row r="119" spans="1:19" x14ac:dyDescent="0.35">
      <c r="A119" t="s">
        <v>9</v>
      </c>
      <c r="B119">
        <v>55</v>
      </c>
      <c r="C119" t="s">
        <v>173</v>
      </c>
      <c r="D119" t="s">
        <v>285</v>
      </c>
      <c r="E119">
        <v>1</v>
      </c>
      <c r="F119">
        <v>150.30000000000001</v>
      </c>
      <c r="G119">
        <f>E119*F119*GiaDinh!$C$18*GiaDinh!$C$17</f>
        <v>126.25200000000001</v>
      </c>
      <c r="H119">
        <v>1.2410000000000001</v>
      </c>
      <c r="I119">
        <f>GiaDinh!$C$15</f>
        <v>15</v>
      </c>
      <c r="J119">
        <f t="shared" si="6"/>
        <v>13</v>
      </c>
      <c r="K119">
        <f>J119*GiaDinh!$C$16</f>
        <v>91</v>
      </c>
      <c r="L119">
        <f t="shared" si="7"/>
        <v>2</v>
      </c>
      <c r="M119">
        <f t="shared" si="8"/>
        <v>30</v>
      </c>
      <c r="N119">
        <f>L119*ROUNDUP(I119/GiaDinh!$C$5-0.0005,0)</f>
        <v>6</v>
      </c>
      <c r="O119">
        <f>L119*(ROUNDUP(I119/GiaDinh!$C$5-0.0005,0)-1)</f>
        <v>4</v>
      </c>
      <c r="P119">
        <f t="shared" si="9"/>
        <v>26</v>
      </c>
      <c r="Q119">
        <f t="shared" si="10"/>
        <v>52</v>
      </c>
      <c r="R119">
        <f t="shared" si="11"/>
        <v>26</v>
      </c>
      <c r="S119">
        <f>M119*GiaDinh!$C$7</f>
        <v>90.3</v>
      </c>
    </row>
    <row r="120" spans="1:19" x14ac:dyDescent="0.35">
      <c r="A120" t="s">
        <v>9</v>
      </c>
      <c r="B120">
        <v>56</v>
      </c>
      <c r="C120" t="s">
        <v>173</v>
      </c>
      <c r="D120" t="s">
        <v>286</v>
      </c>
      <c r="E120">
        <v>1</v>
      </c>
      <c r="F120">
        <v>150.30000000000001</v>
      </c>
      <c r="G120">
        <f>E120*F120*GiaDinh!$C$18*GiaDinh!$C$17</f>
        <v>126.25200000000001</v>
      </c>
      <c r="H120">
        <v>1.2410000000000001</v>
      </c>
      <c r="I120">
        <f>GiaDinh!$C$15</f>
        <v>15</v>
      </c>
      <c r="J120">
        <f t="shared" si="6"/>
        <v>13</v>
      </c>
      <c r="K120">
        <f>J120*GiaDinh!$C$16</f>
        <v>91</v>
      </c>
      <c r="L120">
        <f t="shared" si="7"/>
        <v>2</v>
      </c>
      <c r="M120">
        <f t="shared" si="8"/>
        <v>30</v>
      </c>
      <c r="N120">
        <f>L120*ROUNDUP(I120/GiaDinh!$C$5-0.0005,0)</f>
        <v>6</v>
      </c>
      <c r="O120">
        <f>L120*(ROUNDUP(I120/GiaDinh!$C$5-0.0005,0)-1)</f>
        <v>4</v>
      </c>
      <c r="P120">
        <f t="shared" si="9"/>
        <v>26</v>
      </c>
      <c r="Q120">
        <f t="shared" si="10"/>
        <v>52</v>
      </c>
      <c r="R120">
        <f t="shared" si="11"/>
        <v>26</v>
      </c>
      <c r="S120">
        <f>M120*GiaDinh!$C$7</f>
        <v>90.3</v>
      </c>
    </row>
    <row r="121" spans="1:19" x14ac:dyDescent="0.35">
      <c r="A121" t="s">
        <v>9</v>
      </c>
      <c r="B121">
        <v>57</v>
      </c>
      <c r="C121" t="s">
        <v>173</v>
      </c>
      <c r="D121" t="s">
        <v>287</v>
      </c>
      <c r="E121">
        <v>1</v>
      </c>
      <c r="F121">
        <v>150.30000000000001</v>
      </c>
      <c r="G121">
        <f>E121*F121*GiaDinh!$C$18*GiaDinh!$C$17</f>
        <v>126.25200000000001</v>
      </c>
      <c r="H121">
        <v>1.2410000000000001</v>
      </c>
      <c r="I121">
        <f>GiaDinh!$C$15</f>
        <v>15</v>
      </c>
      <c r="J121">
        <f t="shared" si="6"/>
        <v>13</v>
      </c>
      <c r="K121">
        <f>J121*GiaDinh!$C$16</f>
        <v>91</v>
      </c>
      <c r="L121">
        <f t="shared" si="7"/>
        <v>2</v>
      </c>
      <c r="M121">
        <f t="shared" si="8"/>
        <v>30</v>
      </c>
      <c r="N121">
        <f>L121*ROUNDUP(I121/GiaDinh!$C$5-0.0005,0)</f>
        <v>6</v>
      </c>
      <c r="O121">
        <f>L121*(ROUNDUP(I121/GiaDinh!$C$5-0.0005,0)-1)</f>
        <v>4</v>
      </c>
      <c r="P121">
        <f t="shared" si="9"/>
        <v>26</v>
      </c>
      <c r="Q121">
        <f t="shared" si="10"/>
        <v>52</v>
      </c>
      <c r="R121">
        <f t="shared" si="11"/>
        <v>26</v>
      </c>
      <c r="S121">
        <f>M121*GiaDinh!$C$7</f>
        <v>90.3</v>
      </c>
    </row>
    <row r="122" spans="1:19" x14ac:dyDescent="0.35">
      <c r="A122" t="s">
        <v>9</v>
      </c>
      <c r="B122">
        <v>58</v>
      </c>
      <c r="C122" t="s">
        <v>173</v>
      </c>
      <c r="D122" t="s">
        <v>288</v>
      </c>
      <c r="E122">
        <v>1</v>
      </c>
      <c r="F122">
        <v>150.30000000000001</v>
      </c>
      <c r="G122">
        <f>E122*F122*GiaDinh!$C$18*GiaDinh!$C$17</f>
        <v>126.25200000000001</v>
      </c>
      <c r="H122">
        <v>1.2410000000000001</v>
      </c>
      <c r="I122">
        <f>GiaDinh!$C$15</f>
        <v>15</v>
      </c>
      <c r="J122">
        <f t="shared" si="6"/>
        <v>13</v>
      </c>
      <c r="K122">
        <f>J122*GiaDinh!$C$16</f>
        <v>91</v>
      </c>
      <c r="L122">
        <f t="shared" si="7"/>
        <v>2</v>
      </c>
      <c r="M122">
        <f t="shared" si="8"/>
        <v>30</v>
      </c>
      <c r="N122">
        <f>L122*ROUNDUP(I122/GiaDinh!$C$5-0.0005,0)</f>
        <v>6</v>
      </c>
      <c r="O122">
        <f>L122*(ROUNDUP(I122/GiaDinh!$C$5-0.0005,0)-1)</f>
        <v>4</v>
      </c>
      <c r="P122">
        <f t="shared" si="9"/>
        <v>26</v>
      </c>
      <c r="Q122">
        <f t="shared" si="10"/>
        <v>52</v>
      </c>
      <c r="R122">
        <f t="shared" si="11"/>
        <v>26</v>
      </c>
      <c r="S122">
        <f>M122*GiaDinh!$C$7</f>
        <v>90.3</v>
      </c>
    </row>
    <row r="123" spans="1:19" x14ac:dyDescent="0.35">
      <c r="A123" t="s">
        <v>9</v>
      </c>
      <c r="B123">
        <v>59</v>
      </c>
      <c r="C123" t="s">
        <v>173</v>
      </c>
      <c r="D123" t="s">
        <v>289</v>
      </c>
      <c r="E123">
        <v>1</v>
      </c>
      <c r="F123">
        <v>150.30000000000001</v>
      </c>
      <c r="G123">
        <f>E123*F123*GiaDinh!$C$18*GiaDinh!$C$17</f>
        <v>126.25200000000001</v>
      </c>
      <c r="H123">
        <v>1.2410000000000001</v>
      </c>
      <c r="I123">
        <f>GiaDinh!$C$15</f>
        <v>15</v>
      </c>
      <c r="J123">
        <f t="shared" si="6"/>
        <v>13</v>
      </c>
      <c r="K123">
        <f>J123*GiaDinh!$C$16</f>
        <v>91</v>
      </c>
      <c r="L123">
        <f t="shared" si="7"/>
        <v>2</v>
      </c>
      <c r="M123">
        <f t="shared" si="8"/>
        <v>30</v>
      </c>
      <c r="N123">
        <f>L123*ROUNDUP(I123/GiaDinh!$C$5-0.0005,0)</f>
        <v>6</v>
      </c>
      <c r="O123">
        <f>L123*(ROUNDUP(I123/GiaDinh!$C$5-0.0005,0)-1)</f>
        <v>4</v>
      </c>
      <c r="P123">
        <f t="shared" si="9"/>
        <v>26</v>
      </c>
      <c r="Q123">
        <f t="shared" si="10"/>
        <v>52</v>
      </c>
      <c r="R123">
        <f t="shared" si="11"/>
        <v>26</v>
      </c>
      <c r="S123">
        <f>M123*GiaDinh!$C$7</f>
        <v>90.3</v>
      </c>
    </row>
    <row r="124" spans="1:19" x14ac:dyDescent="0.35">
      <c r="A124" t="s">
        <v>9</v>
      </c>
      <c r="B124">
        <v>60</v>
      </c>
      <c r="C124" t="s">
        <v>173</v>
      </c>
      <c r="D124" t="s">
        <v>290</v>
      </c>
      <c r="E124">
        <v>1</v>
      </c>
      <c r="F124">
        <v>150.30000000000001</v>
      </c>
      <c r="G124">
        <f>E124*F124*GiaDinh!$C$18*GiaDinh!$C$17</f>
        <v>126.25200000000001</v>
      </c>
      <c r="H124">
        <v>1.2410000000000001</v>
      </c>
      <c r="I124">
        <f>GiaDinh!$C$15</f>
        <v>15</v>
      </c>
      <c r="J124">
        <f t="shared" si="6"/>
        <v>13</v>
      </c>
      <c r="K124">
        <f>J124*GiaDinh!$C$16</f>
        <v>91</v>
      </c>
      <c r="L124">
        <f t="shared" si="7"/>
        <v>2</v>
      </c>
      <c r="M124">
        <f t="shared" si="8"/>
        <v>30</v>
      </c>
      <c r="N124">
        <f>L124*ROUNDUP(I124/GiaDinh!$C$5-0.0005,0)</f>
        <v>6</v>
      </c>
      <c r="O124">
        <f>L124*(ROUNDUP(I124/GiaDinh!$C$5-0.0005,0)-1)</f>
        <v>4</v>
      </c>
      <c r="P124">
        <f t="shared" si="9"/>
        <v>26</v>
      </c>
      <c r="Q124">
        <f t="shared" si="10"/>
        <v>52</v>
      </c>
      <c r="R124">
        <f t="shared" si="11"/>
        <v>26</v>
      </c>
      <c r="S124">
        <f>M124*GiaDinh!$C$7</f>
        <v>90.3</v>
      </c>
    </row>
    <row r="125" spans="1:19" x14ac:dyDescent="0.35">
      <c r="A125" t="s">
        <v>9</v>
      </c>
      <c r="B125">
        <v>61</v>
      </c>
      <c r="C125" t="s">
        <v>173</v>
      </c>
      <c r="D125" t="s">
        <v>291</v>
      </c>
      <c r="E125">
        <v>1</v>
      </c>
      <c r="F125">
        <v>150.30000000000001</v>
      </c>
      <c r="G125">
        <f>E125*F125*GiaDinh!$C$18*GiaDinh!$C$17</f>
        <v>126.25200000000001</v>
      </c>
      <c r="H125">
        <v>1.2410000000000001</v>
      </c>
      <c r="I125">
        <f>GiaDinh!$C$15</f>
        <v>15</v>
      </c>
      <c r="J125">
        <f t="shared" si="6"/>
        <v>13</v>
      </c>
      <c r="K125">
        <f>J125*GiaDinh!$C$16</f>
        <v>91</v>
      </c>
      <c r="L125">
        <f t="shared" si="7"/>
        <v>2</v>
      </c>
      <c r="M125">
        <f t="shared" si="8"/>
        <v>30</v>
      </c>
      <c r="N125">
        <f>L125*ROUNDUP(I125/GiaDinh!$C$5-0.0005,0)</f>
        <v>6</v>
      </c>
      <c r="O125">
        <f>L125*(ROUNDUP(I125/GiaDinh!$C$5-0.0005,0)-1)</f>
        <v>4</v>
      </c>
      <c r="P125">
        <f t="shared" si="9"/>
        <v>26</v>
      </c>
      <c r="Q125">
        <f t="shared" si="10"/>
        <v>52</v>
      </c>
      <c r="R125">
        <f t="shared" si="11"/>
        <v>26</v>
      </c>
      <c r="S125">
        <f>M125*GiaDinh!$C$7</f>
        <v>90.3</v>
      </c>
    </row>
    <row r="126" spans="1:19" x14ac:dyDescent="0.35">
      <c r="A126" t="s">
        <v>9</v>
      </c>
      <c r="B126">
        <v>62</v>
      </c>
      <c r="C126" t="s">
        <v>173</v>
      </c>
      <c r="D126" t="s">
        <v>292</v>
      </c>
      <c r="E126">
        <v>1</v>
      </c>
      <c r="F126">
        <v>150.30000000000001</v>
      </c>
      <c r="G126">
        <f>E126*F126*GiaDinh!$C$18*GiaDinh!$C$17</f>
        <v>126.25200000000001</v>
      </c>
      <c r="H126">
        <v>1.2410000000000001</v>
      </c>
      <c r="I126">
        <f>GiaDinh!$C$15</f>
        <v>15</v>
      </c>
      <c r="J126">
        <f t="shared" si="6"/>
        <v>13</v>
      </c>
      <c r="K126">
        <f>J126*GiaDinh!$C$16</f>
        <v>91</v>
      </c>
      <c r="L126">
        <f t="shared" si="7"/>
        <v>2</v>
      </c>
      <c r="M126">
        <f t="shared" si="8"/>
        <v>30</v>
      </c>
      <c r="N126">
        <f>L126*ROUNDUP(I126/GiaDinh!$C$5-0.0005,0)</f>
        <v>6</v>
      </c>
      <c r="O126">
        <f>L126*(ROUNDUP(I126/GiaDinh!$C$5-0.0005,0)-1)</f>
        <v>4</v>
      </c>
      <c r="P126">
        <f t="shared" si="9"/>
        <v>26</v>
      </c>
      <c r="Q126">
        <f t="shared" si="10"/>
        <v>52</v>
      </c>
      <c r="R126">
        <f t="shared" si="11"/>
        <v>26</v>
      </c>
      <c r="S126">
        <f>M126*GiaDinh!$C$7</f>
        <v>90.3</v>
      </c>
    </row>
    <row r="127" spans="1:19" x14ac:dyDescent="0.35">
      <c r="A127" t="s">
        <v>9</v>
      </c>
      <c r="B127">
        <v>63</v>
      </c>
      <c r="C127" t="s">
        <v>173</v>
      </c>
      <c r="D127" t="s">
        <v>293</v>
      </c>
      <c r="E127">
        <v>1</v>
      </c>
      <c r="F127">
        <v>150.30000000000001</v>
      </c>
      <c r="G127">
        <f>E127*F127*GiaDinh!$C$18*GiaDinh!$C$17</f>
        <v>126.25200000000001</v>
      </c>
      <c r="H127">
        <v>1.2410000000000001</v>
      </c>
      <c r="I127">
        <f>GiaDinh!$C$15</f>
        <v>15</v>
      </c>
      <c r="J127">
        <f t="shared" si="6"/>
        <v>13</v>
      </c>
      <c r="K127">
        <f>J127*GiaDinh!$C$16</f>
        <v>91</v>
      </c>
      <c r="L127">
        <f t="shared" si="7"/>
        <v>2</v>
      </c>
      <c r="M127">
        <f t="shared" si="8"/>
        <v>30</v>
      </c>
      <c r="N127">
        <f>L127*ROUNDUP(I127/GiaDinh!$C$5-0.0005,0)</f>
        <v>6</v>
      </c>
      <c r="O127">
        <f>L127*(ROUNDUP(I127/GiaDinh!$C$5-0.0005,0)-1)</f>
        <v>4</v>
      </c>
      <c r="P127">
        <f t="shared" si="9"/>
        <v>26</v>
      </c>
      <c r="Q127">
        <f t="shared" si="10"/>
        <v>52</v>
      </c>
      <c r="R127">
        <f t="shared" si="11"/>
        <v>26</v>
      </c>
      <c r="S127">
        <f>M127*GiaDinh!$C$7</f>
        <v>90.3</v>
      </c>
    </row>
    <row r="128" spans="1:19" x14ac:dyDescent="0.35">
      <c r="A128" t="s">
        <v>9</v>
      </c>
      <c r="B128">
        <v>64</v>
      </c>
      <c r="C128" t="s">
        <v>168</v>
      </c>
      <c r="D128" t="s">
        <v>294</v>
      </c>
      <c r="E128">
        <v>4</v>
      </c>
      <c r="F128">
        <v>150.30000000000001</v>
      </c>
      <c r="G128">
        <f>E128*F128*GiaDinh!$C$18*GiaDinh!$C$17</f>
        <v>505.00800000000004</v>
      </c>
      <c r="H128">
        <v>1.2410000000000001</v>
      </c>
      <c r="I128">
        <f>GiaDinh!$C$15</f>
        <v>15</v>
      </c>
      <c r="J128">
        <f t="shared" si="6"/>
        <v>13</v>
      </c>
      <c r="K128">
        <f>J128*GiaDinh!$C$16</f>
        <v>91</v>
      </c>
      <c r="L128">
        <f t="shared" si="7"/>
        <v>6</v>
      </c>
      <c r="M128">
        <f t="shared" si="8"/>
        <v>90</v>
      </c>
      <c r="N128">
        <f>L128*ROUNDUP(I128/GiaDinh!$C$5-0.0005,0)</f>
        <v>18</v>
      </c>
      <c r="O128">
        <f>L128*(ROUNDUP(I128/GiaDinh!$C$5-0.0005,0)-1)</f>
        <v>12</v>
      </c>
      <c r="P128">
        <f t="shared" si="9"/>
        <v>78</v>
      </c>
      <c r="Q128">
        <f t="shared" si="10"/>
        <v>156</v>
      </c>
      <c r="R128">
        <f t="shared" si="11"/>
        <v>78</v>
      </c>
      <c r="S128">
        <f>M128*GiaDinh!$C$7</f>
        <v>270.89999999999998</v>
      </c>
    </row>
    <row r="129" spans="1:19" x14ac:dyDescent="0.35">
      <c r="A129" t="s">
        <v>9</v>
      </c>
      <c r="B129">
        <v>65</v>
      </c>
      <c r="C129" t="s">
        <v>168</v>
      </c>
      <c r="D129" t="s">
        <v>295</v>
      </c>
      <c r="E129">
        <v>4</v>
      </c>
      <c r="F129">
        <v>150.30000000000001</v>
      </c>
      <c r="G129">
        <f>E129*F129*GiaDinh!$C$18*GiaDinh!$C$17</f>
        <v>505.00800000000004</v>
      </c>
      <c r="H129">
        <v>1.2410000000000001</v>
      </c>
      <c r="I129">
        <f>GiaDinh!$C$15</f>
        <v>15</v>
      </c>
      <c r="J129">
        <f t="shared" si="6"/>
        <v>13</v>
      </c>
      <c r="K129">
        <f>J129*GiaDinh!$C$16</f>
        <v>91</v>
      </c>
      <c r="L129">
        <f t="shared" si="7"/>
        <v>6</v>
      </c>
      <c r="M129">
        <f t="shared" si="8"/>
        <v>90</v>
      </c>
      <c r="N129">
        <f>L129*ROUNDUP(I129/GiaDinh!$C$5-0.0005,0)</f>
        <v>18</v>
      </c>
      <c r="O129">
        <f>L129*(ROUNDUP(I129/GiaDinh!$C$5-0.0005,0)-1)</f>
        <v>12</v>
      </c>
      <c r="P129">
        <f t="shared" si="9"/>
        <v>78</v>
      </c>
      <c r="Q129">
        <f t="shared" si="10"/>
        <v>156</v>
      </c>
      <c r="R129">
        <f t="shared" si="11"/>
        <v>78</v>
      </c>
      <c r="S129">
        <f>M129*GiaDinh!$C$7</f>
        <v>270.89999999999998</v>
      </c>
    </row>
    <row r="130" spans="1:19" x14ac:dyDescent="0.35">
      <c r="A130" t="s">
        <v>9</v>
      </c>
      <c r="B130">
        <v>66</v>
      </c>
      <c r="C130" t="s">
        <v>168</v>
      </c>
      <c r="D130" t="s">
        <v>296</v>
      </c>
      <c r="E130">
        <v>2</v>
      </c>
      <c r="F130">
        <v>150.30000000000001</v>
      </c>
      <c r="G130">
        <f>E130*F130*GiaDinh!$C$18*GiaDinh!$C$17</f>
        <v>252.50400000000002</v>
      </c>
      <c r="H130">
        <v>1.2410000000000001</v>
      </c>
      <c r="I130">
        <f>GiaDinh!$C$15</f>
        <v>15</v>
      </c>
      <c r="J130">
        <f t="shared" si="6"/>
        <v>13</v>
      </c>
      <c r="K130">
        <f>J130*GiaDinh!$C$16</f>
        <v>91</v>
      </c>
      <c r="L130">
        <f t="shared" si="7"/>
        <v>3</v>
      </c>
      <c r="M130">
        <f t="shared" si="8"/>
        <v>45</v>
      </c>
      <c r="N130">
        <f>L130*ROUNDUP(I130/GiaDinh!$C$5-0.0005,0)</f>
        <v>9</v>
      </c>
      <c r="O130">
        <f>L130*(ROUNDUP(I130/GiaDinh!$C$5-0.0005,0)-1)</f>
        <v>6</v>
      </c>
      <c r="P130">
        <f t="shared" si="9"/>
        <v>39</v>
      </c>
      <c r="Q130">
        <f t="shared" si="10"/>
        <v>78</v>
      </c>
      <c r="R130">
        <f t="shared" si="11"/>
        <v>39</v>
      </c>
      <c r="S130">
        <f>M130*GiaDinh!$C$7</f>
        <v>135.44999999999999</v>
      </c>
    </row>
    <row r="131" spans="1:19" x14ac:dyDescent="0.35">
      <c r="A131" t="s">
        <v>10</v>
      </c>
      <c r="B131">
        <v>1</v>
      </c>
      <c r="C131" t="s">
        <v>173</v>
      </c>
      <c r="D131" t="s">
        <v>297</v>
      </c>
      <c r="E131">
        <v>1</v>
      </c>
      <c r="F131">
        <v>87.3</v>
      </c>
      <c r="G131">
        <f>E131*F131*GiaDinh!$C$18*GiaDinh!$C$17</f>
        <v>73.331999999999994</v>
      </c>
      <c r="H131">
        <v>1.238</v>
      </c>
      <c r="I131">
        <f>GiaDinh!$C$15</f>
        <v>15</v>
      </c>
      <c r="J131">
        <f t="shared" si="6"/>
        <v>13</v>
      </c>
      <c r="K131">
        <f>J131*GiaDinh!$C$16</f>
        <v>91</v>
      </c>
      <c r="L131">
        <f t="shared" si="7"/>
        <v>1</v>
      </c>
      <c r="M131">
        <f t="shared" si="8"/>
        <v>15</v>
      </c>
      <c r="N131">
        <f>L131*ROUNDUP(I131/GiaDinh!$C$5-0.0005,0)</f>
        <v>3</v>
      </c>
      <c r="O131">
        <f>L131*(ROUNDUP(I131/GiaDinh!$C$5-0.0005,0)-1)</f>
        <v>2</v>
      </c>
      <c r="P131">
        <f t="shared" si="9"/>
        <v>13</v>
      </c>
      <c r="Q131">
        <f t="shared" si="10"/>
        <v>26</v>
      </c>
      <c r="R131">
        <f t="shared" si="11"/>
        <v>13</v>
      </c>
      <c r="S131">
        <f>M131*GiaDinh!$C$7</f>
        <v>45.15</v>
      </c>
    </row>
    <row r="132" spans="1:19" x14ac:dyDescent="0.35">
      <c r="A132" t="s">
        <v>10</v>
      </c>
      <c r="B132">
        <v>2</v>
      </c>
      <c r="C132" t="s">
        <v>173</v>
      </c>
      <c r="D132" t="s">
        <v>298</v>
      </c>
      <c r="E132">
        <v>1</v>
      </c>
      <c r="F132">
        <v>87.3</v>
      </c>
      <c r="G132">
        <f>E132*F132*GiaDinh!$C$18*GiaDinh!$C$17</f>
        <v>73.331999999999994</v>
      </c>
      <c r="H132">
        <v>1.238</v>
      </c>
      <c r="I132">
        <f>GiaDinh!$C$15</f>
        <v>15</v>
      </c>
      <c r="J132">
        <f t="shared" ref="J132:J195" si="12">ROUNDDOWN(I132/H132,0)+1</f>
        <v>13</v>
      </c>
      <c r="K132">
        <f>J132*GiaDinh!$C$16</f>
        <v>91</v>
      </c>
      <c r="L132">
        <f t="shared" ref="L132:L195" si="13">MAX(1,ROUNDUP(G132/K132-0.0005,0))</f>
        <v>1</v>
      </c>
      <c r="M132">
        <f t="shared" ref="M132:M195" si="14">L132*I132</f>
        <v>15</v>
      </c>
      <c r="N132">
        <f>L132*ROUNDUP(I132/GiaDinh!$C$5-0.0005,0)</f>
        <v>3</v>
      </c>
      <c r="O132">
        <f>L132*(ROUNDUP(I132/GiaDinh!$C$5-0.0005,0)-1)</f>
        <v>2</v>
      </c>
      <c r="P132">
        <f t="shared" ref="P132:P195" si="15">L132*J132</f>
        <v>13</v>
      </c>
      <c r="Q132">
        <f t="shared" ref="Q132:Q195" si="16">2*P132</f>
        <v>26</v>
      </c>
      <c r="R132">
        <f t="shared" ref="R132:R195" si="17">P132</f>
        <v>13</v>
      </c>
      <c r="S132">
        <f>M132*GiaDinh!$C$7</f>
        <v>45.15</v>
      </c>
    </row>
    <row r="133" spans="1:19" x14ac:dyDescent="0.35">
      <c r="A133" t="s">
        <v>10</v>
      </c>
      <c r="B133">
        <v>3</v>
      </c>
      <c r="C133" t="s">
        <v>173</v>
      </c>
      <c r="D133" t="s">
        <v>299</v>
      </c>
      <c r="E133">
        <v>1</v>
      </c>
      <c r="F133">
        <v>87.3</v>
      </c>
      <c r="G133">
        <f>E133*F133*GiaDinh!$C$18*GiaDinh!$C$17</f>
        <v>73.331999999999994</v>
      </c>
      <c r="H133">
        <v>1.238</v>
      </c>
      <c r="I133">
        <f>GiaDinh!$C$15</f>
        <v>15</v>
      </c>
      <c r="J133">
        <f t="shared" si="12"/>
        <v>13</v>
      </c>
      <c r="K133">
        <f>J133*GiaDinh!$C$16</f>
        <v>91</v>
      </c>
      <c r="L133">
        <f t="shared" si="13"/>
        <v>1</v>
      </c>
      <c r="M133">
        <f t="shared" si="14"/>
        <v>15</v>
      </c>
      <c r="N133">
        <f>L133*ROUNDUP(I133/GiaDinh!$C$5-0.0005,0)</f>
        <v>3</v>
      </c>
      <c r="O133">
        <f>L133*(ROUNDUP(I133/GiaDinh!$C$5-0.0005,0)-1)</f>
        <v>2</v>
      </c>
      <c r="P133">
        <f t="shared" si="15"/>
        <v>13</v>
      </c>
      <c r="Q133">
        <f t="shared" si="16"/>
        <v>26</v>
      </c>
      <c r="R133">
        <f t="shared" si="17"/>
        <v>13</v>
      </c>
      <c r="S133">
        <f>M133*GiaDinh!$C$7</f>
        <v>45.15</v>
      </c>
    </row>
    <row r="134" spans="1:19" x14ac:dyDescent="0.35">
      <c r="A134" t="s">
        <v>10</v>
      </c>
      <c r="B134">
        <v>4</v>
      </c>
      <c r="C134" t="s">
        <v>173</v>
      </c>
      <c r="D134" t="s">
        <v>300</v>
      </c>
      <c r="E134">
        <v>1</v>
      </c>
      <c r="F134">
        <v>87.3</v>
      </c>
      <c r="G134">
        <f>E134*F134*GiaDinh!$C$18*GiaDinh!$C$17</f>
        <v>73.331999999999994</v>
      </c>
      <c r="H134">
        <v>1.238</v>
      </c>
      <c r="I134">
        <f>GiaDinh!$C$15</f>
        <v>15</v>
      </c>
      <c r="J134">
        <f t="shared" si="12"/>
        <v>13</v>
      </c>
      <c r="K134">
        <f>J134*GiaDinh!$C$16</f>
        <v>91</v>
      </c>
      <c r="L134">
        <f t="shared" si="13"/>
        <v>1</v>
      </c>
      <c r="M134">
        <f t="shared" si="14"/>
        <v>15</v>
      </c>
      <c r="N134">
        <f>L134*ROUNDUP(I134/GiaDinh!$C$5-0.0005,0)</f>
        <v>3</v>
      </c>
      <c r="O134">
        <f>L134*(ROUNDUP(I134/GiaDinh!$C$5-0.0005,0)-1)</f>
        <v>2</v>
      </c>
      <c r="P134">
        <f t="shared" si="15"/>
        <v>13</v>
      </c>
      <c r="Q134">
        <f t="shared" si="16"/>
        <v>26</v>
      </c>
      <c r="R134">
        <f t="shared" si="17"/>
        <v>13</v>
      </c>
      <c r="S134">
        <f>M134*GiaDinh!$C$7</f>
        <v>45.15</v>
      </c>
    </row>
    <row r="135" spans="1:19" x14ac:dyDescent="0.35">
      <c r="A135" t="s">
        <v>10</v>
      </c>
      <c r="B135">
        <v>5</v>
      </c>
      <c r="C135" t="s">
        <v>173</v>
      </c>
      <c r="D135" t="s">
        <v>301</v>
      </c>
      <c r="E135">
        <v>1</v>
      </c>
      <c r="F135">
        <v>87.3</v>
      </c>
      <c r="G135">
        <f>E135*F135*GiaDinh!$C$18*GiaDinh!$C$17</f>
        <v>73.331999999999994</v>
      </c>
      <c r="H135">
        <v>1.238</v>
      </c>
      <c r="I135">
        <f>GiaDinh!$C$15</f>
        <v>15</v>
      </c>
      <c r="J135">
        <f t="shared" si="12"/>
        <v>13</v>
      </c>
      <c r="K135">
        <f>J135*GiaDinh!$C$16</f>
        <v>91</v>
      </c>
      <c r="L135">
        <f t="shared" si="13"/>
        <v>1</v>
      </c>
      <c r="M135">
        <f t="shared" si="14"/>
        <v>15</v>
      </c>
      <c r="N135">
        <f>L135*ROUNDUP(I135/GiaDinh!$C$5-0.0005,0)</f>
        <v>3</v>
      </c>
      <c r="O135">
        <f>L135*(ROUNDUP(I135/GiaDinh!$C$5-0.0005,0)-1)</f>
        <v>2</v>
      </c>
      <c r="P135">
        <f t="shared" si="15"/>
        <v>13</v>
      </c>
      <c r="Q135">
        <f t="shared" si="16"/>
        <v>26</v>
      </c>
      <c r="R135">
        <f t="shared" si="17"/>
        <v>13</v>
      </c>
      <c r="S135">
        <f>M135*GiaDinh!$C$7</f>
        <v>45.15</v>
      </c>
    </row>
    <row r="136" spans="1:19" x14ac:dyDescent="0.35">
      <c r="A136" t="s">
        <v>10</v>
      </c>
      <c r="B136">
        <v>6</v>
      </c>
      <c r="C136" t="s">
        <v>173</v>
      </c>
      <c r="D136" t="s">
        <v>302</v>
      </c>
      <c r="E136">
        <v>1</v>
      </c>
      <c r="F136">
        <v>87.3</v>
      </c>
      <c r="G136">
        <f>E136*F136*GiaDinh!$C$18*GiaDinh!$C$17</f>
        <v>73.331999999999994</v>
      </c>
      <c r="H136">
        <v>1.238</v>
      </c>
      <c r="I136">
        <f>GiaDinh!$C$15</f>
        <v>15</v>
      </c>
      <c r="J136">
        <f t="shared" si="12"/>
        <v>13</v>
      </c>
      <c r="K136">
        <f>J136*GiaDinh!$C$16</f>
        <v>91</v>
      </c>
      <c r="L136">
        <f t="shared" si="13"/>
        <v>1</v>
      </c>
      <c r="M136">
        <f t="shared" si="14"/>
        <v>15</v>
      </c>
      <c r="N136">
        <f>L136*ROUNDUP(I136/GiaDinh!$C$5-0.0005,0)</f>
        <v>3</v>
      </c>
      <c r="O136">
        <f>L136*(ROUNDUP(I136/GiaDinh!$C$5-0.0005,0)-1)</f>
        <v>2</v>
      </c>
      <c r="P136">
        <f t="shared" si="15"/>
        <v>13</v>
      </c>
      <c r="Q136">
        <f t="shared" si="16"/>
        <v>26</v>
      </c>
      <c r="R136">
        <f t="shared" si="17"/>
        <v>13</v>
      </c>
      <c r="S136">
        <f>M136*GiaDinh!$C$7</f>
        <v>45.15</v>
      </c>
    </row>
    <row r="137" spans="1:19" x14ac:dyDescent="0.35">
      <c r="A137" t="s">
        <v>10</v>
      </c>
      <c r="B137">
        <v>7</v>
      </c>
      <c r="C137" t="s">
        <v>173</v>
      </c>
      <c r="D137" t="s">
        <v>303</v>
      </c>
      <c r="E137">
        <v>1</v>
      </c>
      <c r="F137">
        <v>87.3</v>
      </c>
      <c r="G137">
        <f>E137*F137*GiaDinh!$C$18*GiaDinh!$C$17</f>
        <v>73.331999999999994</v>
      </c>
      <c r="H137">
        <v>1.238</v>
      </c>
      <c r="I137">
        <f>GiaDinh!$C$15</f>
        <v>15</v>
      </c>
      <c r="J137">
        <f t="shared" si="12"/>
        <v>13</v>
      </c>
      <c r="K137">
        <f>J137*GiaDinh!$C$16</f>
        <v>91</v>
      </c>
      <c r="L137">
        <f t="shared" si="13"/>
        <v>1</v>
      </c>
      <c r="M137">
        <f t="shared" si="14"/>
        <v>15</v>
      </c>
      <c r="N137">
        <f>L137*ROUNDUP(I137/GiaDinh!$C$5-0.0005,0)</f>
        <v>3</v>
      </c>
      <c r="O137">
        <f>L137*(ROUNDUP(I137/GiaDinh!$C$5-0.0005,0)-1)</f>
        <v>2</v>
      </c>
      <c r="P137">
        <f t="shared" si="15"/>
        <v>13</v>
      </c>
      <c r="Q137">
        <f t="shared" si="16"/>
        <v>26</v>
      </c>
      <c r="R137">
        <f t="shared" si="17"/>
        <v>13</v>
      </c>
      <c r="S137">
        <f>M137*GiaDinh!$C$7</f>
        <v>45.15</v>
      </c>
    </row>
    <row r="138" spans="1:19" x14ac:dyDescent="0.35">
      <c r="A138" t="s">
        <v>10</v>
      </c>
      <c r="B138">
        <v>8</v>
      </c>
      <c r="C138" t="s">
        <v>173</v>
      </c>
      <c r="D138" t="s">
        <v>304</v>
      </c>
      <c r="E138">
        <v>1</v>
      </c>
      <c r="F138">
        <v>87.3</v>
      </c>
      <c r="G138">
        <f>E138*F138*GiaDinh!$C$18*GiaDinh!$C$17</f>
        <v>73.331999999999994</v>
      </c>
      <c r="H138">
        <v>1.238</v>
      </c>
      <c r="I138">
        <f>GiaDinh!$C$15</f>
        <v>15</v>
      </c>
      <c r="J138">
        <f t="shared" si="12"/>
        <v>13</v>
      </c>
      <c r="K138">
        <f>J138*GiaDinh!$C$16</f>
        <v>91</v>
      </c>
      <c r="L138">
        <f t="shared" si="13"/>
        <v>1</v>
      </c>
      <c r="M138">
        <f t="shared" si="14"/>
        <v>15</v>
      </c>
      <c r="N138">
        <f>L138*ROUNDUP(I138/GiaDinh!$C$5-0.0005,0)</f>
        <v>3</v>
      </c>
      <c r="O138">
        <f>L138*(ROUNDUP(I138/GiaDinh!$C$5-0.0005,0)-1)</f>
        <v>2</v>
      </c>
      <c r="P138">
        <f t="shared" si="15"/>
        <v>13</v>
      </c>
      <c r="Q138">
        <f t="shared" si="16"/>
        <v>26</v>
      </c>
      <c r="R138">
        <f t="shared" si="17"/>
        <v>13</v>
      </c>
      <c r="S138">
        <f>M138*GiaDinh!$C$7</f>
        <v>45.15</v>
      </c>
    </row>
    <row r="139" spans="1:19" x14ac:dyDescent="0.35">
      <c r="A139" t="s">
        <v>10</v>
      </c>
      <c r="B139">
        <v>9</v>
      </c>
      <c r="C139" t="s">
        <v>173</v>
      </c>
      <c r="D139" t="s">
        <v>305</v>
      </c>
      <c r="E139">
        <v>1</v>
      </c>
      <c r="F139">
        <v>87.3</v>
      </c>
      <c r="G139">
        <f>E139*F139*GiaDinh!$C$18*GiaDinh!$C$17</f>
        <v>73.331999999999994</v>
      </c>
      <c r="H139">
        <v>1.238</v>
      </c>
      <c r="I139">
        <f>GiaDinh!$C$15</f>
        <v>15</v>
      </c>
      <c r="J139">
        <f t="shared" si="12"/>
        <v>13</v>
      </c>
      <c r="K139">
        <f>J139*GiaDinh!$C$16</f>
        <v>91</v>
      </c>
      <c r="L139">
        <f t="shared" si="13"/>
        <v>1</v>
      </c>
      <c r="M139">
        <f t="shared" si="14"/>
        <v>15</v>
      </c>
      <c r="N139">
        <f>L139*ROUNDUP(I139/GiaDinh!$C$5-0.0005,0)</f>
        <v>3</v>
      </c>
      <c r="O139">
        <f>L139*(ROUNDUP(I139/GiaDinh!$C$5-0.0005,0)-1)</f>
        <v>2</v>
      </c>
      <c r="P139">
        <f t="shared" si="15"/>
        <v>13</v>
      </c>
      <c r="Q139">
        <f t="shared" si="16"/>
        <v>26</v>
      </c>
      <c r="R139">
        <f t="shared" si="17"/>
        <v>13</v>
      </c>
      <c r="S139">
        <f>M139*GiaDinh!$C$7</f>
        <v>45.15</v>
      </c>
    </row>
    <row r="140" spans="1:19" x14ac:dyDescent="0.35">
      <c r="A140" t="s">
        <v>10</v>
      </c>
      <c r="B140">
        <v>10</v>
      </c>
      <c r="C140" t="s">
        <v>173</v>
      </c>
      <c r="D140" t="s">
        <v>306</v>
      </c>
      <c r="E140">
        <v>1</v>
      </c>
      <c r="F140">
        <v>87.3</v>
      </c>
      <c r="G140">
        <f>E140*F140*GiaDinh!$C$18*GiaDinh!$C$17</f>
        <v>73.331999999999994</v>
      </c>
      <c r="H140">
        <v>1.238</v>
      </c>
      <c r="I140">
        <f>GiaDinh!$C$15</f>
        <v>15</v>
      </c>
      <c r="J140">
        <f t="shared" si="12"/>
        <v>13</v>
      </c>
      <c r="K140">
        <f>J140*GiaDinh!$C$16</f>
        <v>91</v>
      </c>
      <c r="L140">
        <f t="shared" si="13"/>
        <v>1</v>
      </c>
      <c r="M140">
        <f t="shared" si="14"/>
        <v>15</v>
      </c>
      <c r="N140">
        <f>L140*ROUNDUP(I140/GiaDinh!$C$5-0.0005,0)</f>
        <v>3</v>
      </c>
      <c r="O140">
        <f>L140*(ROUNDUP(I140/GiaDinh!$C$5-0.0005,0)-1)</f>
        <v>2</v>
      </c>
      <c r="P140">
        <f t="shared" si="15"/>
        <v>13</v>
      </c>
      <c r="Q140">
        <f t="shared" si="16"/>
        <v>26</v>
      </c>
      <c r="R140">
        <f t="shared" si="17"/>
        <v>13</v>
      </c>
      <c r="S140">
        <f>M140*GiaDinh!$C$7</f>
        <v>45.15</v>
      </c>
    </row>
    <row r="141" spans="1:19" x14ac:dyDescent="0.35">
      <c r="A141" t="s">
        <v>10</v>
      </c>
      <c r="B141">
        <v>11</v>
      </c>
      <c r="C141" t="s">
        <v>168</v>
      </c>
      <c r="D141" t="s">
        <v>307</v>
      </c>
      <c r="E141">
        <v>4</v>
      </c>
      <c r="F141">
        <v>87.3</v>
      </c>
      <c r="G141">
        <f>E141*F141*GiaDinh!$C$18*GiaDinh!$C$17</f>
        <v>293.32799999999997</v>
      </c>
      <c r="H141">
        <v>1.238</v>
      </c>
      <c r="I141">
        <f>GiaDinh!$C$15</f>
        <v>15</v>
      </c>
      <c r="J141">
        <f t="shared" si="12"/>
        <v>13</v>
      </c>
      <c r="K141">
        <f>J141*GiaDinh!$C$16</f>
        <v>91</v>
      </c>
      <c r="L141">
        <f t="shared" si="13"/>
        <v>4</v>
      </c>
      <c r="M141">
        <f t="shared" si="14"/>
        <v>60</v>
      </c>
      <c r="N141">
        <f>L141*ROUNDUP(I141/GiaDinh!$C$5-0.0005,0)</f>
        <v>12</v>
      </c>
      <c r="O141">
        <f>L141*(ROUNDUP(I141/GiaDinh!$C$5-0.0005,0)-1)</f>
        <v>8</v>
      </c>
      <c r="P141">
        <f t="shared" si="15"/>
        <v>52</v>
      </c>
      <c r="Q141">
        <f t="shared" si="16"/>
        <v>104</v>
      </c>
      <c r="R141">
        <f t="shared" si="17"/>
        <v>52</v>
      </c>
      <c r="S141">
        <f>M141*GiaDinh!$C$7</f>
        <v>180.6</v>
      </c>
    </row>
    <row r="142" spans="1:19" x14ac:dyDescent="0.35">
      <c r="A142" t="s">
        <v>10</v>
      </c>
      <c r="B142">
        <v>12</v>
      </c>
      <c r="C142" t="s">
        <v>168</v>
      </c>
      <c r="D142" t="s">
        <v>308</v>
      </c>
      <c r="E142">
        <v>4</v>
      </c>
      <c r="F142">
        <v>87.3</v>
      </c>
      <c r="G142">
        <f>E142*F142*GiaDinh!$C$18*GiaDinh!$C$17</f>
        <v>293.32799999999997</v>
      </c>
      <c r="H142">
        <v>1.238</v>
      </c>
      <c r="I142">
        <f>GiaDinh!$C$15</f>
        <v>15</v>
      </c>
      <c r="J142">
        <f t="shared" si="12"/>
        <v>13</v>
      </c>
      <c r="K142">
        <f>J142*GiaDinh!$C$16</f>
        <v>91</v>
      </c>
      <c r="L142">
        <f t="shared" si="13"/>
        <v>4</v>
      </c>
      <c r="M142">
        <f t="shared" si="14"/>
        <v>60</v>
      </c>
      <c r="N142">
        <f>L142*ROUNDUP(I142/GiaDinh!$C$5-0.0005,0)</f>
        <v>12</v>
      </c>
      <c r="O142">
        <f>L142*(ROUNDUP(I142/GiaDinh!$C$5-0.0005,0)-1)</f>
        <v>8</v>
      </c>
      <c r="P142">
        <f t="shared" si="15"/>
        <v>52</v>
      </c>
      <c r="Q142">
        <f t="shared" si="16"/>
        <v>104</v>
      </c>
      <c r="R142">
        <f t="shared" si="17"/>
        <v>52</v>
      </c>
      <c r="S142">
        <f>M142*GiaDinh!$C$7</f>
        <v>180.6</v>
      </c>
    </row>
    <row r="143" spans="1:19" x14ac:dyDescent="0.35">
      <c r="A143" t="s">
        <v>10</v>
      </c>
      <c r="B143">
        <v>13</v>
      </c>
      <c r="C143" t="s">
        <v>168</v>
      </c>
      <c r="D143" t="s">
        <v>309</v>
      </c>
      <c r="E143">
        <v>4</v>
      </c>
      <c r="F143">
        <v>87.3</v>
      </c>
      <c r="G143">
        <f>E143*F143*GiaDinh!$C$18*GiaDinh!$C$17</f>
        <v>293.32799999999997</v>
      </c>
      <c r="H143">
        <v>1.238</v>
      </c>
      <c r="I143">
        <f>GiaDinh!$C$15</f>
        <v>15</v>
      </c>
      <c r="J143">
        <f t="shared" si="12"/>
        <v>13</v>
      </c>
      <c r="K143">
        <f>J143*GiaDinh!$C$16</f>
        <v>91</v>
      </c>
      <c r="L143">
        <f t="shared" si="13"/>
        <v>4</v>
      </c>
      <c r="M143">
        <f t="shared" si="14"/>
        <v>60</v>
      </c>
      <c r="N143">
        <f>L143*ROUNDUP(I143/GiaDinh!$C$5-0.0005,0)</f>
        <v>12</v>
      </c>
      <c r="O143">
        <f>L143*(ROUNDUP(I143/GiaDinh!$C$5-0.0005,0)-1)</f>
        <v>8</v>
      </c>
      <c r="P143">
        <f t="shared" si="15"/>
        <v>52</v>
      </c>
      <c r="Q143">
        <f t="shared" si="16"/>
        <v>104</v>
      </c>
      <c r="R143">
        <f t="shared" si="17"/>
        <v>52</v>
      </c>
      <c r="S143">
        <f>M143*GiaDinh!$C$7</f>
        <v>180.6</v>
      </c>
    </row>
    <row r="144" spans="1:19" x14ac:dyDescent="0.35">
      <c r="A144" t="s">
        <v>10</v>
      </c>
      <c r="B144">
        <v>14</v>
      </c>
      <c r="C144" t="s">
        <v>168</v>
      </c>
      <c r="D144" t="s">
        <v>310</v>
      </c>
      <c r="E144">
        <v>4</v>
      </c>
      <c r="F144">
        <v>87.3</v>
      </c>
      <c r="G144">
        <f>E144*F144*GiaDinh!$C$18*GiaDinh!$C$17</f>
        <v>293.32799999999997</v>
      </c>
      <c r="H144">
        <v>1.238</v>
      </c>
      <c r="I144">
        <f>GiaDinh!$C$15</f>
        <v>15</v>
      </c>
      <c r="J144">
        <f t="shared" si="12"/>
        <v>13</v>
      </c>
      <c r="K144">
        <f>J144*GiaDinh!$C$16</f>
        <v>91</v>
      </c>
      <c r="L144">
        <f t="shared" si="13"/>
        <v>4</v>
      </c>
      <c r="M144">
        <f t="shared" si="14"/>
        <v>60</v>
      </c>
      <c r="N144">
        <f>L144*ROUNDUP(I144/GiaDinh!$C$5-0.0005,0)</f>
        <v>12</v>
      </c>
      <c r="O144">
        <f>L144*(ROUNDUP(I144/GiaDinh!$C$5-0.0005,0)-1)</f>
        <v>8</v>
      </c>
      <c r="P144">
        <f t="shared" si="15"/>
        <v>52</v>
      </c>
      <c r="Q144">
        <f t="shared" si="16"/>
        <v>104</v>
      </c>
      <c r="R144">
        <f t="shared" si="17"/>
        <v>52</v>
      </c>
      <c r="S144">
        <f>M144*GiaDinh!$C$7</f>
        <v>180.6</v>
      </c>
    </row>
    <row r="145" spans="1:19" x14ac:dyDescent="0.35">
      <c r="A145" t="s">
        <v>10</v>
      </c>
      <c r="B145">
        <v>15</v>
      </c>
      <c r="C145" t="s">
        <v>168</v>
      </c>
      <c r="D145" t="s">
        <v>311</v>
      </c>
      <c r="E145">
        <v>4</v>
      </c>
      <c r="F145">
        <v>87.3</v>
      </c>
      <c r="G145">
        <f>E145*F145*GiaDinh!$C$18*GiaDinh!$C$17</f>
        <v>293.32799999999997</v>
      </c>
      <c r="H145">
        <v>1.238</v>
      </c>
      <c r="I145">
        <f>GiaDinh!$C$15</f>
        <v>15</v>
      </c>
      <c r="J145">
        <f t="shared" si="12"/>
        <v>13</v>
      </c>
      <c r="K145">
        <f>J145*GiaDinh!$C$16</f>
        <v>91</v>
      </c>
      <c r="L145">
        <f t="shared" si="13"/>
        <v>4</v>
      </c>
      <c r="M145">
        <f t="shared" si="14"/>
        <v>60</v>
      </c>
      <c r="N145">
        <f>L145*ROUNDUP(I145/GiaDinh!$C$5-0.0005,0)</f>
        <v>12</v>
      </c>
      <c r="O145">
        <f>L145*(ROUNDUP(I145/GiaDinh!$C$5-0.0005,0)-1)</f>
        <v>8</v>
      </c>
      <c r="P145">
        <f t="shared" si="15"/>
        <v>52</v>
      </c>
      <c r="Q145">
        <f t="shared" si="16"/>
        <v>104</v>
      </c>
      <c r="R145">
        <f t="shared" si="17"/>
        <v>52</v>
      </c>
      <c r="S145">
        <f>M145*GiaDinh!$C$7</f>
        <v>180.6</v>
      </c>
    </row>
    <row r="146" spans="1:19" x14ac:dyDescent="0.35">
      <c r="A146" t="s">
        <v>10</v>
      </c>
      <c r="B146">
        <v>16</v>
      </c>
      <c r="C146" t="s">
        <v>168</v>
      </c>
      <c r="D146" t="s">
        <v>312</v>
      </c>
      <c r="E146">
        <v>4</v>
      </c>
      <c r="F146">
        <v>87.3</v>
      </c>
      <c r="G146">
        <f>E146*F146*GiaDinh!$C$18*GiaDinh!$C$17</f>
        <v>293.32799999999997</v>
      </c>
      <c r="H146">
        <v>1.238</v>
      </c>
      <c r="I146">
        <f>GiaDinh!$C$15</f>
        <v>15</v>
      </c>
      <c r="J146">
        <f t="shared" si="12"/>
        <v>13</v>
      </c>
      <c r="K146">
        <f>J146*GiaDinh!$C$16</f>
        <v>91</v>
      </c>
      <c r="L146">
        <f t="shared" si="13"/>
        <v>4</v>
      </c>
      <c r="M146">
        <f t="shared" si="14"/>
        <v>60</v>
      </c>
      <c r="N146">
        <f>L146*ROUNDUP(I146/GiaDinh!$C$5-0.0005,0)</f>
        <v>12</v>
      </c>
      <c r="O146">
        <f>L146*(ROUNDUP(I146/GiaDinh!$C$5-0.0005,0)-1)</f>
        <v>8</v>
      </c>
      <c r="P146">
        <f t="shared" si="15"/>
        <v>52</v>
      </c>
      <c r="Q146">
        <f t="shared" si="16"/>
        <v>104</v>
      </c>
      <c r="R146">
        <f t="shared" si="17"/>
        <v>52</v>
      </c>
      <c r="S146">
        <f>M146*GiaDinh!$C$7</f>
        <v>180.6</v>
      </c>
    </row>
    <row r="147" spans="1:19" x14ac:dyDescent="0.35">
      <c r="A147" t="s">
        <v>10</v>
      </c>
      <c r="B147">
        <v>17</v>
      </c>
      <c r="C147" t="s">
        <v>173</v>
      </c>
      <c r="D147" t="s">
        <v>313</v>
      </c>
      <c r="E147">
        <v>1</v>
      </c>
      <c r="F147">
        <v>87.3</v>
      </c>
      <c r="G147">
        <f>E147*F147*GiaDinh!$C$18*GiaDinh!$C$17</f>
        <v>73.331999999999994</v>
      </c>
      <c r="H147">
        <v>1.238</v>
      </c>
      <c r="I147">
        <f>GiaDinh!$C$15</f>
        <v>15</v>
      </c>
      <c r="J147">
        <f t="shared" si="12"/>
        <v>13</v>
      </c>
      <c r="K147">
        <f>J147*GiaDinh!$C$16</f>
        <v>91</v>
      </c>
      <c r="L147">
        <f t="shared" si="13"/>
        <v>1</v>
      </c>
      <c r="M147">
        <f t="shared" si="14"/>
        <v>15</v>
      </c>
      <c r="N147">
        <f>L147*ROUNDUP(I147/GiaDinh!$C$5-0.0005,0)</f>
        <v>3</v>
      </c>
      <c r="O147">
        <f>L147*(ROUNDUP(I147/GiaDinh!$C$5-0.0005,0)-1)</f>
        <v>2</v>
      </c>
      <c r="P147">
        <f t="shared" si="15"/>
        <v>13</v>
      </c>
      <c r="Q147">
        <f t="shared" si="16"/>
        <v>26</v>
      </c>
      <c r="R147">
        <f t="shared" si="17"/>
        <v>13</v>
      </c>
      <c r="S147">
        <f>M147*GiaDinh!$C$7</f>
        <v>45.15</v>
      </c>
    </row>
    <row r="148" spans="1:19" x14ac:dyDescent="0.35">
      <c r="A148" t="s">
        <v>10</v>
      </c>
      <c r="B148">
        <v>18</v>
      </c>
      <c r="C148" t="s">
        <v>173</v>
      </c>
      <c r="D148" t="s">
        <v>314</v>
      </c>
      <c r="E148">
        <v>1</v>
      </c>
      <c r="F148">
        <v>87.3</v>
      </c>
      <c r="G148">
        <f>E148*F148*GiaDinh!$C$18*GiaDinh!$C$17</f>
        <v>73.331999999999994</v>
      </c>
      <c r="H148">
        <v>1.238</v>
      </c>
      <c r="I148">
        <f>GiaDinh!$C$15</f>
        <v>15</v>
      </c>
      <c r="J148">
        <f t="shared" si="12"/>
        <v>13</v>
      </c>
      <c r="K148">
        <f>J148*GiaDinh!$C$16</f>
        <v>91</v>
      </c>
      <c r="L148">
        <f t="shared" si="13"/>
        <v>1</v>
      </c>
      <c r="M148">
        <f t="shared" si="14"/>
        <v>15</v>
      </c>
      <c r="N148">
        <f>L148*ROUNDUP(I148/GiaDinh!$C$5-0.0005,0)</f>
        <v>3</v>
      </c>
      <c r="O148">
        <f>L148*(ROUNDUP(I148/GiaDinh!$C$5-0.0005,0)-1)</f>
        <v>2</v>
      </c>
      <c r="P148">
        <f t="shared" si="15"/>
        <v>13</v>
      </c>
      <c r="Q148">
        <f t="shared" si="16"/>
        <v>26</v>
      </c>
      <c r="R148">
        <f t="shared" si="17"/>
        <v>13</v>
      </c>
      <c r="S148">
        <f>M148*GiaDinh!$C$7</f>
        <v>45.15</v>
      </c>
    </row>
    <row r="149" spans="1:19" x14ac:dyDescent="0.35">
      <c r="A149" t="s">
        <v>10</v>
      </c>
      <c r="B149">
        <v>19</v>
      </c>
      <c r="C149" t="s">
        <v>173</v>
      </c>
      <c r="D149" t="s">
        <v>315</v>
      </c>
      <c r="E149">
        <v>1</v>
      </c>
      <c r="F149">
        <v>87.3</v>
      </c>
      <c r="G149">
        <f>E149*F149*GiaDinh!$C$18*GiaDinh!$C$17</f>
        <v>73.331999999999994</v>
      </c>
      <c r="H149">
        <v>1.238</v>
      </c>
      <c r="I149">
        <f>GiaDinh!$C$15</f>
        <v>15</v>
      </c>
      <c r="J149">
        <f t="shared" si="12"/>
        <v>13</v>
      </c>
      <c r="K149">
        <f>J149*GiaDinh!$C$16</f>
        <v>91</v>
      </c>
      <c r="L149">
        <f t="shared" si="13"/>
        <v>1</v>
      </c>
      <c r="M149">
        <f t="shared" si="14"/>
        <v>15</v>
      </c>
      <c r="N149">
        <f>L149*ROUNDUP(I149/GiaDinh!$C$5-0.0005,0)</f>
        <v>3</v>
      </c>
      <c r="O149">
        <f>L149*(ROUNDUP(I149/GiaDinh!$C$5-0.0005,0)-1)</f>
        <v>2</v>
      </c>
      <c r="P149">
        <f t="shared" si="15"/>
        <v>13</v>
      </c>
      <c r="Q149">
        <f t="shared" si="16"/>
        <v>26</v>
      </c>
      <c r="R149">
        <f t="shared" si="17"/>
        <v>13</v>
      </c>
      <c r="S149">
        <f>M149*GiaDinh!$C$7</f>
        <v>45.15</v>
      </c>
    </row>
    <row r="150" spans="1:19" x14ac:dyDescent="0.35">
      <c r="A150" t="s">
        <v>10</v>
      </c>
      <c r="B150">
        <v>20</v>
      </c>
      <c r="C150" t="s">
        <v>173</v>
      </c>
      <c r="D150" t="s">
        <v>316</v>
      </c>
      <c r="E150">
        <v>1</v>
      </c>
      <c r="F150">
        <v>87.3</v>
      </c>
      <c r="G150">
        <f>E150*F150*GiaDinh!$C$18*GiaDinh!$C$17</f>
        <v>73.331999999999994</v>
      </c>
      <c r="H150">
        <v>1.238</v>
      </c>
      <c r="I150">
        <f>GiaDinh!$C$15</f>
        <v>15</v>
      </c>
      <c r="J150">
        <f t="shared" si="12"/>
        <v>13</v>
      </c>
      <c r="K150">
        <f>J150*GiaDinh!$C$16</f>
        <v>91</v>
      </c>
      <c r="L150">
        <f t="shared" si="13"/>
        <v>1</v>
      </c>
      <c r="M150">
        <f t="shared" si="14"/>
        <v>15</v>
      </c>
      <c r="N150">
        <f>L150*ROUNDUP(I150/GiaDinh!$C$5-0.0005,0)</f>
        <v>3</v>
      </c>
      <c r="O150">
        <f>L150*(ROUNDUP(I150/GiaDinh!$C$5-0.0005,0)-1)</f>
        <v>2</v>
      </c>
      <c r="P150">
        <f t="shared" si="15"/>
        <v>13</v>
      </c>
      <c r="Q150">
        <f t="shared" si="16"/>
        <v>26</v>
      </c>
      <c r="R150">
        <f t="shared" si="17"/>
        <v>13</v>
      </c>
      <c r="S150">
        <f>M150*GiaDinh!$C$7</f>
        <v>45.15</v>
      </c>
    </row>
    <row r="151" spans="1:19" x14ac:dyDescent="0.35">
      <c r="A151" t="s">
        <v>10</v>
      </c>
      <c r="B151">
        <v>21</v>
      </c>
      <c r="C151" t="s">
        <v>173</v>
      </c>
      <c r="D151" t="s">
        <v>317</v>
      </c>
      <c r="E151">
        <v>1</v>
      </c>
      <c r="F151">
        <v>87.3</v>
      </c>
      <c r="G151">
        <f>E151*F151*GiaDinh!$C$18*GiaDinh!$C$17</f>
        <v>73.331999999999994</v>
      </c>
      <c r="H151">
        <v>1.238</v>
      </c>
      <c r="I151">
        <f>GiaDinh!$C$15</f>
        <v>15</v>
      </c>
      <c r="J151">
        <f t="shared" si="12"/>
        <v>13</v>
      </c>
      <c r="K151">
        <f>J151*GiaDinh!$C$16</f>
        <v>91</v>
      </c>
      <c r="L151">
        <f t="shared" si="13"/>
        <v>1</v>
      </c>
      <c r="M151">
        <f t="shared" si="14"/>
        <v>15</v>
      </c>
      <c r="N151">
        <f>L151*ROUNDUP(I151/GiaDinh!$C$5-0.0005,0)</f>
        <v>3</v>
      </c>
      <c r="O151">
        <f>L151*(ROUNDUP(I151/GiaDinh!$C$5-0.0005,0)-1)</f>
        <v>2</v>
      </c>
      <c r="P151">
        <f t="shared" si="15"/>
        <v>13</v>
      </c>
      <c r="Q151">
        <f t="shared" si="16"/>
        <v>26</v>
      </c>
      <c r="R151">
        <f t="shared" si="17"/>
        <v>13</v>
      </c>
      <c r="S151">
        <f>M151*GiaDinh!$C$7</f>
        <v>45.15</v>
      </c>
    </row>
    <row r="152" spans="1:19" x14ac:dyDescent="0.35">
      <c r="A152" t="s">
        <v>10</v>
      </c>
      <c r="B152">
        <v>22</v>
      </c>
      <c r="C152" t="s">
        <v>173</v>
      </c>
      <c r="D152" t="s">
        <v>318</v>
      </c>
      <c r="E152">
        <v>1</v>
      </c>
      <c r="F152">
        <v>87.3</v>
      </c>
      <c r="G152">
        <f>E152*F152*GiaDinh!$C$18*GiaDinh!$C$17</f>
        <v>73.331999999999994</v>
      </c>
      <c r="H152">
        <v>1.238</v>
      </c>
      <c r="I152">
        <f>GiaDinh!$C$15</f>
        <v>15</v>
      </c>
      <c r="J152">
        <f t="shared" si="12"/>
        <v>13</v>
      </c>
      <c r="K152">
        <f>J152*GiaDinh!$C$16</f>
        <v>91</v>
      </c>
      <c r="L152">
        <f t="shared" si="13"/>
        <v>1</v>
      </c>
      <c r="M152">
        <f t="shared" si="14"/>
        <v>15</v>
      </c>
      <c r="N152">
        <f>L152*ROUNDUP(I152/GiaDinh!$C$5-0.0005,0)</f>
        <v>3</v>
      </c>
      <c r="O152">
        <f>L152*(ROUNDUP(I152/GiaDinh!$C$5-0.0005,0)-1)</f>
        <v>2</v>
      </c>
      <c r="P152">
        <f t="shared" si="15"/>
        <v>13</v>
      </c>
      <c r="Q152">
        <f t="shared" si="16"/>
        <v>26</v>
      </c>
      <c r="R152">
        <f t="shared" si="17"/>
        <v>13</v>
      </c>
      <c r="S152">
        <f>M152*GiaDinh!$C$7</f>
        <v>45.15</v>
      </c>
    </row>
    <row r="153" spans="1:19" x14ac:dyDescent="0.35">
      <c r="A153" t="s">
        <v>10</v>
      </c>
      <c r="B153">
        <v>23</v>
      </c>
      <c r="C153" t="s">
        <v>173</v>
      </c>
      <c r="D153" t="s">
        <v>319</v>
      </c>
      <c r="E153">
        <v>1</v>
      </c>
      <c r="F153">
        <v>87.3</v>
      </c>
      <c r="G153">
        <f>E153*F153*GiaDinh!$C$18*GiaDinh!$C$17</f>
        <v>73.331999999999994</v>
      </c>
      <c r="H153">
        <v>1.238</v>
      </c>
      <c r="I153">
        <f>GiaDinh!$C$15</f>
        <v>15</v>
      </c>
      <c r="J153">
        <f t="shared" si="12"/>
        <v>13</v>
      </c>
      <c r="K153">
        <f>J153*GiaDinh!$C$16</f>
        <v>91</v>
      </c>
      <c r="L153">
        <f t="shared" si="13"/>
        <v>1</v>
      </c>
      <c r="M153">
        <f t="shared" si="14"/>
        <v>15</v>
      </c>
      <c r="N153">
        <f>L153*ROUNDUP(I153/GiaDinh!$C$5-0.0005,0)</f>
        <v>3</v>
      </c>
      <c r="O153">
        <f>L153*(ROUNDUP(I153/GiaDinh!$C$5-0.0005,0)-1)</f>
        <v>2</v>
      </c>
      <c r="P153">
        <f t="shared" si="15"/>
        <v>13</v>
      </c>
      <c r="Q153">
        <f t="shared" si="16"/>
        <v>26</v>
      </c>
      <c r="R153">
        <f t="shared" si="17"/>
        <v>13</v>
      </c>
      <c r="S153">
        <f>M153*GiaDinh!$C$7</f>
        <v>45.15</v>
      </c>
    </row>
    <row r="154" spans="1:19" x14ac:dyDescent="0.35">
      <c r="A154" t="s">
        <v>10</v>
      </c>
      <c r="B154">
        <v>24</v>
      </c>
      <c r="C154" t="s">
        <v>173</v>
      </c>
      <c r="D154" t="s">
        <v>320</v>
      </c>
      <c r="E154">
        <v>1</v>
      </c>
      <c r="F154">
        <v>87.3</v>
      </c>
      <c r="G154">
        <f>E154*F154*GiaDinh!$C$18*GiaDinh!$C$17</f>
        <v>73.331999999999994</v>
      </c>
      <c r="H154">
        <v>1.238</v>
      </c>
      <c r="I154">
        <f>GiaDinh!$C$15</f>
        <v>15</v>
      </c>
      <c r="J154">
        <f t="shared" si="12"/>
        <v>13</v>
      </c>
      <c r="K154">
        <f>J154*GiaDinh!$C$16</f>
        <v>91</v>
      </c>
      <c r="L154">
        <f t="shared" si="13"/>
        <v>1</v>
      </c>
      <c r="M154">
        <f t="shared" si="14"/>
        <v>15</v>
      </c>
      <c r="N154">
        <f>L154*ROUNDUP(I154/GiaDinh!$C$5-0.0005,0)</f>
        <v>3</v>
      </c>
      <c r="O154">
        <f>L154*(ROUNDUP(I154/GiaDinh!$C$5-0.0005,0)-1)</f>
        <v>2</v>
      </c>
      <c r="P154">
        <f t="shared" si="15"/>
        <v>13</v>
      </c>
      <c r="Q154">
        <f t="shared" si="16"/>
        <v>26</v>
      </c>
      <c r="R154">
        <f t="shared" si="17"/>
        <v>13</v>
      </c>
      <c r="S154">
        <f>M154*GiaDinh!$C$7</f>
        <v>45.15</v>
      </c>
    </row>
    <row r="155" spans="1:19" x14ac:dyDescent="0.35">
      <c r="A155" t="s">
        <v>10</v>
      </c>
      <c r="B155">
        <v>25</v>
      </c>
      <c r="C155" t="s">
        <v>173</v>
      </c>
      <c r="D155" t="s">
        <v>321</v>
      </c>
      <c r="E155">
        <v>1</v>
      </c>
      <c r="F155">
        <v>87.3</v>
      </c>
      <c r="G155">
        <f>E155*F155*GiaDinh!$C$18*GiaDinh!$C$17</f>
        <v>73.331999999999994</v>
      </c>
      <c r="H155">
        <v>1.238</v>
      </c>
      <c r="I155">
        <f>GiaDinh!$C$15</f>
        <v>15</v>
      </c>
      <c r="J155">
        <f t="shared" si="12"/>
        <v>13</v>
      </c>
      <c r="K155">
        <f>J155*GiaDinh!$C$16</f>
        <v>91</v>
      </c>
      <c r="L155">
        <f t="shared" si="13"/>
        <v>1</v>
      </c>
      <c r="M155">
        <f t="shared" si="14"/>
        <v>15</v>
      </c>
      <c r="N155">
        <f>L155*ROUNDUP(I155/GiaDinh!$C$5-0.0005,0)</f>
        <v>3</v>
      </c>
      <c r="O155">
        <f>L155*(ROUNDUP(I155/GiaDinh!$C$5-0.0005,0)-1)</f>
        <v>2</v>
      </c>
      <c r="P155">
        <f t="shared" si="15"/>
        <v>13</v>
      </c>
      <c r="Q155">
        <f t="shared" si="16"/>
        <v>26</v>
      </c>
      <c r="R155">
        <f t="shared" si="17"/>
        <v>13</v>
      </c>
      <c r="S155">
        <f>M155*GiaDinh!$C$7</f>
        <v>45.15</v>
      </c>
    </row>
    <row r="156" spans="1:19" x14ac:dyDescent="0.35">
      <c r="A156" t="s">
        <v>10</v>
      </c>
      <c r="B156">
        <v>26</v>
      </c>
      <c r="C156" t="s">
        <v>173</v>
      </c>
      <c r="D156" t="s">
        <v>322</v>
      </c>
      <c r="E156">
        <v>1</v>
      </c>
      <c r="F156">
        <v>87.3</v>
      </c>
      <c r="G156">
        <f>E156*F156*GiaDinh!$C$18*GiaDinh!$C$17</f>
        <v>73.331999999999994</v>
      </c>
      <c r="H156">
        <v>1.238</v>
      </c>
      <c r="I156">
        <f>GiaDinh!$C$15</f>
        <v>15</v>
      </c>
      <c r="J156">
        <f t="shared" si="12"/>
        <v>13</v>
      </c>
      <c r="K156">
        <f>J156*GiaDinh!$C$16</f>
        <v>91</v>
      </c>
      <c r="L156">
        <f t="shared" si="13"/>
        <v>1</v>
      </c>
      <c r="M156">
        <f t="shared" si="14"/>
        <v>15</v>
      </c>
      <c r="N156">
        <f>L156*ROUNDUP(I156/GiaDinh!$C$5-0.0005,0)</f>
        <v>3</v>
      </c>
      <c r="O156">
        <f>L156*(ROUNDUP(I156/GiaDinh!$C$5-0.0005,0)-1)</f>
        <v>2</v>
      </c>
      <c r="P156">
        <f t="shared" si="15"/>
        <v>13</v>
      </c>
      <c r="Q156">
        <f t="shared" si="16"/>
        <v>26</v>
      </c>
      <c r="R156">
        <f t="shared" si="17"/>
        <v>13</v>
      </c>
      <c r="S156">
        <f>M156*GiaDinh!$C$7</f>
        <v>45.15</v>
      </c>
    </row>
    <row r="157" spans="1:19" x14ac:dyDescent="0.35">
      <c r="A157" t="s">
        <v>10</v>
      </c>
      <c r="B157">
        <v>27</v>
      </c>
      <c r="C157" t="s">
        <v>173</v>
      </c>
      <c r="D157" t="s">
        <v>323</v>
      </c>
      <c r="E157">
        <v>1</v>
      </c>
      <c r="F157">
        <v>87.3</v>
      </c>
      <c r="G157">
        <f>E157*F157*GiaDinh!$C$18*GiaDinh!$C$17</f>
        <v>73.331999999999994</v>
      </c>
      <c r="H157">
        <v>1.238</v>
      </c>
      <c r="I157">
        <f>GiaDinh!$C$15</f>
        <v>15</v>
      </c>
      <c r="J157">
        <f t="shared" si="12"/>
        <v>13</v>
      </c>
      <c r="K157">
        <f>J157*GiaDinh!$C$16</f>
        <v>91</v>
      </c>
      <c r="L157">
        <f t="shared" si="13"/>
        <v>1</v>
      </c>
      <c r="M157">
        <f t="shared" si="14"/>
        <v>15</v>
      </c>
      <c r="N157">
        <f>L157*ROUNDUP(I157/GiaDinh!$C$5-0.0005,0)</f>
        <v>3</v>
      </c>
      <c r="O157">
        <f>L157*(ROUNDUP(I157/GiaDinh!$C$5-0.0005,0)-1)</f>
        <v>2</v>
      </c>
      <c r="P157">
        <f t="shared" si="15"/>
        <v>13</v>
      </c>
      <c r="Q157">
        <f t="shared" si="16"/>
        <v>26</v>
      </c>
      <c r="R157">
        <f t="shared" si="17"/>
        <v>13</v>
      </c>
      <c r="S157">
        <f>M157*GiaDinh!$C$7</f>
        <v>45.15</v>
      </c>
    </row>
    <row r="158" spans="1:19" x14ac:dyDescent="0.35">
      <c r="A158" t="s">
        <v>10</v>
      </c>
      <c r="B158">
        <v>28</v>
      </c>
      <c r="C158" t="s">
        <v>173</v>
      </c>
      <c r="D158" t="s">
        <v>324</v>
      </c>
      <c r="E158">
        <v>1</v>
      </c>
      <c r="F158">
        <v>87.3</v>
      </c>
      <c r="G158">
        <f>E158*F158*GiaDinh!$C$18*GiaDinh!$C$17</f>
        <v>73.331999999999994</v>
      </c>
      <c r="H158">
        <v>1.238</v>
      </c>
      <c r="I158">
        <f>GiaDinh!$C$15</f>
        <v>15</v>
      </c>
      <c r="J158">
        <f t="shared" si="12"/>
        <v>13</v>
      </c>
      <c r="K158">
        <f>J158*GiaDinh!$C$16</f>
        <v>91</v>
      </c>
      <c r="L158">
        <f t="shared" si="13"/>
        <v>1</v>
      </c>
      <c r="M158">
        <f t="shared" si="14"/>
        <v>15</v>
      </c>
      <c r="N158">
        <f>L158*ROUNDUP(I158/GiaDinh!$C$5-0.0005,0)</f>
        <v>3</v>
      </c>
      <c r="O158">
        <f>L158*(ROUNDUP(I158/GiaDinh!$C$5-0.0005,0)-1)</f>
        <v>2</v>
      </c>
      <c r="P158">
        <f t="shared" si="15"/>
        <v>13</v>
      </c>
      <c r="Q158">
        <f t="shared" si="16"/>
        <v>26</v>
      </c>
      <c r="R158">
        <f t="shared" si="17"/>
        <v>13</v>
      </c>
      <c r="S158">
        <f>M158*GiaDinh!$C$7</f>
        <v>45.15</v>
      </c>
    </row>
    <row r="159" spans="1:19" x14ac:dyDescent="0.35">
      <c r="A159" t="s">
        <v>10</v>
      </c>
      <c r="B159">
        <v>29</v>
      </c>
      <c r="C159" t="s">
        <v>173</v>
      </c>
      <c r="D159" t="s">
        <v>325</v>
      </c>
      <c r="E159">
        <v>1</v>
      </c>
      <c r="F159">
        <v>87.3</v>
      </c>
      <c r="G159">
        <f>E159*F159*GiaDinh!$C$18*GiaDinh!$C$17</f>
        <v>73.331999999999994</v>
      </c>
      <c r="H159">
        <v>1.238</v>
      </c>
      <c r="I159">
        <f>GiaDinh!$C$15</f>
        <v>15</v>
      </c>
      <c r="J159">
        <f t="shared" si="12"/>
        <v>13</v>
      </c>
      <c r="K159">
        <f>J159*GiaDinh!$C$16</f>
        <v>91</v>
      </c>
      <c r="L159">
        <f t="shared" si="13"/>
        <v>1</v>
      </c>
      <c r="M159">
        <f t="shared" si="14"/>
        <v>15</v>
      </c>
      <c r="N159">
        <f>L159*ROUNDUP(I159/GiaDinh!$C$5-0.0005,0)</f>
        <v>3</v>
      </c>
      <c r="O159">
        <f>L159*(ROUNDUP(I159/GiaDinh!$C$5-0.0005,0)-1)</f>
        <v>2</v>
      </c>
      <c r="P159">
        <f t="shared" si="15"/>
        <v>13</v>
      </c>
      <c r="Q159">
        <f t="shared" si="16"/>
        <v>26</v>
      </c>
      <c r="R159">
        <f t="shared" si="17"/>
        <v>13</v>
      </c>
      <c r="S159">
        <f>M159*GiaDinh!$C$7</f>
        <v>45.15</v>
      </c>
    </row>
    <row r="160" spans="1:19" x14ac:dyDescent="0.35">
      <c r="A160" t="s">
        <v>10</v>
      </c>
      <c r="B160">
        <v>30</v>
      </c>
      <c r="C160" t="s">
        <v>173</v>
      </c>
      <c r="D160" t="s">
        <v>326</v>
      </c>
      <c r="E160">
        <v>1</v>
      </c>
      <c r="F160">
        <v>87.3</v>
      </c>
      <c r="G160">
        <f>E160*F160*GiaDinh!$C$18*GiaDinh!$C$17</f>
        <v>73.331999999999994</v>
      </c>
      <c r="H160">
        <v>1.238</v>
      </c>
      <c r="I160">
        <f>GiaDinh!$C$15</f>
        <v>15</v>
      </c>
      <c r="J160">
        <f t="shared" si="12"/>
        <v>13</v>
      </c>
      <c r="K160">
        <f>J160*GiaDinh!$C$16</f>
        <v>91</v>
      </c>
      <c r="L160">
        <f t="shared" si="13"/>
        <v>1</v>
      </c>
      <c r="M160">
        <f t="shared" si="14"/>
        <v>15</v>
      </c>
      <c r="N160">
        <f>L160*ROUNDUP(I160/GiaDinh!$C$5-0.0005,0)</f>
        <v>3</v>
      </c>
      <c r="O160">
        <f>L160*(ROUNDUP(I160/GiaDinh!$C$5-0.0005,0)-1)</f>
        <v>2</v>
      </c>
      <c r="P160">
        <f t="shared" si="15"/>
        <v>13</v>
      </c>
      <c r="Q160">
        <f t="shared" si="16"/>
        <v>26</v>
      </c>
      <c r="R160">
        <f t="shared" si="17"/>
        <v>13</v>
      </c>
      <c r="S160">
        <f>M160*GiaDinh!$C$7</f>
        <v>45.15</v>
      </c>
    </row>
    <row r="161" spans="1:19" x14ac:dyDescent="0.35">
      <c r="A161" t="s">
        <v>10</v>
      </c>
      <c r="B161">
        <v>31</v>
      </c>
      <c r="C161" t="s">
        <v>173</v>
      </c>
      <c r="D161" t="s">
        <v>327</v>
      </c>
      <c r="E161">
        <v>1</v>
      </c>
      <c r="F161">
        <v>87.3</v>
      </c>
      <c r="G161">
        <f>E161*F161*GiaDinh!$C$18*GiaDinh!$C$17</f>
        <v>73.331999999999994</v>
      </c>
      <c r="H161">
        <v>1.238</v>
      </c>
      <c r="I161">
        <f>GiaDinh!$C$15</f>
        <v>15</v>
      </c>
      <c r="J161">
        <f t="shared" si="12"/>
        <v>13</v>
      </c>
      <c r="K161">
        <f>J161*GiaDinh!$C$16</f>
        <v>91</v>
      </c>
      <c r="L161">
        <f t="shared" si="13"/>
        <v>1</v>
      </c>
      <c r="M161">
        <f t="shared" si="14"/>
        <v>15</v>
      </c>
      <c r="N161">
        <f>L161*ROUNDUP(I161/GiaDinh!$C$5-0.0005,0)</f>
        <v>3</v>
      </c>
      <c r="O161">
        <f>L161*(ROUNDUP(I161/GiaDinh!$C$5-0.0005,0)-1)</f>
        <v>2</v>
      </c>
      <c r="P161">
        <f t="shared" si="15"/>
        <v>13</v>
      </c>
      <c r="Q161">
        <f t="shared" si="16"/>
        <v>26</v>
      </c>
      <c r="R161">
        <f t="shared" si="17"/>
        <v>13</v>
      </c>
      <c r="S161">
        <f>M161*GiaDinh!$C$7</f>
        <v>45.15</v>
      </c>
    </row>
    <row r="162" spans="1:19" x14ac:dyDescent="0.35">
      <c r="A162" t="s">
        <v>10</v>
      </c>
      <c r="B162">
        <v>32</v>
      </c>
      <c r="C162" t="s">
        <v>173</v>
      </c>
      <c r="D162" t="s">
        <v>328</v>
      </c>
      <c r="E162">
        <v>1</v>
      </c>
      <c r="F162">
        <v>87.3</v>
      </c>
      <c r="G162">
        <f>E162*F162*GiaDinh!$C$18*GiaDinh!$C$17</f>
        <v>73.331999999999994</v>
      </c>
      <c r="H162">
        <v>1.238</v>
      </c>
      <c r="I162">
        <f>GiaDinh!$C$15</f>
        <v>15</v>
      </c>
      <c r="J162">
        <f t="shared" si="12"/>
        <v>13</v>
      </c>
      <c r="K162">
        <f>J162*GiaDinh!$C$16</f>
        <v>91</v>
      </c>
      <c r="L162">
        <f t="shared" si="13"/>
        <v>1</v>
      </c>
      <c r="M162">
        <f t="shared" si="14"/>
        <v>15</v>
      </c>
      <c r="N162">
        <f>L162*ROUNDUP(I162/GiaDinh!$C$5-0.0005,0)</f>
        <v>3</v>
      </c>
      <c r="O162">
        <f>L162*(ROUNDUP(I162/GiaDinh!$C$5-0.0005,0)-1)</f>
        <v>2</v>
      </c>
      <c r="P162">
        <f t="shared" si="15"/>
        <v>13</v>
      </c>
      <c r="Q162">
        <f t="shared" si="16"/>
        <v>26</v>
      </c>
      <c r="R162">
        <f t="shared" si="17"/>
        <v>13</v>
      </c>
      <c r="S162">
        <f>M162*GiaDinh!$C$7</f>
        <v>45.15</v>
      </c>
    </row>
    <row r="163" spans="1:19" x14ac:dyDescent="0.35">
      <c r="A163" t="s">
        <v>10</v>
      </c>
      <c r="B163">
        <v>33</v>
      </c>
      <c r="C163" t="s">
        <v>173</v>
      </c>
      <c r="D163" t="s">
        <v>329</v>
      </c>
      <c r="E163">
        <v>1</v>
      </c>
      <c r="F163">
        <v>87.3</v>
      </c>
      <c r="G163">
        <f>E163*F163*GiaDinh!$C$18*GiaDinh!$C$17</f>
        <v>73.331999999999994</v>
      </c>
      <c r="H163">
        <v>1.238</v>
      </c>
      <c r="I163">
        <f>GiaDinh!$C$15</f>
        <v>15</v>
      </c>
      <c r="J163">
        <f t="shared" si="12"/>
        <v>13</v>
      </c>
      <c r="K163">
        <f>J163*GiaDinh!$C$16</f>
        <v>91</v>
      </c>
      <c r="L163">
        <f t="shared" si="13"/>
        <v>1</v>
      </c>
      <c r="M163">
        <f t="shared" si="14"/>
        <v>15</v>
      </c>
      <c r="N163">
        <f>L163*ROUNDUP(I163/GiaDinh!$C$5-0.0005,0)</f>
        <v>3</v>
      </c>
      <c r="O163">
        <f>L163*(ROUNDUP(I163/GiaDinh!$C$5-0.0005,0)-1)</f>
        <v>2</v>
      </c>
      <c r="P163">
        <f t="shared" si="15"/>
        <v>13</v>
      </c>
      <c r="Q163">
        <f t="shared" si="16"/>
        <v>26</v>
      </c>
      <c r="R163">
        <f t="shared" si="17"/>
        <v>13</v>
      </c>
      <c r="S163">
        <f>M163*GiaDinh!$C$7</f>
        <v>45.15</v>
      </c>
    </row>
    <row r="164" spans="1:19" x14ac:dyDescent="0.35">
      <c r="A164" t="s">
        <v>10</v>
      </c>
      <c r="B164">
        <v>34</v>
      </c>
      <c r="C164" t="s">
        <v>173</v>
      </c>
      <c r="D164" t="s">
        <v>330</v>
      </c>
      <c r="E164">
        <v>1</v>
      </c>
      <c r="F164">
        <v>87.3</v>
      </c>
      <c r="G164">
        <f>E164*F164*GiaDinh!$C$18*GiaDinh!$C$17</f>
        <v>73.331999999999994</v>
      </c>
      <c r="H164">
        <v>1.238</v>
      </c>
      <c r="I164">
        <f>GiaDinh!$C$15</f>
        <v>15</v>
      </c>
      <c r="J164">
        <f t="shared" si="12"/>
        <v>13</v>
      </c>
      <c r="K164">
        <f>J164*GiaDinh!$C$16</f>
        <v>91</v>
      </c>
      <c r="L164">
        <f t="shared" si="13"/>
        <v>1</v>
      </c>
      <c r="M164">
        <f t="shared" si="14"/>
        <v>15</v>
      </c>
      <c r="N164">
        <f>L164*ROUNDUP(I164/GiaDinh!$C$5-0.0005,0)</f>
        <v>3</v>
      </c>
      <c r="O164">
        <f>L164*(ROUNDUP(I164/GiaDinh!$C$5-0.0005,0)-1)</f>
        <v>2</v>
      </c>
      <c r="P164">
        <f t="shared" si="15"/>
        <v>13</v>
      </c>
      <c r="Q164">
        <f t="shared" si="16"/>
        <v>26</v>
      </c>
      <c r="R164">
        <f t="shared" si="17"/>
        <v>13</v>
      </c>
      <c r="S164">
        <f>M164*GiaDinh!$C$7</f>
        <v>45.15</v>
      </c>
    </row>
    <row r="165" spans="1:19" x14ac:dyDescent="0.35">
      <c r="A165" t="s">
        <v>10</v>
      </c>
      <c r="B165">
        <v>35</v>
      </c>
      <c r="C165" t="s">
        <v>173</v>
      </c>
      <c r="D165" t="s">
        <v>331</v>
      </c>
      <c r="E165">
        <v>1</v>
      </c>
      <c r="F165">
        <v>87.3</v>
      </c>
      <c r="G165">
        <f>E165*F165*GiaDinh!$C$18*GiaDinh!$C$17</f>
        <v>73.331999999999994</v>
      </c>
      <c r="H165">
        <v>1.238</v>
      </c>
      <c r="I165">
        <f>GiaDinh!$C$15</f>
        <v>15</v>
      </c>
      <c r="J165">
        <f t="shared" si="12"/>
        <v>13</v>
      </c>
      <c r="K165">
        <f>J165*GiaDinh!$C$16</f>
        <v>91</v>
      </c>
      <c r="L165">
        <f t="shared" si="13"/>
        <v>1</v>
      </c>
      <c r="M165">
        <f t="shared" si="14"/>
        <v>15</v>
      </c>
      <c r="N165">
        <f>L165*ROUNDUP(I165/GiaDinh!$C$5-0.0005,0)</f>
        <v>3</v>
      </c>
      <c r="O165">
        <f>L165*(ROUNDUP(I165/GiaDinh!$C$5-0.0005,0)-1)</f>
        <v>2</v>
      </c>
      <c r="P165">
        <f t="shared" si="15"/>
        <v>13</v>
      </c>
      <c r="Q165">
        <f t="shared" si="16"/>
        <v>26</v>
      </c>
      <c r="R165">
        <f t="shared" si="17"/>
        <v>13</v>
      </c>
      <c r="S165">
        <f>M165*GiaDinh!$C$7</f>
        <v>45.15</v>
      </c>
    </row>
    <row r="166" spans="1:19" x14ac:dyDescent="0.35">
      <c r="A166" t="s">
        <v>10</v>
      </c>
      <c r="B166">
        <v>36</v>
      </c>
      <c r="C166" t="s">
        <v>173</v>
      </c>
      <c r="D166" t="s">
        <v>332</v>
      </c>
      <c r="E166">
        <v>1</v>
      </c>
      <c r="F166">
        <v>87.3</v>
      </c>
      <c r="G166">
        <f>E166*F166*GiaDinh!$C$18*GiaDinh!$C$17</f>
        <v>73.331999999999994</v>
      </c>
      <c r="H166">
        <v>1.238</v>
      </c>
      <c r="I166">
        <f>GiaDinh!$C$15</f>
        <v>15</v>
      </c>
      <c r="J166">
        <f t="shared" si="12"/>
        <v>13</v>
      </c>
      <c r="K166">
        <f>J166*GiaDinh!$C$16</f>
        <v>91</v>
      </c>
      <c r="L166">
        <f t="shared" si="13"/>
        <v>1</v>
      </c>
      <c r="M166">
        <f t="shared" si="14"/>
        <v>15</v>
      </c>
      <c r="N166">
        <f>L166*ROUNDUP(I166/GiaDinh!$C$5-0.0005,0)</f>
        <v>3</v>
      </c>
      <c r="O166">
        <f>L166*(ROUNDUP(I166/GiaDinh!$C$5-0.0005,0)-1)</f>
        <v>2</v>
      </c>
      <c r="P166">
        <f t="shared" si="15"/>
        <v>13</v>
      </c>
      <c r="Q166">
        <f t="shared" si="16"/>
        <v>26</v>
      </c>
      <c r="R166">
        <f t="shared" si="17"/>
        <v>13</v>
      </c>
      <c r="S166">
        <f>M166*GiaDinh!$C$7</f>
        <v>45.15</v>
      </c>
    </row>
    <row r="167" spans="1:19" x14ac:dyDescent="0.35">
      <c r="A167" t="s">
        <v>10</v>
      </c>
      <c r="B167">
        <v>37</v>
      </c>
      <c r="C167" t="s">
        <v>173</v>
      </c>
      <c r="D167" t="s">
        <v>333</v>
      </c>
      <c r="E167">
        <v>1</v>
      </c>
      <c r="F167">
        <v>87.3</v>
      </c>
      <c r="G167">
        <f>E167*F167*GiaDinh!$C$18*GiaDinh!$C$17</f>
        <v>73.331999999999994</v>
      </c>
      <c r="H167">
        <v>1.238</v>
      </c>
      <c r="I167">
        <f>GiaDinh!$C$15</f>
        <v>15</v>
      </c>
      <c r="J167">
        <f t="shared" si="12"/>
        <v>13</v>
      </c>
      <c r="K167">
        <f>J167*GiaDinh!$C$16</f>
        <v>91</v>
      </c>
      <c r="L167">
        <f t="shared" si="13"/>
        <v>1</v>
      </c>
      <c r="M167">
        <f t="shared" si="14"/>
        <v>15</v>
      </c>
      <c r="N167">
        <f>L167*ROUNDUP(I167/GiaDinh!$C$5-0.0005,0)</f>
        <v>3</v>
      </c>
      <c r="O167">
        <f>L167*(ROUNDUP(I167/GiaDinh!$C$5-0.0005,0)-1)</f>
        <v>2</v>
      </c>
      <c r="P167">
        <f t="shared" si="15"/>
        <v>13</v>
      </c>
      <c r="Q167">
        <f t="shared" si="16"/>
        <v>26</v>
      </c>
      <c r="R167">
        <f t="shared" si="17"/>
        <v>13</v>
      </c>
      <c r="S167">
        <f>M167*GiaDinh!$C$7</f>
        <v>45.15</v>
      </c>
    </row>
    <row r="168" spans="1:19" x14ac:dyDescent="0.35">
      <c r="A168" t="s">
        <v>10</v>
      </c>
      <c r="B168">
        <v>38</v>
      </c>
      <c r="C168" t="s">
        <v>173</v>
      </c>
      <c r="D168" t="s">
        <v>334</v>
      </c>
      <c r="E168">
        <v>1</v>
      </c>
      <c r="F168">
        <v>87.3</v>
      </c>
      <c r="G168">
        <f>E168*F168*GiaDinh!$C$18*GiaDinh!$C$17</f>
        <v>73.331999999999994</v>
      </c>
      <c r="H168">
        <v>1.238</v>
      </c>
      <c r="I168">
        <f>GiaDinh!$C$15</f>
        <v>15</v>
      </c>
      <c r="J168">
        <f t="shared" si="12"/>
        <v>13</v>
      </c>
      <c r="K168">
        <f>J168*GiaDinh!$C$16</f>
        <v>91</v>
      </c>
      <c r="L168">
        <f t="shared" si="13"/>
        <v>1</v>
      </c>
      <c r="M168">
        <f t="shared" si="14"/>
        <v>15</v>
      </c>
      <c r="N168">
        <f>L168*ROUNDUP(I168/GiaDinh!$C$5-0.0005,0)</f>
        <v>3</v>
      </c>
      <c r="O168">
        <f>L168*(ROUNDUP(I168/GiaDinh!$C$5-0.0005,0)-1)</f>
        <v>2</v>
      </c>
      <c r="P168">
        <f t="shared" si="15"/>
        <v>13</v>
      </c>
      <c r="Q168">
        <f t="shared" si="16"/>
        <v>26</v>
      </c>
      <c r="R168">
        <f t="shared" si="17"/>
        <v>13</v>
      </c>
      <c r="S168">
        <f>M168*GiaDinh!$C$7</f>
        <v>45.15</v>
      </c>
    </row>
    <row r="169" spans="1:19" x14ac:dyDescent="0.35">
      <c r="A169" t="s">
        <v>10</v>
      </c>
      <c r="B169">
        <v>39</v>
      </c>
      <c r="C169" t="s">
        <v>168</v>
      </c>
      <c r="D169" t="s">
        <v>335</v>
      </c>
      <c r="E169">
        <v>4</v>
      </c>
      <c r="F169">
        <v>87.3</v>
      </c>
      <c r="G169">
        <f>E169*F169*GiaDinh!$C$18*GiaDinh!$C$17</f>
        <v>293.32799999999997</v>
      </c>
      <c r="H169">
        <v>1.238</v>
      </c>
      <c r="I169">
        <f>GiaDinh!$C$15</f>
        <v>15</v>
      </c>
      <c r="J169">
        <f t="shared" si="12"/>
        <v>13</v>
      </c>
      <c r="K169">
        <f>J169*GiaDinh!$C$16</f>
        <v>91</v>
      </c>
      <c r="L169">
        <f t="shared" si="13"/>
        <v>4</v>
      </c>
      <c r="M169">
        <f t="shared" si="14"/>
        <v>60</v>
      </c>
      <c r="N169">
        <f>L169*ROUNDUP(I169/GiaDinh!$C$5-0.0005,0)</f>
        <v>12</v>
      </c>
      <c r="O169">
        <f>L169*(ROUNDUP(I169/GiaDinh!$C$5-0.0005,0)-1)</f>
        <v>8</v>
      </c>
      <c r="P169">
        <f t="shared" si="15"/>
        <v>52</v>
      </c>
      <c r="Q169">
        <f t="shared" si="16"/>
        <v>104</v>
      </c>
      <c r="R169">
        <f t="shared" si="17"/>
        <v>52</v>
      </c>
      <c r="S169">
        <f>M169*GiaDinh!$C$7</f>
        <v>180.6</v>
      </c>
    </row>
    <row r="170" spans="1:19" x14ac:dyDescent="0.35">
      <c r="A170" t="s">
        <v>10</v>
      </c>
      <c r="B170">
        <v>40</v>
      </c>
      <c r="C170" t="s">
        <v>168</v>
      </c>
      <c r="D170" t="s">
        <v>336</v>
      </c>
      <c r="E170">
        <v>4</v>
      </c>
      <c r="F170">
        <v>87.3</v>
      </c>
      <c r="G170">
        <f>E170*F170*GiaDinh!$C$18*GiaDinh!$C$17</f>
        <v>293.32799999999997</v>
      </c>
      <c r="H170">
        <v>1.238</v>
      </c>
      <c r="I170">
        <f>GiaDinh!$C$15</f>
        <v>15</v>
      </c>
      <c r="J170">
        <f t="shared" si="12"/>
        <v>13</v>
      </c>
      <c r="K170">
        <f>J170*GiaDinh!$C$16</f>
        <v>91</v>
      </c>
      <c r="L170">
        <f t="shared" si="13"/>
        <v>4</v>
      </c>
      <c r="M170">
        <f t="shared" si="14"/>
        <v>60</v>
      </c>
      <c r="N170">
        <f>L170*ROUNDUP(I170/GiaDinh!$C$5-0.0005,0)</f>
        <v>12</v>
      </c>
      <c r="O170">
        <f>L170*(ROUNDUP(I170/GiaDinh!$C$5-0.0005,0)-1)</f>
        <v>8</v>
      </c>
      <c r="P170">
        <f t="shared" si="15"/>
        <v>52</v>
      </c>
      <c r="Q170">
        <f t="shared" si="16"/>
        <v>104</v>
      </c>
      <c r="R170">
        <f t="shared" si="17"/>
        <v>52</v>
      </c>
      <c r="S170">
        <f>M170*GiaDinh!$C$7</f>
        <v>180.6</v>
      </c>
    </row>
    <row r="171" spans="1:19" x14ac:dyDescent="0.35">
      <c r="A171" t="s">
        <v>10</v>
      </c>
      <c r="B171">
        <v>41</v>
      </c>
      <c r="C171" t="s">
        <v>168</v>
      </c>
      <c r="D171" t="s">
        <v>337</v>
      </c>
      <c r="E171">
        <v>4</v>
      </c>
      <c r="F171">
        <v>87.3</v>
      </c>
      <c r="G171">
        <f>E171*F171*GiaDinh!$C$18*GiaDinh!$C$17</f>
        <v>293.32799999999997</v>
      </c>
      <c r="H171">
        <v>1.238</v>
      </c>
      <c r="I171">
        <f>GiaDinh!$C$15</f>
        <v>15</v>
      </c>
      <c r="J171">
        <f t="shared" si="12"/>
        <v>13</v>
      </c>
      <c r="K171">
        <f>J171*GiaDinh!$C$16</f>
        <v>91</v>
      </c>
      <c r="L171">
        <f t="shared" si="13"/>
        <v>4</v>
      </c>
      <c r="M171">
        <f t="shared" si="14"/>
        <v>60</v>
      </c>
      <c r="N171">
        <f>L171*ROUNDUP(I171/GiaDinh!$C$5-0.0005,0)</f>
        <v>12</v>
      </c>
      <c r="O171">
        <f>L171*(ROUNDUP(I171/GiaDinh!$C$5-0.0005,0)-1)</f>
        <v>8</v>
      </c>
      <c r="P171">
        <f t="shared" si="15"/>
        <v>52</v>
      </c>
      <c r="Q171">
        <f t="shared" si="16"/>
        <v>104</v>
      </c>
      <c r="R171">
        <f t="shared" si="17"/>
        <v>52</v>
      </c>
      <c r="S171">
        <f>M171*GiaDinh!$C$7</f>
        <v>180.6</v>
      </c>
    </row>
    <row r="172" spans="1:19" x14ac:dyDescent="0.35">
      <c r="A172" t="s">
        <v>10</v>
      </c>
      <c r="B172">
        <v>42</v>
      </c>
      <c r="C172" t="s">
        <v>168</v>
      </c>
      <c r="D172" t="s">
        <v>338</v>
      </c>
      <c r="E172">
        <v>4</v>
      </c>
      <c r="F172">
        <v>87.3</v>
      </c>
      <c r="G172">
        <f>E172*F172*GiaDinh!$C$18*GiaDinh!$C$17</f>
        <v>293.32799999999997</v>
      </c>
      <c r="H172">
        <v>1.238</v>
      </c>
      <c r="I172">
        <f>GiaDinh!$C$15</f>
        <v>15</v>
      </c>
      <c r="J172">
        <f t="shared" si="12"/>
        <v>13</v>
      </c>
      <c r="K172">
        <f>J172*GiaDinh!$C$16</f>
        <v>91</v>
      </c>
      <c r="L172">
        <f t="shared" si="13"/>
        <v>4</v>
      </c>
      <c r="M172">
        <f t="shared" si="14"/>
        <v>60</v>
      </c>
      <c r="N172">
        <f>L172*ROUNDUP(I172/GiaDinh!$C$5-0.0005,0)</f>
        <v>12</v>
      </c>
      <c r="O172">
        <f>L172*(ROUNDUP(I172/GiaDinh!$C$5-0.0005,0)-1)</f>
        <v>8</v>
      </c>
      <c r="P172">
        <f t="shared" si="15"/>
        <v>52</v>
      </c>
      <c r="Q172">
        <f t="shared" si="16"/>
        <v>104</v>
      </c>
      <c r="R172">
        <f t="shared" si="17"/>
        <v>52</v>
      </c>
      <c r="S172">
        <f>M172*GiaDinh!$C$7</f>
        <v>180.6</v>
      </c>
    </row>
    <row r="173" spans="1:19" x14ac:dyDescent="0.35">
      <c r="A173" t="s">
        <v>10</v>
      </c>
      <c r="B173">
        <v>43</v>
      </c>
      <c r="C173" t="s">
        <v>168</v>
      </c>
      <c r="D173" t="s">
        <v>339</v>
      </c>
      <c r="E173">
        <v>2</v>
      </c>
      <c r="F173">
        <v>87.3</v>
      </c>
      <c r="G173">
        <f>E173*F173*GiaDinh!$C$18*GiaDinh!$C$17</f>
        <v>146.66399999999999</v>
      </c>
      <c r="H173">
        <v>1.238</v>
      </c>
      <c r="I173">
        <f>GiaDinh!$C$15</f>
        <v>15</v>
      </c>
      <c r="J173">
        <f t="shared" si="12"/>
        <v>13</v>
      </c>
      <c r="K173">
        <f>J173*GiaDinh!$C$16</f>
        <v>91</v>
      </c>
      <c r="L173">
        <f t="shared" si="13"/>
        <v>2</v>
      </c>
      <c r="M173">
        <f t="shared" si="14"/>
        <v>30</v>
      </c>
      <c r="N173">
        <f>L173*ROUNDUP(I173/GiaDinh!$C$5-0.0005,0)</f>
        <v>6</v>
      </c>
      <c r="O173">
        <f>L173*(ROUNDUP(I173/GiaDinh!$C$5-0.0005,0)-1)</f>
        <v>4</v>
      </c>
      <c r="P173">
        <f t="shared" si="15"/>
        <v>26</v>
      </c>
      <c r="Q173">
        <f t="shared" si="16"/>
        <v>52</v>
      </c>
      <c r="R173">
        <f t="shared" si="17"/>
        <v>26</v>
      </c>
      <c r="S173">
        <f>M173*GiaDinh!$C$7</f>
        <v>90.3</v>
      </c>
    </row>
    <row r="174" spans="1:19" x14ac:dyDescent="0.35">
      <c r="A174" t="s">
        <v>10</v>
      </c>
      <c r="B174">
        <v>44</v>
      </c>
      <c r="C174" t="s">
        <v>173</v>
      </c>
      <c r="D174" t="s">
        <v>340</v>
      </c>
      <c r="E174">
        <v>1</v>
      </c>
      <c r="F174">
        <v>87.3</v>
      </c>
      <c r="G174">
        <f>E174*F174*GiaDinh!$C$18*GiaDinh!$C$17</f>
        <v>73.331999999999994</v>
      </c>
      <c r="H174">
        <v>1.238</v>
      </c>
      <c r="I174">
        <f>GiaDinh!$C$15</f>
        <v>15</v>
      </c>
      <c r="J174">
        <f t="shared" si="12"/>
        <v>13</v>
      </c>
      <c r="K174">
        <f>J174*GiaDinh!$C$16</f>
        <v>91</v>
      </c>
      <c r="L174">
        <f t="shared" si="13"/>
        <v>1</v>
      </c>
      <c r="M174">
        <f t="shared" si="14"/>
        <v>15</v>
      </c>
      <c r="N174">
        <f>L174*ROUNDUP(I174/GiaDinh!$C$5-0.0005,0)</f>
        <v>3</v>
      </c>
      <c r="O174">
        <f>L174*(ROUNDUP(I174/GiaDinh!$C$5-0.0005,0)-1)</f>
        <v>2</v>
      </c>
      <c r="P174">
        <f t="shared" si="15"/>
        <v>13</v>
      </c>
      <c r="Q174">
        <f t="shared" si="16"/>
        <v>26</v>
      </c>
      <c r="R174">
        <f t="shared" si="17"/>
        <v>13</v>
      </c>
      <c r="S174">
        <f>M174*GiaDinh!$C$7</f>
        <v>45.15</v>
      </c>
    </row>
    <row r="175" spans="1:19" x14ac:dyDescent="0.35">
      <c r="A175" t="s">
        <v>10</v>
      </c>
      <c r="B175">
        <v>45</v>
      </c>
      <c r="C175" t="s">
        <v>173</v>
      </c>
      <c r="D175" t="s">
        <v>341</v>
      </c>
      <c r="E175">
        <v>1</v>
      </c>
      <c r="F175">
        <v>87.3</v>
      </c>
      <c r="G175">
        <f>E175*F175*GiaDinh!$C$18*GiaDinh!$C$17</f>
        <v>73.331999999999994</v>
      </c>
      <c r="H175">
        <v>1.238</v>
      </c>
      <c r="I175">
        <f>GiaDinh!$C$15</f>
        <v>15</v>
      </c>
      <c r="J175">
        <f t="shared" si="12"/>
        <v>13</v>
      </c>
      <c r="K175">
        <f>J175*GiaDinh!$C$16</f>
        <v>91</v>
      </c>
      <c r="L175">
        <f t="shared" si="13"/>
        <v>1</v>
      </c>
      <c r="M175">
        <f t="shared" si="14"/>
        <v>15</v>
      </c>
      <c r="N175">
        <f>L175*ROUNDUP(I175/GiaDinh!$C$5-0.0005,0)</f>
        <v>3</v>
      </c>
      <c r="O175">
        <f>L175*(ROUNDUP(I175/GiaDinh!$C$5-0.0005,0)-1)</f>
        <v>2</v>
      </c>
      <c r="P175">
        <f t="shared" si="15"/>
        <v>13</v>
      </c>
      <c r="Q175">
        <f t="shared" si="16"/>
        <v>26</v>
      </c>
      <c r="R175">
        <f t="shared" si="17"/>
        <v>13</v>
      </c>
      <c r="S175">
        <f>M175*GiaDinh!$C$7</f>
        <v>45.15</v>
      </c>
    </row>
    <row r="176" spans="1:19" x14ac:dyDescent="0.35">
      <c r="A176" t="s">
        <v>10</v>
      </c>
      <c r="B176">
        <v>46</v>
      </c>
      <c r="C176" t="s">
        <v>173</v>
      </c>
      <c r="D176" t="s">
        <v>342</v>
      </c>
      <c r="E176">
        <v>1</v>
      </c>
      <c r="F176">
        <v>87.3</v>
      </c>
      <c r="G176">
        <f>E176*F176*GiaDinh!$C$18*GiaDinh!$C$17</f>
        <v>73.331999999999994</v>
      </c>
      <c r="H176">
        <v>1.238</v>
      </c>
      <c r="I176">
        <f>GiaDinh!$C$15</f>
        <v>15</v>
      </c>
      <c r="J176">
        <f t="shared" si="12"/>
        <v>13</v>
      </c>
      <c r="K176">
        <f>J176*GiaDinh!$C$16</f>
        <v>91</v>
      </c>
      <c r="L176">
        <f t="shared" si="13"/>
        <v>1</v>
      </c>
      <c r="M176">
        <f t="shared" si="14"/>
        <v>15</v>
      </c>
      <c r="N176">
        <f>L176*ROUNDUP(I176/GiaDinh!$C$5-0.0005,0)</f>
        <v>3</v>
      </c>
      <c r="O176">
        <f>L176*(ROUNDUP(I176/GiaDinh!$C$5-0.0005,0)-1)</f>
        <v>2</v>
      </c>
      <c r="P176">
        <f t="shared" si="15"/>
        <v>13</v>
      </c>
      <c r="Q176">
        <f t="shared" si="16"/>
        <v>26</v>
      </c>
      <c r="R176">
        <f t="shared" si="17"/>
        <v>13</v>
      </c>
      <c r="S176">
        <f>M176*GiaDinh!$C$7</f>
        <v>45.15</v>
      </c>
    </row>
    <row r="177" spans="1:19" x14ac:dyDescent="0.35">
      <c r="A177" t="s">
        <v>10</v>
      </c>
      <c r="B177">
        <v>47</v>
      </c>
      <c r="C177" t="s">
        <v>173</v>
      </c>
      <c r="D177" t="s">
        <v>343</v>
      </c>
      <c r="E177">
        <v>1</v>
      </c>
      <c r="F177">
        <v>87.3</v>
      </c>
      <c r="G177">
        <f>E177*F177*GiaDinh!$C$18*GiaDinh!$C$17</f>
        <v>73.331999999999994</v>
      </c>
      <c r="H177">
        <v>1.238</v>
      </c>
      <c r="I177">
        <f>GiaDinh!$C$15</f>
        <v>15</v>
      </c>
      <c r="J177">
        <f t="shared" si="12"/>
        <v>13</v>
      </c>
      <c r="K177">
        <f>J177*GiaDinh!$C$16</f>
        <v>91</v>
      </c>
      <c r="L177">
        <f t="shared" si="13"/>
        <v>1</v>
      </c>
      <c r="M177">
        <f t="shared" si="14"/>
        <v>15</v>
      </c>
      <c r="N177">
        <f>L177*ROUNDUP(I177/GiaDinh!$C$5-0.0005,0)</f>
        <v>3</v>
      </c>
      <c r="O177">
        <f>L177*(ROUNDUP(I177/GiaDinh!$C$5-0.0005,0)-1)</f>
        <v>2</v>
      </c>
      <c r="P177">
        <f t="shared" si="15"/>
        <v>13</v>
      </c>
      <c r="Q177">
        <f t="shared" si="16"/>
        <v>26</v>
      </c>
      <c r="R177">
        <f t="shared" si="17"/>
        <v>13</v>
      </c>
      <c r="S177">
        <f>M177*GiaDinh!$C$7</f>
        <v>45.15</v>
      </c>
    </row>
    <row r="178" spans="1:19" x14ac:dyDescent="0.35">
      <c r="A178" t="s">
        <v>10</v>
      </c>
      <c r="B178">
        <v>48</v>
      </c>
      <c r="C178" t="s">
        <v>173</v>
      </c>
      <c r="D178" t="s">
        <v>344</v>
      </c>
      <c r="E178">
        <v>1</v>
      </c>
      <c r="F178">
        <v>87.3</v>
      </c>
      <c r="G178">
        <f>E178*F178*GiaDinh!$C$18*GiaDinh!$C$17</f>
        <v>73.331999999999994</v>
      </c>
      <c r="H178">
        <v>1.238</v>
      </c>
      <c r="I178">
        <f>GiaDinh!$C$15</f>
        <v>15</v>
      </c>
      <c r="J178">
        <f t="shared" si="12"/>
        <v>13</v>
      </c>
      <c r="K178">
        <f>J178*GiaDinh!$C$16</f>
        <v>91</v>
      </c>
      <c r="L178">
        <f t="shared" si="13"/>
        <v>1</v>
      </c>
      <c r="M178">
        <f t="shared" si="14"/>
        <v>15</v>
      </c>
      <c r="N178">
        <f>L178*ROUNDUP(I178/GiaDinh!$C$5-0.0005,0)</f>
        <v>3</v>
      </c>
      <c r="O178">
        <f>L178*(ROUNDUP(I178/GiaDinh!$C$5-0.0005,0)-1)</f>
        <v>2</v>
      </c>
      <c r="P178">
        <f t="shared" si="15"/>
        <v>13</v>
      </c>
      <c r="Q178">
        <f t="shared" si="16"/>
        <v>26</v>
      </c>
      <c r="R178">
        <f t="shared" si="17"/>
        <v>13</v>
      </c>
      <c r="S178">
        <f>M178*GiaDinh!$C$7</f>
        <v>45.15</v>
      </c>
    </row>
    <row r="179" spans="1:19" x14ac:dyDescent="0.35">
      <c r="A179" t="s">
        <v>10</v>
      </c>
      <c r="B179">
        <v>49</v>
      </c>
      <c r="C179" t="s">
        <v>173</v>
      </c>
      <c r="D179" t="s">
        <v>345</v>
      </c>
      <c r="E179">
        <v>1</v>
      </c>
      <c r="F179">
        <v>87.3</v>
      </c>
      <c r="G179">
        <f>E179*F179*GiaDinh!$C$18*GiaDinh!$C$17</f>
        <v>73.331999999999994</v>
      </c>
      <c r="H179">
        <v>1.238</v>
      </c>
      <c r="I179">
        <f>GiaDinh!$C$15</f>
        <v>15</v>
      </c>
      <c r="J179">
        <f t="shared" si="12"/>
        <v>13</v>
      </c>
      <c r="K179">
        <f>J179*GiaDinh!$C$16</f>
        <v>91</v>
      </c>
      <c r="L179">
        <f t="shared" si="13"/>
        <v>1</v>
      </c>
      <c r="M179">
        <f t="shared" si="14"/>
        <v>15</v>
      </c>
      <c r="N179">
        <f>L179*ROUNDUP(I179/GiaDinh!$C$5-0.0005,0)</f>
        <v>3</v>
      </c>
      <c r="O179">
        <f>L179*(ROUNDUP(I179/GiaDinh!$C$5-0.0005,0)-1)</f>
        <v>2</v>
      </c>
      <c r="P179">
        <f t="shared" si="15"/>
        <v>13</v>
      </c>
      <c r="Q179">
        <f t="shared" si="16"/>
        <v>26</v>
      </c>
      <c r="R179">
        <f t="shared" si="17"/>
        <v>13</v>
      </c>
      <c r="S179">
        <f>M179*GiaDinh!$C$7</f>
        <v>45.15</v>
      </c>
    </row>
    <row r="180" spans="1:19" x14ac:dyDescent="0.35">
      <c r="A180" t="s">
        <v>10</v>
      </c>
      <c r="B180">
        <v>50</v>
      </c>
      <c r="C180" t="s">
        <v>173</v>
      </c>
      <c r="D180" t="s">
        <v>346</v>
      </c>
      <c r="E180">
        <v>1</v>
      </c>
      <c r="F180">
        <v>87.3</v>
      </c>
      <c r="G180">
        <f>E180*F180*GiaDinh!$C$18*GiaDinh!$C$17</f>
        <v>73.331999999999994</v>
      </c>
      <c r="H180">
        <v>1.238</v>
      </c>
      <c r="I180">
        <f>GiaDinh!$C$15</f>
        <v>15</v>
      </c>
      <c r="J180">
        <f t="shared" si="12"/>
        <v>13</v>
      </c>
      <c r="K180">
        <f>J180*GiaDinh!$C$16</f>
        <v>91</v>
      </c>
      <c r="L180">
        <f t="shared" si="13"/>
        <v>1</v>
      </c>
      <c r="M180">
        <f t="shared" si="14"/>
        <v>15</v>
      </c>
      <c r="N180">
        <f>L180*ROUNDUP(I180/GiaDinh!$C$5-0.0005,0)</f>
        <v>3</v>
      </c>
      <c r="O180">
        <f>L180*(ROUNDUP(I180/GiaDinh!$C$5-0.0005,0)-1)</f>
        <v>2</v>
      </c>
      <c r="P180">
        <f t="shared" si="15"/>
        <v>13</v>
      </c>
      <c r="Q180">
        <f t="shared" si="16"/>
        <v>26</v>
      </c>
      <c r="R180">
        <f t="shared" si="17"/>
        <v>13</v>
      </c>
      <c r="S180">
        <f>M180*GiaDinh!$C$7</f>
        <v>45.15</v>
      </c>
    </row>
    <row r="181" spans="1:19" x14ac:dyDescent="0.35">
      <c r="A181" t="s">
        <v>10</v>
      </c>
      <c r="B181">
        <v>51</v>
      </c>
      <c r="C181" t="s">
        <v>173</v>
      </c>
      <c r="D181" t="s">
        <v>347</v>
      </c>
      <c r="E181">
        <v>1</v>
      </c>
      <c r="F181">
        <v>87.3</v>
      </c>
      <c r="G181">
        <f>E181*F181*GiaDinh!$C$18*GiaDinh!$C$17</f>
        <v>73.331999999999994</v>
      </c>
      <c r="H181">
        <v>1.238</v>
      </c>
      <c r="I181">
        <f>GiaDinh!$C$15</f>
        <v>15</v>
      </c>
      <c r="J181">
        <f t="shared" si="12"/>
        <v>13</v>
      </c>
      <c r="K181">
        <f>J181*GiaDinh!$C$16</f>
        <v>91</v>
      </c>
      <c r="L181">
        <f t="shared" si="13"/>
        <v>1</v>
      </c>
      <c r="M181">
        <f t="shared" si="14"/>
        <v>15</v>
      </c>
      <c r="N181">
        <f>L181*ROUNDUP(I181/GiaDinh!$C$5-0.0005,0)</f>
        <v>3</v>
      </c>
      <c r="O181">
        <f>L181*(ROUNDUP(I181/GiaDinh!$C$5-0.0005,0)-1)</f>
        <v>2</v>
      </c>
      <c r="P181">
        <f t="shared" si="15"/>
        <v>13</v>
      </c>
      <c r="Q181">
        <f t="shared" si="16"/>
        <v>26</v>
      </c>
      <c r="R181">
        <f t="shared" si="17"/>
        <v>13</v>
      </c>
      <c r="S181">
        <f>M181*GiaDinh!$C$7</f>
        <v>45.15</v>
      </c>
    </row>
    <row r="182" spans="1:19" x14ac:dyDescent="0.35">
      <c r="A182" t="s">
        <v>10</v>
      </c>
      <c r="B182">
        <v>52</v>
      </c>
      <c r="C182" t="s">
        <v>173</v>
      </c>
      <c r="D182" t="s">
        <v>348</v>
      </c>
      <c r="E182">
        <v>1</v>
      </c>
      <c r="F182">
        <v>87.3</v>
      </c>
      <c r="G182">
        <f>E182*F182*GiaDinh!$C$18*GiaDinh!$C$17</f>
        <v>73.331999999999994</v>
      </c>
      <c r="H182">
        <v>1.238</v>
      </c>
      <c r="I182">
        <f>GiaDinh!$C$15</f>
        <v>15</v>
      </c>
      <c r="J182">
        <f t="shared" si="12"/>
        <v>13</v>
      </c>
      <c r="K182">
        <f>J182*GiaDinh!$C$16</f>
        <v>91</v>
      </c>
      <c r="L182">
        <f t="shared" si="13"/>
        <v>1</v>
      </c>
      <c r="M182">
        <f t="shared" si="14"/>
        <v>15</v>
      </c>
      <c r="N182">
        <f>L182*ROUNDUP(I182/GiaDinh!$C$5-0.0005,0)</f>
        <v>3</v>
      </c>
      <c r="O182">
        <f>L182*(ROUNDUP(I182/GiaDinh!$C$5-0.0005,0)-1)</f>
        <v>2</v>
      </c>
      <c r="P182">
        <f t="shared" si="15"/>
        <v>13</v>
      </c>
      <c r="Q182">
        <f t="shared" si="16"/>
        <v>26</v>
      </c>
      <c r="R182">
        <f t="shared" si="17"/>
        <v>13</v>
      </c>
      <c r="S182">
        <f>M182*GiaDinh!$C$7</f>
        <v>45.15</v>
      </c>
    </row>
    <row r="183" spans="1:19" x14ac:dyDescent="0.35">
      <c r="A183" t="s">
        <v>10</v>
      </c>
      <c r="B183">
        <v>53</v>
      </c>
      <c r="C183" t="s">
        <v>173</v>
      </c>
      <c r="D183" t="s">
        <v>349</v>
      </c>
      <c r="E183">
        <v>1</v>
      </c>
      <c r="F183">
        <v>87.3</v>
      </c>
      <c r="G183">
        <f>E183*F183*GiaDinh!$C$18*GiaDinh!$C$17</f>
        <v>73.331999999999994</v>
      </c>
      <c r="H183">
        <v>1.238</v>
      </c>
      <c r="I183">
        <f>GiaDinh!$C$15</f>
        <v>15</v>
      </c>
      <c r="J183">
        <f t="shared" si="12"/>
        <v>13</v>
      </c>
      <c r="K183">
        <f>J183*GiaDinh!$C$16</f>
        <v>91</v>
      </c>
      <c r="L183">
        <f t="shared" si="13"/>
        <v>1</v>
      </c>
      <c r="M183">
        <f t="shared" si="14"/>
        <v>15</v>
      </c>
      <c r="N183">
        <f>L183*ROUNDUP(I183/GiaDinh!$C$5-0.0005,0)</f>
        <v>3</v>
      </c>
      <c r="O183">
        <f>L183*(ROUNDUP(I183/GiaDinh!$C$5-0.0005,0)-1)</f>
        <v>2</v>
      </c>
      <c r="P183">
        <f t="shared" si="15"/>
        <v>13</v>
      </c>
      <c r="Q183">
        <f t="shared" si="16"/>
        <v>26</v>
      </c>
      <c r="R183">
        <f t="shared" si="17"/>
        <v>13</v>
      </c>
      <c r="S183">
        <f>M183*GiaDinh!$C$7</f>
        <v>45.15</v>
      </c>
    </row>
    <row r="184" spans="1:19" x14ac:dyDescent="0.35">
      <c r="A184" t="s">
        <v>10</v>
      </c>
      <c r="B184">
        <v>54</v>
      </c>
      <c r="C184" t="s">
        <v>173</v>
      </c>
      <c r="D184" t="s">
        <v>350</v>
      </c>
      <c r="E184">
        <v>1</v>
      </c>
      <c r="F184">
        <v>87.3</v>
      </c>
      <c r="G184">
        <f>E184*F184*GiaDinh!$C$18*GiaDinh!$C$17</f>
        <v>73.331999999999994</v>
      </c>
      <c r="H184">
        <v>1.238</v>
      </c>
      <c r="I184">
        <f>GiaDinh!$C$15</f>
        <v>15</v>
      </c>
      <c r="J184">
        <f t="shared" si="12"/>
        <v>13</v>
      </c>
      <c r="K184">
        <f>J184*GiaDinh!$C$16</f>
        <v>91</v>
      </c>
      <c r="L184">
        <f t="shared" si="13"/>
        <v>1</v>
      </c>
      <c r="M184">
        <f t="shared" si="14"/>
        <v>15</v>
      </c>
      <c r="N184">
        <f>L184*ROUNDUP(I184/GiaDinh!$C$5-0.0005,0)</f>
        <v>3</v>
      </c>
      <c r="O184">
        <f>L184*(ROUNDUP(I184/GiaDinh!$C$5-0.0005,0)-1)</f>
        <v>2</v>
      </c>
      <c r="P184">
        <f t="shared" si="15"/>
        <v>13</v>
      </c>
      <c r="Q184">
        <f t="shared" si="16"/>
        <v>26</v>
      </c>
      <c r="R184">
        <f t="shared" si="17"/>
        <v>13</v>
      </c>
      <c r="S184">
        <f>M184*GiaDinh!$C$7</f>
        <v>45.15</v>
      </c>
    </row>
    <row r="185" spans="1:19" x14ac:dyDescent="0.35">
      <c r="A185" t="s">
        <v>10</v>
      </c>
      <c r="B185">
        <v>55</v>
      </c>
      <c r="C185" t="s">
        <v>173</v>
      </c>
      <c r="D185" t="s">
        <v>351</v>
      </c>
      <c r="E185">
        <v>1</v>
      </c>
      <c r="F185">
        <v>87.3</v>
      </c>
      <c r="G185">
        <f>E185*F185*GiaDinh!$C$18*GiaDinh!$C$17</f>
        <v>73.331999999999994</v>
      </c>
      <c r="H185">
        <v>1.238</v>
      </c>
      <c r="I185">
        <f>GiaDinh!$C$15</f>
        <v>15</v>
      </c>
      <c r="J185">
        <f t="shared" si="12"/>
        <v>13</v>
      </c>
      <c r="K185">
        <f>J185*GiaDinh!$C$16</f>
        <v>91</v>
      </c>
      <c r="L185">
        <f t="shared" si="13"/>
        <v>1</v>
      </c>
      <c r="M185">
        <f t="shared" si="14"/>
        <v>15</v>
      </c>
      <c r="N185">
        <f>L185*ROUNDUP(I185/GiaDinh!$C$5-0.0005,0)</f>
        <v>3</v>
      </c>
      <c r="O185">
        <f>L185*(ROUNDUP(I185/GiaDinh!$C$5-0.0005,0)-1)</f>
        <v>2</v>
      </c>
      <c r="P185">
        <f t="shared" si="15"/>
        <v>13</v>
      </c>
      <c r="Q185">
        <f t="shared" si="16"/>
        <v>26</v>
      </c>
      <c r="R185">
        <f t="shared" si="17"/>
        <v>13</v>
      </c>
      <c r="S185">
        <f>M185*GiaDinh!$C$7</f>
        <v>45.15</v>
      </c>
    </row>
    <row r="186" spans="1:19" x14ac:dyDescent="0.35">
      <c r="A186" t="s">
        <v>10</v>
      </c>
      <c r="B186">
        <v>56</v>
      </c>
      <c r="C186" t="s">
        <v>173</v>
      </c>
      <c r="D186" t="s">
        <v>352</v>
      </c>
      <c r="E186">
        <v>1</v>
      </c>
      <c r="F186">
        <v>87.3</v>
      </c>
      <c r="G186">
        <f>E186*F186*GiaDinh!$C$18*GiaDinh!$C$17</f>
        <v>73.331999999999994</v>
      </c>
      <c r="H186">
        <v>1.238</v>
      </c>
      <c r="I186">
        <f>GiaDinh!$C$15</f>
        <v>15</v>
      </c>
      <c r="J186">
        <f t="shared" si="12"/>
        <v>13</v>
      </c>
      <c r="K186">
        <f>J186*GiaDinh!$C$16</f>
        <v>91</v>
      </c>
      <c r="L186">
        <f t="shared" si="13"/>
        <v>1</v>
      </c>
      <c r="M186">
        <f t="shared" si="14"/>
        <v>15</v>
      </c>
      <c r="N186">
        <f>L186*ROUNDUP(I186/GiaDinh!$C$5-0.0005,0)</f>
        <v>3</v>
      </c>
      <c r="O186">
        <f>L186*(ROUNDUP(I186/GiaDinh!$C$5-0.0005,0)-1)</f>
        <v>2</v>
      </c>
      <c r="P186">
        <f t="shared" si="15"/>
        <v>13</v>
      </c>
      <c r="Q186">
        <f t="shared" si="16"/>
        <v>26</v>
      </c>
      <c r="R186">
        <f t="shared" si="17"/>
        <v>13</v>
      </c>
      <c r="S186">
        <f>M186*GiaDinh!$C$7</f>
        <v>45.15</v>
      </c>
    </row>
    <row r="187" spans="1:19" x14ac:dyDescent="0.35">
      <c r="A187" t="s">
        <v>10</v>
      </c>
      <c r="B187">
        <v>57</v>
      </c>
      <c r="C187" t="s">
        <v>173</v>
      </c>
      <c r="D187" t="s">
        <v>353</v>
      </c>
      <c r="E187">
        <v>1</v>
      </c>
      <c r="F187">
        <v>87.3</v>
      </c>
      <c r="G187">
        <f>E187*F187*GiaDinh!$C$18*GiaDinh!$C$17</f>
        <v>73.331999999999994</v>
      </c>
      <c r="H187">
        <v>1.238</v>
      </c>
      <c r="I187">
        <f>GiaDinh!$C$15</f>
        <v>15</v>
      </c>
      <c r="J187">
        <f t="shared" si="12"/>
        <v>13</v>
      </c>
      <c r="K187">
        <f>J187*GiaDinh!$C$16</f>
        <v>91</v>
      </c>
      <c r="L187">
        <f t="shared" si="13"/>
        <v>1</v>
      </c>
      <c r="M187">
        <f t="shared" si="14"/>
        <v>15</v>
      </c>
      <c r="N187">
        <f>L187*ROUNDUP(I187/GiaDinh!$C$5-0.0005,0)</f>
        <v>3</v>
      </c>
      <c r="O187">
        <f>L187*(ROUNDUP(I187/GiaDinh!$C$5-0.0005,0)-1)</f>
        <v>2</v>
      </c>
      <c r="P187">
        <f t="shared" si="15"/>
        <v>13</v>
      </c>
      <c r="Q187">
        <f t="shared" si="16"/>
        <v>26</v>
      </c>
      <c r="R187">
        <f t="shared" si="17"/>
        <v>13</v>
      </c>
      <c r="S187">
        <f>M187*GiaDinh!$C$7</f>
        <v>45.15</v>
      </c>
    </row>
    <row r="188" spans="1:19" x14ac:dyDescent="0.35">
      <c r="A188" t="s">
        <v>10</v>
      </c>
      <c r="B188">
        <v>58</v>
      </c>
      <c r="C188" t="s">
        <v>173</v>
      </c>
      <c r="D188" t="s">
        <v>354</v>
      </c>
      <c r="E188">
        <v>1</v>
      </c>
      <c r="F188">
        <v>87.3</v>
      </c>
      <c r="G188">
        <f>E188*F188*GiaDinh!$C$18*GiaDinh!$C$17</f>
        <v>73.331999999999994</v>
      </c>
      <c r="H188">
        <v>1.238</v>
      </c>
      <c r="I188">
        <f>GiaDinh!$C$15</f>
        <v>15</v>
      </c>
      <c r="J188">
        <f t="shared" si="12"/>
        <v>13</v>
      </c>
      <c r="K188">
        <f>J188*GiaDinh!$C$16</f>
        <v>91</v>
      </c>
      <c r="L188">
        <f t="shared" si="13"/>
        <v>1</v>
      </c>
      <c r="M188">
        <f t="shared" si="14"/>
        <v>15</v>
      </c>
      <c r="N188">
        <f>L188*ROUNDUP(I188/GiaDinh!$C$5-0.0005,0)</f>
        <v>3</v>
      </c>
      <c r="O188">
        <f>L188*(ROUNDUP(I188/GiaDinh!$C$5-0.0005,0)-1)</f>
        <v>2</v>
      </c>
      <c r="P188">
        <f t="shared" si="15"/>
        <v>13</v>
      </c>
      <c r="Q188">
        <f t="shared" si="16"/>
        <v>26</v>
      </c>
      <c r="R188">
        <f t="shared" si="17"/>
        <v>13</v>
      </c>
      <c r="S188">
        <f>M188*GiaDinh!$C$7</f>
        <v>45.15</v>
      </c>
    </row>
    <row r="189" spans="1:19" x14ac:dyDescent="0.35">
      <c r="A189" t="s">
        <v>10</v>
      </c>
      <c r="B189">
        <v>59</v>
      </c>
      <c r="C189" t="s">
        <v>173</v>
      </c>
      <c r="D189" t="s">
        <v>355</v>
      </c>
      <c r="E189">
        <v>1</v>
      </c>
      <c r="F189">
        <v>87.3</v>
      </c>
      <c r="G189">
        <f>E189*F189*GiaDinh!$C$18*GiaDinh!$C$17</f>
        <v>73.331999999999994</v>
      </c>
      <c r="H189">
        <v>1.238</v>
      </c>
      <c r="I189">
        <f>GiaDinh!$C$15</f>
        <v>15</v>
      </c>
      <c r="J189">
        <f t="shared" si="12"/>
        <v>13</v>
      </c>
      <c r="K189">
        <f>J189*GiaDinh!$C$16</f>
        <v>91</v>
      </c>
      <c r="L189">
        <f t="shared" si="13"/>
        <v>1</v>
      </c>
      <c r="M189">
        <f t="shared" si="14"/>
        <v>15</v>
      </c>
      <c r="N189">
        <f>L189*ROUNDUP(I189/GiaDinh!$C$5-0.0005,0)</f>
        <v>3</v>
      </c>
      <c r="O189">
        <f>L189*(ROUNDUP(I189/GiaDinh!$C$5-0.0005,0)-1)</f>
        <v>2</v>
      </c>
      <c r="P189">
        <f t="shared" si="15"/>
        <v>13</v>
      </c>
      <c r="Q189">
        <f t="shared" si="16"/>
        <v>26</v>
      </c>
      <c r="R189">
        <f t="shared" si="17"/>
        <v>13</v>
      </c>
      <c r="S189">
        <f>M189*GiaDinh!$C$7</f>
        <v>45.15</v>
      </c>
    </row>
    <row r="190" spans="1:19" x14ac:dyDescent="0.35">
      <c r="A190" t="s">
        <v>10</v>
      </c>
      <c r="B190">
        <v>60</v>
      </c>
      <c r="C190" t="s">
        <v>173</v>
      </c>
      <c r="D190" t="s">
        <v>356</v>
      </c>
      <c r="E190">
        <v>1</v>
      </c>
      <c r="F190">
        <v>87.3</v>
      </c>
      <c r="G190">
        <f>E190*F190*GiaDinh!$C$18*GiaDinh!$C$17</f>
        <v>73.331999999999994</v>
      </c>
      <c r="H190">
        <v>1.238</v>
      </c>
      <c r="I190">
        <f>GiaDinh!$C$15</f>
        <v>15</v>
      </c>
      <c r="J190">
        <f t="shared" si="12"/>
        <v>13</v>
      </c>
      <c r="K190">
        <f>J190*GiaDinh!$C$16</f>
        <v>91</v>
      </c>
      <c r="L190">
        <f t="shared" si="13"/>
        <v>1</v>
      </c>
      <c r="M190">
        <f t="shared" si="14"/>
        <v>15</v>
      </c>
      <c r="N190">
        <f>L190*ROUNDUP(I190/GiaDinh!$C$5-0.0005,0)</f>
        <v>3</v>
      </c>
      <c r="O190">
        <f>L190*(ROUNDUP(I190/GiaDinh!$C$5-0.0005,0)-1)</f>
        <v>2</v>
      </c>
      <c r="P190">
        <f t="shared" si="15"/>
        <v>13</v>
      </c>
      <c r="Q190">
        <f t="shared" si="16"/>
        <v>26</v>
      </c>
      <c r="R190">
        <f t="shared" si="17"/>
        <v>13</v>
      </c>
      <c r="S190">
        <f>M190*GiaDinh!$C$7</f>
        <v>45.15</v>
      </c>
    </row>
    <row r="191" spans="1:19" x14ac:dyDescent="0.35">
      <c r="A191" t="s">
        <v>10</v>
      </c>
      <c r="B191">
        <v>61</v>
      </c>
      <c r="C191" t="s">
        <v>173</v>
      </c>
      <c r="D191" t="s">
        <v>357</v>
      </c>
      <c r="E191">
        <v>1</v>
      </c>
      <c r="F191">
        <v>87.3</v>
      </c>
      <c r="G191">
        <f>E191*F191*GiaDinh!$C$18*GiaDinh!$C$17</f>
        <v>73.331999999999994</v>
      </c>
      <c r="H191">
        <v>1.238</v>
      </c>
      <c r="I191">
        <f>GiaDinh!$C$15</f>
        <v>15</v>
      </c>
      <c r="J191">
        <f t="shared" si="12"/>
        <v>13</v>
      </c>
      <c r="K191">
        <f>J191*GiaDinh!$C$16</f>
        <v>91</v>
      </c>
      <c r="L191">
        <f t="shared" si="13"/>
        <v>1</v>
      </c>
      <c r="M191">
        <f t="shared" si="14"/>
        <v>15</v>
      </c>
      <c r="N191">
        <f>L191*ROUNDUP(I191/GiaDinh!$C$5-0.0005,0)</f>
        <v>3</v>
      </c>
      <c r="O191">
        <f>L191*(ROUNDUP(I191/GiaDinh!$C$5-0.0005,0)-1)</f>
        <v>2</v>
      </c>
      <c r="P191">
        <f t="shared" si="15"/>
        <v>13</v>
      </c>
      <c r="Q191">
        <f t="shared" si="16"/>
        <v>26</v>
      </c>
      <c r="R191">
        <f t="shared" si="17"/>
        <v>13</v>
      </c>
      <c r="S191">
        <f>M191*GiaDinh!$C$7</f>
        <v>45.15</v>
      </c>
    </row>
    <row r="192" spans="1:19" x14ac:dyDescent="0.35">
      <c r="A192" t="s">
        <v>10</v>
      </c>
      <c r="B192">
        <v>62</v>
      </c>
      <c r="C192" t="s">
        <v>173</v>
      </c>
      <c r="D192" t="s">
        <v>358</v>
      </c>
      <c r="E192">
        <v>1</v>
      </c>
      <c r="F192">
        <v>87.3</v>
      </c>
      <c r="G192">
        <f>E192*F192*GiaDinh!$C$18*GiaDinh!$C$17</f>
        <v>73.331999999999994</v>
      </c>
      <c r="H192">
        <v>1.238</v>
      </c>
      <c r="I192">
        <f>GiaDinh!$C$15</f>
        <v>15</v>
      </c>
      <c r="J192">
        <f t="shared" si="12"/>
        <v>13</v>
      </c>
      <c r="K192">
        <f>J192*GiaDinh!$C$16</f>
        <v>91</v>
      </c>
      <c r="L192">
        <f t="shared" si="13"/>
        <v>1</v>
      </c>
      <c r="M192">
        <f t="shared" si="14"/>
        <v>15</v>
      </c>
      <c r="N192">
        <f>L192*ROUNDUP(I192/GiaDinh!$C$5-0.0005,0)</f>
        <v>3</v>
      </c>
      <c r="O192">
        <f>L192*(ROUNDUP(I192/GiaDinh!$C$5-0.0005,0)-1)</f>
        <v>2</v>
      </c>
      <c r="P192">
        <f t="shared" si="15"/>
        <v>13</v>
      </c>
      <c r="Q192">
        <f t="shared" si="16"/>
        <v>26</v>
      </c>
      <c r="R192">
        <f t="shared" si="17"/>
        <v>13</v>
      </c>
      <c r="S192">
        <f>M192*GiaDinh!$C$7</f>
        <v>45.15</v>
      </c>
    </row>
    <row r="193" spans="1:19" x14ac:dyDescent="0.35">
      <c r="A193" t="s">
        <v>10</v>
      </c>
      <c r="B193">
        <v>63</v>
      </c>
      <c r="C193" t="s">
        <v>173</v>
      </c>
      <c r="D193" t="s">
        <v>359</v>
      </c>
      <c r="E193">
        <v>1</v>
      </c>
      <c r="F193">
        <v>87.3</v>
      </c>
      <c r="G193">
        <f>E193*F193*GiaDinh!$C$18*GiaDinh!$C$17</f>
        <v>73.331999999999994</v>
      </c>
      <c r="H193">
        <v>1.238</v>
      </c>
      <c r="I193">
        <f>GiaDinh!$C$15</f>
        <v>15</v>
      </c>
      <c r="J193">
        <f t="shared" si="12"/>
        <v>13</v>
      </c>
      <c r="K193">
        <f>J193*GiaDinh!$C$16</f>
        <v>91</v>
      </c>
      <c r="L193">
        <f t="shared" si="13"/>
        <v>1</v>
      </c>
      <c r="M193">
        <f t="shared" si="14"/>
        <v>15</v>
      </c>
      <c r="N193">
        <f>L193*ROUNDUP(I193/GiaDinh!$C$5-0.0005,0)</f>
        <v>3</v>
      </c>
      <c r="O193">
        <f>L193*(ROUNDUP(I193/GiaDinh!$C$5-0.0005,0)-1)</f>
        <v>2</v>
      </c>
      <c r="P193">
        <f t="shared" si="15"/>
        <v>13</v>
      </c>
      <c r="Q193">
        <f t="shared" si="16"/>
        <v>26</v>
      </c>
      <c r="R193">
        <f t="shared" si="17"/>
        <v>13</v>
      </c>
      <c r="S193">
        <f>M193*GiaDinh!$C$7</f>
        <v>45.15</v>
      </c>
    </row>
    <row r="194" spans="1:19" x14ac:dyDescent="0.35">
      <c r="A194" t="s">
        <v>10</v>
      </c>
      <c r="B194">
        <v>64</v>
      </c>
      <c r="C194" t="s">
        <v>168</v>
      </c>
      <c r="D194" t="s">
        <v>360</v>
      </c>
      <c r="E194">
        <v>4</v>
      </c>
      <c r="F194">
        <v>87.3</v>
      </c>
      <c r="G194">
        <f>E194*F194*GiaDinh!$C$18*GiaDinh!$C$17</f>
        <v>293.32799999999997</v>
      </c>
      <c r="H194">
        <v>1.238</v>
      </c>
      <c r="I194">
        <f>GiaDinh!$C$15</f>
        <v>15</v>
      </c>
      <c r="J194">
        <f t="shared" si="12"/>
        <v>13</v>
      </c>
      <c r="K194">
        <f>J194*GiaDinh!$C$16</f>
        <v>91</v>
      </c>
      <c r="L194">
        <f t="shared" si="13"/>
        <v>4</v>
      </c>
      <c r="M194">
        <f t="shared" si="14"/>
        <v>60</v>
      </c>
      <c r="N194">
        <f>L194*ROUNDUP(I194/GiaDinh!$C$5-0.0005,0)</f>
        <v>12</v>
      </c>
      <c r="O194">
        <f>L194*(ROUNDUP(I194/GiaDinh!$C$5-0.0005,0)-1)</f>
        <v>8</v>
      </c>
      <c r="P194">
        <f t="shared" si="15"/>
        <v>52</v>
      </c>
      <c r="Q194">
        <f t="shared" si="16"/>
        <v>104</v>
      </c>
      <c r="R194">
        <f t="shared" si="17"/>
        <v>52</v>
      </c>
      <c r="S194">
        <f>M194*GiaDinh!$C$7</f>
        <v>180.6</v>
      </c>
    </row>
    <row r="195" spans="1:19" x14ac:dyDescent="0.35">
      <c r="A195" t="s">
        <v>11</v>
      </c>
      <c r="B195">
        <v>1</v>
      </c>
      <c r="C195" t="s">
        <v>173</v>
      </c>
      <c r="D195" t="s">
        <v>361</v>
      </c>
      <c r="E195">
        <v>1</v>
      </c>
      <c r="F195">
        <v>86</v>
      </c>
      <c r="G195">
        <f>E195*F195*GiaDinh!$C$18*GiaDinh!$C$17</f>
        <v>72.239999999999995</v>
      </c>
      <c r="H195">
        <v>1.2470000000000001</v>
      </c>
      <c r="I195">
        <f>GiaDinh!$C$15</f>
        <v>15</v>
      </c>
      <c r="J195">
        <f t="shared" si="12"/>
        <v>13</v>
      </c>
      <c r="K195">
        <f>J195*GiaDinh!$C$16</f>
        <v>91</v>
      </c>
      <c r="L195">
        <f t="shared" si="13"/>
        <v>1</v>
      </c>
      <c r="M195">
        <f t="shared" si="14"/>
        <v>15</v>
      </c>
      <c r="N195">
        <f>L195*ROUNDUP(I195/GiaDinh!$C$5-0.0005,0)</f>
        <v>3</v>
      </c>
      <c r="O195">
        <f>L195*(ROUNDUP(I195/GiaDinh!$C$5-0.0005,0)-1)</f>
        <v>2</v>
      </c>
      <c r="P195">
        <f t="shared" si="15"/>
        <v>13</v>
      </c>
      <c r="Q195">
        <f t="shared" si="16"/>
        <v>26</v>
      </c>
      <c r="R195">
        <f t="shared" si="17"/>
        <v>13</v>
      </c>
      <c r="S195">
        <f>M195*GiaDinh!$C$7</f>
        <v>45.15</v>
      </c>
    </row>
    <row r="196" spans="1:19" x14ac:dyDescent="0.35">
      <c r="A196" t="s">
        <v>11</v>
      </c>
      <c r="B196">
        <v>2</v>
      </c>
      <c r="C196" t="s">
        <v>173</v>
      </c>
      <c r="D196" t="s">
        <v>362</v>
      </c>
      <c r="E196">
        <v>1</v>
      </c>
      <c r="F196">
        <v>86</v>
      </c>
      <c r="G196">
        <f>E196*F196*GiaDinh!$C$18*GiaDinh!$C$17</f>
        <v>72.239999999999995</v>
      </c>
      <c r="H196">
        <v>1.2470000000000001</v>
      </c>
      <c r="I196">
        <f>GiaDinh!$C$15</f>
        <v>15</v>
      </c>
      <c r="J196">
        <f t="shared" ref="J196:J259" si="18">ROUNDDOWN(I196/H196,0)+1</f>
        <v>13</v>
      </c>
      <c r="K196">
        <f>J196*GiaDinh!$C$16</f>
        <v>91</v>
      </c>
      <c r="L196">
        <f t="shared" ref="L196:L259" si="19">MAX(1,ROUNDUP(G196/K196-0.0005,0))</f>
        <v>1</v>
      </c>
      <c r="M196">
        <f t="shared" ref="M196:M259" si="20">L196*I196</f>
        <v>15</v>
      </c>
      <c r="N196">
        <f>L196*ROUNDUP(I196/GiaDinh!$C$5-0.0005,0)</f>
        <v>3</v>
      </c>
      <c r="O196">
        <f>L196*(ROUNDUP(I196/GiaDinh!$C$5-0.0005,0)-1)</f>
        <v>2</v>
      </c>
      <c r="P196">
        <f t="shared" ref="P196:P259" si="21">L196*J196</f>
        <v>13</v>
      </c>
      <c r="Q196">
        <f t="shared" ref="Q196:Q259" si="22">2*P196</f>
        <v>26</v>
      </c>
      <c r="R196">
        <f t="shared" ref="R196:R259" si="23">P196</f>
        <v>13</v>
      </c>
      <c r="S196">
        <f>M196*GiaDinh!$C$7</f>
        <v>45.15</v>
      </c>
    </row>
    <row r="197" spans="1:19" x14ac:dyDescent="0.35">
      <c r="A197" t="s">
        <v>11</v>
      </c>
      <c r="B197">
        <v>3</v>
      </c>
      <c r="C197" t="s">
        <v>173</v>
      </c>
      <c r="D197" t="s">
        <v>363</v>
      </c>
      <c r="E197">
        <v>1</v>
      </c>
      <c r="F197">
        <v>86</v>
      </c>
      <c r="G197">
        <f>E197*F197*GiaDinh!$C$18*GiaDinh!$C$17</f>
        <v>72.239999999999995</v>
      </c>
      <c r="H197">
        <v>1.2470000000000001</v>
      </c>
      <c r="I197">
        <f>GiaDinh!$C$15</f>
        <v>15</v>
      </c>
      <c r="J197">
        <f t="shared" si="18"/>
        <v>13</v>
      </c>
      <c r="K197">
        <f>J197*GiaDinh!$C$16</f>
        <v>91</v>
      </c>
      <c r="L197">
        <f t="shared" si="19"/>
        <v>1</v>
      </c>
      <c r="M197">
        <f t="shared" si="20"/>
        <v>15</v>
      </c>
      <c r="N197">
        <f>L197*ROUNDUP(I197/GiaDinh!$C$5-0.0005,0)</f>
        <v>3</v>
      </c>
      <c r="O197">
        <f>L197*(ROUNDUP(I197/GiaDinh!$C$5-0.0005,0)-1)</f>
        <v>2</v>
      </c>
      <c r="P197">
        <f t="shared" si="21"/>
        <v>13</v>
      </c>
      <c r="Q197">
        <f t="shared" si="22"/>
        <v>26</v>
      </c>
      <c r="R197">
        <f t="shared" si="23"/>
        <v>13</v>
      </c>
      <c r="S197">
        <f>M197*GiaDinh!$C$7</f>
        <v>45.15</v>
      </c>
    </row>
    <row r="198" spans="1:19" x14ac:dyDescent="0.35">
      <c r="A198" t="s">
        <v>11</v>
      </c>
      <c r="B198">
        <v>4</v>
      </c>
      <c r="C198" t="s">
        <v>173</v>
      </c>
      <c r="D198" t="s">
        <v>364</v>
      </c>
      <c r="E198">
        <v>1</v>
      </c>
      <c r="F198">
        <v>86</v>
      </c>
      <c r="G198">
        <f>E198*F198*GiaDinh!$C$18*GiaDinh!$C$17</f>
        <v>72.239999999999995</v>
      </c>
      <c r="H198">
        <v>1.2470000000000001</v>
      </c>
      <c r="I198">
        <f>GiaDinh!$C$15</f>
        <v>15</v>
      </c>
      <c r="J198">
        <f t="shared" si="18"/>
        <v>13</v>
      </c>
      <c r="K198">
        <f>J198*GiaDinh!$C$16</f>
        <v>91</v>
      </c>
      <c r="L198">
        <f t="shared" si="19"/>
        <v>1</v>
      </c>
      <c r="M198">
        <f t="shared" si="20"/>
        <v>15</v>
      </c>
      <c r="N198">
        <f>L198*ROUNDUP(I198/GiaDinh!$C$5-0.0005,0)</f>
        <v>3</v>
      </c>
      <c r="O198">
        <f>L198*(ROUNDUP(I198/GiaDinh!$C$5-0.0005,0)-1)</f>
        <v>2</v>
      </c>
      <c r="P198">
        <f t="shared" si="21"/>
        <v>13</v>
      </c>
      <c r="Q198">
        <f t="shared" si="22"/>
        <v>26</v>
      </c>
      <c r="R198">
        <f t="shared" si="23"/>
        <v>13</v>
      </c>
      <c r="S198">
        <f>M198*GiaDinh!$C$7</f>
        <v>45.15</v>
      </c>
    </row>
    <row r="199" spans="1:19" x14ac:dyDescent="0.35">
      <c r="A199" t="s">
        <v>11</v>
      </c>
      <c r="B199">
        <v>5</v>
      </c>
      <c r="C199" t="s">
        <v>173</v>
      </c>
      <c r="D199" t="s">
        <v>365</v>
      </c>
      <c r="E199">
        <v>1</v>
      </c>
      <c r="F199">
        <v>86</v>
      </c>
      <c r="G199">
        <f>E199*F199*GiaDinh!$C$18*GiaDinh!$C$17</f>
        <v>72.239999999999995</v>
      </c>
      <c r="H199">
        <v>1.2470000000000001</v>
      </c>
      <c r="I199">
        <f>GiaDinh!$C$15</f>
        <v>15</v>
      </c>
      <c r="J199">
        <f t="shared" si="18"/>
        <v>13</v>
      </c>
      <c r="K199">
        <f>J199*GiaDinh!$C$16</f>
        <v>91</v>
      </c>
      <c r="L199">
        <f t="shared" si="19"/>
        <v>1</v>
      </c>
      <c r="M199">
        <f t="shared" si="20"/>
        <v>15</v>
      </c>
      <c r="N199">
        <f>L199*ROUNDUP(I199/GiaDinh!$C$5-0.0005,0)</f>
        <v>3</v>
      </c>
      <c r="O199">
        <f>L199*(ROUNDUP(I199/GiaDinh!$C$5-0.0005,0)-1)</f>
        <v>2</v>
      </c>
      <c r="P199">
        <f t="shared" si="21"/>
        <v>13</v>
      </c>
      <c r="Q199">
        <f t="shared" si="22"/>
        <v>26</v>
      </c>
      <c r="R199">
        <f t="shared" si="23"/>
        <v>13</v>
      </c>
      <c r="S199">
        <f>M199*GiaDinh!$C$7</f>
        <v>45.15</v>
      </c>
    </row>
    <row r="200" spans="1:19" x14ac:dyDescent="0.35">
      <c r="A200" t="s">
        <v>11</v>
      </c>
      <c r="B200">
        <v>6</v>
      </c>
      <c r="C200" t="s">
        <v>173</v>
      </c>
      <c r="D200" t="s">
        <v>366</v>
      </c>
      <c r="E200">
        <v>1</v>
      </c>
      <c r="F200">
        <v>86</v>
      </c>
      <c r="G200">
        <f>E200*F200*GiaDinh!$C$18*GiaDinh!$C$17</f>
        <v>72.239999999999995</v>
      </c>
      <c r="H200">
        <v>1.2470000000000001</v>
      </c>
      <c r="I200">
        <f>GiaDinh!$C$15</f>
        <v>15</v>
      </c>
      <c r="J200">
        <f t="shared" si="18"/>
        <v>13</v>
      </c>
      <c r="K200">
        <f>J200*GiaDinh!$C$16</f>
        <v>91</v>
      </c>
      <c r="L200">
        <f t="shared" si="19"/>
        <v>1</v>
      </c>
      <c r="M200">
        <f t="shared" si="20"/>
        <v>15</v>
      </c>
      <c r="N200">
        <f>L200*ROUNDUP(I200/GiaDinh!$C$5-0.0005,0)</f>
        <v>3</v>
      </c>
      <c r="O200">
        <f>L200*(ROUNDUP(I200/GiaDinh!$C$5-0.0005,0)-1)</f>
        <v>2</v>
      </c>
      <c r="P200">
        <f t="shared" si="21"/>
        <v>13</v>
      </c>
      <c r="Q200">
        <f t="shared" si="22"/>
        <v>26</v>
      </c>
      <c r="R200">
        <f t="shared" si="23"/>
        <v>13</v>
      </c>
      <c r="S200">
        <f>M200*GiaDinh!$C$7</f>
        <v>45.15</v>
      </c>
    </row>
    <row r="201" spans="1:19" x14ac:dyDescent="0.35">
      <c r="A201" t="s">
        <v>11</v>
      </c>
      <c r="B201">
        <v>7</v>
      </c>
      <c r="C201" t="s">
        <v>173</v>
      </c>
      <c r="D201" t="s">
        <v>367</v>
      </c>
      <c r="E201">
        <v>1</v>
      </c>
      <c r="F201">
        <v>86</v>
      </c>
      <c r="G201">
        <f>E201*F201*GiaDinh!$C$18*GiaDinh!$C$17</f>
        <v>72.239999999999995</v>
      </c>
      <c r="H201">
        <v>1.2470000000000001</v>
      </c>
      <c r="I201">
        <f>GiaDinh!$C$15</f>
        <v>15</v>
      </c>
      <c r="J201">
        <f t="shared" si="18"/>
        <v>13</v>
      </c>
      <c r="K201">
        <f>J201*GiaDinh!$C$16</f>
        <v>91</v>
      </c>
      <c r="L201">
        <f t="shared" si="19"/>
        <v>1</v>
      </c>
      <c r="M201">
        <f t="shared" si="20"/>
        <v>15</v>
      </c>
      <c r="N201">
        <f>L201*ROUNDUP(I201/GiaDinh!$C$5-0.0005,0)</f>
        <v>3</v>
      </c>
      <c r="O201">
        <f>L201*(ROUNDUP(I201/GiaDinh!$C$5-0.0005,0)-1)</f>
        <v>2</v>
      </c>
      <c r="P201">
        <f t="shared" si="21"/>
        <v>13</v>
      </c>
      <c r="Q201">
        <f t="shared" si="22"/>
        <v>26</v>
      </c>
      <c r="R201">
        <f t="shared" si="23"/>
        <v>13</v>
      </c>
      <c r="S201">
        <f>M201*GiaDinh!$C$7</f>
        <v>45.15</v>
      </c>
    </row>
    <row r="202" spans="1:19" x14ac:dyDescent="0.35">
      <c r="A202" t="s">
        <v>11</v>
      </c>
      <c r="B202">
        <v>8</v>
      </c>
      <c r="C202" t="s">
        <v>173</v>
      </c>
      <c r="D202" t="s">
        <v>368</v>
      </c>
      <c r="E202">
        <v>1</v>
      </c>
      <c r="F202">
        <v>86</v>
      </c>
      <c r="G202">
        <f>E202*F202*GiaDinh!$C$18*GiaDinh!$C$17</f>
        <v>72.239999999999995</v>
      </c>
      <c r="H202">
        <v>1.2470000000000001</v>
      </c>
      <c r="I202">
        <f>GiaDinh!$C$15</f>
        <v>15</v>
      </c>
      <c r="J202">
        <f t="shared" si="18"/>
        <v>13</v>
      </c>
      <c r="K202">
        <f>J202*GiaDinh!$C$16</f>
        <v>91</v>
      </c>
      <c r="L202">
        <f t="shared" si="19"/>
        <v>1</v>
      </c>
      <c r="M202">
        <f t="shared" si="20"/>
        <v>15</v>
      </c>
      <c r="N202">
        <f>L202*ROUNDUP(I202/GiaDinh!$C$5-0.0005,0)</f>
        <v>3</v>
      </c>
      <c r="O202">
        <f>L202*(ROUNDUP(I202/GiaDinh!$C$5-0.0005,0)-1)</f>
        <v>2</v>
      </c>
      <c r="P202">
        <f t="shared" si="21"/>
        <v>13</v>
      </c>
      <c r="Q202">
        <f t="shared" si="22"/>
        <v>26</v>
      </c>
      <c r="R202">
        <f t="shared" si="23"/>
        <v>13</v>
      </c>
      <c r="S202">
        <f>M202*GiaDinh!$C$7</f>
        <v>45.15</v>
      </c>
    </row>
    <row r="203" spans="1:19" x14ac:dyDescent="0.35">
      <c r="A203" t="s">
        <v>11</v>
      </c>
      <c r="B203">
        <v>9</v>
      </c>
      <c r="C203" t="s">
        <v>173</v>
      </c>
      <c r="D203" t="s">
        <v>369</v>
      </c>
      <c r="E203">
        <v>1</v>
      </c>
      <c r="F203">
        <v>86</v>
      </c>
      <c r="G203">
        <f>E203*F203*GiaDinh!$C$18*GiaDinh!$C$17</f>
        <v>72.239999999999995</v>
      </c>
      <c r="H203">
        <v>1.2470000000000001</v>
      </c>
      <c r="I203">
        <f>GiaDinh!$C$15</f>
        <v>15</v>
      </c>
      <c r="J203">
        <f t="shared" si="18"/>
        <v>13</v>
      </c>
      <c r="K203">
        <f>J203*GiaDinh!$C$16</f>
        <v>91</v>
      </c>
      <c r="L203">
        <f t="shared" si="19"/>
        <v>1</v>
      </c>
      <c r="M203">
        <f t="shared" si="20"/>
        <v>15</v>
      </c>
      <c r="N203">
        <f>L203*ROUNDUP(I203/GiaDinh!$C$5-0.0005,0)</f>
        <v>3</v>
      </c>
      <c r="O203">
        <f>L203*(ROUNDUP(I203/GiaDinh!$C$5-0.0005,0)-1)</f>
        <v>2</v>
      </c>
      <c r="P203">
        <f t="shared" si="21"/>
        <v>13</v>
      </c>
      <c r="Q203">
        <f t="shared" si="22"/>
        <v>26</v>
      </c>
      <c r="R203">
        <f t="shared" si="23"/>
        <v>13</v>
      </c>
      <c r="S203">
        <f>M203*GiaDinh!$C$7</f>
        <v>45.15</v>
      </c>
    </row>
    <row r="204" spans="1:19" x14ac:dyDescent="0.35">
      <c r="A204" t="s">
        <v>11</v>
      </c>
      <c r="B204">
        <v>10</v>
      </c>
      <c r="C204" t="s">
        <v>173</v>
      </c>
      <c r="D204" t="s">
        <v>370</v>
      </c>
      <c r="E204">
        <v>1</v>
      </c>
      <c r="F204">
        <v>86</v>
      </c>
      <c r="G204">
        <f>E204*F204*GiaDinh!$C$18*GiaDinh!$C$17</f>
        <v>72.239999999999995</v>
      </c>
      <c r="H204">
        <v>1.2470000000000001</v>
      </c>
      <c r="I204">
        <f>GiaDinh!$C$15</f>
        <v>15</v>
      </c>
      <c r="J204">
        <f t="shared" si="18"/>
        <v>13</v>
      </c>
      <c r="K204">
        <f>J204*GiaDinh!$C$16</f>
        <v>91</v>
      </c>
      <c r="L204">
        <f t="shared" si="19"/>
        <v>1</v>
      </c>
      <c r="M204">
        <f t="shared" si="20"/>
        <v>15</v>
      </c>
      <c r="N204">
        <f>L204*ROUNDUP(I204/GiaDinh!$C$5-0.0005,0)</f>
        <v>3</v>
      </c>
      <c r="O204">
        <f>L204*(ROUNDUP(I204/GiaDinh!$C$5-0.0005,0)-1)</f>
        <v>2</v>
      </c>
      <c r="P204">
        <f t="shared" si="21"/>
        <v>13</v>
      </c>
      <c r="Q204">
        <f t="shared" si="22"/>
        <v>26</v>
      </c>
      <c r="R204">
        <f t="shared" si="23"/>
        <v>13</v>
      </c>
      <c r="S204">
        <f>M204*GiaDinh!$C$7</f>
        <v>45.15</v>
      </c>
    </row>
    <row r="205" spans="1:19" x14ac:dyDescent="0.35">
      <c r="A205" t="s">
        <v>11</v>
      </c>
      <c r="B205">
        <v>11</v>
      </c>
      <c r="C205" t="s">
        <v>173</v>
      </c>
      <c r="D205" t="s">
        <v>371</v>
      </c>
      <c r="E205">
        <v>1</v>
      </c>
      <c r="F205">
        <v>86</v>
      </c>
      <c r="G205">
        <f>E205*F205*GiaDinh!$C$18*GiaDinh!$C$17</f>
        <v>72.239999999999995</v>
      </c>
      <c r="H205">
        <v>1.2470000000000001</v>
      </c>
      <c r="I205">
        <f>GiaDinh!$C$15</f>
        <v>15</v>
      </c>
      <c r="J205">
        <f t="shared" si="18"/>
        <v>13</v>
      </c>
      <c r="K205">
        <f>J205*GiaDinh!$C$16</f>
        <v>91</v>
      </c>
      <c r="L205">
        <f t="shared" si="19"/>
        <v>1</v>
      </c>
      <c r="M205">
        <f t="shared" si="20"/>
        <v>15</v>
      </c>
      <c r="N205">
        <f>L205*ROUNDUP(I205/GiaDinh!$C$5-0.0005,0)</f>
        <v>3</v>
      </c>
      <c r="O205">
        <f>L205*(ROUNDUP(I205/GiaDinh!$C$5-0.0005,0)-1)</f>
        <v>2</v>
      </c>
      <c r="P205">
        <f t="shared" si="21"/>
        <v>13</v>
      </c>
      <c r="Q205">
        <f t="shared" si="22"/>
        <v>26</v>
      </c>
      <c r="R205">
        <f t="shared" si="23"/>
        <v>13</v>
      </c>
      <c r="S205">
        <f>M205*GiaDinh!$C$7</f>
        <v>45.15</v>
      </c>
    </row>
    <row r="206" spans="1:19" x14ac:dyDescent="0.35">
      <c r="A206" t="s">
        <v>11</v>
      </c>
      <c r="B206">
        <v>12</v>
      </c>
      <c r="C206" t="s">
        <v>173</v>
      </c>
      <c r="D206" t="s">
        <v>372</v>
      </c>
      <c r="E206">
        <v>1</v>
      </c>
      <c r="F206">
        <v>86</v>
      </c>
      <c r="G206">
        <f>E206*F206*GiaDinh!$C$18*GiaDinh!$C$17</f>
        <v>72.239999999999995</v>
      </c>
      <c r="H206">
        <v>1.2470000000000001</v>
      </c>
      <c r="I206">
        <f>GiaDinh!$C$15</f>
        <v>15</v>
      </c>
      <c r="J206">
        <f t="shared" si="18"/>
        <v>13</v>
      </c>
      <c r="K206">
        <f>J206*GiaDinh!$C$16</f>
        <v>91</v>
      </c>
      <c r="L206">
        <f t="shared" si="19"/>
        <v>1</v>
      </c>
      <c r="M206">
        <f t="shared" si="20"/>
        <v>15</v>
      </c>
      <c r="N206">
        <f>L206*ROUNDUP(I206/GiaDinh!$C$5-0.0005,0)</f>
        <v>3</v>
      </c>
      <c r="O206">
        <f>L206*(ROUNDUP(I206/GiaDinh!$C$5-0.0005,0)-1)</f>
        <v>2</v>
      </c>
      <c r="P206">
        <f t="shared" si="21"/>
        <v>13</v>
      </c>
      <c r="Q206">
        <f t="shared" si="22"/>
        <v>26</v>
      </c>
      <c r="R206">
        <f t="shared" si="23"/>
        <v>13</v>
      </c>
      <c r="S206">
        <f>M206*GiaDinh!$C$7</f>
        <v>45.15</v>
      </c>
    </row>
    <row r="207" spans="1:19" x14ac:dyDescent="0.35">
      <c r="A207" t="s">
        <v>11</v>
      </c>
      <c r="B207">
        <v>13</v>
      </c>
      <c r="C207" t="s">
        <v>173</v>
      </c>
      <c r="D207" t="s">
        <v>373</v>
      </c>
      <c r="E207">
        <v>1</v>
      </c>
      <c r="F207">
        <v>86</v>
      </c>
      <c r="G207">
        <f>E207*F207*GiaDinh!$C$18*GiaDinh!$C$17</f>
        <v>72.239999999999995</v>
      </c>
      <c r="H207">
        <v>1.2470000000000001</v>
      </c>
      <c r="I207">
        <f>GiaDinh!$C$15</f>
        <v>15</v>
      </c>
      <c r="J207">
        <f t="shared" si="18"/>
        <v>13</v>
      </c>
      <c r="K207">
        <f>J207*GiaDinh!$C$16</f>
        <v>91</v>
      </c>
      <c r="L207">
        <f t="shared" si="19"/>
        <v>1</v>
      </c>
      <c r="M207">
        <f t="shared" si="20"/>
        <v>15</v>
      </c>
      <c r="N207">
        <f>L207*ROUNDUP(I207/GiaDinh!$C$5-0.0005,0)</f>
        <v>3</v>
      </c>
      <c r="O207">
        <f>L207*(ROUNDUP(I207/GiaDinh!$C$5-0.0005,0)-1)</f>
        <v>2</v>
      </c>
      <c r="P207">
        <f t="shared" si="21"/>
        <v>13</v>
      </c>
      <c r="Q207">
        <f t="shared" si="22"/>
        <v>26</v>
      </c>
      <c r="R207">
        <f t="shared" si="23"/>
        <v>13</v>
      </c>
      <c r="S207">
        <f>M207*GiaDinh!$C$7</f>
        <v>45.15</v>
      </c>
    </row>
    <row r="208" spans="1:19" x14ac:dyDescent="0.35">
      <c r="A208" t="s">
        <v>11</v>
      </c>
      <c r="B208">
        <v>14</v>
      </c>
      <c r="C208" t="s">
        <v>173</v>
      </c>
      <c r="D208" t="s">
        <v>374</v>
      </c>
      <c r="E208">
        <v>1</v>
      </c>
      <c r="F208">
        <v>86</v>
      </c>
      <c r="G208">
        <f>E208*F208*GiaDinh!$C$18*GiaDinh!$C$17</f>
        <v>72.239999999999995</v>
      </c>
      <c r="H208">
        <v>1.2470000000000001</v>
      </c>
      <c r="I208">
        <f>GiaDinh!$C$15</f>
        <v>15</v>
      </c>
      <c r="J208">
        <f t="shared" si="18"/>
        <v>13</v>
      </c>
      <c r="K208">
        <f>J208*GiaDinh!$C$16</f>
        <v>91</v>
      </c>
      <c r="L208">
        <f t="shared" si="19"/>
        <v>1</v>
      </c>
      <c r="M208">
        <f t="shared" si="20"/>
        <v>15</v>
      </c>
      <c r="N208">
        <f>L208*ROUNDUP(I208/GiaDinh!$C$5-0.0005,0)</f>
        <v>3</v>
      </c>
      <c r="O208">
        <f>L208*(ROUNDUP(I208/GiaDinh!$C$5-0.0005,0)-1)</f>
        <v>2</v>
      </c>
      <c r="P208">
        <f t="shared" si="21"/>
        <v>13</v>
      </c>
      <c r="Q208">
        <f t="shared" si="22"/>
        <v>26</v>
      </c>
      <c r="R208">
        <f t="shared" si="23"/>
        <v>13</v>
      </c>
      <c r="S208">
        <f>M208*GiaDinh!$C$7</f>
        <v>45.15</v>
      </c>
    </row>
    <row r="209" spans="1:19" x14ac:dyDescent="0.35">
      <c r="A209" t="s">
        <v>11</v>
      </c>
      <c r="B209">
        <v>15</v>
      </c>
      <c r="C209" t="s">
        <v>168</v>
      </c>
      <c r="D209" t="s">
        <v>375</v>
      </c>
      <c r="E209">
        <v>4</v>
      </c>
      <c r="F209">
        <v>86</v>
      </c>
      <c r="G209">
        <f>E209*F209*GiaDinh!$C$18*GiaDinh!$C$17</f>
        <v>288.95999999999998</v>
      </c>
      <c r="H209">
        <v>1.2470000000000001</v>
      </c>
      <c r="I209">
        <f>GiaDinh!$C$15</f>
        <v>15</v>
      </c>
      <c r="J209">
        <f t="shared" si="18"/>
        <v>13</v>
      </c>
      <c r="K209">
        <f>J209*GiaDinh!$C$16</f>
        <v>91</v>
      </c>
      <c r="L209">
        <f t="shared" si="19"/>
        <v>4</v>
      </c>
      <c r="M209">
        <f t="shared" si="20"/>
        <v>60</v>
      </c>
      <c r="N209">
        <f>L209*ROUNDUP(I209/GiaDinh!$C$5-0.0005,0)</f>
        <v>12</v>
      </c>
      <c r="O209">
        <f>L209*(ROUNDUP(I209/GiaDinh!$C$5-0.0005,0)-1)</f>
        <v>8</v>
      </c>
      <c r="P209">
        <f t="shared" si="21"/>
        <v>52</v>
      </c>
      <c r="Q209">
        <f t="shared" si="22"/>
        <v>104</v>
      </c>
      <c r="R209">
        <f t="shared" si="23"/>
        <v>52</v>
      </c>
      <c r="S209">
        <f>M209*GiaDinh!$C$7</f>
        <v>180.6</v>
      </c>
    </row>
    <row r="210" spans="1:19" x14ac:dyDescent="0.35">
      <c r="A210" t="s">
        <v>11</v>
      </c>
      <c r="B210">
        <v>16</v>
      </c>
      <c r="C210" t="s">
        <v>168</v>
      </c>
      <c r="D210" t="s">
        <v>376</v>
      </c>
      <c r="E210">
        <v>3</v>
      </c>
      <c r="F210">
        <v>86</v>
      </c>
      <c r="G210">
        <f>E210*F210*GiaDinh!$C$18*GiaDinh!$C$17</f>
        <v>216.72</v>
      </c>
      <c r="H210">
        <v>1.2470000000000001</v>
      </c>
      <c r="I210">
        <f>GiaDinh!$C$15</f>
        <v>15</v>
      </c>
      <c r="J210">
        <f t="shared" si="18"/>
        <v>13</v>
      </c>
      <c r="K210">
        <f>J210*GiaDinh!$C$16</f>
        <v>91</v>
      </c>
      <c r="L210">
        <f t="shared" si="19"/>
        <v>3</v>
      </c>
      <c r="M210">
        <f t="shared" si="20"/>
        <v>45</v>
      </c>
      <c r="N210">
        <f>L210*ROUNDUP(I210/GiaDinh!$C$5-0.0005,0)</f>
        <v>9</v>
      </c>
      <c r="O210">
        <f>L210*(ROUNDUP(I210/GiaDinh!$C$5-0.0005,0)-1)</f>
        <v>6</v>
      </c>
      <c r="P210">
        <f t="shared" si="21"/>
        <v>39</v>
      </c>
      <c r="Q210">
        <f t="shared" si="22"/>
        <v>78</v>
      </c>
      <c r="R210">
        <f t="shared" si="23"/>
        <v>39</v>
      </c>
      <c r="S210">
        <f>M210*GiaDinh!$C$7</f>
        <v>135.44999999999999</v>
      </c>
    </row>
    <row r="211" spans="1:19" x14ac:dyDescent="0.35">
      <c r="A211" t="s">
        <v>11</v>
      </c>
      <c r="B211">
        <v>17</v>
      </c>
      <c r="C211" t="s">
        <v>168</v>
      </c>
      <c r="D211" t="s">
        <v>377</v>
      </c>
      <c r="E211">
        <v>3</v>
      </c>
      <c r="F211">
        <v>86</v>
      </c>
      <c r="G211">
        <f>E211*F211*GiaDinh!$C$18*GiaDinh!$C$17</f>
        <v>216.72</v>
      </c>
      <c r="H211">
        <v>1.2470000000000001</v>
      </c>
      <c r="I211">
        <f>GiaDinh!$C$15</f>
        <v>15</v>
      </c>
      <c r="J211">
        <f t="shared" si="18"/>
        <v>13</v>
      </c>
      <c r="K211">
        <f>J211*GiaDinh!$C$16</f>
        <v>91</v>
      </c>
      <c r="L211">
        <f t="shared" si="19"/>
        <v>3</v>
      </c>
      <c r="M211">
        <f t="shared" si="20"/>
        <v>45</v>
      </c>
      <c r="N211">
        <f>L211*ROUNDUP(I211/GiaDinh!$C$5-0.0005,0)</f>
        <v>9</v>
      </c>
      <c r="O211">
        <f>L211*(ROUNDUP(I211/GiaDinh!$C$5-0.0005,0)-1)</f>
        <v>6</v>
      </c>
      <c r="P211">
        <f t="shared" si="21"/>
        <v>39</v>
      </c>
      <c r="Q211">
        <f t="shared" si="22"/>
        <v>78</v>
      </c>
      <c r="R211">
        <f t="shared" si="23"/>
        <v>39</v>
      </c>
      <c r="S211">
        <f>M211*GiaDinh!$C$7</f>
        <v>135.44999999999999</v>
      </c>
    </row>
    <row r="212" spans="1:19" x14ac:dyDescent="0.35">
      <c r="A212" t="s">
        <v>11</v>
      </c>
      <c r="B212">
        <v>18</v>
      </c>
      <c r="C212" t="s">
        <v>168</v>
      </c>
      <c r="D212" t="s">
        <v>378</v>
      </c>
      <c r="E212">
        <v>4</v>
      </c>
      <c r="F212">
        <v>86</v>
      </c>
      <c r="G212">
        <f>E212*F212*GiaDinh!$C$18*GiaDinh!$C$17</f>
        <v>288.95999999999998</v>
      </c>
      <c r="H212">
        <v>1.2470000000000001</v>
      </c>
      <c r="I212">
        <f>GiaDinh!$C$15</f>
        <v>15</v>
      </c>
      <c r="J212">
        <f t="shared" si="18"/>
        <v>13</v>
      </c>
      <c r="K212">
        <f>J212*GiaDinh!$C$16</f>
        <v>91</v>
      </c>
      <c r="L212">
        <f t="shared" si="19"/>
        <v>4</v>
      </c>
      <c r="M212">
        <f t="shared" si="20"/>
        <v>60</v>
      </c>
      <c r="N212">
        <f>L212*ROUNDUP(I212/GiaDinh!$C$5-0.0005,0)</f>
        <v>12</v>
      </c>
      <c r="O212">
        <f>L212*(ROUNDUP(I212/GiaDinh!$C$5-0.0005,0)-1)</f>
        <v>8</v>
      </c>
      <c r="P212">
        <f t="shared" si="21"/>
        <v>52</v>
      </c>
      <c r="Q212">
        <f t="shared" si="22"/>
        <v>104</v>
      </c>
      <c r="R212">
        <f t="shared" si="23"/>
        <v>52</v>
      </c>
      <c r="S212">
        <f>M212*GiaDinh!$C$7</f>
        <v>180.6</v>
      </c>
    </row>
    <row r="213" spans="1:19" x14ac:dyDescent="0.35">
      <c r="A213" t="s">
        <v>11</v>
      </c>
      <c r="B213">
        <v>19</v>
      </c>
      <c r="C213" t="s">
        <v>173</v>
      </c>
      <c r="D213" t="s">
        <v>379</v>
      </c>
      <c r="E213">
        <v>1</v>
      </c>
      <c r="F213">
        <v>86</v>
      </c>
      <c r="G213">
        <f>E213*F213*GiaDinh!$C$18*GiaDinh!$C$17</f>
        <v>72.239999999999995</v>
      </c>
      <c r="H213">
        <v>1.2470000000000001</v>
      </c>
      <c r="I213">
        <f>GiaDinh!$C$15</f>
        <v>15</v>
      </c>
      <c r="J213">
        <f t="shared" si="18"/>
        <v>13</v>
      </c>
      <c r="K213">
        <f>J213*GiaDinh!$C$16</f>
        <v>91</v>
      </c>
      <c r="L213">
        <f t="shared" si="19"/>
        <v>1</v>
      </c>
      <c r="M213">
        <f t="shared" si="20"/>
        <v>15</v>
      </c>
      <c r="N213">
        <f>L213*ROUNDUP(I213/GiaDinh!$C$5-0.0005,0)</f>
        <v>3</v>
      </c>
      <c r="O213">
        <f>L213*(ROUNDUP(I213/GiaDinh!$C$5-0.0005,0)-1)</f>
        <v>2</v>
      </c>
      <c r="P213">
        <f t="shared" si="21"/>
        <v>13</v>
      </c>
      <c r="Q213">
        <f t="shared" si="22"/>
        <v>26</v>
      </c>
      <c r="R213">
        <f t="shared" si="23"/>
        <v>13</v>
      </c>
      <c r="S213">
        <f>M213*GiaDinh!$C$7</f>
        <v>45.15</v>
      </c>
    </row>
    <row r="214" spans="1:19" x14ac:dyDescent="0.35">
      <c r="A214" t="s">
        <v>11</v>
      </c>
      <c r="B214">
        <v>20</v>
      </c>
      <c r="C214" t="s">
        <v>173</v>
      </c>
      <c r="D214" t="s">
        <v>380</v>
      </c>
      <c r="E214">
        <v>1</v>
      </c>
      <c r="F214">
        <v>86</v>
      </c>
      <c r="G214">
        <f>E214*F214*GiaDinh!$C$18*GiaDinh!$C$17</f>
        <v>72.239999999999995</v>
      </c>
      <c r="H214">
        <v>1.2470000000000001</v>
      </c>
      <c r="I214">
        <f>GiaDinh!$C$15</f>
        <v>15</v>
      </c>
      <c r="J214">
        <f t="shared" si="18"/>
        <v>13</v>
      </c>
      <c r="K214">
        <f>J214*GiaDinh!$C$16</f>
        <v>91</v>
      </c>
      <c r="L214">
        <f t="shared" si="19"/>
        <v>1</v>
      </c>
      <c r="M214">
        <f t="shared" si="20"/>
        <v>15</v>
      </c>
      <c r="N214">
        <f>L214*ROUNDUP(I214/GiaDinh!$C$5-0.0005,0)</f>
        <v>3</v>
      </c>
      <c r="O214">
        <f>L214*(ROUNDUP(I214/GiaDinh!$C$5-0.0005,0)-1)</f>
        <v>2</v>
      </c>
      <c r="P214">
        <f t="shared" si="21"/>
        <v>13</v>
      </c>
      <c r="Q214">
        <f t="shared" si="22"/>
        <v>26</v>
      </c>
      <c r="R214">
        <f t="shared" si="23"/>
        <v>13</v>
      </c>
      <c r="S214">
        <f>M214*GiaDinh!$C$7</f>
        <v>45.15</v>
      </c>
    </row>
    <row r="215" spans="1:19" x14ac:dyDescent="0.35">
      <c r="A215" t="s">
        <v>11</v>
      </c>
      <c r="B215">
        <v>21</v>
      </c>
      <c r="C215" t="s">
        <v>173</v>
      </c>
      <c r="D215" t="s">
        <v>381</v>
      </c>
      <c r="E215">
        <v>1</v>
      </c>
      <c r="F215">
        <v>86</v>
      </c>
      <c r="G215">
        <f>E215*F215*GiaDinh!$C$18*GiaDinh!$C$17</f>
        <v>72.239999999999995</v>
      </c>
      <c r="H215">
        <v>1.2470000000000001</v>
      </c>
      <c r="I215">
        <f>GiaDinh!$C$15</f>
        <v>15</v>
      </c>
      <c r="J215">
        <f t="shared" si="18"/>
        <v>13</v>
      </c>
      <c r="K215">
        <f>J215*GiaDinh!$C$16</f>
        <v>91</v>
      </c>
      <c r="L215">
        <f t="shared" si="19"/>
        <v>1</v>
      </c>
      <c r="M215">
        <f t="shared" si="20"/>
        <v>15</v>
      </c>
      <c r="N215">
        <f>L215*ROUNDUP(I215/GiaDinh!$C$5-0.0005,0)</f>
        <v>3</v>
      </c>
      <c r="O215">
        <f>L215*(ROUNDUP(I215/GiaDinh!$C$5-0.0005,0)-1)</f>
        <v>2</v>
      </c>
      <c r="P215">
        <f t="shared" si="21"/>
        <v>13</v>
      </c>
      <c r="Q215">
        <f t="shared" si="22"/>
        <v>26</v>
      </c>
      <c r="R215">
        <f t="shared" si="23"/>
        <v>13</v>
      </c>
      <c r="S215">
        <f>M215*GiaDinh!$C$7</f>
        <v>45.15</v>
      </c>
    </row>
    <row r="216" spans="1:19" x14ac:dyDescent="0.35">
      <c r="A216" t="s">
        <v>11</v>
      </c>
      <c r="B216">
        <v>22</v>
      </c>
      <c r="C216" t="s">
        <v>173</v>
      </c>
      <c r="D216" t="s">
        <v>382</v>
      </c>
      <c r="E216">
        <v>1</v>
      </c>
      <c r="F216">
        <v>86</v>
      </c>
      <c r="G216">
        <f>E216*F216*GiaDinh!$C$18*GiaDinh!$C$17</f>
        <v>72.239999999999995</v>
      </c>
      <c r="H216">
        <v>1.2470000000000001</v>
      </c>
      <c r="I216">
        <f>GiaDinh!$C$15</f>
        <v>15</v>
      </c>
      <c r="J216">
        <f t="shared" si="18"/>
        <v>13</v>
      </c>
      <c r="K216">
        <f>J216*GiaDinh!$C$16</f>
        <v>91</v>
      </c>
      <c r="L216">
        <f t="shared" si="19"/>
        <v>1</v>
      </c>
      <c r="M216">
        <f t="shared" si="20"/>
        <v>15</v>
      </c>
      <c r="N216">
        <f>L216*ROUNDUP(I216/GiaDinh!$C$5-0.0005,0)</f>
        <v>3</v>
      </c>
      <c r="O216">
        <f>L216*(ROUNDUP(I216/GiaDinh!$C$5-0.0005,0)-1)</f>
        <v>2</v>
      </c>
      <c r="P216">
        <f t="shared" si="21"/>
        <v>13</v>
      </c>
      <c r="Q216">
        <f t="shared" si="22"/>
        <v>26</v>
      </c>
      <c r="R216">
        <f t="shared" si="23"/>
        <v>13</v>
      </c>
      <c r="S216">
        <f>M216*GiaDinh!$C$7</f>
        <v>45.15</v>
      </c>
    </row>
    <row r="217" spans="1:19" x14ac:dyDescent="0.35">
      <c r="A217" t="s">
        <v>11</v>
      </c>
      <c r="B217">
        <v>23</v>
      </c>
      <c r="C217" t="s">
        <v>173</v>
      </c>
      <c r="D217" t="s">
        <v>383</v>
      </c>
      <c r="E217">
        <v>1</v>
      </c>
      <c r="F217">
        <v>86</v>
      </c>
      <c r="G217">
        <f>E217*F217*GiaDinh!$C$18*GiaDinh!$C$17</f>
        <v>72.239999999999995</v>
      </c>
      <c r="H217">
        <v>1.2470000000000001</v>
      </c>
      <c r="I217">
        <f>GiaDinh!$C$15</f>
        <v>15</v>
      </c>
      <c r="J217">
        <f t="shared" si="18"/>
        <v>13</v>
      </c>
      <c r="K217">
        <f>J217*GiaDinh!$C$16</f>
        <v>91</v>
      </c>
      <c r="L217">
        <f t="shared" si="19"/>
        <v>1</v>
      </c>
      <c r="M217">
        <f t="shared" si="20"/>
        <v>15</v>
      </c>
      <c r="N217">
        <f>L217*ROUNDUP(I217/GiaDinh!$C$5-0.0005,0)</f>
        <v>3</v>
      </c>
      <c r="O217">
        <f>L217*(ROUNDUP(I217/GiaDinh!$C$5-0.0005,0)-1)</f>
        <v>2</v>
      </c>
      <c r="P217">
        <f t="shared" si="21"/>
        <v>13</v>
      </c>
      <c r="Q217">
        <f t="shared" si="22"/>
        <v>26</v>
      </c>
      <c r="R217">
        <f t="shared" si="23"/>
        <v>13</v>
      </c>
      <c r="S217">
        <f>M217*GiaDinh!$C$7</f>
        <v>45.15</v>
      </c>
    </row>
    <row r="218" spans="1:19" x14ac:dyDescent="0.35">
      <c r="A218" t="s">
        <v>11</v>
      </c>
      <c r="B218">
        <v>24</v>
      </c>
      <c r="C218" t="s">
        <v>173</v>
      </c>
      <c r="D218" t="s">
        <v>384</v>
      </c>
      <c r="E218">
        <v>1</v>
      </c>
      <c r="F218">
        <v>86</v>
      </c>
      <c r="G218">
        <f>E218*F218*GiaDinh!$C$18*GiaDinh!$C$17</f>
        <v>72.239999999999995</v>
      </c>
      <c r="H218">
        <v>1.2470000000000001</v>
      </c>
      <c r="I218">
        <f>GiaDinh!$C$15</f>
        <v>15</v>
      </c>
      <c r="J218">
        <f t="shared" si="18"/>
        <v>13</v>
      </c>
      <c r="K218">
        <f>J218*GiaDinh!$C$16</f>
        <v>91</v>
      </c>
      <c r="L218">
        <f t="shared" si="19"/>
        <v>1</v>
      </c>
      <c r="M218">
        <f t="shared" si="20"/>
        <v>15</v>
      </c>
      <c r="N218">
        <f>L218*ROUNDUP(I218/GiaDinh!$C$5-0.0005,0)</f>
        <v>3</v>
      </c>
      <c r="O218">
        <f>L218*(ROUNDUP(I218/GiaDinh!$C$5-0.0005,0)-1)</f>
        <v>2</v>
      </c>
      <c r="P218">
        <f t="shared" si="21"/>
        <v>13</v>
      </c>
      <c r="Q218">
        <f t="shared" si="22"/>
        <v>26</v>
      </c>
      <c r="R218">
        <f t="shared" si="23"/>
        <v>13</v>
      </c>
      <c r="S218">
        <f>M218*GiaDinh!$C$7</f>
        <v>45.15</v>
      </c>
    </row>
    <row r="219" spans="1:19" x14ac:dyDescent="0.35">
      <c r="A219" t="s">
        <v>11</v>
      </c>
      <c r="B219">
        <v>25</v>
      </c>
      <c r="C219" t="s">
        <v>168</v>
      </c>
      <c r="D219" t="s">
        <v>385</v>
      </c>
      <c r="E219">
        <v>4</v>
      </c>
      <c r="F219">
        <v>86</v>
      </c>
      <c r="G219">
        <f>E219*F219*GiaDinh!$C$18*GiaDinh!$C$17</f>
        <v>288.95999999999998</v>
      </c>
      <c r="H219">
        <v>1.2470000000000001</v>
      </c>
      <c r="I219">
        <f>GiaDinh!$C$15</f>
        <v>15</v>
      </c>
      <c r="J219">
        <f t="shared" si="18"/>
        <v>13</v>
      </c>
      <c r="K219">
        <f>J219*GiaDinh!$C$16</f>
        <v>91</v>
      </c>
      <c r="L219">
        <f t="shared" si="19"/>
        <v>4</v>
      </c>
      <c r="M219">
        <f t="shared" si="20"/>
        <v>60</v>
      </c>
      <c r="N219">
        <f>L219*ROUNDUP(I219/GiaDinh!$C$5-0.0005,0)</f>
        <v>12</v>
      </c>
      <c r="O219">
        <f>L219*(ROUNDUP(I219/GiaDinh!$C$5-0.0005,0)-1)</f>
        <v>8</v>
      </c>
      <c r="P219">
        <f t="shared" si="21"/>
        <v>52</v>
      </c>
      <c r="Q219">
        <f t="shared" si="22"/>
        <v>104</v>
      </c>
      <c r="R219">
        <f t="shared" si="23"/>
        <v>52</v>
      </c>
      <c r="S219">
        <f>M219*GiaDinh!$C$7</f>
        <v>180.6</v>
      </c>
    </row>
    <row r="220" spans="1:19" x14ac:dyDescent="0.35">
      <c r="A220" t="s">
        <v>11</v>
      </c>
      <c r="B220">
        <v>26</v>
      </c>
      <c r="C220" t="s">
        <v>168</v>
      </c>
      <c r="D220" t="s">
        <v>386</v>
      </c>
      <c r="E220">
        <v>2</v>
      </c>
      <c r="F220">
        <v>86</v>
      </c>
      <c r="G220">
        <f>E220*F220*GiaDinh!$C$18*GiaDinh!$C$17</f>
        <v>144.47999999999999</v>
      </c>
      <c r="H220">
        <v>1.2470000000000001</v>
      </c>
      <c r="I220">
        <f>GiaDinh!$C$15</f>
        <v>15</v>
      </c>
      <c r="J220">
        <f t="shared" si="18"/>
        <v>13</v>
      </c>
      <c r="K220">
        <f>J220*GiaDinh!$C$16</f>
        <v>91</v>
      </c>
      <c r="L220">
        <f t="shared" si="19"/>
        <v>2</v>
      </c>
      <c r="M220">
        <f t="shared" si="20"/>
        <v>30</v>
      </c>
      <c r="N220">
        <f>L220*ROUNDUP(I220/GiaDinh!$C$5-0.0005,0)</f>
        <v>6</v>
      </c>
      <c r="O220">
        <f>L220*(ROUNDUP(I220/GiaDinh!$C$5-0.0005,0)-1)</f>
        <v>4</v>
      </c>
      <c r="P220">
        <f t="shared" si="21"/>
        <v>26</v>
      </c>
      <c r="Q220">
        <f t="shared" si="22"/>
        <v>52</v>
      </c>
      <c r="R220">
        <f t="shared" si="23"/>
        <v>26</v>
      </c>
      <c r="S220">
        <f>M220*GiaDinh!$C$7</f>
        <v>90.3</v>
      </c>
    </row>
    <row r="221" spans="1:19" x14ac:dyDescent="0.35">
      <c r="A221" t="s">
        <v>11</v>
      </c>
      <c r="B221">
        <v>27</v>
      </c>
      <c r="C221" t="s">
        <v>173</v>
      </c>
      <c r="D221" t="s">
        <v>387</v>
      </c>
      <c r="E221">
        <v>1</v>
      </c>
      <c r="F221">
        <v>86</v>
      </c>
      <c r="G221">
        <f>E221*F221*GiaDinh!$C$18*GiaDinh!$C$17</f>
        <v>72.239999999999995</v>
      </c>
      <c r="H221">
        <v>1.2470000000000001</v>
      </c>
      <c r="I221">
        <f>GiaDinh!$C$15</f>
        <v>15</v>
      </c>
      <c r="J221">
        <f t="shared" si="18"/>
        <v>13</v>
      </c>
      <c r="K221">
        <f>J221*GiaDinh!$C$16</f>
        <v>91</v>
      </c>
      <c r="L221">
        <f t="shared" si="19"/>
        <v>1</v>
      </c>
      <c r="M221">
        <f t="shared" si="20"/>
        <v>15</v>
      </c>
      <c r="N221">
        <f>L221*ROUNDUP(I221/GiaDinh!$C$5-0.0005,0)</f>
        <v>3</v>
      </c>
      <c r="O221">
        <f>L221*(ROUNDUP(I221/GiaDinh!$C$5-0.0005,0)-1)</f>
        <v>2</v>
      </c>
      <c r="P221">
        <f t="shared" si="21"/>
        <v>13</v>
      </c>
      <c r="Q221">
        <f t="shared" si="22"/>
        <v>26</v>
      </c>
      <c r="R221">
        <f t="shared" si="23"/>
        <v>13</v>
      </c>
      <c r="S221">
        <f>M221*GiaDinh!$C$7</f>
        <v>45.15</v>
      </c>
    </row>
    <row r="222" spans="1:19" x14ac:dyDescent="0.35">
      <c r="A222" t="s">
        <v>11</v>
      </c>
      <c r="B222">
        <v>28</v>
      </c>
      <c r="C222" t="s">
        <v>173</v>
      </c>
      <c r="D222" t="s">
        <v>388</v>
      </c>
      <c r="E222">
        <v>1</v>
      </c>
      <c r="F222">
        <v>86</v>
      </c>
      <c r="G222">
        <f>E222*F222*GiaDinh!$C$18*GiaDinh!$C$17</f>
        <v>72.239999999999995</v>
      </c>
      <c r="H222">
        <v>1.2470000000000001</v>
      </c>
      <c r="I222">
        <f>GiaDinh!$C$15</f>
        <v>15</v>
      </c>
      <c r="J222">
        <f t="shared" si="18"/>
        <v>13</v>
      </c>
      <c r="K222">
        <f>J222*GiaDinh!$C$16</f>
        <v>91</v>
      </c>
      <c r="L222">
        <f t="shared" si="19"/>
        <v>1</v>
      </c>
      <c r="M222">
        <f t="shared" si="20"/>
        <v>15</v>
      </c>
      <c r="N222">
        <f>L222*ROUNDUP(I222/GiaDinh!$C$5-0.0005,0)</f>
        <v>3</v>
      </c>
      <c r="O222">
        <f>L222*(ROUNDUP(I222/GiaDinh!$C$5-0.0005,0)-1)</f>
        <v>2</v>
      </c>
      <c r="P222">
        <f t="shared" si="21"/>
        <v>13</v>
      </c>
      <c r="Q222">
        <f t="shared" si="22"/>
        <v>26</v>
      </c>
      <c r="R222">
        <f t="shared" si="23"/>
        <v>13</v>
      </c>
      <c r="S222">
        <f>M222*GiaDinh!$C$7</f>
        <v>45.15</v>
      </c>
    </row>
    <row r="223" spans="1:19" x14ac:dyDescent="0.35">
      <c r="A223" t="s">
        <v>11</v>
      </c>
      <c r="B223">
        <v>29</v>
      </c>
      <c r="C223" t="s">
        <v>173</v>
      </c>
      <c r="D223" t="s">
        <v>389</v>
      </c>
      <c r="E223">
        <v>1</v>
      </c>
      <c r="F223">
        <v>86</v>
      </c>
      <c r="G223">
        <f>E223*F223*GiaDinh!$C$18*GiaDinh!$C$17</f>
        <v>72.239999999999995</v>
      </c>
      <c r="H223">
        <v>1.2470000000000001</v>
      </c>
      <c r="I223">
        <f>GiaDinh!$C$15</f>
        <v>15</v>
      </c>
      <c r="J223">
        <f t="shared" si="18"/>
        <v>13</v>
      </c>
      <c r="K223">
        <f>J223*GiaDinh!$C$16</f>
        <v>91</v>
      </c>
      <c r="L223">
        <f t="shared" si="19"/>
        <v>1</v>
      </c>
      <c r="M223">
        <f t="shared" si="20"/>
        <v>15</v>
      </c>
      <c r="N223">
        <f>L223*ROUNDUP(I223/GiaDinh!$C$5-0.0005,0)</f>
        <v>3</v>
      </c>
      <c r="O223">
        <f>L223*(ROUNDUP(I223/GiaDinh!$C$5-0.0005,0)-1)</f>
        <v>2</v>
      </c>
      <c r="P223">
        <f t="shared" si="21"/>
        <v>13</v>
      </c>
      <c r="Q223">
        <f t="shared" si="22"/>
        <v>26</v>
      </c>
      <c r="R223">
        <f t="shared" si="23"/>
        <v>13</v>
      </c>
      <c r="S223">
        <f>M223*GiaDinh!$C$7</f>
        <v>45.15</v>
      </c>
    </row>
    <row r="224" spans="1:19" x14ac:dyDescent="0.35">
      <c r="A224" t="s">
        <v>11</v>
      </c>
      <c r="B224">
        <v>30</v>
      </c>
      <c r="C224" t="s">
        <v>173</v>
      </c>
      <c r="D224" t="s">
        <v>390</v>
      </c>
      <c r="E224">
        <v>1</v>
      </c>
      <c r="F224">
        <v>86</v>
      </c>
      <c r="G224">
        <f>E224*F224*GiaDinh!$C$18*GiaDinh!$C$17</f>
        <v>72.239999999999995</v>
      </c>
      <c r="H224">
        <v>1.2470000000000001</v>
      </c>
      <c r="I224">
        <f>GiaDinh!$C$15</f>
        <v>15</v>
      </c>
      <c r="J224">
        <f t="shared" si="18"/>
        <v>13</v>
      </c>
      <c r="K224">
        <f>J224*GiaDinh!$C$16</f>
        <v>91</v>
      </c>
      <c r="L224">
        <f t="shared" si="19"/>
        <v>1</v>
      </c>
      <c r="M224">
        <f t="shared" si="20"/>
        <v>15</v>
      </c>
      <c r="N224">
        <f>L224*ROUNDUP(I224/GiaDinh!$C$5-0.0005,0)</f>
        <v>3</v>
      </c>
      <c r="O224">
        <f>L224*(ROUNDUP(I224/GiaDinh!$C$5-0.0005,0)-1)</f>
        <v>2</v>
      </c>
      <c r="P224">
        <f t="shared" si="21"/>
        <v>13</v>
      </c>
      <c r="Q224">
        <f t="shared" si="22"/>
        <v>26</v>
      </c>
      <c r="R224">
        <f t="shared" si="23"/>
        <v>13</v>
      </c>
      <c r="S224">
        <f>M224*GiaDinh!$C$7</f>
        <v>45.15</v>
      </c>
    </row>
    <row r="225" spans="1:19" x14ac:dyDescent="0.35">
      <c r="A225" t="s">
        <v>11</v>
      </c>
      <c r="B225">
        <v>31</v>
      </c>
      <c r="C225" t="s">
        <v>173</v>
      </c>
      <c r="D225" t="s">
        <v>391</v>
      </c>
      <c r="E225">
        <v>1</v>
      </c>
      <c r="F225">
        <v>86</v>
      </c>
      <c r="G225">
        <f>E225*F225*GiaDinh!$C$18*GiaDinh!$C$17</f>
        <v>72.239999999999995</v>
      </c>
      <c r="H225">
        <v>1.2470000000000001</v>
      </c>
      <c r="I225">
        <f>GiaDinh!$C$15</f>
        <v>15</v>
      </c>
      <c r="J225">
        <f t="shared" si="18"/>
        <v>13</v>
      </c>
      <c r="K225">
        <f>J225*GiaDinh!$C$16</f>
        <v>91</v>
      </c>
      <c r="L225">
        <f t="shared" si="19"/>
        <v>1</v>
      </c>
      <c r="M225">
        <f t="shared" si="20"/>
        <v>15</v>
      </c>
      <c r="N225">
        <f>L225*ROUNDUP(I225/GiaDinh!$C$5-0.0005,0)</f>
        <v>3</v>
      </c>
      <c r="O225">
        <f>L225*(ROUNDUP(I225/GiaDinh!$C$5-0.0005,0)-1)</f>
        <v>2</v>
      </c>
      <c r="P225">
        <f t="shared" si="21"/>
        <v>13</v>
      </c>
      <c r="Q225">
        <f t="shared" si="22"/>
        <v>26</v>
      </c>
      <c r="R225">
        <f t="shared" si="23"/>
        <v>13</v>
      </c>
      <c r="S225">
        <f>M225*GiaDinh!$C$7</f>
        <v>45.15</v>
      </c>
    </row>
    <row r="226" spans="1:19" x14ac:dyDescent="0.35">
      <c r="A226" t="s">
        <v>11</v>
      </c>
      <c r="B226">
        <v>32</v>
      </c>
      <c r="C226" t="s">
        <v>173</v>
      </c>
      <c r="D226" t="s">
        <v>392</v>
      </c>
      <c r="E226">
        <v>1</v>
      </c>
      <c r="F226">
        <v>86</v>
      </c>
      <c r="G226">
        <f>E226*F226*GiaDinh!$C$18*GiaDinh!$C$17</f>
        <v>72.239999999999995</v>
      </c>
      <c r="H226">
        <v>1.2470000000000001</v>
      </c>
      <c r="I226">
        <f>GiaDinh!$C$15</f>
        <v>15</v>
      </c>
      <c r="J226">
        <f t="shared" si="18"/>
        <v>13</v>
      </c>
      <c r="K226">
        <f>J226*GiaDinh!$C$16</f>
        <v>91</v>
      </c>
      <c r="L226">
        <f t="shared" si="19"/>
        <v>1</v>
      </c>
      <c r="M226">
        <f t="shared" si="20"/>
        <v>15</v>
      </c>
      <c r="N226">
        <f>L226*ROUNDUP(I226/GiaDinh!$C$5-0.0005,0)</f>
        <v>3</v>
      </c>
      <c r="O226">
        <f>L226*(ROUNDUP(I226/GiaDinh!$C$5-0.0005,0)-1)</f>
        <v>2</v>
      </c>
      <c r="P226">
        <f t="shared" si="21"/>
        <v>13</v>
      </c>
      <c r="Q226">
        <f t="shared" si="22"/>
        <v>26</v>
      </c>
      <c r="R226">
        <f t="shared" si="23"/>
        <v>13</v>
      </c>
      <c r="S226">
        <f>M226*GiaDinh!$C$7</f>
        <v>45.15</v>
      </c>
    </row>
    <row r="227" spans="1:19" x14ac:dyDescent="0.35">
      <c r="A227" t="s">
        <v>11</v>
      </c>
      <c r="B227">
        <v>33</v>
      </c>
      <c r="C227" t="s">
        <v>173</v>
      </c>
      <c r="D227" t="s">
        <v>393</v>
      </c>
      <c r="E227">
        <v>1</v>
      </c>
      <c r="F227">
        <v>86</v>
      </c>
      <c r="G227">
        <f>E227*F227*GiaDinh!$C$18*GiaDinh!$C$17</f>
        <v>72.239999999999995</v>
      </c>
      <c r="H227">
        <v>1.2470000000000001</v>
      </c>
      <c r="I227">
        <f>GiaDinh!$C$15</f>
        <v>15</v>
      </c>
      <c r="J227">
        <f t="shared" si="18"/>
        <v>13</v>
      </c>
      <c r="K227">
        <f>J227*GiaDinh!$C$16</f>
        <v>91</v>
      </c>
      <c r="L227">
        <f t="shared" si="19"/>
        <v>1</v>
      </c>
      <c r="M227">
        <f t="shared" si="20"/>
        <v>15</v>
      </c>
      <c r="N227">
        <f>L227*ROUNDUP(I227/GiaDinh!$C$5-0.0005,0)</f>
        <v>3</v>
      </c>
      <c r="O227">
        <f>L227*(ROUNDUP(I227/GiaDinh!$C$5-0.0005,0)-1)</f>
        <v>2</v>
      </c>
      <c r="P227">
        <f t="shared" si="21"/>
        <v>13</v>
      </c>
      <c r="Q227">
        <f t="shared" si="22"/>
        <v>26</v>
      </c>
      <c r="R227">
        <f t="shared" si="23"/>
        <v>13</v>
      </c>
      <c r="S227">
        <f>M227*GiaDinh!$C$7</f>
        <v>45.15</v>
      </c>
    </row>
    <row r="228" spans="1:19" x14ac:dyDescent="0.35">
      <c r="A228" t="s">
        <v>11</v>
      </c>
      <c r="B228">
        <v>34</v>
      </c>
      <c r="C228" t="s">
        <v>173</v>
      </c>
      <c r="D228" t="s">
        <v>394</v>
      </c>
      <c r="E228">
        <v>1</v>
      </c>
      <c r="F228">
        <v>86</v>
      </c>
      <c r="G228">
        <f>E228*F228*GiaDinh!$C$18*GiaDinh!$C$17</f>
        <v>72.239999999999995</v>
      </c>
      <c r="H228">
        <v>1.2470000000000001</v>
      </c>
      <c r="I228">
        <f>GiaDinh!$C$15</f>
        <v>15</v>
      </c>
      <c r="J228">
        <f t="shared" si="18"/>
        <v>13</v>
      </c>
      <c r="K228">
        <f>J228*GiaDinh!$C$16</f>
        <v>91</v>
      </c>
      <c r="L228">
        <f t="shared" si="19"/>
        <v>1</v>
      </c>
      <c r="M228">
        <f t="shared" si="20"/>
        <v>15</v>
      </c>
      <c r="N228">
        <f>L228*ROUNDUP(I228/GiaDinh!$C$5-0.0005,0)</f>
        <v>3</v>
      </c>
      <c r="O228">
        <f>L228*(ROUNDUP(I228/GiaDinh!$C$5-0.0005,0)-1)</f>
        <v>2</v>
      </c>
      <c r="P228">
        <f t="shared" si="21"/>
        <v>13</v>
      </c>
      <c r="Q228">
        <f t="shared" si="22"/>
        <v>26</v>
      </c>
      <c r="R228">
        <f t="shared" si="23"/>
        <v>13</v>
      </c>
      <c r="S228">
        <f>M228*GiaDinh!$C$7</f>
        <v>45.15</v>
      </c>
    </row>
    <row r="229" spans="1:19" x14ac:dyDescent="0.35">
      <c r="A229" t="s">
        <v>11</v>
      </c>
      <c r="B229">
        <v>35</v>
      </c>
      <c r="C229" t="s">
        <v>173</v>
      </c>
      <c r="D229" t="s">
        <v>395</v>
      </c>
      <c r="E229">
        <v>1</v>
      </c>
      <c r="F229">
        <v>86</v>
      </c>
      <c r="G229">
        <f>E229*F229*GiaDinh!$C$18*GiaDinh!$C$17</f>
        <v>72.239999999999995</v>
      </c>
      <c r="H229">
        <v>1.2470000000000001</v>
      </c>
      <c r="I229">
        <f>GiaDinh!$C$15</f>
        <v>15</v>
      </c>
      <c r="J229">
        <f t="shared" si="18"/>
        <v>13</v>
      </c>
      <c r="K229">
        <f>J229*GiaDinh!$C$16</f>
        <v>91</v>
      </c>
      <c r="L229">
        <f t="shared" si="19"/>
        <v>1</v>
      </c>
      <c r="M229">
        <f t="shared" si="20"/>
        <v>15</v>
      </c>
      <c r="N229">
        <f>L229*ROUNDUP(I229/GiaDinh!$C$5-0.0005,0)</f>
        <v>3</v>
      </c>
      <c r="O229">
        <f>L229*(ROUNDUP(I229/GiaDinh!$C$5-0.0005,0)-1)</f>
        <v>2</v>
      </c>
      <c r="P229">
        <f t="shared" si="21"/>
        <v>13</v>
      </c>
      <c r="Q229">
        <f t="shared" si="22"/>
        <v>26</v>
      </c>
      <c r="R229">
        <f t="shared" si="23"/>
        <v>13</v>
      </c>
      <c r="S229">
        <f>M229*GiaDinh!$C$7</f>
        <v>45.15</v>
      </c>
    </row>
    <row r="230" spans="1:19" x14ac:dyDescent="0.35">
      <c r="A230" t="s">
        <v>11</v>
      </c>
      <c r="B230">
        <v>36</v>
      </c>
      <c r="C230" t="s">
        <v>173</v>
      </c>
      <c r="D230" t="s">
        <v>396</v>
      </c>
      <c r="E230">
        <v>1</v>
      </c>
      <c r="F230">
        <v>86</v>
      </c>
      <c r="G230">
        <f>E230*F230*GiaDinh!$C$18*GiaDinh!$C$17</f>
        <v>72.239999999999995</v>
      </c>
      <c r="H230">
        <v>1.2470000000000001</v>
      </c>
      <c r="I230">
        <f>GiaDinh!$C$15</f>
        <v>15</v>
      </c>
      <c r="J230">
        <f t="shared" si="18"/>
        <v>13</v>
      </c>
      <c r="K230">
        <f>J230*GiaDinh!$C$16</f>
        <v>91</v>
      </c>
      <c r="L230">
        <f t="shared" si="19"/>
        <v>1</v>
      </c>
      <c r="M230">
        <f t="shared" si="20"/>
        <v>15</v>
      </c>
      <c r="N230">
        <f>L230*ROUNDUP(I230/GiaDinh!$C$5-0.0005,0)</f>
        <v>3</v>
      </c>
      <c r="O230">
        <f>L230*(ROUNDUP(I230/GiaDinh!$C$5-0.0005,0)-1)</f>
        <v>2</v>
      </c>
      <c r="P230">
        <f t="shared" si="21"/>
        <v>13</v>
      </c>
      <c r="Q230">
        <f t="shared" si="22"/>
        <v>26</v>
      </c>
      <c r="R230">
        <f t="shared" si="23"/>
        <v>13</v>
      </c>
      <c r="S230">
        <f>M230*GiaDinh!$C$7</f>
        <v>45.15</v>
      </c>
    </row>
    <row r="231" spans="1:19" x14ac:dyDescent="0.35">
      <c r="A231" t="s">
        <v>11</v>
      </c>
      <c r="B231">
        <v>37</v>
      </c>
      <c r="C231" t="s">
        <v>168</v>
      </c>
      <c r="D231" t="s">
        <v>397</v>
      </c>
      <c r="E231">
        <v>4</v>
      </c>
      <c r="F231">
        <v>86</v>
      </c>
      <c r="G231">
        <f>E231*F231*GiaDinh!$C$18*GiaDinh!$C$17</f>
        <v>288.95999999999998</v>
      </c>
      <c r="H231">
        <v>1.2470000000000001</v>
      </c>
      <c r="I231">
        <f>GiaDinh!$C$15</f>
        <v>15</v>
      </c>
      <c r="J231">
        <f t="shared" si="18"/>
        <v>13</v>
      </c>
      <c r="K231">
        <f>J231*GiaDinh!$C$16</f>
        <v>91</v>
      </c>
      <c r="L231">
        <f t="shared" si="19"/>
        <v>4</v>
      </c>
      <c r="M231">
        <f t="shared" si="20"/>
        <v>60</v>
      </c>
      <c r="N231">
        <f>L231*ROUNDUP(I231/GiaDinh!$C$5-0.0005,0)</f>
        <v>12</v>
      </c>
      <c r="O231">
        <f>L231*(ROUNDUP(I231/GiaDinh!$C$5-0.0005,0)-1)</f>
        <v>8</v>
      </c>
      <c r="P231">
        <f t="shared" si="21"/>
        <v>52</v>
      </c>
      <c r="Q231">
        <f t="shared" si="22"/>
        <v>104</v>
      </c>
      <c r="R231">
        <f t="shared" si="23"/>
        <v>52</v>
      </c>
      <c r="S231">
        <f>M231*GiaDinh!$C$7</f>
        <v>180.6</v>
      </c>
    </row>
    <row r="232" spans="1:19" x14ac:dyDescent="0.35">
      <c r="A232" t="s">
        <v>11</v>
      </c>
      <c r="B232">
        <v>38</v>
      </c>
      <c r="C232" t="s">
        <v>168</v>
      </c>
      <c r="D232" t="s">
        <v>398</v>
      </c>
      <c r="E232">
        <v>4</v>
      </c>
      <c r="F232">
        <v>86</v>
      </c>
      <c r="G232">
        <f>E232*F232*GiaDinh!$C$18*GiaDinh!$C$17</f>
        <v>288.95999999999998</v>
      </c>
      <c r="H232">
        <v>1.2470000000000001</v>
      </c>
      <c r="I232">
        <f>GiaDinh!$C$15</f>
        <v>15</v>
      </c>
      <c r="J232">
        <f t="shared" si="18"/>
        <v>13</v>
      </c>
      <c r="K232">
        <f>J232*GiaDinh!$C$16</f>
        <v>91</v>
      </c>
      <c r="L232">
        <f t="shared" si="19"/>
        <v>4</v>
      </c>
      <c r="M232">
        <f t="shared" si="20"/>
        <v>60</v>
      </c>
      <c r="N232">
        <f>L232*ROUNDUP(I232/GiaDinh!$C$5-0.0005,0)</f>
        <v>12</v>
      </c>
      <c r="O232">
        <f>L232*(ROUNDUP(I232/GiaDinh!$C$5-0.0005,0)-1)</f>
        <v>8</v>
      </c>
      <c r="P232">
        <f t="shared" si="21"/>
        <v>52</v>
      </c>
      <c r="Q232">
        <f t="shared" si="22"/>
        <v>104</v>
      </c>
      <c r="R232">
        <f t="shared" si="23"/>
        <v>52</v>
      </c>
      <c r="S232">
        <f>M232*GiaDinh!$C$7</f>
        <v>180.6</v>
      </c>
    </row>
    <row r="233" spans="1:19" x14ac:dyDescent="0.35">
      <c r="A233" t="s">
        <v>11</v>
      </c>
      <c r="B233">
        <v>39</v>
      </c>
      <c r="C233" t="s">
        <v>168</v>
      </c>
      <c r="D233" t="s">
        <v>399</v>
      </c>
      <c r="E233">
        <v>4</v>
      </c>
      <c r="F233">
        <v>86</v>
      </c>
      <c r="G233">
        <f>E233*F233*GiaDinh!$C$18*GiaDinh!$C$17</f>
        <v>288.95999999999998</v>
      </c>
      <c r="H233">
        <v>1.2470000000000001</v>
      </c>
      <c r="I233">
        <f>GiaDinh!$C$15</f>
        <v>15</v>
      </c>
      <c r="J233">
        <f t="shared" si="18"/>
        <v>13</v>
      </c>
      <c r="K233">
        <f>J233*GiaDinh!$C$16</f>
        <v>91</v>
      </c>
      <c r="L233">
        <f t="shared" si="19"/>
        <v>4</v>
      </c>
      <c r="M233">
        <f t="shared" si="20"/>
        <v>60</v>
      </c>
      <c r="N233">
        <f>L233*ROUNDUP(I233/GiaDinh!$C$5-0.0005,0)</f>
        <v>12</v>
      </c>
      <c r="O233">
        <f>L233*(ROUNDUP(I233/GiaDinh!$C$5-0.0005,0)-1)</f>
        <v>8</v>
      </c>
      <c r="P233">
        <f t="shared" si="21"/>
        <v>52</v>
      </c>
      <c r="Q233">
        <f t="shared" si="22"/>
        <v>104</v>
      </c>
      <c r="R233">
        <f t="shared" si="23"/>
        <v>52</v>
      </c>
      <c r="S233">
        <f>M233*GiaDinh!$C$7</f>
        <v>180.6</v>
      </c>
    </row>
    <row r="234" spans="1:19" x14ac:dyDescent="0.35">
      <c r="A234" t="s">
        <v>12</v>
      </c>
      <c r="B234">
        <v>1</v>
      </c>
      <c r="C234" t="s">
        <v>168</v>
      </c>
      <c r="D234" t="s">
        <v>400</v>
      </c>
      <c r="E234">
        <v>2</v>
      </c>
      <c r="F234">
        <v>69</v>
      </c>
      <c r="G234">
        <f>E234*F234*GiaDinh!$C$18*GiaDinh!$C$17</f>
        <v>115.91999999999999</v>
      </c>
      <c r="H234">
        <v>1.2190000000000001</v>
      </c>
      <c r="I234">
        <f>GiaDinh!$C$15</f>
        <v>15</v>
      </c>
      <c r="J234">
        <f t="shared" si="18"/>
        <v>13</v>
      </c>
      <c r="K234">
        <f>J234*GiaDinh!$C$16</f>
        <v>91</v>
      </c>
      <c r="L234">
        <f t="shared" si="19"/>
        <v>2</v>
      </c>
      <c r="M234">
        <f t="shared" si="20"/>
        <v>30</v>
      </c>
      <c r="N234">
        <f>L234*ROUNDUP(I234/GiaDinh!$C$5-0.0005,0)</f>
        <v>6</v>
      </c>
      <c r="O234">
        <f>L234*(ROUNDUP(I234/GiaDinh!$C$5-0.0005,0)-1)</f>
        <v>4</v>
      </c>
      <c r="P234">
        <f t="shared" si="21"/>
        <v>26</v>
      </c>
      <c r="Q234">
        <f t="shared" si="22"/>
        <v>52</v>
      </c>
      <c r="R234">
        <f t="shared" si="23"/>
        <v>26</v>
      </c>
      <c r="S234">
        <f>M234*GiaDinh!$C$7</f>
        <v>90.3</v>
      </c>
    </row>
    <row r="235" spans="1:19" x14ac:dyDescent="0.35">
      <c r="A235" t="s">
        <v>12</v>
      </c>
      <c r="B235">
        <v>2</v>
      </c>
      <c r="C235" t="s">
        <v>173</v>
      </c>
      <c r="D235" t="s">
        <v>401</v>
      </c>
      <c r="E235">
        <v>1</v>
      </c>
      <c r="F235">
        <v>69</v>
      </c>
      <c r="G235">
        <f>E235*F235*GiaDinh!$C$18*GiaDinh!$C$17</f>
        <v>57.959999999999994</v>
      </c>
      <c r="H235">
        <v>1.2190000000000001</v>
      </c>
      <c r="I235">
        <f>GiaDinh!$C$15</f>
        <v>15</v>
      </c>
      <c r="J235">
        <f t="shared" si="18"/>
        <v>13</v>
      </c>
      <c r="K235">
        <f>J235*GiaDinh!$C$16</f>
        <v>91</v>
      </c>
      <c r="L235">
        <f t="shared" si="19"/>
        <v>1</v>
      </c>
      <c r="M235">
        <f t="shared" si="20"/>
        <v>15</v>
      </c>
      <c r="N235">
        <f>L235*ROUNDUP(I235/GiaDinh!$C$5-0.0005,0)</f>
        <v>3</v>
      </c>
      <c r="O235">
        <f>L235*(ROUNDUP(I235/GiaDinh!$C$5-0.0005,0)-1)</f>
        <v>2</v>
      </c>
      <c r="P235">
        <f t="shared" si="21"/>
        <v>13</v>
      </c>
      <c r="Q235">
        <f t="shared" si="22"/>
        <v>26</v>
      </c>
      <c r="R235">
        <f t="shared" si="23"/>
        <v>13</v>
      </c>
      <c r="S235">
        <f>M235*GiaDinh!$C$7</f>
        <v>45.15</v>
      </c>
    </row>
    <row r="236" spans="1:19" x14ac:dyDescent="0.35">
      <c r="A236" t="s">
        <v>12</v>
      </c>
      <c r="B236">
        <v>3</v>
      </c>
      <c r="C236" t="s">
        <v>173</v>
      </c>
      <c r="D236" t="s">
        <v>402</v>
      </c>
      <c r="E236">
        <v>1</v>
      </c>
      <c r="F236">
        <v>69</v>
      </c>
      <c r="G236">
        <f>E236*F236*GiaDinh!$C$18*GiaDinh!$C$17</f>
        <v>57.959999999999994</v>
      </c>
      <c r="H236">
        <v>1.2190000000000001</v>
      </c>
      <c r="I236">
        <f>GiaDinh!$C$15</f>
        <v>15</v>
      </c>
      <c r="J236">
        <f t="shared" si="18"/>
        <v>13</v>
      </c>
      <c r="K236">
        <f>J236*GiaDinh!$C$16</f>
        <v>91</v>
      </c>
      <c r="L236">
        <f t="shared" si="19"/>
        <v>1</v>
      </c>
      <c r="M236">
        <f t="shared" si="20"/>
        <v>15</v>
      </c>
      <c r="N236">
        <f>L236*ROUNDUP(I236/GiaDinh!$C$5-0.0005,0)</f>
        <v>3</v>
      </c>
      <c r="O236">
        <f>L236*(ROUNDUP(I236/GiaDinh!$C$5-0.0005,0)-1)</f>
        <v>2</v>
      </c>
      <c r="P236">
        <f t="shared" si="21"/>
        <v>13</v>
      </c>
      <c r="Q236">
        <f t="shared" si="22"/>
        <v>26</v>
      </c>
      <c r="R236">
        <f t="shared" si="23"/>
        <v>13</v>
      </c>
      <c r="S236">
        <f>M236*GiaDinh!$C$7</f>
        <v>45.15</v>
      </c>
    </row>
    <row r="237" spans="1:19" x14ac:dyDescent="0.35">
      <c r="A237" t="s">
        <v>12</v>
      </c>
      <c r="B237">
        <v>4</v>
      </c>
      <c r="C237" t="s">
        <v>173</v>
      </c>
      <c r="D237" t="s">
        <v>403</v>
      </c>
      <c r="E237">
        <v>1</v>
      </c>
      <c r="F237">
        <v>69</v>
      </c>
      <c r="G237">
        <f>E237*F237*GiaDinh!$C$18*GiaDinh!$C$17</f>
        <v>57.959999999999994</v>
      </c>
      <c r="H237">
        <v>1.2190000000000001</v>
      </c>
      <c r="I237">
        <f>GiaDinh!$C$15</f>
        <v>15</v>
      </c>
      <c r="J237">
        <f t="shared" si="18"/>
        <v>13</v>
      </c>
      <c r="K237">
        <f>J237*GiaDinh!$C$16</f>
        <v>91</v>
      </c>
      <c r="L237">
        <f t="shared" si="19"/>
        <v>1</v>
      </c>
      <c r="M237">
        <f t="shared" si="20"/>
        <v>15</v>
      </c>
      <c r="N237">
        <f>L237*ROUNDUP(I237/GiaDinh!$C$5-0.0005,0)</f>
        <v>3</v>
      </c>
      <c r="O237">
        <f>L237*(ROUNDUP(I237/GiaDinh!$C$5-0.0005,0)-1)</f>
        <v>2</v>
      </c>
      <c r="P237">
        <f t="shared" si="21"/>
        <v>13</v>
      </c>
      <c r="Q237">
        <f t="shared" si="22"/>
        <v>26</v>
      </c>
      <c r="R237">
        <f t="shared" si="23"/>
        <v>13</v>
      </c>
      <c r="S237">
        <f>M237*GiaDinh!$C$7</f>
        <v>45.15</v>
      </c>
    </row>
    <row r="238" spans="1:19" x14ac:dyDescent="0.35">
      <c r="A238" t="s">
        <v>12</v>
      </c>
      <c r="B238">
        <v>5</v>
      </c>
      <c r="C238" t="s">
        <v>173</v>
      </c>
      <c r="D238" t="s">
        <v>404</v>
      </c>
      <c r="E238">
        <v>1</v>
      </c>
      <c r="F238">
        <v>69</v>
      </c>
      <c r="G238">
        <f>E238*F238*GiaDinh!$C$18*GiaDinh!$C$17</f>
        <v>57.959999999999994</v>
      </c>
      <c r="H238">
        <v>1.2190000000000001</v>
      </c>
      <c r="I238">
        <f>GiaDinh!$C$15</f>
        <v>15</v>
      </c>
      <c r="J238">
        <f t="shared" si="18"/>
        <v>13</v>
      </c>
      <c r="K238">
        <f>J238*GiaDinh!$C$16</f>
        <v>91</v>
      </c>
      <c r="L238">
        <f t="shared" si="19"/>
        <v>1</v>
      </c>
      <c r="M238">
        <f t="shared" si="20"/>
        <v>15</v>
      </c>
      <c r="N238">
        <f>L238*ROUNDUP(I238/GiaDinh!$C$5-0.0005,0)</f>
        <v>3</v>
      </c>
      <c r="O238">
        <f>L238*(ROUNDUP(I238/GiaDinh!$C$5-0.0005,0)-1)</f>
        <v>2</v>
      </c>
      <c r="P238">
        <f t="shared" si="21"/>
        <v>13</v>
      </c>
      <c r="Q238">
        <f t="shared" si="22"/>
        <v>26</v>
      </c>
      <c r="R238">
        <f t="shared" si="23"/>
        <v>13</v>
      </c>
      <c r="S238">
        <f>M238*GiaDinh!$C$7</f>
        <v>45.15</v>
      </c>
    </row>
    <row r="239" spans="1:19" x14ac:dyDescent="0.35">
      <c r="A239" t="s">
        <v>12</v>
      </c>
      <c r="B239">
        <v>6</v>
      </c>
      <c r="C239" t="s">
        <v>173</v>
      </c>
      <c r="D239" t="s">
        <v>405</v>
      </c>
      <c r="E239">
        <v>1</v>
      </c>
      <c r="F239">
        <v>69</v>
      </c>
      <c r="G239">
        <f>E239*F239*GiaDinh!$C$18*GiaDinh!$C$17</f>
        <v>57.959999999999994</v>
      </c>
      <c r="H239">
        <v>1.2190000000000001</v>
      </c>
      <c r="I239">
        <f>GiaDinh!$C$15</f>
        <v>15</v>
      </c>
      <c r="J239">
        <f t="shared" si="18"/>
        <v>13</v>
      </c>
      <c r="K239">
        <f>J239*GiaDinh!$C$16</f>
        <v>91</v>
      </c>
      <c r="L239">
        <f t="shared" si="19"/>
        <v>1</v>
      </c>
      <c r="M239">
        <f t="shared" si="20"/>
        <v>15</v>
      </c>
      <c r="N239">
        <f>L239*ROUNDUP(I239/GiaDinh!$C$5-0.0005,0)</f>
        <v>3</v>
      </c>
      <c r="O239">
        <f>L239*(ROUNDUP(I239/GiaDinh!$C$5-0.0005,0)-1)</f>
        <v>2</v>
      </c>
      <c r="P239">
        <f t="shared" si="21"/>
        <v>13</v>
      </c>
      <c r="Q239">
        <f t="shared" si="22"/>
        <v>26</v>
      </c>
      <c r="R239">
        <f t="shared" si="23"/>
        <v>13</v>
      </c>
      <c r="S239">
        <f>M239*GiaDinh!$C$7</f>
        <v>45.15</v>
      </c>
    </row>
    <row r="240" spans="1:19" x14ac:dyDescent="0.35">
      <c r="A240" t="s">
        <v>12</v>
      </c>
      <c r="B240">
        <v>7</v>
      </c>
      <c r="C240" t="s">
        <v>173</v>
      </c>
      <c r="D240" t="s">
        <v>406</v>
      </c>
      <c r="E240">
        <v>1</v>
      </c>
      <c r="F240">
        <v>69</v>
      </c>
      <c r="G240">
        <f>E240*F240*GiaDinh!$C$18*GiaDinh!$C$17</f>
        <v>57.959999999999994</v>
      </c>
      <c r="H240">
        <v>1.2190000000000001</v>
      </c>
      <c r="I240">
        <f>GiaDinh!$C$15</f>
        <v>15</v>
      </c>
      <c r="J240">
        <f t="shared" si="18"/>
        <v>13</v>
      </c>
      <c r="K240">
        <f>J240*GiaDinh!$C$16</f>
        <v>91</v>
      </c>
      <c r="L240">
        <f t="shared" si="19"/>
        <v>1</v>
      </c>
      <c r="M240">
        <f t="shared" si="20"/>
        <v>15</v>
      </c>
      <c r="N240">
        <f>L240*ROUNDUP(I240/GiaDinh!$C$5-0.0005,0)</f>
        <v>3</v>
      </c>
      <c r="O240">
        <f>L240*(ROUNDUP(I240/GiaDinh!$C$5-0.0005,0)-1)</f>
        <v>2</v>
      </c>
      <c r="P240">
        <f t="shared" si="21"/>
        <v>13</v>
      </c>
      <c r="Q240">
        <f t="shared" si="22"/>
        <v>26</v>
      </c>
      <c r="R240">
        <f t="shared" si="23"/>
        <v>13</v>
      </c>
      <c r="S240">
        <f>M240*GiaDinh!$C$7</f>
        <v>45.15</v>
      </c>
    </row>
    <row r="241" spans="1:19" x14ac:dyDescent="0.35">
      <c r="A241" t="s">
        <v>12</v>
      </c>
      <c r="B241">
        <v>8</v>
      </c>
      <c r="C241" t="s">
        <v>173</v>
      </c>
      <c r="D241" t="s">
        <v>407</v>
      </c>
      <c r="E241">
        <v>1</v>
      </c>
      <c r="F241">
        <v>69</v>
      </c>
      <c r="G241">
        <f>E241*F241*GiaDinh!$C$18*GiaDinh!$C$17</f>
        <v>57.959999999999994</v>
      </c>
      <c r="H241">
        <v>1.2190000000000001</v>
      </c>
      <c r="I241">
        <f>GiaDinh!$C$15</f>
        <v>15</v>
      </c>
      <c r="J241">
        <f t="shared" si="18"/>
        <v>13</v>
      </c>
      <c r="K241">
        <f>J241*GiaDinh!$C$16</f>
        <v>91</v>
      </c>
      <c r="L241">
        <f t="shared" si="19"/>
        <v>1</v>
      </c>
      <c r="M241">
        <f t="shared" si="20"/>
        <v>15</v>
      </c>
      <c r="N241">
        <f>L241*ROUNDUP(I241/GiaDinh!$C$5-0.0005,0)</f>
        <v>3</v>
      </c>
      <c r="O241">
        <f>L241*(ROUNDUP(I241/GiaDinh!$C$5-0.0005,0)-1)</f>
        <v>2</v>
      </c>
      <c r="P241">
        <f t="shared" si="21"/>
        <v>13</v>
      </c>
      <c r="Q241">
        <f t="shared" si="22"/>
        <v>26</v>
      </c>
      <c r="R241">
        <f t="shared" si="23"/>
        <v>13</v>
      </c>
      <c r="S241">
        <f>M241*GiaDinh!$C$7</f>
        <v>45.15</v>
      </c>
    </row>
    <row r="242" spans="1:19" x14ac:dyDescent="0.35">
      <c r="A242" t="s">
        <v>12</v>
      </c>
      <c r="B242">
        <v>9</v>
      </c>
      <c r="C242" t="s">
        <v>173</v>
      </c>
      <c r="D242" t="s">
        <v>408</v>
      </c>
      <c r="E242">
        <v>1</v>
      </c>
      <c r="F242">
        <v>69</v>
      </c>
      <c r="G242">
        <f>E242*F242*GiaDinh!$C$18*GiaDinh!$C$17</f>
        <v>57.959999999999994</v>
      </c>
      <c r="H242">
        <v>1.2190000000000001</v>
      </c>
      <c r="I242">
        <f>GiaDinh!$C$15</f>
        <v>15</v>
      </c>
      <c r="J242">
        <f t="shared" si="18"/>
        <v>13</v>
      </c>
      <c r="K242">
        <f>J242*GiaDinh!$C$16</f>
        <v>91</v>
      </c>
      <c r="L242">
        <f t="shared" si="19"/>
        <v>1</v>
      </c>
      <c r="M242">
        <f t="shared" si="20"/>
        <v>15</v>
      </c>
      <c r="N242">
        <f>L242*ROUNDUP(I242/GiaDinh!$C$5-0.0005,0)</f>
        <v>3</v>
      </c>
      <c r="O242">
        <f>L242*(ROUNDUP(I242/GiaDinh!$C$5-0.0005,0)-1)</f>
        <v>2</v>
      </c>
      <c r="P242">
        <f t="shared" si="21"/>
        <v>13</v>
      </c>
      <c r="Q242">
        <f t="shared" si="22"/>
        <v>26</v>
      </c>
      <c r="R242">
        <f t="shared" si="23"/>
        <v>13</v>
      </c>
      <c r="S242">
        <f>M242*GiaDinh!$C$7</f>
        <v>45.15</v>
      </c>
    </row>
    <row r="243" spans="1:19" x14ac:dyDescent="0.35">
      <c r="A243" t="s">
        <v>12</v>
      </c>
      <c r="B243">
        <v>10</v>
      </c>
      <c r="C243" t="s">
        <v>173</v>
      </c>
      <c r="D243" t="s">
        <v>409</v>
      </c>
      <c r="E243">
        <v>1</v>
      </c>
      <c r="F243">
        <v>69</v>
      </c>
      <c r="G243">
        <f>E243*F243*GiaDinh!$C$18*GiaDinh!$C$17</f>
        <v>57.959999999999994</v>
      </c>
      <c r="H243">
        <v>1.2190000000000001</v>
      </c>
      <c r="I243">
        <f>GiaDinh!$C$15</f>
        <v>15</v>
      </c>
      <c r="J243">
        <f t="shared" si="18"/>
        <v>13</v>
      </c>
      <c r="K243">
        <f>J243*GiaDinh!$C$16</f>
        <v>91</v>
      </c>
      <c r="L243">
        <f t="shared" si="19"/>
        <v>1</v>
      </c>
      <c r="M243">
        <f t="shared" si="20"/>
        <v>15</v>
      </c>
      <c r="N243">
        <f>L243*ROUNDUP(I243/GiaDinh!$C$5-0.0005,0)</f>
        <v>3</v>
      </c>
      <c r="O243">
        <f>L243*(ROUNDUP(I243/GiaDinh!$C$5-0.0005,0)-1)</f>
        <v>2</v>
      </c>
      <c r="P243">
        <f t="shared" si="21"/>
        <v>13</v>
      </c>
      <c r="Q243">
        <f t="shared" si="22"/>
        <v>26</v>
      </c>
      <c r="R243">
        <f t="shared" si="23"/>
        <v>13</v>
      </c>
      <c r="S243">
        <f>M243*GiaDinh!$C$7</f>
        <v>45.15</v>
      </c>
    </row>
    <row r="244" spans="1:19" x14ac:dyDescent="0.35">
      <c r="A244" t="s">
        <v>12</v>
      </c>
      <c r="B244">
        <v>11</v>
      </c>
      <c r="C244" t="s">
        <v>173</v>
      </c>
      <c r="D244" t="s">
        <v>410</v>
      </c>
      <c r="E244">
        <v>1</v>
      </c>
      <c r="F244">
        <v>69</v>
      </c>
      <c r="G244">
        <f>E244*F244*GiaDinh!$C$18*GiaDinh!$C$17</f>
        <v>57.959999999999994</v>
      </c>
      <c r="H244">
        <v>1.2190000000000001</v>
      </c>
      <c r="I244">
        <f>GiaDinh!$C$15</f>
        <v>15</v>
      </c>
      <c r="J244">
        <f t="shared" si="18"/>
        <v>13</v>
      </c>
      <c r="K244">
        <f>J244*GiaDinh!$C$16</f>
        <v>91</v>
      </c>
      <c r="L244">
        <f t="shared" si="19"/>
        <v>1</v>
      </c>
      <c r="M244">
        <f t="shared" si="20"/>
        <v>15</v>
      </c>
      <c r="N244">
        <f>L244*ROUNDUP(I244/GiaDinh!$C$5-0.0005,0)</f>
        <v>3</v>
      </c>
      <c r="O244">
        <f>L244*(ROUNDUP(I244/GiaDinh!$C$5-0.0005,0)-1)</f>
        <v>2</v>
      </c>
      <c r="P244">
        <f t="shared" si="21"/>
        <v>13</v>
      </c>
      <c r="Q244">
        <f t="shared" si="22"/>
        <v>26</v>
      </c>
      <c r="R244">
        <f t="shared" si="23"/>
        <v>13</v>
      </c>
      <c r="S244">
        <f>M244*GiaDinh!$C$7</f>
        <v>45.15</v>
      </c>
    </row>
    <row r="245" spans="1:19" x14ac:dyDescent="0.35">
      <c r="A245" t="s">
        <v>12</v>
      </c>
      <c r="B245">
        <v>12</v>
      </c>
      <c r="C245" t="s">
        <v>173</v>
      </c>
      <c r="D245" t="s">
        <v>411</v>
      </c>
      <c r="E245">
        <v>1</v>
      </c>
      <c r="F245">
        <v>69</v>
      </c>
      <c r="G245">
        <f>E245*F245*GiaDinh!$C$18*GiaDinh!$C$17</f>
        <v>57.959999999999994</v>
      </c>
      <c r="H245">
        <v>1.2190000000000001</v>
      </c>
      <c r="I245">
        <f>GiaDinh!$C$15</f>
        <v>15</v>
      </c>
      <c r="J245">
        <f t="shared" si="18"/>
        <v>13</v>
      </c>
      <c r="K245">
        <f>J245*GiaDinh!$C$16</f>
        <v>91</v>
      </c>
      <c r="L245">
        <f t="shared" si="19"/>
        <v>1</v>
      </c>
      <c r="M245">
        <f t="shared" si="20"/>
        <v>15</v>
      </c>
      <c r="N245">
        <f>L245*ROUNDUP(I245/GiaDinh!$C$5-0.0005,0)</f>
        <v>3</v>
      </c>
      <c r="O245">
        <f>L245*(ROUNDUP(I245/GiaDinh!$C$5-0.0005,0)-1)</f>
        <v>2</v>
      </c>
      <c r="P245">
        <f t="shared" si="21"/>
        <v>13</v>
      </c>
      <c r="Q245">
        <f t="shared" si="22"/>
        <v>26</v>
      </c>
      <c r="R245">
        <f t="shared" si="23"/>
        <v>13</v>
      </c>
      <c r="S245">
        <f>M245*GiaDinh!$C$7</f>
        <v>45.15</v>
      </c>
    </row>
    <row r="246" spans="1:19" x14ac:dyDescent="0.35">
      <c r="A246" t="s">
        <v>12</v>
      </c>
      <c r="B246">
        <v>13</v>
      </c>
      <c r="C246" t="s">
        <v>173</v>
      </c>
      <c r="D246" t="s">
        <v>412</v>
      </c>
      <c r="E246">
        <v>1</v>
      </c>
      <c r="F246">
        <v>69</v>
      </c>
      <c r="G246">
        <f>E246*F246*GiaDinh!$C$18*GiaDinh!$C$17</f>
        <v>57.959999999999994</v>
      </c>
      <c r="H246">
        <v>1.2190000000000001</v>
      </c>
      <c r="I246">
        <f>GiaDinh!$C$15</f>
        <v>15</v>
      </c>
      <c r="J246">
        <f t="shared" si="18"/>
        <v>13</v>
      </c>
      <c r="K246">
        <f>J246*GiaDinh!$C$16</f>
        <v>91</v>
      </c>
      <c r="L246">
        <f t="shared" si="19"/>
        <v>1</v>
      </c>
      <c r="M246">
        <f t="shared" si="20"/>
        <v>15</v>
      </c>
      <c r="N246">
        <f>L246*ROUNDUP(I246/GiaDinh!$C$5-0.0005,0)</f>
        <v>3</v>
      </c>
      <c r="O246">
        <f>L246*(ROUNDUP(I246/GiaDinh!$C$5-0.0005,0)-1)</f>
        <v>2</v>
      </c>
      <c r="P246">
        <f t="shared" si="21"/>
        <v>13</v>
      </c>
      <c r="Q246">
        <f t="shared" si="22"/>
        <v>26</v>
      </c>
      <c r="R246">
        <f t="shared" si="23"/>
        <v>13</v>
      </c>
      <c r="S246">
        <f>M246*GiaDinh!$C$7</f>
        <v>45.15</v>
      </c>
    </row>
    <row r="247" spans="1:19" x14ac:dyDescent="0.35">
      <c r="A247" t="s">
        <v>12</v>
      </c>
      <c r="B247">
        <v>14</v>
      </c>
      <c r="C247" t="s">
        <v>173</v>
      </c>
      <c r="D247" t="s">
        <v>413</v>
      </c>
      <c r="E247">
        <v>1</v>
      </c>
      <c r="F247">
        <v>69</v>
      </c>
      <c r="G247">
        <f>E247*F247*GiaDinh!$C$18*GiaDinh!$C$17</f>
        <v>57.959999999999994</v>
      </c>
      <c r="H247">
        <v>1.2190000000000001</v>
      </c>
      <c r="I247">
        <f>GiaDinh!$C$15</f>
        <v>15</v>
      </c>
      <c r="J247">
        <f t="shared" si="18"/>
        <v>13</v>
      </c>
      <c r="K247">
        <f>J247*GiaDinh!$C$16</f>
        <v>91</v>
      </c>
      <c r="L247">
        <f t="shared" si="19"/>
        <v>1</v>
      </c>
      <c r="M247">
        <f t="shared" si="20"/>
        <v>15</v>
      </c>
      <c r="N247">
        <f>L247*ROUNDUP(I247/GiaDinh!$C$5-0.0005,0)</f>
        <v>3</v>
      </c>
      <c r="O247">
        <f>L247*(ROUNDUP(I247/GiaDinh!$C$5-0.0005,0)-1)</f>
        <v>2</v>
      </c>
      <c r="P247">
        <f t="shared" si="21"/>
        <v>13</v>
      </c>
      <c r="Q247">
        <f t="shared" si="22"/>
        <v>26</v>
      </c>
      <c r="R247">
        <f t="shared" si="23"/>
        <v>13</v>
      </c>
      <c r="S247">
        <f>M247*GiaDinh!$C$7</f>
        <v>45.15</v>
      </c>
    </row>
    <row r="248" spans="1:19" x14ac:dyDescent="0.35">
      <c r="A248" t="s">
        <v>12</v>
      </c>
      <c r="B248">
        <v>15</v>
      </c>
      <c r="C248" t="s">
        <v>173</v>
      </c>
      <c r="D248" t="s">
        <v>414</v>
      </c>
      <c r="E248">
        <v>1</v>
      </c>
      <c r="F248">
        <v>69</v>
      </c>
      <c r="G248">
        <f>E248*F248*GiaDinh!$C$18*GiaDinh!$C$17</f>
        <v>57.959999999999994</v>
      </c>
      <c r="H248">
        <v>1.2190000000000001</v>
      </c>
      <c r="I248">
        <f>GiaDinh!$C$15</f>
        <v>15</v>
      </c>
      <c r="J248">
        <f t="shared" si="18"/>
        <v>13</v>
      </c>
      <c r="K248">
        <f>J248*GiaDinh!$C$16</f>
        <v>91</v>
      </c>
      <c r="L248">
        <f t="shared" si="19"/>
        <v>1</v>
      </c>
      <c r="M248">
        <f t="shared" si="20"/>
        <v>15</v>
      </c>
      <c r="N248">
        <f>L248*ROUNDUP(I248/GiaDinh!$C$5-0.0005,0)</f>
        <v>3</v>
      </c>
      <c r="O248">
        <f>L248*(ROUNDUP(I248/GiaDinh!$C$5-0.0005,0)-1)</f>
        <v>2</v>
      </c>
      <c r="P248">
        <f t="shared" si="21"/>
        <v>13</v>
      </c>
      <c r="Q248">
        <f t="shared" si="22"/>
        <v>26</v>
      </c>
      <c r="R248">
        <f t="shared" si="23"/>
        <v>13</v>
      </c>
      <c r="S248">
        <f>M248*GiaDinh!$C$7</f>
        <v>45.15</v>
      </c>
    </row>
    <row r="249" spans="1:19" x14ac:dyDescent="0.35">
      <c r="A249" t="s">
        <v>12</v>
      </c>
      <c r="B249">
        <v>16</v>
      </c>
      <c r="C249" t="s">
        <v>173</v>
      </c>
      <c r="D249" t="s">
        <v>415</v>
      </c>
      <c r="E249">
        <v>1</v>
      </c>
      <c r="F249">
        <v>69</v>
      </c>
      <c r="G249">
        <f>E249*F249*GiaDinh!$C$18*GiaDinh!$C$17</f>
        <v>57.959999999999994</v>
      </c>
      <c r="H249">
        <v>1.2190000000000001</v>
      </c>
      <c r="I249">
        <f>GiaDinh!$C$15</f>
        <v>15</v>
      </c>
      <c r="J249">
        <f t="shared" si="18"/>
        <v>13</v>
      </c>
      <c r="K249">
        <f>J249*GiaDinh!$C$16</f>
        <v>91</v>
      </c>
      <c r="L249">
        <f t="shared" si="19"/>
        <v>1</v>
      </c>
      <c r="M249">
        <f t="shared" si="20"/>
        <v>15</v>
      </c>
      <c r="N249">
        <f>L249*ROUNDUP(I249/GiaDinh!$C$5-0.0005,0)</f>
        <v>3</v>
      </c>
      <c r="O249">
        <f>L249*(ROUNDUP(I249/GiaDinh!$C$5-0.0005,0)-1)</f>
        <v>2</v>
      </c>
      <c r="P249">
        <f t="shared" si="21"/>
        <v>13</v>
      </c>
      <c r="Q249">
        <f t="shared" si="22"/>
        <v>26</v>
      </c>
      <c r="R249">
        <f t="shared" si="23"/>
        <v>13</v>
      </c>
      <c r="S249">
        <f>M249*GiaDinh!$C$7</f>
        <v>45.15</v>
      </c>
    </row>
    <row r="250" spans="1:19" x14ac:dyDescent="0.35">
      <c r="A250" t="s">
        <v>12</v>
      </c>
      <c r="B250">
        <v>17</v>
      </c>
      <c r="C250" t="s">
        <v>173</v>
      </c>
      <c r="D250" t="s">
        <v>416</v>
      </c>
      <c r="E250">
        <v>1</v>
      </c>
      <c r="F250">
        <v>69</v>
      </c>
      <c r="G250">
        <f>E250*F250*GiaDinh!$C$18*GiaDinh!$C$17</f>
        <v>57.959999999999994</v>
      </c>
      <c r="H250">
        <v>1.2190000000000001</v>
      </c>
      <c r="I250">
        <f>GiaDinh!$C$15</f>
        <v>15</v>
      </c>
      <c r="J250">
        <f t="shared" si="18"/>
        <v>13</v>
      </c>
      <c r="K250">
        <f>J250*GiaDinh!$C$16</f>
        <v>91</v>
      </c>
      <c r="L250">
        <f t="shared" si="19"/>
        <v>1</v>
      </c>
      <c r="M250">
        <f t="shared" si="20"/>
        <v>15</v>
      </c>
      <c r="N250">
        <f>L250*ROUNDUP(I250/GiaDinh!$C$5-0.0005,0)</f>
        <v>3</v>
      </c>
      <c r="O250">
        <f>L250*(ROUNDUP(I250/GiaDinh!$C$5-0.0005,0)-1)</f>
        <v>2</v>
      </c>
      <c r="P250">
        <f t="shared" si="21"/>
        <v>13</v>
      </c>
      <c r="Q250">
        <f t="shared" si="22"/>
        <v>26</v>
      </c>
      <c r="R250">
        <f t="shared" si="23"/>
        <v>13</v>
      </c>
      <c r="S250">
        <f>M250*GiaDinh!$C$7</f>
        <v>45.15</v>
      </c>
    </row>
    <row r="251" spans="1:19" x14ac:dyDescent="0.35">
      <c r="A251" t="s">
        <v>12</v>
      </c>
      <c r="B251">
        <v>18</v>
      </c>
      <c r="C251" t="s">
        <v>173</v>
      </c>
      <c r="D251" t="s">
        <v>417</v>
      </c>
      <c r="E251">
        <v>1</v>
      </c>
      <c r="F251">
        <v>69</v>
      </c>
      <c r="G251">
        <f>E251*F251*GiaDinh!$C$18*GiaDinh!$C$17</f>
        <v>57.959999999999994</v>
      </c>
      <c r="H251">
        <v>1.2190000000000001</v>
      </c>
      <c r="I251">
        <f>GiaDinh!$C$15</f>
        <v>15</v>
      </c>
      <c r="J251">
        <f t="shared" si="18"/>
        <v>13</v>
      </c>
      <c r="K251">
        <f>J251*GiaDinh!$C$16</f>
        <v>91</v>
      </c>
      <c r="L251">
        <f t="shared" si="19"/>
        <v>1</v>
      </c>
      <c r="M251">
        <f t="shared" si="20"/>
        <v>15</v>
      </c>
      <c r="N251">
        <f>L251*ROUNDUP(I251/GiaDinh!$C$5-0.0005,0)</f>
        <v>3</v>
      </c>
      <c r="O251">
        <f>L251*(ROUNDUP(I251/GiaDinh!$C$5-0.0005,0)-1)</f>
        <v>2</v>
      </c>
      <c r="P251">
        <f t="shared" si="21"/>
        <v>13</v>
      </c>
      <c r="Q251">
        <f t="shared" si="22"/>
        <v>26</v>
      </c>
      <c r="R251">
        <f t="shared" si="23"/>
        <v>13</v>
      </c>
      <c r="S251">
        <f>M251*GiaDinh!$C$7</f>
        <v>45.15</v>
      </c>
    </row>
    <row r="252" spans="1:19" x14ac:dyDescent="0.35">
      <c r="A252" t="s">
        <v>12</v>
      </c>
      <c r="B252">
        <v>19</v>
      </c>
      <c r="C252" t="s">
        <v>173</v>
      </c>
      <c r="D252" t="s">
        <v>418</v>
      </c>
      <c r="E252">
        <v>1</v>
      </c>
      <c r="F252">
        <v>69</v>
      </c>
      <c r="G252">
        <f>E252*F252*GiaDinh!$C$18*GiaDinh!$C$17</f>
        <v>57.959999999999994</v>
      </c>
      <c r="H252">
        <v>1.2190000000000001</v>
      </c>
      <c r="I252">
        <f>GiaDinh!$C$15</f>
        <v>15</v>
      </c>
      <c r="J252">
        <f t="shared" si="18"/>
        <v>13</v>
      </c>
      <c r="K252">
        <f>J252*GiaDinh!$C$16</f>
        <v>91</v>
      </c>
      <c r="L252">
        <f t="shared" si="19"/>
        <v>1</v>
      </c>
      <c r="M252">
        <f t="shared" si="20"/>
        <v>15</v>
      </c>
      <c r="N252">
        <f>L252*ROUNDUP(I252/GiaDinh!$C$5-0.0005,0)</f>
        <v>3</v>
      </c>
      <c r="O252">
        <f>L252*(ROUNDUP(I252/GiaDinh!$C$5-0.0005,0)-1)</f>
        <v>2</v>
      </c>
      <c r="P252">
        <f t="shared" si="21"/>
        <v>13</v>
      </c>
      <c r="Q252">
        <f t="shared" si="22"/>
        <v>26</v>
      </c>
      <c r="R252">
        <f t="shared" si="23"/>
        <v>13</v>
      </c>
      <c r="S252">
        <f>M252*GiaDinh!$C$7</f>
        <v>45.15</v>
      </c>
    </row>
    <row r="253" spans="1:19" x14ac:dyDescent="0.35">
      <c r="A253" t="s">
        <v>12</v>
      </c>
      <c r="B253">
        <v>20</v>
      </c>
      <c r="C253" t="s">
        <v>173</v>
      </c>
      <c r="D253" t="s">
        <v>419</v>
      </c>
      <c r="E253">
        <v>1</v>
      </c>
      <c r="F253">
        <v>69</v>
      </c>
      <c r="G253">
        <f>E253*F253*GiaDinh!$C$18*GiaDinh!$C$17</f>
        <v>57.959999999999994</v>
      </c>
      <c r="H253">
        <v>1.2190000000000001</v>
      </c>
      <c r="I253">
        <f>GiaDinh!$C$15</f>
        <v>15</v>
      </c>
      <c r="J253">
        <f t="shared" si="18"/>
        <v>13</v>
      </c>
      <c r="K253">
        <f>J253*GiaDinh!$C$16</f>
        <v>91</v>
      </c>
      <c r="L253">
        <f t="shared" si="19"/>
        <v>1</v>
      </c>
      <c r="M253">
        <f t="shared" si="20"/>
        <v>15</v>
      </c>
      <c r="N253">
        <f>L253*ROUNDUP(I253/GiaDinh!$C$5-0.0005,0)</f>
        <v>3</v>
      </c>
      <c r="O253">
        <f>L253*(ROUNDUP(I253/GiaDinh!$C$5-0.0005,0)-1)</f>
        <v>2</v>
      </c>
      <c r="P253">
        <f t="shared" si="21"/>
        <v>13</v>
      </c>
      <c r="Q253">
        <f t="shared" si="22"/>
        <v>26</v>
      </c>
      <c r="R253">
        <f t="shared" si="23"/>
        <v>13</v>
      </c>
      <c r="S253">
        <f>M253*GiaDinh!$C$7</f>
        <v>45.15</v>
      </c>
    </row>
    <row r="254" spans="1:19" x14ac:dyDescent="0.35">
      <c r="A254" t="s">
        <v>12</v>
      </c>
      <c r="B254">
        <v>21</v>
      </c>
      <c r="C254" t="s">
        <v>173</v>
      </c>
      <c r="D254" t="s">
        <v>420</v>
      </c>
      <c r="E254">
        <v>1</v>
      </c>
      <c r="F254">
        <v>69</v>
      </c>
      <c r="G254">
        <f>E254*F254*GiaDinh!$C$18*GiaDinh!$C$17</f>
        <v>57.959999999999994</v>
      </c>
      <c r="H254">
        <v>1.2190000000000001</v>
      </c>
      <c r="I254">
        <f>GiaDinh!$C$15</f>
        <v>15</v>
      </c>
      <c r="J254">
        <f t="shared" si="18"/>
        <v>13</v>
      </c>
      <c r="K254">
        <f>J254*GiaDinh!$C$16</f>
        <v>91</v>
      </c>
      <c r="L254">
        <f t="shared" si="19"/>
        <v>1</v>
      </c>
      <c r="M254">
        <f t="shared" si="20"/>
        <v>15</v>
      </c>
      <c r="N254">
        <f>L254*ROUNDUP(I254/GiaDinh!$C$5-0.0005,0)</f>
        <v>3</v>
      </c>
      <c r="O254">
        <f>L254*(ROUNDUP(I254/GiaDinh!$C$5-0.0005,0)-1)</f>
        <v>2</v>
      </c>
      <c r="P254">
        <f t="shared" si="21"/>
        <v>13</v>
      </c>
      <c r="Q254">
        <f t="shared" si="22"/>
        <v>26</v>
      </c>
      <c r="R254">
        <f t="shared" si="23"/>
        <v>13</v>
      </c>
      <c r="S254">
        <f>M254*GiaDinh!$C$7</f>
        <v>45.15</v>
      </c>
    </row>
    <row r="255" spans="1:19" x14ac:dyDescent="0.35">
      <c r="A255" t="s">
        <v>12</v>
      </c>
      <c r="B255">
        <v>22</v>
      </c>
      <c r="C255" t="s">
        <v>168</v>
      </c>
      <c r="D255" t="s">
        <v>421</v>
      </c>
      <c r="E255">
        <v>2</v>
      </c>
      <c r="F255">
        <v>69</v>
      </c>
      <c r="G255">
        <f>E255*F255*GiaDinh!$C$18*GiaDinh!$C$17</f>
        <v>115.91999999999999</v>
      </c>
      <c r="H255">
        <v>1.2190000000000001</v>
      </c>
      <c r="I255">
        <f>GiaDinh!$C$15</f>
        <v>15</v>
      </c>
      <c r="J255">
        <f t="shared" si="18"/>
        <v>13</v>
      </c>
      <c r="K255">
        <f>J255*GiaDinh!$C$16</f>
        <v>91</v>
      </c>
      <c r="L255">
        <f t="shared" si="19"/>
        <v>2</v>
      </c>
      <c r="M255">
        <f t="shared" si="20"/>
        <v>30</v>
      </c>
      <c r="N255">
        <f>L255*ROUNDUP(I255/GiaDinh!$C$5-0.0005,0)</f>
        <v>6</v>
      </c>
      <c r="O255">
        <f>L255*(ROUNDUP(I255/GiaDinh!$C$5-0.0005,0)-1)</f>
        <v>4</v>
      </c>
      <c r="P255">
        <f t="shared" si="21"/>
        <v>26</v>
      </c>
      <c r="Q255">
        <f t="shared" si="22"/>
        <v>52</v>
      </c>
      <c r="R255">
        <f t="shared" si="23"/>
        <v>26</v>
      </c>
      <c r="S255">
        <f>M255*GiaDinh!$C$7</f>
        <v>90.3</v>
      </c>
    </row>
    <row r="256" spans="1:19" x14ac:dyDescent="0.35">
      <c r="A256" t="s">
        <v>12</v>
      </c>
      <c r="B256">
        <v>23</v>
      </c>
      <c r="C256" t="s">
        <v>168</v>
      </c>
      <c r="D256" t="s">
        <v>422</v>
      </c>
      <c r="E256">
        <v>3</v>
      </c>
      <c r="F256">
        <v>69</v>
      </c>
      <c r="G256">
        <f>E256*F256*GiaDinh!$C$18*GiaDinh!$C$17</f>
        <v>173.87999999999997</v>
      </c>
      <c r="H256">
        <v>1.2190000000000001</v>
      </c>
      <c r="I256">
        <f>GiaDinh!$C$15</f>
        <v>15</v>
      </c>
      <c r="J256">
        <f t="shared" si="18"/>
        <v>13</v>
      </c>
      <c r="K256">
        <f>J256*GiaDinh!$C$16</f>
        <v>91</v>
      </c>
      <c r="L256">
        <f t="shared" si="19"/>
        <v>2</v>
      </c>
      <c r="M256">
        <f t="shared" si="20"/>
        <v>30</v>
      </c>
      <c r="N256">
        <f>L256*ROUNDUP(I256/GiaDinh!$C$5-0.0005,0)</f>
        <v>6</v>
      </c>
      <c r="O256">
        <f>L256*(ROUNDUP(I256/GiaDinh!$C$5-0.0005,0)-1)</f>
        <v>4</v>
      </c>
      <c r="P256">
        <f t="shared" si="21"/>
        <v>26</v>
      </c>
      <c r="Q256">
        <f t="shared" si="22"/>
        <v>52</v>
      </c>
      <c r="R256">
        <f t="shared" si="23"/>
        <v>26</v>
      </c>
      <c r="S256">
        <f>M256*GiaDinh!$C$7</f>
        <v>90.3</v>
      </c>
    </row>
    <row r="257" spans="1:19" x14ac:dyDescent="0.35">
      <c r="A257" t="s">
        <v>12</v>
      </c>
      <c r="B257">
        <v>24</v>
      </c>
      <c r="C257" t="s">
        <v>168</v>
      </c>
      <c r="D257" t="s">
        <v>423</v>
      </c>
      <c r="E257">
        <v>3</v>
      </c>
      <c r="F257">
        <v>69</v>
      </c>
      <c r="G257">
        <f>E257*F257*GiaDinh!$C$18*GiaDinh!$C$17</f>
        <v>173.87999999999997</v>
      </c>
      <c r="H257">
        <v>1.2190000000000001</v>
      </c>
      <c r="I257">
        <f>GiaDinh!$C$15</f>
        <v>15</v>
      </c>
      <c r="J257">
        <f t="shared" si="18"/>
        <v>13</v>
      </c>
      <c r="K257">
        <f>J257*GiaDinh!$C$16</f>
        <v>91</v>
      </c>
      <c r="L257">
        <f t="shared" si="19"/>
        <v>2</v>
      </c>
      <c r="M257">
        <f t="shared" si="20"/>
        <v>30</v>
      </c>
      <c r="N257">
        <f>L257*ROUNDUP(I257/GiaDinh!$C$5-0.0005,0)</f>
        <v>6</v>
      </c>
      <c r="O257">
        <f>L257*(ROUNDUP(I257/GiaDinh!$C$5-0.0005,0)-1)</f>
        <v>4</v>
      </c>
      <c r="P257">
        <f t="shared" si="21"/>
        <v>26</v>
      </c>
      <c r="Q257">
        <f t="shared" si="22"/>
        <v>52</v>
      </c>
      <c r="R257">
        <f t="shared" si="23"/>
        <v>26</v>
      </c>
      <c r="S257">
        <f>M257*GiaDinh!$C$7</f>
        <v>90.3</v>
      </c>
    </row>
    <row r="258" spans="1:19" x14ac:dyDescent="0.35">
      <c r="A258" t="s">
        <v>12</v>
      </c>
      <c r="B258">
        <v>25</v>
      </c>
      <c r="C258" t="s">
        <v>173</v>
      </c>
      <c r="D258" t="s">
        <v>424</v>
      </c>
      <c r="E258">
        <v>1</v>
      </c>
      <c r="F258">
        <v>69</v>
      </c>
      <c r="G258">
        <f>E258*F258*GiaDinh!$C$18*GiaDinh!$C$17</f>
        <v>57.959999999999994</v>
      </c>
      <c r="H258">
        <v>1.2190000000000001</v>
      </c>
      <c r="I258">
        <f>GiaDinh!$C$15</f>
        <v>15</v>
      </c>
      <c r="J258">
        <f t="shared" si="18"/>
        <v>13</v>
      </c>
      <c r="K258">
        <f>J258*GiaDinh!$C$16</f>
        <v>91</v>
      </c>
      <c r="L258">
        <f t="shared" si="19"/>
        <v>1</v>
      </c>
      <c r="M258">
        <f t="shared" si="20"/>
        <v>15</v>
      </c>
      <c r="N258">
        <f>L258*ROUNDUP(I258/GiaDinh!$C$5-0.0005,0)</f>
        <v>3</v>
      </c>
      <c r="O258">
        <f>L258*(ROUNDUP(I258/GiaDinh!$C$5-0.0005,0)-1)</f>
        <v>2</v>
      </c>
      <c r="P258">
        <f t="shared" si="21"/>
        <v>13</v>
      </c>
      <c r="Q258">
        <f t="shared" si="22"/>
        <v>26</v>
      </c>
      <c r="R258">
        <f t="shared" si="23"/>
        <v>13</v>
      </c>
      <c r="S258">
        <f>M258*GiaDinh!$C$7</f>
        <v>45.15</v>
      </c>
    </row>
    <row r="259" spans="1:19" x14ac:dyDescent="0.35">
      <c r="A259" t="s">
        <v>12</v>
      </c>
      <c r="B259">
        <v>26</v>
      </c>
      <c r="C259" t="s">
        <v>173</v>
      </c>
      <c r="D259" t="s">
        <v>425</v>
      </c>
      <c r="E259">
        <v>1</v>
      </c>
      <c r="F259">
        <v>69</v>
      </c>
      <c r="G259">
        <f>E259*F259*GiaDinh!$C$18*GiaDinh!$C$17</f>
        <v>57.959999999999994</v>
      </c>
      <c r="H259">
        <v>1.2190000000000001</v>
      </c>
      <c r="I259">
        <f>GiaDinh!$C$15</f>
        <v>15</v>
      </c>
      <c r="J259">
        <f t="shared" si="18"/>
        <v>13</v>
      </c>
      <c r="K259">
        <f>J259*GiaDinh!$C$16</f>
        <v>91</v>
      </c>
      <c r="L259">
        <f t="shared" si="19"/>
        <v>1</v>
      </c>
      <c r="M259">
        <f t="shared" si="20"/>
        <v>15</v>
      </c>
      <c r="N259">
        <f>L259*ROUNDUP(I259/GiaDinh!$C$5-0.0005,0)</f>
        <v>3</v>
      </c>
      <c r="O259">
        <f>L259*(ROUNDUP(I259/GiaDinh!$C$5-0.0005,0)-1)</f>
        <v>2</v>
      </c>
      <c r="P259">
        <f t="shared" si="21"/>
        <v>13</v>
      </c>
      <c r="Q259">
        <f t="shared" si="22"/>
        <v>26</v>
      </c>
      <c r="R259">
        <f t="shared" si="23"/>
        <v>13</v>
      </c>
      <c r="S259">
        <f>M259*GiaDinh!$C$7</f>
        <v>45.15</v>
      </c>
    </row>
    <row r="260" spans="1:19" x14ac:dyDescent="0.35">
      <c r="A260" t="s">
        <v>12</v>
      </c>
      <c r="B260">
        <v>27</v>
      </c>
      <c r="C260" t="s">
        <v>173</v>
      </c>
      <c r="D260" t="s">
        <v>426</v>
      </c>
      <c r="E260">
        <v>1</v>
      </c>
      <c r="F260">
        <v>69</v>
      </c>
      <c r="G260">
        <f>E260*F260*GiaDinh!$C$18*GiaDinh!$C$17</f>
        <v>57.959999999999994</v>
      </c>
      <c r="H260">
        <v>1.2190000000000001</v>
      </c>
      <c r="I260">
        <f>GiaDinh!$C$15</f>
        <v>15</v>
      </c>
      <c r="J260">
        <f t="shared" ref="J260:J323" si="24">ROUNDDOWN(I260/H260,0)+1</f>
        <v>13</v>
      </c>
      <c r="K260">
        <f>J260*GiaDinh!$C$16</f>
        <v>91</v>
      </c>
      <c r="L260">
        <f t="shared" ref="L260:L323" si="25">MAX(1,ROUNDUP(G260/K260-0.0005,0))</f>
        <v>1</v>
      </c>
      <c r="M260">
        <f t="shared" ref="M260:M323" si="26">L260*I260</f>
        <v>15</v>
      </c>
      <c r="N260">
        <f>L260*ROUNDUP(I260/GiaDinh!$C$5-0.0005,0)</f>
        <v>3</v>
      </c>
      <c r="O260">
        <f>L260*(ROUNDUP(I260/GiaDinh!$C$5-0.0005,0)-1)</f>
        <v>2</v>
      </c>
      <c r="P260">
        <f t="shared" ref="P260:P323" si="27">L260*J260</f>
        <v>13</v>
      </c>
      <c r="Q260">
        <f t="shared" ref="Q260:Q323" si="28">2*P260</f>
        <v>26</v>
      </c>
      <c r="R260">
        <f t="shared" ref="R260:R323" si="29">P260</f>
        <v>13</v>
      </c>
      <c r="S260">
        <f>M260*GiaDinh!$C$7</f>
        <v>45.15</v>
      </c>
    </row>
    <row r="261" spans="1:19" x14ac:dyDescent="0.35">
      <c r="A261" t="s">
        <v>12</v>
      </c>
      <c r="B261">
        <v>28</v>
      </c>
      <c r="C261" t="s">
        <v>173</v>
      </c>
      <c r="D261" t="s">
        <v>427</v>
      </c>
      <c r="E261">
        <v>1</v>
      </c>
      <c r="F261">
        <v>69</v>
      </c>
      <c r="G261">
        <f>E261*F261*GiaDinh!$C$18*GiaDinh!$C$17</f>
        <v>57.959999999999994</v>
      </c>
      <c r="H261">
        <v>1.2190000000000001</v>
      </c>
      <c r="I261">
        <f>GiaDinh!$C$15</f>
        <v>15</v>
      </c>
      <c r="J261">
        <f t="shared" si="24"/>
        <v>13</v>
      </c>
      <c r="K261">
        <f>J261*GiaDinh!$C$16</f>
        <v>91</v>
      </c>
      <c r="L261">
        <f t="shared" si="25"/>
        <v>1</v>
      </c>
      <c r="M261">
        <f t="shared" si="26"/>
        <v>15</v>
      </c>
      <c r="N261">
        <f>L261*ROUNDUP(I261/GiaDinh!$C$5-0.0005,0)</f>
        <v>3</v>
      </c>
      <c r="O261">
        <f>L261*(ROUNDUP(I261/GiaDinh!$C$5-0.0005,0)-1)</f>
        <v>2</v>
      </c>
      <c r="P261">
        <f t="shared" si="27"/>
        <v>13</v>
      </c>
      <c r="Q261">
        <f t="shared" si="28"/>
        <v>26</v>
      </c>
      <c r="R261">
        <f t="shared" si="29"/>
        <v>13</v>
      </c>
      <c r="S261">
        <f>M261*GiaDinh!$C$7</f>
        <v>45.15</v>
      </c>
    </row>
    <row r="262" spans="1:19" x14ac:dyDescent="0.35">
      <c r="A262" t="s">
        <v>12</v>
      </c>
      <c r="B262">
        <v>29</v>
      </c>
      <c r="C262" t="s">
        <v>173</v>
      </c>
      <c r="D262" t="s">
        <v>428</v>
      </c>
      <c r="E262">
        <v>1</v>
      </c>
      <c r="F262">
        <v>69</v>
      </c>
      <c r="G262">
        <f>E262*F262*GiaDinh!$C$18*GiaDinh!$C$17</f>
        <v>57.959999999999994</v>
      </c>
      <c r="H262">
        <v>1.2190000000000001</v>
      </c>
      <c r="I262">
        <f>GiaDinh!$C$15</f>
        <v>15</v>
      </c>
      <c r="J262">
        <f t="shared" si="24"/>
        <v>13</v>
      </c>
      <c r="K262">
        <f>J262*GiaDinh!$C$16</f>
        <v>91</v>
      </c>
      <c r="L262">
        <f t="shared" si="25"/>
        <v>1</v>
      </c>
      <c r="M262">
        <f t="shared" si="26"/>
        <v>15</v>
      </c>
      <c r="N262">
        <f>L262*ROUNDUP(I262/GiaDinh!$C$5-0.0005,0)</f>
        <v>3</v>
      </c>
      <c r="O262">
        <f>L262*(ROUNDUP(I262/GiaDinh!$C$5-0.0005,0)-1)</f>
        <v>2</v>
      </c>
      <c r="P262">
        <f t="shared" si="27"/>
        <v>13</v>
      </c>
      <c r="Q262">
        <f t="shared" si="28"/>
        <v>26</v>
      </c>
      <c r="R262">
        <f t="shared" si="29"/>
        <v>13</v>
      </c>
      <c r="S262">
        <f>M262*GiaDinh!$C$7</f>
        <v>45.15</v>
      </c>
    </row>
    <row r="263" spans="1:19" x14ac:dyDescent="0.35">
      <c r="A263" t="s">
        <v>12</v>
      </c>
      <c r="B263">
        <v>30</v>
      </c>
      <c r="C263" t="s">
        <v>173</v>
      </c>
      <c r="D263" t="s">
        <v>429</v>
      </c>
      <c r="E263">
        <v>1</v>
      </c>
      <c r="F263">
        <v>69</v>
      </c>
      <c r="G263">
        <f>E263*F263*GiaDinh!$C$18*GiaDinh!$C$17</f>
        <v>57.959999999999994</v>
      </c>
      <c r="H263">
        <v>1.2190000000000001</v>
      </c>
      <c r="I263">
        <f>GiaDinh!$C$15</f>
        <v>15</v>
      </c>
      <c r="J263">
        <f t="shared" si="24"/>
        <v>13</v>
      </c>
      <c r="K263">
        <f>J263*GiaDinh!$C$16</f>
        <v>91</v>
      </c>
      <c r="L263">
        <f t="shared" si="25"/>
        <v>1</v>
      </c>
      <c r="M263">
        <f t="shared" si="26"/>
        <v>15</v>
      </c>
      <c r="N263">
        <f>L263*ROUNDUP(I263/GiaDinh!$C$5-0.0005,0)</f>
        <v>3</v>
      </c>
      <c r="O263">
        <f>L263*(ROUNDUP(I263/GiaDinh!$C$5-0.0005,0)-1)</f>
        <v>2</v>
      </c>
      <c r="P263">
        <f t="shared" si="27"/>
        <v>13</v>
      </c>
      <c r="Q263">
        <f t="shared" si="28"/>
        <v>26</v>
      </c>
      <c r="R263">
        <f t="shared" si="29"/>
        <v>13</v>
      </c>
      <c r="S263">
        <f>M263*GiaDinh!$C$7</f>
        <v>45.15</v>
      </c>
    </row>
    <row r="264" spans="1:19" x14ac:dyDescent="0.35">
      <c r="A264" t="s">
        <v>12</v>
      </c>
      <c r="B264">
        <v>31</v>
      </c>
      <c r="C264" t="s">
        <v>173</v>
      </c>
      <c r="D264" t="s">
        <v>430</v>
      </c>
      <c r="E264">
        <v>1</v>
      </c>
      <c r="F264">
        <v>69</v>
      </c>
      <c r="G264">
        <f>E264*F264*GiaDinh!$C$18*GiaDinh!$C$17</f>
        <v>57.959999999999994</v>
      </c>
      <c r="H264">
        <v>1.2190000000000001</v>
      </c>
      <c r="I264">
        <f>GiaDinh!$C$15</f>
        <v>15</v>
      </c>
      <c r="J264">
        <f t="shared" si="24"/>
        <v>13</v>
      </c>
      <c r="K264">
        <f>J264*GiaDinh!$C$16</f>
        <v>91</v>
      </c>
      <c r="L264">
        <f t="shared" si="25"/>
        <v>1</v>
      </c>
      <c r="M264">
        <f t="shared" si="26"/>
        <v>15</v>
      </c>
      <c r="N264">
        <f>L264*ROUNDUP(I264/GiaDinh!$C$5-0.0005,0)</f>
        <v>3</v>
      </c>
      <c r="O264">
        <f>L264*(ROUNDUP(I264/GiaDinh!$C$5-0.0005,0)-1)</f>
        <v>2</v>
      </c>
      <c r="P264">
        <f t="shared" si="27"/>
        <v>13</v>
      </c>
      <c r="Q264">
        <f t="shared" si="28"/>
        <v>26</v>
      </c>
      <c r="R264">
        <f t="shared" si="29"/>
        <v>13</v>
      </c>
      <c r="S264">
        <f>M264*GiaDinh!$C$7</f>
        <v>45.15</v>
      </c>
    </row>
    <row r="265" spans="1:19" x14ac:dyDescent="0.35">
      <c r="A265" t="s">
        <v>12</v>
      </c>
      <c r="B265">
        <v>32</v>
      </c>
      <c r="C265" t="s">
        <v>173</v>
      </c>
      <c r="D265" t="s">
        <v>431</v>
      </c>
      <c r="E265">
        <v>1</v>
      </c>
      <c r="F265">
        <v>69</v>
      </c>
      <c r="G265">
        <f>E265*F265*GiaDinh!$C$18*GiaDinh!$C$17</f>
        <v>57.959999999999994</v>
      </c>
      <c r="H265">
        <v>1.2190000000000001</v>
      </c>
      <c r="I265">
        <f>GiaDinh!$C$15</f>
        <v>15</v>
      </c>
      <c r="J265">
        <f t="shared" si="24"/>
        <v>13</v>
      </c>
      <c r="K265">
        <f>J265*GiaDinh!$C$16</f>
        <v>91</v>
      </c>
      <c r="L265">
        <f t="shared" si="25"/>
        <v>1</v>
      </c>
      <c r="M265">
        <f t="shared" si="26"/>
        <v>15</v>
      </c>
      <c r="N265">
        <f>L265*ROUNDUP(I265/GiaDinh!$C$5-0.0005,0)</f>
        <v>3</v>
      </c>
      <c r="O265">
        <f>L265*(ROUNDUP(I265/GiaDinh!$C$5-0.0005,0)-1)</f>
        <v>2</v>
      </c>
      <c r="P265">
        <f t="shared" si="27"/>
        <v>13</v>
      </c>
      <c r="Q265">
        <f t="shared" si="28"/>
        <v>26</v>
      </c>
      <c r="R265">
        <f t="shared" si="29"/>
        <v>13</v>
      </c>
      <c r="S265">
        <f>M265*GiaDinh!$C$7</f>
        <v>45.15</v>
      </c>
    </row>
    <row r="266" spans="1:19" x14ac:dyDescent="0.35">
      <c r="A266" t="s">
        <v>12</v>
      </c>
      <c r="B266">
        <v>33</v>
      </c>
      <c r="C266" t="s">
        <v>173</v>
      </c>
      <c r="D266" t="s">
        <v>432</v>
      </c>
      <c r="E266">
        <v>1</v>
      </c>
      <c r="F266">
        <v>69</v>
      </c>
      <c r="G266">
        <f>E266*F266*GiaDinh!$C$18*GiaDinh!$C$17</f>
        <v>57.959999999999994</v>
      </c>
      <c r="H266">
        <v>1.2190000000000001</v>
      </c>
      <c r="I266">
        <f>GiaDinh!$C$15</f>
        <v>15</v>
      </c>
      <c r="J266">
        <f t="shared" si="24"/>
        <v>13</v>
      </c>
      <c r="K266">
        <f>J266*GiaDinh!$C$16</f>
        <v>91</v>
      </c>
      <c r="L266">
        <f t="shared" si="25"/>
        <v>1</v>
      </c>
      <c r="M266">
        <f t="shared" si="26"/>
        <v>15</v>
      </c>
      <c r="N266">
        <f>L266*ROUNDUP(I266/GiaDinh!$C$5-0.0005,0)</f>
        <v>3</v>
      </c>
      <c r="O266">
        <f>L266*(ROUNDUP(I266/GiaDinh!$C$5-0.0005,0)-1)</f>
        <v>2</v>
      </c>
      <c r="P266">
        <f t="shared" si="27"/>
        <v>13</v>
      </c>
      <c r="Q266">
        <f t="shared" si="28"/>
        <v>26</v>
      </c>
      <c r="R266">
        <f t="shared" si="29"/>
        <v>13</v>
      </c>
      <c r="S266">
        <f>M266*GiaDinh!$C$7</f>
        <v>45.15</v>
      </c>
    </row>
    <row r="267" spans="1:19" x14ac:dyDescent="0.35">
      <c r="A267" t="s">
        <v>12</v>
      </c>
      <c r="B267">
        <v>34</v>
      </c>
      <c r="C267" t="s">
        <v>173</v>
      </c>
      <c r="D267" t="s">
        <v>433</v>
      </c>
      <c r="E267">
        <v>1</v>
      </c>
      <c r="F267">
        <v>69</v>
      </c>
      <c r="G267">
        <f>E267*F267*GiaDinh!$C$18*GiaDinh!$C$17</f>
        <v>57.959999999999994</v>
      </c>
      <c r="H267">
        <v>1.2190000000000001</v>
      </c>
      <c r="I267">
        <f>GiaDinh!$C$15</f>
        <v>15</v>
      </c>
      <c r="J267">
        <f t="shared" si="24"/>
        <v>13</v>
      </c>
      <c r="K267">
        <f>J267*GiaDinh!$C$16</f>
        <v>91</v>
      </c>
      <c r="L267">
        <f t="shared" si="25"/>
        <v>1</v>
      </c>
      <c r="M267">
        <f t="shared" si="26"/>
        <v>15</v>
      </c>
      <c r="N267">
        <f>L267*ROUNDUP(I267/GiaDinh!$C$5-0.0005,0)</f>
        <v>3</v>
      </c>
      <c r="O267">
        <f>L267*(ROUNDUP(I267/GiaDinh!$C$5-0.0005,0)-1)</f>
        <v>2</v>
      </c>
      <c r="P267">
        <f t="shared" si="27"/>
        <v>13</v>
      </c>
      <c r="Q267">
        <f t="shared" si="28"/>
        <v>26</v>
      </c>
      <c r="R267">
        <f t="shared" si="29"/>
        <v>13</v>
      </c>
      <c r="S267">
        <f>M267*GiaDinh!$C$7</f>
        <v>45.15</v>
      </c>
    </row>
    <row r="268" spans="1:19" x14ac:dyDescent="0.35">
      <c r="A268" t="s">
        <v>12</v>
      </c>
      <c r="B268">
        <v>35</v>
      </c>
      <c r="C268" t="s">
        <v>173</v>
      </c>
      <c r="D268" t="s">
        <v>434</v>
      </c>
      <c r="E268">
        <v>1</v>
      </c>
      <c r="F268">
        <v>69</v>
      </c>
      <c r="G268">
        <f>E268*F268*GiaDinh!$C$18*GiaDinh!$C$17</f>
        <v>57.959999999999994</v>
      </c>
      <c r="H268">
        <v>1.2190000000000001</v>
      </c>
      <c r="I268">
        <f>GiaDinh!$C$15</f>
        <v>15</v>
      </c>
      <c r="J268">
        <f t="shared" si="24"/>
        <v>13</v>
      </c>
      <c r="K268">
        <f>J268*GiaDinh!$C$16</f>
        <v>91</v>
      </c>
      <c r="L268">
        <f t="shared" si="25"/>
        <v>1</v>
      </c>
      <c r="M268">
        <f t="shared" si="26"/>
        <v>15</v>
      </c>
      <c r="N268">
        <f>L268*ROUNDUP(I268/GiaDinh!$C$5-0.0005,0)</f>
        <v>3</v>
      </c>
      <c r="O268">
        <f>L268*(ROUNDUP(I268/GiaDinh!$C$5-0.0005,0)-1)</f>
        <v>2</v>
      </c>
      <c r="P268">
        <f t="shared" si="27"/>
        <v>13</v>
      </c>
      <c r="Q268">
        <f t="shared" si="28"/>
        <v>26</v>
      </c>
      <c r="R268">
        <f t="shared" si="29"/>
        <v>13</v>
      </c>
      <c r="S268">
        <f>M268*GiaDinh!$C$7</f>
        <v>45.15</v>
      </c>
    </row>
    <row r="269" spans="1:19" x14ac:dyDescent="0.35">
      <c r="A269" t="s">
        <v>12</v>
      </c>
      <c r="B269">
        <v>36</v>
      </c>
      <c r="C269" t="s">
        <v>173</v>
      </c>
      <c r="D269" t="s">
        <v>435</v>
      </c>
      <c r="E269">
        <v>1</v>
      </c>
      <c r="F269">
        <v>69</v>
      </c>
      <c r="G269">
        <f>E269*F269*GiaDinh!$C$18*GiaDinh!$C$17</f>
        <v>57.959999999999994</v>
      </c>
      <c r="H269">
        <v>1.2190000000000001</v>
      </c>
      <c r="I269">
        <f>GiaDinh!$C$15</f>
        <v>15</v>
      </c>
      <c r="J269">
        <f t="shared" si="24"/>
        <v>13</v>
      </c>
      <c r="K269">
        <f>J269*GiaDinh!$C$16</f>
        <v>91</v>
      </c>
      <c r="L269">
        <f t="shared" si="25"/>
        <v>1</v>
      </c>
      <c r="M269">
        <f t="shared" si="26"/>
        <v>15</v>
      </c>
      <c r="N269">
        <f>L269*ROUNDUP(I269/GiaDinh!$C$5-0.0005,0)</f>
        <v>3</v>
      </c>
      <c r="O269">
        <f>L269*(ROUNDUP(I269/GiaDinh!$C$5-0.0005,0)-1)</f>
        <v>2</v>
      </c>
      <c r="P269">
        <f t="shared" si="27"/>
        <v>13</v>
      </c>
      <c r="Q269">
        <f t="shared" si="28"/>
        <v>26</v>
      </c>
      <c r="R269">
        <f t="shared" si="29"/>
        <v>13</v>
      </c>
      <c r="S269">
        <f>M269*GiaDinh!$C$7</f>
        <v>45.15</v>
      </c>
    </row>
    <row r="270" spans="1:19" x14ac:dyDescent="0.35">
      <c r="A270" t="s">
        <v>12</v>
      </c>
      <c r="B270">
        <v>37</v>
      </c>
      <c r="C270" t="s">
        <v>173</v>
      </c>
      <c r="D270" t="s">
        <v>436</v>
      </c>
      <c r="E270">
        <v>1</v>
      </c>
      <c r="F270">
        <v>69</v>
      </c>
      <c r="G270">
        <f>E270*F270*GiaDinh!$C$18*GiaDinh!$C$17</f>
        <v>57.959999999999994</v>
      </c>
      <c r="H270">
        <v>1.2190000000000001</v>
      </c>
      <c r="I270">
        <f>GiaDinh!$C$15</f>
        <v>15</v>
      </c>
      <c r="J270">
        <f t="shared" si="24"/>
        <v>13</v>
      </c>
      <c r="K270">
        <f>J270*GiaDinh!$C$16</f>
        <v>91</v>
      </c>
      <c r="L270">
        <f t="shared" si="25"/>
        <v>1</v>
      </c>
      <c r="M270">
        <f t="shared" si="26"/>
        <v>15</v>
      </c>
      <c r="N270">
        <f>L270*ROUNDUP(I270/GiaDinh!$C$5-0.0005,0)</f>
        <v>3</v>
      </c>
      <c r="O270">
        <f>L270*(ROUNDUP(I270/GiaDinh!$C$5-0.0005,0)-1)</f>
        <v>2</v>
      </c>
      <c r="P270">
        <f t="shared" si="27"/>
        <v>13</v>
      </c>
      <c r="Q270">
        <f t="shared" si="28"/>
        <v>26</v>
      </c>
      <c r="R270">
        <f t="shared" si="29"/>
        <v>13</v>
      </c>
      <c r="S270">
        <f>M270*GiaDinh!$C$7</f>
        <v>45.15</v>
      </c>
    </row>
    <row r="271" spans="1:19" x14ac:dyDescent="0.35">
      <c r="A271" t="s">
        <v>12</v>
      </c>
      <c r="B271">
        <v>38</v>
      </c>
      <c r="C271" t="s">
        <v>173</v>
      </c>
      <c r="D271" t="s">
        <v>437</v>
      </c>
      <c r="E271">
        <v>1</v>
      </c>
      <c r="F271">
        <v>69</v>
      </c>
      <c r="G271">
        <f>E271*F271*GiaDinh!$C$18*GiaDinh!$C$17</f>
        <v>57.959999999999994</v>
      </c>
      <c r="H271">
        <v>1.2190000000000001</v>
      </c>
      <c r="I271">
        <f>GiaDinh!$C$15</f>
        <v>15</v>
      </c>
      <c r="J271">
        <f t="shared" si="24"/>
        <v>13</v>
      </c>
      <c r="K271">
        <f>J271*GiaDinh!$C$16</f>
        <v>91</v>
      </c>
      <c r="L271">
        <f t="shared" si="25"/>
        <v>1</v>
      </c>
      <c r="M271">
        <f t="shared" si="26"/>
        <v>15</v>
      </c>
      <c r="N271">
        <f>L271*ROUNDUP(I271/GiaDinh!$C$5-0.0005,0)</f>
        <v>3</v>
      </c>
      <c r="O271">
        <f>L271*(ROUNDUP(I271/GiaDinh!$C$5-0.0005,0)-1)</f>
        <v>2</v>
      </c>
      <c r="P271">
        <f t="shared" si="27"/>
        <v>13</v>
      </c>
      <c r="Q271">
        <f t="shared" si="28"/>
        <v>26</v>
      </c>
      <c r="R271">
        <f t="shared" si="29"/>
        <v>13</v>
      </c>
      <c r="S271">
        <f>M271*GiaDinh!$C$7</f>
        <v>45.15</v>
      </c>
    </row>
    <row r="272" spans="1:19" x14ac:dyDescent="0.35">
      <c r="A272" t="s">
        <v>12</v>
      </c>
      <c r="B272">
        <v>39</v>
      </c>
      <c r="C272" t="s">
        <v>173</v>
      </c>
      <c r="D272" t="s">
        <v>438</v>
      </c>
      <c r="E272">
        <v>1</v>
      </c>
      <c r="F272">
        <v>69</v>
      </c>
      <c r="G272">
        <f>E272*F272*GiaDinh!$C$18*GiaDinh!$C$17</f>
        <v>57.959999999999994</v>
      </c>
      <c r="H272">
        <v>1.2190000000000001</v>
      </c>
      <c r="I272">
        <f>GiaDinh!$C$15</f>
        <v>15</v>
      </c>
      <c r="J272">
        <f t="shared" si="24"/>
        <v>13</v>
      </c>
      <c r="K272">
        <f>J272*GiaDinh!$C$16</f>
        <v>91</v>
      </c>
      <c r="L272">
        <f t="shared" si="25"/>
        <v>1</v>
      </c>
      <c r="M272">
        <f t="shared" si="26"/>
        <v>15</v>
      </c>
      <c r="N272">
        <f>L272*ROUNDUP(I272/GiaDinh!$C$5-0.0005,0)</f>
        <v>3</v>
      </c>
      <c r="O272">
        <f>L272*(ROUNDUP(I272/GiaDinh!$C$5-0.0005,0)-1)</f>
        <v>2</v>
      </c>
      <c r="P272">
        <f t="shared" si="27"/>
        <v>13</v>
      </c>
      <c r="Q272">
        <f t="shared" si="28"/>
        <v>26</v>
      </c>
      <c r="R272">
        <f t="shared" si="29"/>
        <v>13</v>
      </c>
      <c r="S272">
        <f>M272*GiaDinh!$C$7</f>
        <v>45.15</v>
      </c>
    </row>
    <row r="273" spans="1:19" x14ac:dyDescent="0.35">
      <c r="A273" t="s">
        <v>12</v>
      </c>
      <c r="B273">
        <v>40</v>
      </c>
      <c r="C273" t="s">
        <v>173</v>
      </c>
      <c r="D273" t="s">
        <v>439</v>
      </c>
      <c r="E273">
        <v>1</v>
      </c>
      <c r="F273">
        <v>69</v>
      </c>
      <c r="G273">
        <f>E273*F273*GiaDinh!$C$18*GiaDinh!$C$17</f>
        <v>57.959999999999994</v>
      </c>
      <c r="H273">
        <v>1.2190000000000001</v>
      </c>
      <c r="I273">
        <f>GiaDinh!$C$15</f>
        <v>15</v>
      </c>
      <c r="J273">
        <f t="shared" si="24"/>
        <v>13</v>
      </c>
      <c r="K273">
        <f>J273*GiaDinh!$C$16</f>
        <v>91</v>
      </c>
      <c r="L273">
        <f t="shared" si="25"/>
        <v>1</v>
      </c>
      <c r="M273">
        <f t="shared" si="26"/>
        <v>15</v>
      </c>
      <c r="N273">
        <f>L273*ROUNDUP(I273/GiaDinh!$C$5-0.0005,0)</f>
        <v>3</v>
      </c>
      <c r="O273">
        <f>L273*(ROUNDUP(I273/GiaDinh!$C$5-0.0005,0)-1)</f>
        <v>2</v>
      </c>
      <c r="P273">
        <f t="shared" si="27"/>
        <v>13</v>
      </c>
      <c r="Q273">
        <f t="shared" si="28"/>
        <v>26</v>
      </c>
      <c r="R273">
        <f t="shared" si="29"/>
        <v>13</v>
      </c>
      <c r="S273">
        <f>M273*GiaDinh!$C$7</f>
        <v>45.15</v>
      </c>
    </row>
    <row r="274" spans="1:19" x14ac:dyDescent="0.35">
      <c r="A274" t="s">
        <v>12</v>
      </c>
      <c r="B274">
        <v>41</v>
      </c>
      <c r="C274" t="s">
        <v>173</v>
      </c>
      <c r="D274" t="s">
        <v>440</v>
      </c>
      <c r="E274">
        <v>1</v>
      </c>
      <c r="F274">
        <v>69</v>
      </c>
      <c r="G274">
        <f>E274*F274*GiaDinh!$C$18*GiaDinh!$C$17</f>
        <v>57.959999999999994</v>
      </c>
      <c r="H274">
        <v>1.2190000000000001</v>
      </c>
      <c r="I274">
        <f>GiaDinh!$C$15</f>
        <v>15</v>
      </c>
      <c r="J274">
        <f t="shared" si="24"/>
        <v>13</v>
      </c>
      <c r="K274">
        <f>J274*GiaDinh!$C$16</f>
        <v>91</v>
      </c>
      <c r="L274">
        <f t="shared" si="25"/>
        <v>1</v>
      </c>
      <c r="M274">
        <f t="shared" si="26"/>
        <v>15</v>
      </c>
      <c r="N274">
        <f>L274*ROUNDUP(I274/GiaDinh!$C$5-0.0005,0)</f>
        <v>3</v>
      </c>
      <c r="O274">
        <f>L274*(ROUNDUP(I274/GiaDinh!$C$5-0.0005,0)-1)</f>
        <v>2</v>
      </c>
      <c r="P274">
        <f t="shared" si="27"/>
        <v>13</v>
      </c>
      <c r="Q274">
        <f t="shared" si="28"/>
        <v>26</v>
      </c>
      <c r="R274">
        <f t="shared" si="29"/>
        <v>13</v>
      </c>
      <c r="S274">
        <f>M274*GiaDinh!$C$7</f>
        <v>45.15</v>
      </c>
    </row>
    <row r="275" spans="1:19" x14ac:dyDescent="0.35">
      <c r="A275" t="s">
        <v>12</v>
      </c>
      <c r="B275">
        <v>42</v>
      </c>
      <c r="C275" t="s">
        <v>173</v>
      </c>
      <c r="D275" t="s">
        <v>441</v>
      </c>
      <c r="E275">
        <v>1</v>
      </c>
      <c r="F275">
        <v>69</v>
      </c>
      <c r="G275">
        <f>E275*F275*GiaDinh!$C$18*GiaDinh!$C$17</f>
        <v>57.959999999999994</v>
      </c>
      <c r="H275">
        <v>1.2190000000000001</v>
      </c>
      <c r="I275">
        <f>GiaDinh!$C$15</f>
        <v>15</v>
      </c>
      <c r="J275">
        <f t="shared" si="24"/>
        <v>13</v>
      </c>
      <c r="K275">
        <f>J275*GiaDinh!$C$16</f>
        <v>91</v>
      </c>
      <c r="L275">
        <f t="shared" si="25"/>
        <v>1</v>
      </c>
      <c r="M275">
        <f t="shared" si="26"/>
        <v>15</v>
      </c>
      <c r="N275">
        <f>L275*ROUNDUP(I275/GiaDinh!$C$5-0.0005,0)</f>
        <v>3</v>
      </c>
      <c r="O275">
        <f>L275*(ROUNDUP(I275/GiaDinh!$C$5-0.0005,0)-1)</f>
        <v>2</v>
      </c>
      <c r="P275">
        <f t="shared" si="27"/>
        <v>13</v>
      </c>
      <c r="Q275">
        <f t="shared" si="28"/>
        <v>26</v>
      </c>
      <c r="R275">
        <f t="shared" si="29"/>
        <v>13</v>
      </c>
      <c r="S275">
        <f>M275*GiaDinh!$C$7</f>
        <v>45.15</v>
      </c>
    </row>
    <row r="276" spans="1:19" x14ac:dyDescent="0.35">
      <c r="A276" t="s">
        <v>12</v>
      </c>
      <c r="B276">
        <v>43</v>
      </c>
      <c r="C276" t="s">
        <v>173</v>
      </c>
      <c r="D276" t="s">
        <v>442</v>
      </c>
      <c r="E276">
        <v>1</v>
      </c>
      <c r="F276">
        <v>69</v>
      </c>
      <c r="G276">
        <f>E276*F276*GiaDinh!$C$18*GiaDinh!$C$17</f>
        <v>57.959999999999994</v>
      </c>
      <c r="H276">
        <v>1.2190000000000001</v>
      </c>
      <c r="I276">
        <f>GiaDinh!$C$15</f>
        <v>15</v>
      </c>
      <c r="J276">
        <f t="shared" si="24"/>
        <v>13</v>
      </c>
      <c r="K276">
        <f>J276*GiaDinh!$C$16</f>
        <v>91</v>
      </c>
      <c r="L276">
        <f t="shared" si="25"/>
        <v>1</v>
      </c>
      <c r="M276">
        <f t="shared" si="26"/>
        <v>15</v>
      </c>
      <c r="N276">
        <f>L276*ROUNDUP(I276/GiaDinh!$C$5-0.0005,0)</f>
        <v>3</v>
      </c>
      <c r="O276">
        <f>L276*(ROUNDUP(I276/GiaDinh!$C$5-0.0005,0)-1)</f>
        <v>2</v>
      </c>
      <c r="P276">
        <f t="shared" si="27"/>
        <v>13</v>
      </c>
      <c r="Q276">
        <f t="shared" si="28"/>
        <v>26</v>
      </c>
      <c r="R276">
        <f t="shared" si="29"/>
        <v>13</v>
      </c>
      <c r="S276">
        <f>M276*GiaDinh!$C$7</f>
        <v>45.15</v>
      </c>
    </row>
    <row r="277" spans="1:19" x14ac:dyDescent="0.35">
      <c r="A277" t="s">
        <v>12</v>
      </c>
      <c r="B277">
        <v>44</v>
      </c>
      <c r="C277" t="s">
        <v>173</v>
      </c>
      <c r="D277" t="s">
        <v>443</v>
      </c>
      <c r="E277">
        <v>1</v>
      </c>
      <c r="F277">
        <v>69</v>
      </c>
      <c r="G277">
        <f>E277*F277*GiaDinh!$C$18*GiaDinh!$C$17</f>
        <v>57.959999999999994</v>
      </c>
      <c r="H277">
        <v>1.2190000000000001</v>
      </c>
      <c r="I277">
        <f>GiaDinh!$C$15</f>
        <v>15</v>
      </c>
      <c r="J277">
        <f t="shared" si="24"/>
        <v>13</v>
      </c>
      <c r="K277">
        <f>J277*GiaDinh!$C$16</f>
        <v>91</v>
      </c>
      <c r="L277">
        <f t="shared" si="25"/>
        <v>1</v>
      </c>
      <c r="M277">
        <f t="shared" si="26"/>
        <v>15</v>
      </c>
      <c r="N277">
        <f>L277*ROUNDUP(I277/GiaDinh!$C$5-0.0005,0)</f>
        <v>3</v>
      </c>
      <c r="O277">
        <f>L277*(ROUNDUP(I277/GiaDinh!$C$5-0.0005,0)-1)</f>
        <v>2</v>
      </c>
      <c r="P277">
        <f t="shared" si="27"/>
        <v>13</v>
      </c>
      <c r="Q277">
        <f t="shared" si="28"/>
        <v>26</v>
      </c>
      <c r="R277">
        <f t="shared" si="29"/>
        <v>13</v>
      </c>
      <c r="S277">
        <f>M277*GiaDinh!$C$7</f>
        <v>45.15</v>
      </c>
    </row>
    <row r="278" spans="1:19" x14ac:dyDescent="0.35">
      <c r="A278" t="s">
        <v>12</v>
      </c>
      <c r="B278">
        <v>45</v>
      </c>
      <c r="C278" t="s">
        <v>168</v>
      </c>
      <c r="D278" t="s">
        <v>444</v>
      </c>
      <c r="E278">
        <v>4</v>
      </c>
      <c r="F278">
        <v>69</v>
      </c>
      <c r="G278">
        <f>E278*F278*GiaDinh!$C$18*GiaDinh!$C$17</f>
        <v>231.83999999999997</v>
      </c>
      <c r="H278">
        <v>1.2190000000000001</v>
      </c>
      <c r="I278">
        <f>GiaDinh!$C$15</f>
        <v>15</v>
      </c>
      <c r="J278">
        <f t="shared" si="24"/>
        <v>13</v>
      </c>
      <c r="K278">
        <f>J278*GiaDinh!$C$16</f>
        <v>91</v>
      </c>
      <c r="L278">
        <f t="shared" si="25"/>
        <v>3</v>
      </c>
      <c r="M278">
        <f t="shared" si="26"/>
        <v>45</v>
      </c>
      <c r="N278">
        <f>L278*ROUNDUP(I278/GiaDinh!$C$5-0.0005,0)</f>
        <v>9</v>
      </c>
      <c r="O278">
        <f>L278*(ROUNDUP(I278/GiaDinh!$C$5-0.0005,0)-1)</f>
        <v>6</v>
      </c>
      <c r="P278">
        <f t="shared" si="27"/>
        <v>39</v>
      </c>
      <c r="Q278">
        <f t="shared" si="28"/>
        <v>78</v>
      </c>
      <c r="R278">
        <f t="shared" si="29"/>
        <v>39</v>
      </c>
      <c r="S278">
        <f>M278*GiaDinh!$C$7</f>
        <v>135.44999999999999</v>
      </c>
    </row>
    <row r="279" spans="1:19" x14ac:dyDescent="0.35">
      <c r="A279" t="s">
        <v>12</v>
      </c>
      <c r="B279">
        <v>46</v>
      </c>
      <c r="C279" t="s">
        <v>168</v>
      </c>
      <c r="D279" t="s">
        <v>445</v>
      </c>
      <c r="E279">
        <v>4</v>
      </c>
      <c r="F279">
        <v>69</v>
      </c>
      <c r="G279">
        <f>E279*F279*GiaDinh!$C$18*GiaDinh!$C$17</f>
        <v>231.83999999999997</v>
      </c>
      <c r="H279">
        <v>1.2190000000000001</v>
      </c>
      <c r="I279">
        <f>GiaDinh!$C$15</f>
        <v>15</v>
      </c>
      <c r="J279">
        <f t="shared" si="24"/>
        <v>13</v>
      </c>
      <c r="K279">
        <f>J279*GiaDinh!$C$16</f>
        <v>91</v>
      </c>
      <c r="L279">
        <f t="shared" si="25"/>
        <v>3</v>
      </c>
      <c r="M279">
        <f t="shared" si="26"/>
        <v>45</v>
      </c>
      <c r="N279">
        <f>L279*ROUNDUP(I279/GiaDinh!$C$5-0.0005,0)</f>
        <v>9</v>
      </c>
      <c r="O279">
        <f>L279*(ROUNDUP(I279/GiaDinh!$C$5-0.0005,0)-1)</f>
        <v>6</v>
      </c>
      <c r="P279">
        <f t="shared" si="27"/>
        <v>39</v>
      </c>
      <c r="Q279">
        <f t="shared" si="28"/>
        <v>78</v>
      </c>
      <c r="R279">
        <f t="shared" si="29"/>
        <v>39</v>
      </c>
      <c r="S279">
        <f>M279*GiaDinh!$C$7</f>
        <v>135.44999999999999</v>
      </c>
    </row>
    <row r="280" spans="1:19" x14ac:dyDescent="0.35">
      <c r="A280" t="s">
        <v>12</v>
      </c>
      <c r="B280">
        <v>47</v>
      </c>
      <c r="C280" t="s">
        <v>168</v>
      </c>
      <c r="D280" t="s">
        <v>446</v>
      </c>
      <c r="E280">
        <v>4</v>
      </c>
      <c r="F280">
        <v>69</v>
      </c>
      <c r="G280">
        <f>E280*F280*GiaDinh!$C$18*GiaDinh!$C$17</f>
        <v>231.83999999999997</v>
      </c>
      <c r="H280">
        <v>1.2190000000000001</v>
      </c>
      <c r="I280">
        <f>GiaDinh!$C$15</f>
        <v>15</v>
      </c>
      <c r="J280">
        <f t="shared" si="24"/>
        <v>13</v>
      </c>
      <c r="K280">
        <f>J280*GiaDinh!$C$16</f>
        <v>91</v>
      </c>
      <c r="L280">
        <f t="shared" si="25"/>
        <v>3</v>
      </c>
      <c r="M280">
        <f t="shared" si="26"/>
        <v>45</v>
      </c>
      <c r="N280">
        <f>L280*ROUNDUP(I280/GiaDinh!$C$5-0.0005,0)</f>
        <v>9</v>
      </c>
      <c r="O280">
        <f>L280*(ROUNDUP(I280/GiaDinh!$C$5-0.0005,0)-1)</f>
        <v>6</v>
      </c>
      <c r="P280">
        <f t="shared" si="27"/>
        <v>39</v>
      </c>
      <c r="Q280">
        <f t="shared" si="28"/>
        <v>78</v>
      </c>
      <c r="R280">
        <f t="shared" si="29"/>
        <v>39</v>
      </c>
      <c r="S280">
        <f>M280*GiaDinh!$C$7</f>
        <v>135.44999999999999</v>
      </c>
    </row>
    <row r="281" spans="1:19" x14ac:dyDescent="0.35">
      <c r="A281" t="s">
        <v>12</v>
      </c>
      <c r="B281">
        <v>48</v>
      </c>
      <c r="C281" t="s">
        <v>168</v>
      </c>
      <c r="D281" t="s">
        <v>447</v>
      </c>
      <c r="E281">
        <v>2</v>
      </c>
      <c r="F281">
        <v>69</v>
      </c>
      <c r="G281">
        <f>E281*F281*GiaDinh!$C$18*GiaDinh!$C$17</f>
        <v>115.91999999999999</v>
      </c>
      <c r="H281">
        <v>1.2190000000000001</v>
      </c>
      <c r="I281">
        <f>GiaDinh!$C$15</f>
        <v>15</v>
      </c>
      <c r="J281">
        <f t="shared" si="24"/>
        <v>13</v>
      </c>
      <c r="K281">
        <f>J281*GiaDinh!$C$16</f>
        <v>91</v>
      </c>
      <c r="L281">
        <f t="shared" si="25"/>
        <v>2</v>
      </c>
      <c r="M281">
        <f t="shared" si="26"/>
        <v>30</v>
      </c>
      <c r="N281">
        <f>L281*ROUNDUP(I281/GiaDinh!$C$5-0.0005,0)</f>
        <v>6</v>
      </c>
      <c r="O281">
        <f>L281*(ROUNDUP(I281/GiaDinh!$C$5-0.0005,0)-1)</f>
        <v>4</v>
      </c>
      <c r="P281">
        <f t="shared" si="27"/>
        <v>26</v>
      </c>
      <c r="Q281">
        <f t="shared" si="28"/>
        <v>52</v>
      </c>
      <c r="R281">
        <f t="shared" si="29"/>
        <v>26</v>
      </c>
      <c r="S281">
        <f>M281*GiaDinh!$C$7</f>
        <v>90.3</v>
      </c>
    </row>
    <row r="282" spans="1:19" x14ac:dyDescent="0.35">
      <c r="A282" t="s">
        <v>12</v>
      </c>
      <c r="B282">
        <v>49</v>
      </c>
      <c r="C282" t="s">
        <v>173</v>
      </c>
      <c r="D282" t="s">
        <v>448</v>
      </c>
      <c r="E282">
        <v>1</v>
      </c>
      <c r="F282">
        <v>69</v>
      </c>
      <c r="G282">
        <f>E282*F282*GiaDinh!$C$18*GiaDinh!$C$17</f>
        <v>57.959999999999994</v>
      </c>
      <c r="H282">
        <v>1.2190000000000001</v>
      </c>
      <c r="I282">
        <f>GiaDinh!$C$15</f>
        <v>15</v>
      </c>
      <c r="J282">
        <f t="shared" si="24"/>
        <v>13</v>
      </c>
      <c r="K282">
        <f>J282*GiaDinh!$C$16</f>
        <v>91</v>
      </c>
      <c r="L282">
        <f t="shared" si="25"/>
        <v>1</v>
      </c>
      <c r="M282">
        <f t="shared" si="26"/>
        <v>15</v>
      </c>
      <c r="N282">
        <f>L282*ROUNDUP(I282/GiaDinh!$C$5-0.0005,0)</f>
        <v>3</v>
      </c>
      <c r="O282">
        <f>L282*(ROUNDUP(I282/GiaDinh!$C$5-0.0005,0)-1)</f>
        <v>2</v>
      </c>
      <c r="P282">
        <f t="shared" si="27"/>
        <v>13</v>
      </c>
      <c r="Q282">
        <f t="shared" si="28"/>
        <v>26</v>
      </c>
      <c r="R282">
        <f t="shared" si="29"/>
        <v>13</v>
      </c>
      <c r="S282">
        <f>M282*GiaDinh!$C$7</f>
        <v>45.15</v>
      </c>
    </row>
    <row r="283" spans="1:19" x14ac:dyDescent="0.35">
      <c r="A283" t="s">
        <v>12</v>
      </c>
      <c r="B283">
        <v>50</v>
      </c>
      <c r="C283" t="s">
        <v>173</v>
      </c>
      <c r="D283" t="s">
        <v>449</v>
      </c>
      <c r="E283">
        <v>1</v>
      </c>
      <c r="F283">
        <v>69</v>
      </c>
      <c r="G283">
        <f>E283*F283*GiaDinh!$C$18*GiaDinh!$C$17</f>
        <v>57.959999999999994</v>
      </c>
      <c r="H283">
        <v>1.2190000000000001</v>
      </c>
      <c r="I283">
        <f>GiaDinh!$C$15</f>
        <v>15</v>
      </c>
      <c r="J283">
        <f t="shared" si="24"/>
        <v>13</v>
      </c>
      <c r="K283">
        <f>J283*GiaDinh!$C$16</f>
        <v>91</v>
      </c>
      <c r="L283">
        <f t="shared" si="25"/>
        <v>1</v>
      </c>
      <c r="M283">
        <f t="shared" si="26"/>
        <v>15</v>
      </c>
      <c r="N283">
        <f>L283*ROUNDUP(I283/GiaDinh!$C$5-0.0005,0)</f>
        <v>3</v>
      </c>
      <c r="O283">
        <f>L283*(ROUNDUP(I283/GiaDinh!$C$5-0.0005,0)-1)</f>
        <v>2</v>
      </c>
      <c r="P283">
        <f t="shared" si="27"/>
        <v>13</v>
      </c>
      <c r="Q283">
        <f t="shared" si="28"/>
        <v>26</v>
      </c>
      <c r="R283">
        <f t="shared" si="29"/>
        <v>13</v>
      </c>
      <c r="S283">
        <f>M283*GiaDinh!$C$7</f>
        <v>45.15</v>
      </c>
    </row>
    <row r="284" spans="1:19" x14ac:dyDescent="0.35">
      <c r="A284" t="s">
        <v>13</v>
      </c>
      <c r="B284">
        <v>1</v>
      </c>
      <c r="C284" t="s">
        <v>173</v>
      </c>
      <c r="D284" t="s">
        <v>450</v>
      </c>
      <c r="E284">
        <v>1</v>
      </c>
      <c r="F284">
        <v>65.599999999999994</v>
      </c>
      <c r="G284">
        <f>E284*F284*GiaDinh!$C$18*GiaDinh!$C$17</f>
        <v>55.103999999999992</v>
      </c>
      <c r="H284">
        <v>1.2350000000000001</v>
      </c>
      <c r="I284">
        <f>GiaDinh!$C$15</f>
        <v>15</v>
      </c>
      <c r="J284">
        <f t="shared" si="24"/>
        <v>13</v>
      </c>
      <c r="K284">
        <f>J284*GiaDinh!$C$16</f>
        <v>91</v>
      </c>
      <c r="L284">
        <f t="shared" si="25"/>
        <v>1</v>
      </c>
      <c r="M284">
        <f t="shared" si="26"/>
        <v>15</v>
      </c>
      <c r="N284">
        <f>L284*ROUNDUP(I284/GiaDinh!$C$5-0.0005,0)</f>
        <v>3</v>
      </c>
      <c r="O284">
        <f>L284*(ROUNDUP(I284/GiaDinh!$C$5-0.0005,0)-1)</f>
        <v>2</v>
      </c>
      <c r="P284">
        <f t="shared" si="27"/>
        <v>13</v>
      </c>
      <c r="Q284">
        <f t="shared" si="28"/>
        <v>26</v>
      </c>
      <c r="R284">
        <f t="shared" si="29"/>
        <v>13</v>
      </c>
      <c r="S284">
        <f>M284*GiaDinh!$C$7</f>
        <v>45.15</v>
      </c>
    </row>
    <row r="285" spans="1:19" x14ac:dyDescent="0.35">
      <c r="A285" t="s">
        <v>13</v>
      </c>
      <c r="B285">
        <v>2</v>
      </c>
      <c r="C285" t="s">
        <v>173</v>
      </c>
      <c r="D285" t="s">
        <v>451</v>
      </c>
      <c r="E285">
        <v>1</v>
      </c>
      <c r="F285">
        <v>65.599999999999994</v>
      </c>
      <c r="G285">
        <f>E285*F285*GiaDinh!$C$18*GiaDinh!$C$17</f>
        <v>55.103999999999992</v>
      </c>
      <c r="H285">
        <v>1.2350000000000001</v>
      </c>
      <c r="I285">
        <f>GiaDinh!$C$15</f>
        <v>15</v>
      </c>
      <c r="J285">
        <f t="shared" si="24"/>
        <v>13</v>
      </c>
      <c r="K285">
        <f>J285*GiaDinh!$C$16</f>
        <v>91</v>
      </c>
      <c r="L285">
        <f t="shared" si="25"/>
        <v>1</v>
      </c>
      <c r="M285">
        <f t="shared" si="26"/>
        <v>15</v>
      </c>
      <c r="N285">
        <f>L285*ROUNDUP(I285/GiaDinh!$C$5-0.0005,0)</f>
        <v>3</v>
      </c>
      <c r="O285">
        <f>L285*(ROUNDUP(I285/GiaDinh!$C$5-0.0005,0)-1)</f>
        <v>2</v>
      </c>
      <c r="P285">
        <f t="shared" si="27"/>
        <v>13</v>
      </c>
      <c r="Q285">
        <f t="shared" si="28"/>
        <v>26</v>
      </c>
      <c r="R285">
        <f t="shared" si="29"/>
        <v>13</v>
      </c>
      <c r="S285">
        <f>M285*GiaDinh!$C$7</f>
        <v>45.15</v>
      </c>
    </row>
    <row r="286" spans="1:19" x14ac:dyDescent="0.35">
      <c r="A286" t="s">
        <v>13</v>
      </c>
      <c r="B286">
        <v>3</v>
      </c>
      <c r="C286" t="s">
        <v>173</v>
      </c>
      <c r="D286" t="s">
        <v>452</v>
      </c>
      <c r="E286">
        <v>1</v>
      </c>
      <c r="F286">
        <v>65.599999999999994</v>
      </c>
      <c r="G286">
        <f>E286*F286*GiaDinh!$C$18*GiaDinh!$C$17</f>
        <v>55.103999999999992</v>
      </c>
      <c r="H286">
        <v>1.2350000000000001</v>
      </c>
      <c r="I286">
        <f>GiaDinh!$C$15</f>
        <v>15</v>
      </c>
      <c r="J286">
        <f t="shared" si="24"/>
        <v>13</v>
      </c>
      <c r="K286">
        <f>J286*GiaDinh!$C$16</f>
        <v>91</v>
      </c>
      <c r="L286">
        <f t="shared" si="25"/>
        <v>1</v>
      </c>
      <c r="M286">
        <f t="shared" si="26"/>
        <v>15</v>
      </c>
      <c r="N286">
        <f>L286*ROUNDUP(I286/GiaDinh!$C$5-0.0005,0)</f>
        <v>3</v>
      </c>
      <c r="O286">
        <f>L286*(ROUNDUP(I286/GiaDinh!$C$5-0.0005,0)-1)</f>
        <v>2</v>
      </c>
      <c r="P286">
        <f t="shared" si="27"/>
        <v>13</v>
      </c>
      <c r="Q286">
        <f t="shared" si="28"/>
        <v>26</v>
      </c>
      <c r="R286">
        <f t="shared" si="29"/>
        <v>13</v>
      </c>
      <c r="S286">
        <f>M286*GiaDinh!$C$7</f>
        <v>45.15</v>
      </c>
    </row>
    <row r="287" spans="1:19" x14ac:dyDescent="0.35">
      <c r="A287" t="s">
        <v>13</v>
      </c>
      <c r="B287">
        <v>4</v>
      </c>
      <c r="C287" t="s">
        <v>173</v>
      </c>
      <c r="D287" t="s">
        <v>453</v>
      </c>
      <c r="E287">
        <v>1</v>
      </c>
      <c r="F287">
        <v>65.599999999999994</v>
      </c>
      <c r="G287">
        <f>E287*F287*GiaDinh!$C$18*GiaDinh!$C$17</f>
        <v>55.103999999999992</v>
      </c>
      <c r="H287">
        <v>1.2350000000000001</v>
      </c>
      <c r="I287">
        <f>GiaDinh!$C$15</f>
        <v>15</v>
      </c>
      <c r="J287">
        <f t="shared" si="24"/>
        <v>13</v>
      </c>
      <c r="K287">
        <f>J287*GiaDinh!$C$16</f>
        <v>91</v>
      </c>
      <c r="L287">
        <f t="shared" si="25"/>
        <v>1</v>
      </c>
      <c r="M287">
        <f t="shared" si="26"/>
        <v>15</v>
      </c>
      <c r="N287">
        <f>L287*ROUNDUP(I287/GiaDinh!$C$5-0.0005,0)</f>
        <v>3</v>
      </c>
      <c r="O287">
        <f>L287*(ROUNDUP(I287/GiaDinh!$C$5-0.0005,0)-1)</f>
        <v>2</v>
      </c>
      <c r="P287">
        <f t="shared" si="27"/>
        <v>13</v>
      </c>
      <c r="Q287">
        <f t="shared" si="28"/>
        <v>26</v>
      </c>
      <c r="R287">
        <f t="shared" si="29"/>
        <v>13</v>
      </c>
      <c r="S287">
        <f>M287*GiaDinh!$C$7</f>
        <v>45.15</v>
      </c>
    </row>
    <row r="288" spans="1:19" x14ac:dyDescent="0.35">
      <c r="A288" t="s">
        <v>13</v>
      </c>
      <c r="B288">
        <v>5</v>
      </c>
      <c r="C288" t="s">
        <v>173</v>
      </c>
      <c r="D288" t="s">
        <v>454</v>
      </c>
      <c r="E288">
        <v>1</v>
      </c>
      <c r="F288">
        <v>65.599999999999994</v>
      </c>
      <c r="G288">
        <f>E288*F288*GiaDinh!$C$18*GiaDinh!$C$17</f>
        <v>55.103999999999992</v>
      </c>
      <c r="H288">
        <v>1.2350000000000001</v>
      </c>
      <c r="I288">
        <f>GiaDinh!$C$15</f>
        <v>15</v>
      </c>
      <c r="J288">
        <f t="shared" si="24"/>
        <v>13</v>
      </c>
      <c r="K288">
        <f>J288*GiaDinh!$C$16</f>
        <v>91</v>
      </c>
      <c r="L288">
        <f t="shared" si="25"/>
        <v>1</v>
      </c>
      <c r="M288">
        <f t="shared" si="26"/>
        <v>15</v>
      </c>
      <c r="N288">
        <f>L288*ROUNDUP(I288/GiaDinh!$C$5-0.0005,0)</f>
        <v>3</v>
      </c>
      <c r="O288">
        <f>L288*(ROUNDUP(I288/GiaDinh!$C$5-0.0005,0)-1)</f>
        <v>2</v>
      </c>
      <c r="P288">
        <f t="shared" si="27"/>
        <v>13</v>
      </c>
      <c r="Q288">
        <f t="shared" si="28"/>
        <v>26</v>
      </c>
      <c r="R288">
        <f t="shared" si="29"/>
        <v>13</v>
      </c>
      <c r="S288">
        <f>M288*GiaDinh!$C$7</f>
        <v>45.15</v>
      </c>
    </row>
    <row r="289" spans="1:19" x14ac:dyDescent="0.35">
      <c r="A289" t="s">
        <v>13</v>
      </c>
      <c r="B289">
        <v>6</v>
      </c>
      <c r="C289" t="s">
        <v>173</v>
      </c>
      <c r="D289" t="s">
        <v>455</v>
      </c>
      <c r="E289">
        <v>1</v>
      </c>
      <c r="F289">
        <v>65.599999999999994</v>
      </c>
      <c r="G289">
        <f>E289*F289*GiaDinh!$C$18*GiaDinh!$C$17</f>
        <v>55.103999999999992</v>
      </c>
      <c r="H289">
        <v>1.2350000000000001</v>
      </c>
      <c r="I289">
        <f>GiaDinh!$C$15</f>
        <v>15</v>
      </c>
      <c r="J289">
        <f t="shared" si="24"/>
        <v>13</v>
      </c>
      <c r="K289">
        <f>J289*GiaDinh!$C$16</f>
        <v>91</v>
      </c>
      <c r="L289">
        <f t="shared" si="25"/>
        <v>1</v>
      </c>
      <c r="M289">
        <f t="shared" si="26"/>
        <v>15</v>
      </c>
      <c r="N289">
        <f>L289*ROUNDUP(I289/GiaDinh!$C$5-0.0005,0)</f>
        <v>3</v>
      </c>
      <c r="O289">
        <f>L289*(ROUNDUP(I289/GiaDinh!$C$5-0.0005,0)-1)</f>
        <v>2</v>
      </c>
      <c r="P289">
        <f t="shared" si="27"/>
        <v>13</v>
      </c>
      <c r="Q289">
        <f t="shared" si="28"/>
        <v>26</v>
      </c>
      <c r="R289">
        <f t="shared" si="29"/>
        <v>13</v>
      </c>
      <c r="S289">
        <f>M289*GiaDinh!$C$7</f>
        <v>45.15</v>
      </c>
    </row>
    <row r="290" spans="1:19" x14ac:dyDescent="0.35">
      <c r="A290" t="s">
        <v>13</v>
      </c>
      <c r="B290">
        <v>7</v>
      </c>
      <c r="C290" t="s">
        <v>173</v>
      </c>
      <c r="D290" t="s">
        <v>456</v>
      </c>
      <c r="E290">
        <v>1</v>
      </c>
      <c r="F290">
        <v>65.599999999999994</v>
      </c>
      <c r="G290">
        <f>E290*F290*GiaDinh!$C$18*GiaDinh!$C$17</f>
        <v>55.103999999999992</v>
      </c>
      <c r="H290">
        <v>1.2350000000000001</v>
      </c>
      <c r="I290">
        <f>GiaDinh!$C$15</f>
        <v>15</v>
      </c>
      <c r="J290">
        <f t="shared" si="24"/>
        <v>13</v>
      </c>
      <c r="K290">
        <f>J290*GiaDinh!$C$16</f>
        <v>91</v>
      </c>
      <c r="L290">
        <f t="shared" si="25"/>
        <v>1</v>
      </c>
      <c r="M290">
        <f t="shared" si="26"/>
        <v>15</v>
      </c>
      <c r="N290">
        <f>L290*ROUNDUP(I290/GiaDinh!$C$5-0.0005,0)</f>
        <v>3</v>
      </c>
      <c r="O290">
        <f>L290*(ROUNDUP(I290/GiaDinh!$C$5-0.0005,0)-1)</f>
        <v>2</v>
      </c>
      <c r="P290">
        <f t="shared" si="27"/>
        <v>13</v>
      </c>
      <c r="Q290">
        <f t="shared" si="28"/>
        <v>26</v>
      </c>
      <c r="R290">
        <f t="shared" si="29"/>
        <v>13</v>
      </c>
      <c r="S290">
        <f>M290*GiaDinh!$C$7</f>
        <v>45.15</v>
      </c>
    </row>
    <row r="291" spans="1:19" x14ac:dyDescent="0.35">
      <c r="A291" t="s">
        <v>13</v>
      </c>
      <c r="B291">
        <v>8</v>
      </c>
      <c r="C291" t="s">
        <v>173</v>
      </c>
      <c r="D291" t="s">
        <v>457</v>
      </c>
      <c r="E291">
        <v>1</v>
      </c>
      <c r="F291">
        <v>65.599999999999994</v>
      </c>
      <c r="G291">
        <f>E291*F291*GiaDinh!$C$18*GiaDinh!$C$17</f>
        <v>55.103999999999992</v>
      </c>
      <c r="H291">
        <v>1.2350000000000001</v>
      </c>
      <c r="I291">
        <f>GiaDinh!$C$15</f>
        <v>15</v>
      </c>
      <c r="J291">
        <f t="shared" si="24"/>
        <v>13</v>
      </c>
      <c r="K291">
        <f>J291*GiaDinh!$C$16</f>
        <v>91</v>
      </c>
      <c r="L291">
        <f t="shared" si="25"/>
        <v>1</v>
      </c>
      <c r="M291">
        <f t="shared" si="26"/>
        <v>15</v>
      </c>
      <c r="N291">
        <f>L291*ROUNDUP(I291/GiaDinh!$C$5-0.0005,0)</f>
        <v>3</v>
      </c>
      <c r="O291">
        <f>L291*(ROUNDUP(I291/GiaDinh!$C$5-0.0005,0)-1)</f>
        <v>2</v>
      </c>
      <c r="P291">
        <f t="shared" si="27"/>
        <v>13</v>
      </c>
      <c r="Q291">
        <f t="shared" si="28"/>
        <v>26</v>
      </c>
      <c r="R291">
        <f t="shared" si="29"/>
        <v>13</v>
      </c>
      <c r="S291">
        <f>M291*GiaDinh!$C$7</f>
        <v>45.15</v>
      </c>
    </row>
    <row r="292" spans="1:19" x14ac:dyDescent="0.35">
      <c r="A292" t="s">
        <v>13</v>
      </c>
      <c r="B292">
        <v>9</v>
      </c>
      <c r="C292" t="s">
        <v>173</v>
      </c>
      <c r="D292" t="s">
        <v>458</v>
      </c>
      <c r="E292">
        <v>1</v>
      </c>
      <c r="F292">
        <v>65.599999999999994</v>
      </c>
      <c r="G292">
        <f>E292*F292*GiaDinh!$C$18*GiaDinh!$C$17</f>
        <v>55.103999999999992</v>
      </c>
      <c r="H292">
        <v>1.2350000000000001</v>
      </c>
      <c r="I292">
        <f>GiaDinh!$C$15</f>
        <v>15</v>
      </c>
      <c r="J292">
        <f t="shared" si="24"/>
        <v>13</v>
      </c>
      <c r="K292">
        <f>J292*GiaDinh!$C$16</f>
        <v>91</v>
      </c>
      <c r="L292">
        <f t="shared" si="25"/>
        <v>1</v>
      </c>
      <c r="M292">
        <f t="shared" si="26"/>
        <v>15</v>
      </c>
      <c r="N292">
        <f>L292*ROUNDUP(I292/GiaDinh!$C$5-0.0005,0)</f>
        <v>3</v>
      </c>
      <c r="O292">
        <f>L292*(ROUNDUP(I292/GiaDinh!$C$5-0.0005,0)-1)</f>
        <v>2</v>
      </c>
      <c r="P292">
        <f t="shared" si="27"/>
        <v>13</v>
      </c>
      <c r="Q292">
        <f t="shared" si="28"/>
        <v>26</v>
      </c>
      <c r="R292">
        <f t="shared" si="29"/>
        <v>13</v>
      </c>
      <c r="S292">
        <f>M292*GiaDinh!$C$7</f>
        <v>45.15</v>
      </c>
    </row>
    <row r="293" spans="1:19" x14ac:dyDescent="0.35">
      <c r="A293" t="s">
        <v>13</v>
      </c>
      <c r="B293">
        <v>10</v>
      </c>
      <c r="C293" t="s">
        <v>173</v>
      </c>
      <c r="D293" t="s">
        <v>459</v>
      </c>
      <c r="E293">
        <v>1</v>
      </c>
      <c r="F293">
        <v>65.599999999999994</v>
      </c>
      <c r="G293">
        <f>E293*F293*GiaDinh!$C$18*GiaDinh!$C$17</f>
        <v>55.103999999999992</v>
      </c>
      <c r="H293">
        <v>1.2350000000000001</v>
      </c>
      <c r="I293">
        <f>GiaDinh!$C$15</f>
        <v>15</v>
      </c>
      <c r="J293">
        <f t="shared" si="24"/>
        <v>13</v>
      </c>
      <c r="K293">
        <f>J293*GiaDinh!$C$16</f>
        <v>91</v>
      </c>
      <c r="L293">
        <f t="shared" si="25"/>
        <v>1</v>
      </c>
      <c r="M293">
        <f t="shared" si="26"/>
        <v>15</v>
      </c>
      <c r="N293">
        <f>L293*ROUNDUP(I293/GiaDinh!$C$5-0.0005,0)</f>
        <v>3</v>
      </c>
      <c r="O293">
        <f>L293*(ROUNDUP(I293/GiaDinh!$C$5-0.0005,0)-1)</f>
        <v>2</v>
      </c>
      <c r="P293">
        <f t="shared" si="27"/>
        <v>13</v>
      </c>
      <c r="Q293">
        <f t="shared" si="28"/>
        <v>26</v>
      </c>
      <c r="R293">
        <f t="shared" si="29"/>
        <v>13</v>
      </c>
      <c r="S293">
        <f>M293*GiaDinh!$C$7</f>
        <v>45.15</v>
      </c>
    </row>
    <row r="294" spans="1:19" x14ac:dyDescent="0.35">
      <c r="A294" t="s">
        <v>13</v>
      </c>
      <c r="B294">
        <v>11</v>
      </c>
      <c r="C294" t="s">
        <v>173</v>
      </c>
      <c r="D294" t="s">
        <v>460</v>
      </c>
      <c r="E294">
        <v>1</v>
      </c>
      <c r="F294">
        <v>65.599999999999994</v>
      </c>
      <c r="G294">
        <f>E294*F294*GiaDinh!$C$18*GiaDinh!$C$17</f>
        <v>55.103999999999992</v>
      </c>
      <c r="H294">
        <v>1.2350000000000001</v>
      </c>
      <c r="I294">
        <f>GiaDinh!$C$15</f>
        <v>15</v>
      </c>
      <c r="J294">
        <f t="shared" si="24"/>
        <v>13</v>
      </c>
      <c r="K294">
        <f>J294*GiaDinh!$C$16</f>
        <v>91</v>
      </c>
      <c r="L294">
        <f t="shared" si="25"/>
        <v>1</v>
      </c>
      <c r="M294">
        <f t="shared" si="26"/>
        <v>15</v>
      </c>
      <c r="N294">
        <f>L294*ROUNDUP(I294/GiaDinh!$C$5-0.0005,0)</f>
        <v>3</v>
      </c>
      <c r="O294">
        <f>L294*(ROUNDUP(I294/GiaDinh!$C$5-0.0005,0)-1)</f>
        <v>2</v>
      </c>
      <c r="P294">
        <f t="shared" si="27"/>
        <v>13</v>
      </c>
      <c r="Q294">
        <f t="shared" si="28"/>
        <v>26</v>
      </c>
      <c r="R294">
        <f t="shared" si="29"/>
        <v>13</v>
      </c>
      <c r="S294">
        <f>M294*GiaDinh!$C$7</f>
        <v>45.15</v>
      </c>
    </row>
    <row r="295" spans="1:19" x14ac:dyDescent="0.35">
      <c r="A295" t="s">
        <v>13</v>
      </c>
      <c r="B295">
        <v>12</v>
      </c>
      <c r="C295" t="s">
        <v>173</v>
      </c>
      <c r="D295" t="s">
        <v>461</v>
      </c>
      <c r="E295">
        <v>1</v>
      </c>
      <c r="F295">
        <v>65.599999999999994</v>
      </c>
      <c r="G295">
        <f>E295*F295*GiaDinh!$C$18*GiaDinh!$C$17</f>
        <v>55.103999999999992</v>
      </c>
      <c r="H295">
        <v>1.2350000000000001</v>
      </c>
      <c r="I295">
        <f>GiaDinh!$C$15</f>
        <v>15</v>
      </c>
      <c r="J295">
        <f t="shared" si="24"/>
        <v>13</v>
      </c>
      <c r="K295">
        <f>J295*GiaDinh!$C$16</f>
        <v>91</v>
      </c>
      <c r="L295">
        <f t="shared" si="25"/>
        <v>1</v>
      </c>
      <c r="M295">
        <f t="shared" si="26"/>
        <v>15</v>
      </c>
      <c r="N295">
        <f>L295*ROUNDUP(I295/GiaDinh!$C$5-0.0005,0)</f>
        <v>3</v>
      </c>
      <c r="O295">
        <f>L295*(ROUNDUP(I295/GiaDinh!$C$5-0.0005,0)-1)</f>
        <v>2</v>
      </c>
      <c r="P295">
        <f t="shared" si="27"/>
        <v>13</v>
      </c>
      <c r="Q295">
        <f t="shared" si="28"/>
        <v>26</v>
      </c>
      <c r="R295">
        <f t="shared" si="29"/>
        <v>13</v>
      </c>
      <c r="S295">
        <f>M295*GiaDinh!$C$7</f>
        <v>45.15</v>
      </c>
    </row>
    <row r="296" spans="1:19" x14ac:dyDescent="0.35">
      <c r="A296" t="s">
        <v>13</v>
      </c>
      <c r="B296">
        <v>13</v>
      </c>
      <c r="C296" t="s">
        <v>173</v>
      </c>
      <c r="D296" t="s">
        <v>462</v>
      </c>
      <c r="E296">
        <v>1</v>
      </c>
      <c r="F296">
        <v>65.599999999999994</v>
      </c>
      <c r="G296">
        <f>E296*F296*GiaDinh!$C$18*GiaDinh!$C$17</f>
        <v>55.103999999999992</v>
      </c>
      <c r="H296">
        <v>1.2350000000000001</v>
      </c>
      <c r="I296">
        <f>GiaDinh!$C$15</f>
        <v>15</v>
      </c>
      <c r="J296">
        <f t="shared" si="24"/>
        <v>13</v>
      </c>
      <c r="K296">
        <f>J296*GiaDinh!$C$16</f>
        <v>91</v>
      </c>
      <c r="L296">
        <f t="shared" si="25"/>
        <v>1</v>
      </c>
      <c r="M296">
        <f t="shared" si="26"/>
        <v>15</v>
      </c>
      <c r="N296">
        <f>L296*ROUNDUP(I296/GiaDinh!$C$5-0.0005,0)</f>
        <v>3</v>
      </c>
      <c r="O296">
        <f>L296*(ROUNDUP(I296/GiaDinh!$C$5-0.0005,0)-1)</f>
        <v>2</v>
      </c>
      <c r="P296">
        <f t="shared" si="27"/>
        <v>13</v>
      </c>
      <c r="Q296">
        <f t="shared" si="28"/>
        <v>26</v>
      </c>
      <c r="R296">
        <f t="shared" si="29"/>
        <v>13</v>
      </c>
      <c r="S296">
        <f>M296*GiaDinh!$C$7</f>
        <v>45.15</v>
      </c>
    </row>
    <row r="297" spans="1:19" x14ac:dyDescent="0.35">
      <c r="A297" t="s">
        <v>13</v>
      </c>
      <c r="B297">
        <v>14</v>
      </c>
      <c r="C297" t="s">
        <v>173</v>
      </c>
      <c r="D297" t="s">
        <v>463</v>
      </c>
      <c r="E297">
        <v>1</v>
      </c>
      <c r="F297">
        <v>65.599999999999994</v>
      </c>
      <c r="G297">
        <f>E297*F297*GiaDinh!$C$18*GiaDinh!$C$17</f>
        <v>55.103999999999992</v>
      </c>
      <c r="H297">
        <v>1.2350000000000001</v>
      </c>
      <c r="I297">
        <f>GiaDinh!$C$15</f>
        <v>15</v>
      </c>
      <c r="J297">
        <f t="shared" si="24"/>
        <v>13</v>
      </c>
      <c r="K297">
        <f>J297*GiaDinh!$C$16</f>
        <v>91</v>
      </c>
      <c r="L297">
        <f t="shared" si="25"/>
        <v>1</v>
      </c>
      <c r="M297">
        <f t="shared" si="26"/>
        <v>15</v>
      </c>
      <c r="N297">
        <f>L297*ROUNDUP(I297/GiaDinh!$C$5-0.0005,0)</f>
        <v>3</v>
      </c>
      <c r="O297">
        <f>L297*(ROUNDUP(I297/GiaDinh!$C$5-0.0005,0)-1)</f>
        <v>2</v>
      </c>
      <c r="P297">
        <f t="shared" si="27"/>
        <v>13</v>
      </c>
      <c r="Q297">
        <f t="shared" si="28"/>
        <v>26</v>
      </c>
      <c r="R297">
        <f t="shared" si="29"/>
        <v>13</v>
      </c>
      <c r="S297">
        <f>M297*GiaDinh!$C$7</f>
        <v>45.15</v>
      </c>
    </row>
    <row r="298" spans="1:19" x14ac:dyDescent="0.35">
      <c r="A298" t="s">
        <v>13</v>
      </c>
      <c r="B298">
        <v>15</v>
      </c>
      <c r="C298" t="s">
        <v>173</v>
      </c>
      <c r="D298" t="s">
        <v>464</v>
      </c>
      <c r="E298">
        <v>1</v>
      </c>
      <c r="F298">
        <v>65.599999999999994</v>
      </c>
      <c r="G298">
        <f>E298*F298*GiaDinh!$C$18*GiaDinh!$C$17</f>
        <v>55.103999999999992</v>
      </c>
      <c r="H298">
        <v>1.2350000000000001</v>
      </c>
      <c r="I298">
        <f>GiaDinh!$C$15</f>
        <v>15</v>
      </c>
      <c r="J298">
        <f t="shared" si="24"/>
        <v>13</v>
      </c>
      <c r="K298">
        <f>J298*GiaDinh!$C$16</f>
        <v>91</v>
      </c>
      <c r="L298">
        <f t="shared" si="25"/>
        <v>1</v>
      </c>
      <c r="M298">
        <f t="shared" si="26"/>
        <v>15</v>
      </c>
      <c r="N298">
        <f>L298*ROUNDUP(I298/GiaDinh!$C$5-0.0005,0)</f>
        <v>3</v>
      </c>
      <c r="O298">
        <f>L298*(ROUNDUP(I298/GiaDinh!$C$5-0.0005,0)-1)</f>
        <v>2</v>
      </c>
      <c r="P298">
        <f t="shared" si="27"/>
        <v>13</v>
      </c>
      <c r="Q298">
        <f t="shared" si="28"/>
        <v>26</v>
      </c>
      <c r="R298">
        <f t="shared" si="29"/>
        <v>13</v>
      </c>
      <c r="S298">
        <f>M298*GiaDinh!$C$7</f>
        <v>45.15</v>
      </c>
    </row>
    <row r="299" spans="1:19" x14ac:dyDescent="0.35">
      <c r="A299" t="s">
        <v>13</v>
      </c>
      <c r="B299">
        <v>16</v>
      </c>
      <c r="C299" t="s">
        <v>173</v>
      </c>
      <c r="D299" t="s">
        <v>465</v>
      </c>
      <c r="E299">
        <v>1</v>
      </c>
      <c r="F299">
        <v>65.599999999999994</v>
      </c>
      <c r="G299">
        <f>E299*F299*GiaDinh!$C$18*GiaDinh!$C$17</f>
        <v>55.103999999999992</v>
      </c>
      <c r="H299">
        <v>1.2350000000000001</v>
      </c>
      <c r="I299">
        <f>GiaDinh!$C$15</f>
        <v>15</v>
      </c>
      <c r="J299">
        <f t="shared" si="24"/>
        <v>13</v>
      </c>
      <c r="K299">
        <f>J299*GiaDinh!$C$16</f>
        <v>91</v>
      </c>
      <c r="L299">
        <f t="shared" si="25"/>
        <v>1</v>
      </c>
      <c r="M299">
        <f t="shared" si="26"/>
        <v>15</v>
      </c>
      <c r="N299">
        <f>L299*ROUNDUP(I299/GiaDinh!$C$5-0.0005,0)</f>
        <v>3</v>
      </c>
      <c r="O299">
        <f>L299*(ROUNDUP(I299/GiaDinh!$C$5-0.0005,0)-1)</f>
        <v>2</v>
      </c>
      <c r="P299">
        <f t="shared" si="27"/>
        <v>13</v>
      </c>
      <c r="Q299">
        <f t="shared" si="28"/>
        <v>26</v>
      </c>
      <c r="R299">
        <f t="shared" si="29"/>
        <v>13</v>
      </c>
      <c r="S299">
        <f>M299*GiaDinh!$C$7</f>
        <v>45.15</v>
      </c>
    </row>
    <row r="300" spans="1:19" x14ac:dyDescent="0.35">
      <c r="A300" t="s">
        <v>13</v>
      </c>
      <c r="B300">
        <v>17</v>
      </c>
      <c r="C300" t="s">
        <v>173</v>
      </c>
      <c r="D300" t="s">
        <v>466</v>
      </c>
      <c r="E300">
        <v>1</v>
      </c>
      <c r="F300">
        <v>65.599999999999994</v>
      </c>
      <c r="G300">
        <f>E300*F300*GiaDinh!$C$18*GiaDinh!$C$17</f>
        <v>55.103999999999992</v>
      </c>
      <c r="H300">
        <v>1.2350000000000001</v>
      </c>
      <c r="I300">
        <f>GiaDinh!$C$15</f>
        <v>15</v>
      </c>
      <c r="J300">
        <f t="shared" si="24"/>
        <v>13</v>
      </c>
      <c r="K300">
        <f>J300*GiaDinh!$C$16</f>
        <v>91</v>
      </c>
      <c r="L300">
        <f t="shared" si="25"/>
        <v>1</v>
      </c>
      <c r="M300">
        <f t="shared" si="26"/>
        <v>15</v>
      </c>
      <c r="N300">
        <f>L300*ROUNDUP(I300/GiaDinh!$C$5-0.0005,0)</f>
        <v>3</v>
      </c>
      <c r="O300">
        <f>L300*(ROUNDUP(I300/GiaDinh!$C$5-0.0005,0)-1)</f>
        <v>2</v>
      </c>
      <c r="P300">
        <f t="shared" si="27"/>
        <v>13</v>
      </c>
      <c r="Q300">
        <f t="shared" si="28"/>
        <v>26</v>
      </c>
      <c r="R300">
        <f t="shared" si="29"/>
        <v>13</v>
      </c>
      <c r="S300">
        <f>M300*GiaDinh!$C$7</f>
        <v>45.15</v>
      </c>
    </row>
    <row r="301" spans="1:19" x14ac:dyDescent="0.35">
      <c r="A301" t="s">
        <v>13</v>
      </c>
      <c r="B301">
        <v>18</v>
      </c>
      <c r="C301" t="s">
        <v>173</v>
      </c>
      <c r="D301" t="s">
        <v>467</v>
      </c>
      <c r="E301">
        <v>1</v>
      </c>
      <c r="F301">
        <v>65.599999999999994</v>
      </c>
      <c r="G301">
        <f>E301*F301*GiaDinh!$C$18*GiaDinh!$C$17</f>
        <v>55.103999999999992</v>
      </c>
      <c r="H301">
        <v>1.2350000000000001</v>
      </c>
      <c r="I301">
        <f>GiaDinh!$C$15</f>
        <v>15</v>
      </c>
      <c r="J301">
        <f t="shared" si="24"/>
        <v>13</v>
      </c>
      <c r="K301">
        <f>J301*GiaDinh!$C$16</f>
        <v>91</v>
      </c>
      <c r="L301">
        <f t="shared" si="25"/>
        <v>1</v>
      </c>
      <c r="M301">
        <f t="shared" si="26"/>
        <v>15</v>
      </c>
      <c r="N301">
        <f>L301*ROUNDUP(I301/GiaDinh!$C$5-0.0005,0)</f>
        <v>3</v>
      </c>
      <c r="O301">
        <f>L301*(ROUNDUP(I301/GiaDinh!$C$5-0.0005,0)-1)</f>
        <v>2</v>
      </c>
      <c r="P301">
        <f t="shared" si="27"/>
        <v>13</v>
      </c>
      <c r="Q301">
        <f t="shared" si="28"/>
        <v>26</v>
      </c>
      <c r="R301">
        <f t="shared" si="29"/>
        <v>13</v>
      </c>
      <c r="S301">
        <f>M301*GiaDinh!$C$7</f>
        <v>45.15</v>
      </c>
    </row>
    <row r="302" spans="1:19" x14ac:dyDescent="0.35">
      <c r="A302" t="s">
        <v>13</v>
      </c>
      <c r="B302">
        <v>19</v>
      </c>
      <c r="C302" t="s">
        <v>173</v>
      </c>
      <c r="D302" t="s">
        <v>468</v>
      </c>
      <c r="E302">
        <v>1</v>
      </c>
      <c r="F302">
        <v>65.599999999999994</v>
      </c>
      <c r="G302">
        <f>E302*F302*GiaDinh!$C$18*GiaDinh!$C$17</f>
        <v>55.103999999999992</v>
      </c>
      <c r="H302">
        <v>1.2350000000000001</v>
      </c>
      <c r="I302">
        <f>GiaDinh!$C$15</f>
        <v>15</v>
      </c>
      <c r="J302">
        <f t="shared" si="24"/>
        <v>13</v>
      </c>
      <c r="K302">
        <f>J302*GiaDinh!$C$16</f>
        <v>91</v>
      </c>
      <c r="L302">
        <f t="shared" si="25"/>
        <v>1</v>
      </c>
      <c r="M302">
        <f t="shared" si="26"/>
        <v>15</v>
      </c>
      <c r="N302">
        <f>L302*ROUNDUP(I302/GiaDinh!$C$5-0.0005,0)</f>
        <v>3</v>
      </c>
      <c r="O302">
        <f>L302*(ROUNDUP(I302/GiaDinh!$C$5-0.0005,0)-1)</f>
        <v>2</v>
      </c>
      <c r="P302">
        <f t="shared" si="27"/>
        <v>13</v>
      </c>
      <c r="Q302">
        <f t="shared" si="28"/>
        <v>26</v>
      </c>
      <c r="R302">
        <f t="shared" si="29"/>
        <v>13</v>
      </c>
      <c r="S302">
        <f>M302*GiaDinh!$C$7</f>
        <v>45.15</v>
      </c>
    </row>
    <row r="303" spans="1:19" x14ac:dyDescent="0.35">
      <c r="A303" t="s">
        <v>13</v>
      </c>
      <c r="B303">
        <v>20</v>
      </c>
      <c r="C303" t="s">
        <v>173</v>
      </c>
      <c r="D303" t="s">
        <v>469</v>
      </c>
      <c r="E303">
        <v>1</v>
      </c>
      <c r="F303">
        <v>65.599999999999994</v>
      </c>
      <c r="G303">
        <f>E303*F303*GiaDinh!$C$18*GiaDinh!$C$17</f>
        <v>55.103999999999992</v>
      </c>
      <c r="H303">
        <v>1.2350000000000001</v>
      </c>
      <c r="I303">
        <f>GiaDinh!$C$15</f>
        <v>15</v>
      </c>
      <c r="J303">
        <f t="shared" si="24"/>
        <v>13</v>
      </c>
      <c r="K303">
        <f>J303*GiaDinh!$C$16</f>
        <v>91</v>
      </c>
      <c r="L303">
        <f t="shared" si="25"/>
        <v>1</v>
      </c>
      <c r="M303">
        <f t="shared" si="26"/>
        <v>15</v>
      </c>
      <c r="N303">
        <f>L303*ROUNDUP(I303/GiaDinh!$C$5-0.0005,0)</f>
        <v>3</v>
      </c>
      <c r="O303">
        <f>L303*(ROUNDUP(I303/GiaDinh!$C$5-0.0005,0)-1)</f>
        <v>2</v>
      </c>
      <c r="P303">
        <f t="shared" si="27"/>
        <v>13</v>
      </c>
      <c r="Q303">
        <f t="shared" si="28"/>
        <v>26</v>
      </c>
      <c r="R303">
        <f t="shared" si="29"/>
        <v>13</v>
      </c>
      <c r="S303">
        <f>M303*GiaDinh!$C$7</f>
        <v>45.15</v>
      </c>
    </row>
    <row r="304" spans="1:19" x14ac:dyDescent="0.35">
      <c r="A304" t="s">
        <v>13</v>
      </c>
      <c r="B304">
        <v>21</v>
      </c>
      <c r="C304" t="s">
        <v>173</v>
      </c>
      <c r="D304" t="s">
        <v>470</v>
      </c>
      <c r="E304">
        <v>1</v>
      </c>
      <c r="F304">
        <v>65.599999999999994</v>
      </c>
      <c r="G304">
        <f>E304*F304*GiaDinh!$C$18*GiaDinh!$C$17</f>
        <v>55.103999999999992</v>
      </c>
      <c r="H304">
        <v>1.2350000000000001</v>
      </c>
      <c r="I304">
        <f>GiaDinh!$C$15</f>
        <v>15</v>
      </c>
      <c r="J304">
        <f t="shared" si="24"/>
        <v>13</v>
      </c>
      <c r="K304">
        <f>J304*GiaDinh!$C$16</f>
        <v>91</v>
      </c>
      <c r="L304">
        <f t="shared" si="25"/>
        <v>1</v>
      </c>
      <c r="M304">
        <f t="shared" si="26"/>
        <v>15</v>
      </c>
      <c r="N304">
        <f>L304*ROUNDUP(I304/GiaDinh!$C$5-0.0005,0)</f>
        <v>3</v>
      </c>
      <c r="O304">
        <f>L304*(ROUNDUP(I304/GiaDinh!$C$5-0.0005,0)-1)</f>
        <v>2</v>
      </c>
      <c r="P304">
        <f t="shared" si="27"/>
        <v>13</v>
      </c>
      <c r="Q304">
        <f t="shared" si="28"/>
        <v>26</v>
      </c>
      <c r="R304">
        <f t="shared" si="29"/>
        <v>13</v>
      </c>
      <c r="S304">
        <f>M304*GiaDinh!$C$7</f>
        <v>45.15</v>
      </c>
    </row>
    <row r="305" spans="1:19" x14ac:dyDescent="0.35">
      <c r="A305" t="s">
        <v>13</v>
      </c>
      <c r="B305">
        <v>22</v>
      </c>
      <c r="C305" t="s">
        <v>173</v>
      </c>
      <c r="D305" t="s">
        <v>471</v>
      </c>
      <c r="E305">
        <v>1</v>
      </c>
      <c r="F305">
        <v>65.599999999999994</v>
      </c>
      <c r="G305">
        <f>E305*F305*GiaDinh!$C$18*GiaDinh!$C$17</f>
        <v>55.103999999999992</v>
      </c>
      <c r="H305">
        <v>1.2350000000000001</v>
      </c>
      <c r="I305">
        <f>GiaDinh!$C$15</f>
        <v>15</v>
      </c>
      <c r="J305">
        <f t="shared" si="24"/>
        <v>13</v>
      </c>
      <c r="K305">
        <f>J305*GiaDinh!$C$16</f>
        <v>91</v>
      </c>
      <c r="L305">
        <f t="shared" si="25"/>
        <v>1</v>
      </c>
      <c r="M305">
        <f t="shared" si="26"/>
        <v>15</v>
      </c>
      <c r="N305">
        <f>L305*ROUNDUP(I305/GiaDinh!$C$5-0.0005,0)</f>
        <v>3</v>
      </c>
      <c r="O305">
        <f>L305*(ROUNDUP(I305/GiaDinh!$C$5-0.0005,0)-1)</f>
        <v>2</v>
      </c>
      <c r="P305">
        <f t="shared" si="27"/>
        <v>13</v>
      </c>
      <c r="Q305">
        <f t="shared" si="28"/>
        <v>26</v>
      </c>
      <c r="R305">
        <f t="shared" si="29"/>
        <v>13</v>
      </c>
      <c r="S305">
        <f>M305*GiaDinh!$C$7</f>
        <v>45.15</v>
      </c>
    </row>
    <row r="306" spans="1:19" x14ac:dyDescent="0.35">
      <c r="A306" t="s">
        <v>13</v>
      </c>
      <c r="B306">
        <v>23</v>
      </c>
      <c r="C306" t="s">
        <v>173</v>
      </c>
      <c r="D306" t="s">
        <v>472</v>
      </c>
      <c r="E306">
        <v>1</v>
      </c>
      <c r="F306">
        <v>65.599999999999994</v>
      </c>
      <c r="G306">
        <f>E306*F306*GiaDinh!$C$18*GiaDinh!$C$17</f>
        <v>55.103999999999992</v>
      </c>
      <c r="H306">
        <v>1.2350000000000001</v>
      </c>
      <c r="I306">
        <f>GiaDinh!$C$15</f>
        <v>15</v>
      </c>
      <c r="J306">
        <f t="shared" si="24"/>
        <v>13</v>
      </c>
      <c r="K306">
        <f>J306*GiaDinh!$C$16</f>
        <v>91</v>
      </c>
      <c r="L306">
        <f t="shared" si="25"/>
        <v>1</v>
      </c>
      <c r="M306">
        <f t="shared" si="26"/>
        <v>15</v>
      </c>
      <c r="N306">
        <f>L306*ROUNDUP(I306/GiaDinh!$C$5-0.0005,0)</f>
        <v>3</v>
      </c>
      <c r="O306">
        <f>L306*(ROUNDUP(I306/GiaDinh!$C$5-0.0005,0)-1)</f>
        <v>2</v>
      </c>
      <c r="P306">
        <f t="shared" si="27"/>
        <v>13</v>
      </c>
      <c r="Q306">
        <f t="shared" si="28"/>
        <v>26</v>
      </c>
      <c r="R306">
        <f t="shared" si="29"/>
        <v>13</v>
      </c>
      <c r="S306">
        <f>M306*GiaDinh!$C$7</f>
        <v>45.15</v>
      </c>
    </row>
    <row r="307" spans="1:19" x14ac:dyDescent="0.35">
      <c r="A307" t="s">
        <v>13</v>
      </c>
      <c r="B307">
        <v>24</v>
      </c>
      <c r="C307" t="s">
        <v>173</v>
      </c>
      <c r="D307" t="s">
        <v>473</v>
      </c>
      <c r="E307">
        <v>1</v>
      </c>
      <c r="F307">
        <v>65.599999999999994</v>
      </c>
      <c r="G307">
        <f>E307*F307*GiaDinh!$C$18*GiaDinh!$C$17</f>
        <v>55.103999999999992</v>
      </c>
      <c r="H307">
        <v>1.2350000000000001</v>
      </c>
      <c r="I307">
        <f>GiaDinh!$C$15</f>
        <v>15</v>
      </c>
      <c r="J307">
        <f t="shared" si="24"/>
        <v>13</v>
      </c>
      <c r="K307">
        <f>J307*GiaDinh!$C$16</f>
        <v>91</v>
      </c>
      <c r="L307">
        <f t="shared" si="25"/>
        <v>1</v>
      </c>
      <c r="M307">
        <f t="shared" si="26"/>
        <v>15</v>
      </c>
      <c r="N307">
        <f>L307*ROUNDUP(I307/GiaDinh!$C$5-0.0005,0)</f>
        <v>3</v>
      </c>
      <c r="O307">
        <f>L307*(ROUNDUP(I307/GiaDinh!$C$5-0.0005,0)-1)</f>
        <v>2</v>
      </c>
      <c r="P307">
        <f t="shared" si="27"/>
        <v>13</v>
      </c>
      <c r="Q307">
        <f t="shared" si="28"/>
        <v>26</v>
      </c>
      <c r="R307">
        <f t="shared" si="29"/>
        <v>13</v>
      </c>
      <c r="S307">
        <f>M307*GiaDinh!$C$7</f>
        <v>45.15</v>
      </c>
    </row>
    <row r="308" spans="1:19" x14ac:dyDescent="0.35">
      <c r="A308" t="s">
        <v>13</v>
      </c>
      <c r="B308">
        <v>25</v>
      </c>
      <c r="C308" t="s">
        <v>173</v>
      </c>
      <c r="D308" t="s">
        <v>474</v>
      </c>
      <c r="E308">
        <v>1</v>
      </c>
      <c r="F308">
        <v>65.599999999999994</v>
      </c>
      <c r="G308">
        <f>E308*F308*GiaDinh!$C$18*GiaDinh!$C$17</f>
        <v>55.103999999999992</v>
      </c>
      <c r="H308">
        <v>1.2350000000000001</v>
      </c>
      <c r="I308">
        <f>GiaDinh!$C$15</f>
        <v>15</v>
      </c>
      <c r="J308">
        <f t="shared" si="24"/>
        <v>13</v>
      </c>
      <c r="K308">
        <f>J308*GiaDinh!$C$16</f>
        <v>91</v>
      </c>
      <c r="L308">
        <f t="shared" si="25"/>
        <v>1</v>
      </c>
      <c r="M308">
        <f t="shared" si="26"/>
        <v>15</v>
      </c>
      <c r="N308">
        <f>L308*ROUNDUP(I308/GiaDinh!$C$5-0.0005,0)</f>
        <v>3</v>
      </c>
      <c r="O308">
        <f>L308*(ROUNDUP(I308/GiaDinh!$C$5-0.0005,0)-1)</f>
        <v>2</v>
      </c>
      <c r="P308">
        <f t="shared" si="27"/>
        <v>13</v>
      </c>
      <c r="Q308">
        <f t="shared" si="28"/>
        <v>26</v>
      </c>
      <c r="R308">
        <f t="shared" si="29"/>
        <v>13</v>
      </c>
      <c r="S308">
        <f>M308*GiaDinh!$C$7</f>
        <v>45.15</v>
      </c>
    </row>
    <row r="309" spans="1:19" x14ac:dyDescent="0.35">
      <c r="A309" t="s">
        <v>13</v>
      </c>
      <c r="B309">
        <v>26</v>
      </c>
      <c r="C309" t="s">
        <v>173</v>
      </c>
      <c r="D309" t="s">
        <v>475</v>
      </c>
      <c r="E309">
        <v>1</v>
      </c>
      <c r="F309">
        <v>65.599999999999994</v>
      </c>
      <c r="G309">
        <f>E309*F309*GiaDinh!$C$18*GiaDinh!$C$17</f>
        <v>55.103999999999992</v>
      </c>
      <c r="H309">
        <v>1.2350000000000001</v>
      </c>
      <c r="I309">
        <f>GiaDinh!$C$15</f>
        <v>15</v>
      </c>
      <c r="J309">
        <f t="shared" si="24"/>
        <v>13</v>
      </c>
      <c r="K309">
        <f>J309*GiaDinh!$C$16</f>
        <v>91</v>
      </c>
      <c r="L309">
        <f t="shared" si="25"/>
        <v>1</v>
      </c>
      <c r="M309">
        <f t="shared" si="26"/>
        <v>15</v>
      </c>
      <c r="N309">
        <f>L309*ROUNDUP(I309/GiaDinh!$C$5-0.0005,0)</f>
        <v>3</v>
      </c>
      <c r="O309">
        <f>L309*(ROUNDUP(I309/GiaDinh!$C$5-0.0005,0)-1)</f>
        <v>2</v>
      </c>
      <c r="P309">
        <f t="shared" si="27"/>
        <v>13</v>
      </c>
      <c r="Q309">
        <f t="shared" si="28"/>
        <v>26</v>
      </c>
      <c r="R309">
        <f t="shared" si="29"/>
        <v>13</v>
      </c>
      <c r="S309">
        <f>M309*GiaDinh!$C$7</f>
        <v>45.15</v>
      </c>
    </row>
    <row r="310" spans="1:19" x14ac:dyDescent="0.35">
      <c r="A310" t="s">
        <v>13</v>
      </c>
      <c r="B310">
        <v>27</v>
      </c>
      <c r="C310" t="s">
        <v>173</v>
      </c>
      <c r="D310" t="s">
        <v>476</v>
      </c>
      <c r="E310">
        <v>1</v>
      </c>
      <c r="F310">
        <v>65.599999999999994</v>
      </c>
      <c r="G310">
        <f>E310*F310*GiaDinh!$C$18*GiaDinh!$C$17</f>
        <v>55.103999999999992</v>
      </c>
      <c r="H310">
        <v>1.2350000000000001</v>
      </c>
      <c r="I310">
        <f>GiaDinh!$C$15</f>
        <v>15</v>
      </c>
      <c r="J310">
        <f t="shared" si="24"/>
        <v>13</v>
      </c>
      <c r="K310">
        <f>J310*GiaDinh!$C$16</f>
        <v>91</v>
      </c>
      <c r="L310">
        <f t="shared" si="25"/>
        <v>1</v>
      </c>
      <c r="M310">
        <f t="shared" si="26"/>
        <v>15</v>
      </c>
      <c r="N310">
        <f>L310*ROUNDUP(I310/GiaDinh!$C$5-0.0005,0)</f>
        <v>3</v>
      </c>
      <c r="O310">
        <f>L310*(ROUNDUP(I310/GiaDinh!$C$5-0.0005,0)-1)</f>
        <v>2</v>
      </c>
      <c r="P310">
        <f t="shared" si="27"/>
        <v>13</v>
      </c>
      <c r="Q310">
        <f t="shared" si="28"/>
        <v>26</v>
      </c>
      <c r="R310">
        <f t="shared" si="29"/>
        <v>13</v>
      </c>
      <c r="S310">
        <f>M310*GiaDinh!$C$7</f>
        <v>45.15</v>
      </c>
    </row>
    <row r="311" spans="1:19" x14ac:dyDescent="0.35">
      <c r="A311" t="s">
        <v>13</v>
      </c>
      <c r="B311">
        <v>28</v>
      </c>
      <c r="C311" t="s">
        <v>173</v>
      </c>
      <c r="D311" t="s">
        <v>477</v>
      </c>
      <c r="E311">
        <v>1</v>
      </c>
      <c r="F311">
        <v>65.599999999999994</v>
      </c>
      <c r="G311">
        <f>E311*F311*GiaDinh!$C$18*GiaDinh!$C$17</f>
        <v>55.103999999999992</v>
      </c>
      <c r="H311">
        <v>1.2350000000000001</v>
      </c>
      <c r="I311">
        <f>GiaDinh!$C$15</f>
        <v>15</v>
      </c>
      <c r="J311">
        <f t="shared" si="24"/>
        <v>13</v>
      </c>
      <c r="K311">
        <f>J311*GiaDinh!$C$16</f>
        <v>91</v>
      </c>
      <c r="L311">
        <f t="shared" si="25"/>
        <v>1</v>
      </c>
      <c r="M311">
        <f t="shared" si="26"/>
        <v>15</v>
      </c>
      <c r="N311">
        <f>L311*ROUNDUP(I311/GiaDinh!$C$5-0.0005,0)</f>
        <v>3</v>
      </c>
      <c r="O311">
        <f>L311*(ROUNDUP(I311/GiaDinh!$C$5-0.0005,0)-1)</f>
        <v>2</v>
      </c>
      <c r="P311">
        <f t="shared" si="27"/>
        <v>13</v>
      </c>
      <c r="Q311">
        <f t="shared" si="28"/>
        <v>26</v>
      </c>
      <c r="R311">
        <f t="shared" si="29"/>
        <v>13</v>
      </c>
      <c r="S311">
        <f>M311*GiaDinh!$C$7</f>
        <v>45.15</v>
      </c>
    </row>
    <row r="312" spans="1:19" x14ac:dyDescent="0.35">
      <c r="A312" t="s">
        <v>13</v>
      </c>
      <c r="B312">
        <v>29</v>
      </c>
      <c r="C312" t="s">
        <v>173</v>
      </c>
      <c r="D312" t="s">
        <v>478</v>
      </c>
      <c r="E312">
        <v>1</v>
      </c>
      <c r="F312">
        <v>65.599999999999994</v>
      </c>
      <c r="G312">
        <f>E312*F312*GiaDinh!$C$18*GiaDinh!$C$17</f>
        <v>55.103999999999992</v>
      </c>
      <c r="H312">
        <v>1.2350000000000001</v>
      </c>
      <c r="I312">
        <f>GiaDinh!$C$15</f>
        <v>15</v>
      </c>
      <c r="J312">
        <f t="shared" si="24"/>
        <v>13</v>
      </c>
      <c r="K312">
        <f>J312*GiaDinh!$C$16</f>
        <v>91</v>
      </c>
      <c r="L312">
        <f t="shared" si="25"/>
        <v>1</v>
      </c>
      <c r="M312">
        <f t="shared" si="26"/>
        <v>15</v>
      </c>
      <c r="N312">
        <f>L312*ROUNDUP(I312/GiaDinh!$C$5-0.0005,0)</f>
        <v>3</v>
      </c>
      <c r="O312">
        <f>L312*(ROUNDUP(I312/GiaDinh!$C$5-0.0005,0)-1)</f>
        <v>2</v>
      </c>
      <c r="P312">
        <f t="shared" si="27"/>
        <v>13</v>
      </c>
      <c r="Q312">
        <f t="shared" si="28"/>
        <v>26</v>
      </c>
      <c r="R312">
        <f t="shared" si="29"/>
        <v>13</v>
      </c>
      <c r="S312">
        <f>M312*GiaDinh!$C$7</f>
        <v>45.15</v>
      </c>
    </row>
    <row r="313" spans="1:19" x14ac:dyDescent="0.35">
      <c r="A313" t="s">
        <v>13</v>
      </c>
      <c r="B313">
        <v>30</v>
      </c>
      <c r="C313" t="s">
        <v>173</v>
      </c>
      <c r="D313" t="s">
        <v>479</v>
      </c>
      <c r="E313">
        <v>1</v>
      </c>
      <c r="F313">
        <v>65.599999999999994</v>
      </c>
      <c r="G313">
        <f>E313*F313*GiaDinh!$C$18*GiaDinh!$C$17</f>
        <v>55.103999999999992</v>
      </c>
      <c r="H313">
        <v>1.2350000000000001</v>
      </c>
      <c r="I313">
        <f>GiaDinh!$C$15</f>
        <v>15</v>
      </c>
      <c r="J313">
        <f t="shared" si="24"/>
        <v>13</v>
      </c>
      <c r="K313">
        <f>J313*GiaDinh!$C$16</f>
        <v>91</v>
      </c>
      <c r="L313">
        <f t="shared" si="25"/>
        <v>1</v>
      </c>
      <c r="M313">
        <f t="shared" si="26"/>
        <v>15</v>
      </c>
      <c r="N313">
        <f>L313*ROUNDUP(I313/GiaDinh!$C$5-0.0005,0)</f>
        <v>3</v>
      </c>
      <c r="O313">
        <f>L313*(ROUNDUP(I313/GiaDinh!$C$5-0.0005,0)-1)</f>
        <v>2</v>
      </c>
      <c r="P313">
        <f t="shared" si="27"/>
        <v>13</v>
      </c>
      <c r="Q313">
        <f t="shared" si="28"/>
        <v>26</v>
      </c>
      <c r="R313">
        <f t="shared" si="29"/>
        <v>13</v>
      </c>
      <c r="S313">
        <f>M313*GiaDinh!$C$7</f>
        <v>45.15</v>
      </c>
    </row>
    <row r="314" spans="1:19" x14ac:dyDescent="0.35">
      <c r="A314" t="s">
        <v>13</v>
      </c>
      <c r="B314">
        <v>31</v>
      </c>
      <c r="C314" t="s">
        <v>173</v>
      </c>
      <c r="D314" t="s">
        <v>480</v>
      </c>
      <c r="E314">
        <v>1</v>
      </c>
      <c r="F314">
        <v>65.599999999999994</v>
      </c>
      <c r="G314">
        <f>E314*F314*GiaDinh!$C$18*GiaDinh!$C$17</f>
        <v>55.103999999999992</v>
      </c>
      <c r="H314">
        <v>1.2350000000000001</v>
      </c>
      <c r="I314">
        <f>GiaDinh!$C$15</f>
        <v>15</v>
      </c>
      <c r="J314">
        <f t="shared" si="24"/>
        <v>13</v>
      </c>
      <c r="K314">
        <f>J314*GiaDinh!$C$16</f>
        <v>91</v>
      </c>
      <c r="L314">
        <f t="shared" si="25"/>
        <v>1</v>
      </c>
      <c r="M314">
        <f t="shared" si="26"/>
        <v>15</v>
      </c>
      <c r="N314">
        <f>L314*ROUNDUP(I314/GiaDinh!$C$5-0.0005,0)</f>
        <v>3</v>
      </c>
      <c r="O314">
        <f>L314*(ROUNDUP(I314/GiaDinh!$C$5-0.0005,0)-1)</f>
        <v>2</v>
      </c>
      <c r="P314">
        <f t="shared" si="27"/>
        <v>13</v>
      </c>
      <c r="Q314">
        <f t="shared" si="28"/>
        <v>26</v>
      </c>
      <c r="R314">
        <f t="shared" si="29"/>
        <v>13</v>
      </c>
      <c r="S314">
        <f>M314*GiaDinh!$C$7</f>
        <v>45.15</v>
      </c>
    </row>
    <row r="315" spans="1:19" x14ac:dyDescent="0.35">
      <c r="A315" t="s">
        <v>13</v>
      </c>
      <c r="B315">
        <v>32</v>
      </c>
      <c r="C315" t="s">
        <v>173</v>
      </c>
      <c r="D315" t="s">
        <v>481</v>
      </c>
      <c r="E315">
        <v>1</v>
      </c>
      <c r="F315">
        <v>65.599999999999994</v>
      </c>
      <c r="G315">
        <f>E315*F315*GiaDinh!$C$18*GiaDinh!$C$17</f>
        <v>55.103999999999992</v>
      </c>
      <c r="H315">
        <v>1.2350000000000001</v>
      </c>
      <c r="I315">
        <f>GiaDinh!$C$15</f>
        <v>15</v>
      </c>
      <c r="J315">
        <f t="shared" si="24"/>
        <v>13</v>
      </c>
      <c r="K315">
        <f>J315*GiaDinh!$C$16</f>
        <v>91</v>
      </c>
      <c r="L315">
        <f t="shared" si="25"/>
        <v>1</v>
      </c>
      <c r="M315">
        <f t="shared" si="26"/>
        <v>15</v>
      </c>
      <c r="N315">
        <f>L315*ROUNDUP(I315/GiaDinh!$C$5-0.0005,0)</f>
        <v>3</v>
      </c>
      <c r="O315">
        <f>L315*(ROUNDUP(I315/GiaDinh!$C$5-0.0005,0)-1)</f>
        <v>2</v>
      </c>
      <c r="P315">
        <f t="shared" si="27"/>
        <v>13</v>
      </c>
      <c r="Q315">
        <f t="shared" si="28"/>
        <v>26</v>
      </c>
      <c r="R315">
        <f t="shared" si="29"/>
        <v>13</v>
      </c>
      <c r="S315">
        <f>M315*GiaDinh!$C$7</f>
        <v>45.15</v>
      </c>
    </row>
    <row r="316" spans="1:19" x14ac:dyDescent="0.35">
      <c r="A316" t="s">
        <v>13</v>
      </c>
      <c r="B316">
        <v>33</v>
      </c>
      <c r="C316" t="s">
        <v>173</v>
      </c>
      <c r="D316" t="s">
        <v>482</v>
      </c>
      <c r="E316">
        <v>1</v>
      </c>
      <c r="F316">
        <v>65.599999999999994</v>
      </c>
      <c r="G316">
        <f>E316*F316*GiaDinh!$C$18*GiaDinh!$C$17</f>
        <v>55.103999999999992</v>
      </c>
      <c r="H316">
        <v>1.2350000000000001</v>
      </c>
      <c r="I316">
        <f>GiaDinh!$C$15</f>
        <v>15</v>
      </c>
      <c r="J316">
        <f t="shared" si="24"/>
        <v>13</v>
      </c>
      <c r="K316">
        <f>J316*GiaDinh!$C$16</f>
        <v>91</v>
      </c>
      <c r="L316">
        <f t="shared" si="25"/>
        <v>1</v>
      </c>
      <c r="M316">
        <f t="shared" si="26"/>
        <v>15</v>
      </c>
      <c r="N316">
        <f>L316*ROUNDUP(I316/GiaDinh!$C$5-0.0005,0)</f>
        <v>3</v>
      </c>
      <c r="O316">
        <f>L316*(ROUNDUP(I316/GiaDinh!$C$5-0.0005,0)-1)</f>
        <v>2</v>
      </c>
      <c r="P316">
        <f t="shared" si="27"/>
        <v>13</v>
      </c>
      <c r="Q316">
        <f t="shared" si="28"/>
        <v>26</v>
      </c>
      <c r="R316">
        <f t="shared" si="29"/>
        <v>13</v>
      </c>
      <c r="S316">
        <f>M316*GiaDinh!$C$7</f>
        <v>45.15</v>
      </c>
    </row>
    <row r="317" spans="1:19" x14ac:dyDescent="0.35">
      <c r="A317" t="s">
        <v>13</v>
      </c>
      <c r="B317">
        <v>34</v>
      </c>
      <c r="C317" t="s">
        <v>173</v>
      </c>
      <c r="D317" t="s">
        <v>483</v>
      </c>
      <c r="E317">
        <v>1</v>
      </c>
      <c r="F317">
        <v>65.599999999999994</v>
      </c>
      <c r="G317">
        <f>E317*F317*GiaDinh!$C$18*GiaDinh!$C$17</f>
        <v>55.103999999999992</v>
      </c>
      <c r="H317">
        <v>1.2350000000000001</v>
      </c>
      <c r="I317">
        <f>GiaDinh!$C$15</f>
        <v>15</v>
      </c>
      <c r="J317">
        <f t="shared" si="24"/>
        <v>13</v>
      </c>
      <c r="K317">
        <f>J317*GiaDinh!$C$16</f>
        <v>91</v>
      </c>
      <c r="L317">
        <f t="shared" si="25"/>
        <v>1</v>
      </c>
      <c r="M317">
        <f t="shared" si="26"/>
        <v>15</v>
      </c>
      <c r="N317">
        <f>L317*ROUNDUP(I317/GiaDinh!$C$5-0.0005,0)</f>
        <v>3</v>
      </c>
      <c r="O317">
        <f>L317*(ROUNDUP(I317/GiaDinh!$C$5-0.0005,0)-1)</f>
        <v>2</v>
      </c>
      <c r="P317">
        <f t="shared" si="27"/>
        <v>13</v>
      </c>
      <c r="Q317">
        <f t="shared" si="28"/>
        <v>26</v>
      </c>
      <c r="R317">
        <f t="shared" si="29"/>
        <v>13</v>
      </c>
      <c r="S317">
        <f>M317*GiaDinh!$C$7</f>
        <v>45.15</v>
      </c>
    </row>
    <row r="318" spans="1:19" x14ac:dyDescent="0.35">
      <c r="A318" t="s">
        <v>13</v>
      </c>
      <c r="B318">
        <v>35</v>
      </c>
      <c r="C318" t="s">
        <v>173</v>
      </c>
      <c r="D318" t="s">
        <v>484</v>
      </c>
      <c r="E318">
        <v>1</v>
      </c>
      <c r="F318">
        <v>65.599999999999994</v>
      </c>
      <c r="G318">
        <f>E318*F318*GiaDinh!$C$18*GiaDinh!$C$17</f>
        <v>55.103999999999992</v>
      </c>
      <c r="H318">
        <v>1.2350000000000001</v>
      </c>
      <c r="I318">
        <f>GiaDinh!$C$15</f>
        <v>15</v>
      </c>
      <c r="J318">
        <f t="shared" si="24"/>
        <v>13</v>
      </c>
      <c r="K318">
        <f>J318*GiaDinh!$C$16</f>
        <v>91</v>
      </c>
      <c r="L318">
        <f t="shared" si="25"/>
        <v>1</v>
      </c>
      <c r="M318">
        <f t="shared" si="26"/>
        <v>15</v>
      </c>
      <c r="N318">
        <f>L318*ROUNDUP(I318/GiaDinh!$C$5-0.0005,0)</f>
        <v>3</v>
      </c>
      <c r="O318">
        <f>L318*(ROUNDUP(I318/GiaDinh!$C$5-0.0005,0)-1)</f>
        <v>2</v>
      </c>
      <c r="P318">
        <f t="shared" si="27"/>
        <v>13</v>
      </c>
      <c r="Q318">
        <f t="shared" si="28"/>
        <v>26</v>
      </c>
      <c r="R318">
        <f t="shared" si="29"/>
        <v>13</v>
      </c>
      <c r="S318">
        <f>M318*GiaDinh!$C$7</f>
        <v>45.15</v>
      </c>
    </row>
    <row r="319" spans="1:19" x14ac:dyDescent="0.35">
      <c r="A319" t="s">
        <v>13</v>
      </c>
      <c r="B319">
        <v>36</v>
      </c>
      <c r="C319" t="s">
        <v>173</v>
      </c>
      <c r="D319" t="s">
        <v>485</v>
      </c>
      <c r="E319">
        <v>1</v>
      </c>
      <c r="F319">
        <v>65.599999999999994</v>
      </c>
      <c r="G319">
        <f>E319*F319*GiaDinh!$C$18*GiaDinh!$C$17</f>
        <v>55.103999999999992</v>
      </c>
      <c r="H319">
        <v>1.2350000000000001</v>
      </c>
      <c r="I319">
        <f>GiaDinh!$C$15</f>
        <v>15</v>
      </c>
      <c r="J319">
        <f t="shared" si="24"/>
        <v>13</v>
      </c>
      <c r="K319">
        <f>J319*GiaDinh!$C$16</f>
        <v>91</v>
      </c>
      <c r="L319">
        <f t="shared" si="25"/>
        <v>1</v>
      </c>
      <c r="M319">
        <f t="shared" si="26"/>
        <v>15</v>
      </c>
      <c r="N319">
        <f>L319*ROUNDUP(I319/GiaDinh!$C$5-0.0005,0)</f>
        <v>3</v>
      </c>
      <c r="O319">
        <f>L319*(ROUNDUP(I319/GiaDinh!$C$5-0.0005,0)-1)</f>
        <v>2</v>
      </c>
      <c r="P319">
        <f t="shared" si="27"/>
        <v>13</v>
      </c>
      <c r="Q319">
        <f t="shared" si="28"/>
        <v>26</v>
      </c>
      <c r="R319">
        <f t="shared" si="29"/>
        <v>13</v>
      </c>
      <c r="S319">
        <f>M319*GiaDinh!$C$7</f>
        <v>45.15</v>
      </c>
    </row>
    <row r="320" spans="1:19" x14ac:dyDescent="0.35">
      <c r="A320" t="s">
        <v>13</v>
      </c>
      <c r="B320">
        <v>37</v>
      </c>
      <c r="C320" t="s">
        <v>173</v>
      </c>
      <c r="D320" t="s">
        <v>486</v>
      </c>
      <c r="E320">
        <v>1</v>
      </c>
      <c r="F320">
        <v>65.599999999999994</v>
      </c>
      <c r="G320">
        <f>E320*F320*GiaDinh!$C$18*GiaDinh!$C$17</f>
        <v>55.103999999999992</v>
      </c>
      <c r="H320">
        <v>1.2350000000000001</v>
      </c>
      <c r="I320">
        <f>GiaDinh!$C$15</f>
        <v>15</v>
      </c>
      <c r="J320">
        <f t="shared" si="24"/>
        <v>13</v>
      </c>
      <c r="K320">
        <f>J320*GiaDinh!$C$16</f>
        <v>91</v>
      </c>
      <c r="L320">
        <f t="shared" si="25"/>
        <v>1</v>
      </c>
      <c r="M320">
        <f t="shared" si="26"/>
        <v>15</v>
      </c>
      <c r="N320">
        <f>L320*ROUNDUP(I320/GiaDinh!$C$5-0.0005,0)</f>
        <v>3</v>
      </c>
      <c r="O320">
        <f>L320*(ROUNDUP(I320/GiaDinh!$C$5-0.0005,0)-1)</f>
        <v>2</v>
      </c>
      <c r="P320">
        <f t="shared" si="27"/>
        <v>13</v>
      </c>
      <c r="Q320">
        <f t="shared" si="28"/>
        <v>26</v>
      </c>
      <c r="R320">
        <f t="shared" si="29"/>
        <v>13</v>
      </c>
      <c r="S320">
        <f>M320*GiaDinh!$C$7</f>
        <v>45.15</v>
      </c>
    </row>
    <row r="321" spans="1:19" x14ac:dyDescent="0.35">
      <c r="A321" t="s">
        <v>13</v>
      </c>
      <c r="B321">
        <v>38</v>
      </c>
      <c r="C321" t="s">
        <v>173</v>
      </c>
      <c r="D321" t="s">
        <v>487</v>
      </c>
      <c r="E321">
        <v>1</v>
      </c>
      <c r="F321">
        <v>65.599999999999994</v>
      </c>
      <c r="G321">
        <f>E321*F321*GiaDinh!$C$18*GiaDinh!$C$17</f>
        <v>55.103999999999992</v>
      </c>
      <c r="H321">
        <v>1.2350000000000001</v>
      </c>
      <c r="I321">
        <f>GiaDinh!$C$15</f>
        <v>15</v>
      </c>
      <c r="J321">
        <f t="shared" si="24"/>
        <v>13</v>
      </c>
      <c r="K321">
        <f>J321*GiaDinh!$C$16</f>
        <v>91</v>
      </c>
      <c r="L321">
        <f t="shared" si="25"/>
        <v>1</v>
      </c>
      <c r="M321">
        <f t="shared" si="26"/>
        <v>15</v>
      </c>
      <c r="N321">
        <f>L321*ROUNDUP(I321/GiaDinh!$C$5-0.0005,0)</f>
        <v>3</v>
      </c>
      <c r="O321">
        <f>L321*(ROUNDUP(I321/GiaDinh!$C$5-0.0005,0)-1)</f>
        <v>2</v>
      </c>
      <c r="P321">
        <f t="shared" si="27"/>
        <v>13</v>
      </c>
      <c r="Q321">
        <f t="shared" si="28"/>
        <v>26</v>
      </c>
      <c r="R321">
        <f t="shared" si="29"/>
        <v>13</v>
      </c>
      <c r="S321">
        <f>M321*GiaDinh!$C$7</f>
        <v>45.15</v>
      </c>
    </row>
    <row r="322" spans="1:19" x14ac:dyDescent="0.35">
      <c r="A322" t="s">
        <v>13</v>
      </c>
      <c r="B322">
        <v>39</v>
      </c>
      <c r="C322" t="s">
        <v>168</v>
      </c>
      <c r="D322" t="s">
        <v>488</v>
      </c>
      <c r="E322">
        <v>4</v>
      </c>
      <c r="F322">
        <v>65.599999999999994</v>
      </c>
      <c r="G322">
        <f>E322*F322*GiaDinh!$C$18*GiaDinh!$C$17</f>
        <v>220.41599999999997</v>
      </c>
      <c r="H322">
        <v>1.2350000000000001</v>
      </c>
      <c r="I322">
        <f>GiaDinh!$C$15</f>
        <v>15</v>
      </c>
      <c r="J322">
        <f t="shared" si="24"/>
        <v>13</v>
      </c>
      <c r="K322">
        <f>J322*GiaDinh!$C$16</f>
        <v>91</v>
      </c>
      <c r="L322">
        <f t="shared" si="25"/>
        <v>3</v>
      </c>
      <c r="M322">
        <f t="shared" si="26"/>
        <v>45</v>
      </c>
      <c r="N322">
        <f>L322*ROUNDUP(I322/GiaDinh!$C$5-0.0005,0)</f>
        <v>9</v>
      </c>
      <c r="O322">
        <f>L322*(ROUNDUP(I322/GiaDinh!$C$5-0.0005,0)-1)</f>
        <v>6</v>
      </c>
      <c r="P322">
        <f t="shared" si="27"/>
        <v>39</v>
      </c>
      <c r="Q322">
        <f t="shared" si="28"/>
        <v>78</v>
      </c>
      <c r="R322">
        <f t="shared" si="29"/>
        <v>39</v>
      </c>
      <c r="S322">
        <f>M322*GiaDinh!$C$7</f>
        <v>135.44999999999999</v>
      </c>
    </row>
    <row r="323" spans="1:19" x14ac:dyDescent="0.35">
      <c r="A323" t="s">
        <v>13</v>
      </c>
      <c r="B323">
        <v>40</v>
      </c>
      <c r="C323" t="s">
        <v>168</v>
      </c>
      <c r="D323" t="s">
        <v>489</v>
      </c>
      <c r="E323">
        <v>4</v>
      </c>
      <c r="F323">
        <v>65.599999999999994</v>
      </c>
      <c r="G323">
        <f>E323*F323*GiaDinh!$C$18*GiaDinh!$C$17</f>
        <v>220.41599999999997</v>
      </c>
      <c r="H323">
        <v>1.2350000000000001</v>
      </c>
      <c r="I323">
        <f>GiaDinh!$C$15</f>
        <v>15</v>
      </c>
      <c r="J323">
        <f t="shared" si="24"/>
        <v>13</v>
      </c>
      <c r="K323">
        <f>J323*GiaDinh!$C$16</f>
        <v>91</v>
      </c>
      <c r="L323">
        <f t="shared" si="25"/>
        <v>3</v>
      </c>
      <c r="M323">
        <f t="shared" si="26"/>
        <v>45</v>
      </c>
      <c r="N323">
        <f>L323*ROUNDUP(I323/GiaDinh!$C$5-0.0005,0)</f>
        <v>9</v>
      </c>
      <c r="O323">
        <f>L323*(ROUNDUP(I323/GiaDinh!$C$5-0.0005,0)-1)</f>
        <v>6</v>
      </c>
      <c r="P323">
        <f t="shared" si="27"/>
        <v>39</v>
      </c>
      <c r="Q323">
        <f t="shared" si="28"/>
        <v>78</v>
      </c>
      <c r="R323">
        <f t="shared" si="29"/>
        <v>39</v>
      </c>
      <c r="S323">
        <f>M323*GiaDinh!$C$7</f>
        <v>135.44999999999999</v>
      </c>
    </row>
    <row r="324" spans="1:19" x14ac:dyDescent="0.35">
      <c r="A324" t="s">
        <v>13</v>
      </c>
      <c r="B324">
        <v>41</v>
      </c>
      <c r="C324" t="s">
        <v>168</v>
      </c>
      <c r="D324" t="s">
        <v>490</v>
      </c>
      <c r="E324">
        <v>2</v>
      </c>
      <c r="F324">
        <v>65.599999999999994</v>
      </c>
      <c r="G324">
        <f>E324*F324*GiaDinh!$C$18*GiaDinh!$C$17</f>
        <v>110.20799999999998</v>
      </c>
      <c r="H324">
        <v>1.2350000000000001</v>
      </c>
      <c r="I324">
        <f>GiaDinh!$C$15</f>
        <v>15</v>
      </c>
      <c r="J324">
        <f t="shared" ref="J324:J387" si="30">ROUNDDOWN(I324/H324,0)+1</f>
        <v>13</v>
      </c>
      <c r="K324">
        <f>J324*GiaDinh!$C$16</f>
        <v>91</v>
      </c>
      <c r="L324">
        <f t="shared" ref="L324:L387" si="31">MAX(1,ROUNDUP(G324/K324-0.0005,0))</f>
        <v>2</v>
      </c>
      <c r="M324">
        <f t="shared" ref="M324:M387" si="32">L324*I324</f>
        <v>30</v>
      </c>
      <c r="N324">
        <f>L324*ROUNDUP(I324/GiaDinh!$C$5-0.0005,0)</f>
        <v>6</v>
      </c>
      <c r="O324">
        <f>L324*(ROUNDUP(I324/GiaDinh!$C$5-0.0005,0)-1)</f>
        <v>4</v>
      </c>
      <c r="P324">
        <f t="shared" ref="P324:P392" si="33">L324*J324</f>
        <v>26</v>
      </c>
      <c r="Q324">
        <f t="shared" ref="Q324:Q387" si="34">2*P324</f>
        <v>52</v>
      </c>
      <c r="R324">
        <f t="shared" ref="R324:R392" si="35">P324</f>
        <v>26</v>
      </c>
      <c r="S324">
        <f>M324*GiaDinh!$C$7</f>
        <v>90.3</v>
      </c>
    </row>
    <row r="325" spans="1:19" x14ac:dyDescent="0.35">
      <c r="A325" t="s">
        <v>13</v>
      </c>
      <c r="B325">
        <v>42</v>
      </c>
      <c r="C325" t="s">
        <v>173</v>
      </c>
      <c r="D325" t="s">
        <v>491</v>
      </c>
      <c r="E325">
        <v>1</v>
      </c>
      <c r="F325">
        <v>65.599999999999994</v>
      </c>
      <c r="G325">
        <f>E325*F325*GiaDinh!$C$18*GiaDinh!$C$17</f>
        <v>55.103999999999992</v>
      </c>
      <c r="H325">
        <v>1.2350000000000001</v>
      </c>
      <c r="I325">
        <f>GiaDinh!$C$15</f>
        <v>15</v>
      </c>
      <c r="J325">
        <f t="shared" si="30"/>
        <v>13</v>
      </c>
      <c r="K325">
        <f>J325*GiaDinh!$C$16</f>
        <v>91</v>
      </c>
      <c r="L325">
        <f t="shared" si="31"/>
        <v>1</v>
      </c>
      <c r="M325">
        <f t="shared" si="32"/>
        <v>15</v>
      </c>
      <c r="N325">
        <f>L325*ROUNDUP(I325/GiaDinh!$C$5-0.0005,0)</f>
        <v>3</v>
      </c>
      <c r="O325">
        <f>L325*(ROUNDUP(I325/GiaDinh!$C$5-0.0005,0)-1)</f>
        <v>2</v>
      </c>
      <c r="P325">
        <f t="shared" si="33"/>
        <v>13</v>
      </c>
      <c r="Q325">
        <f t="shared" si="34"/>
        <v>26</v>
      </c>
      <c r="R325">
        <f t="shared" si="35"/>
        <v>13</v>
      </c>
      <c r="S325">
        <f>M325*GiaDinh!$C$7</f>
        <v>45.15</v>
      </c>
    </row>
    <row r="326" spans="1:19" x14ac:dyDescent="0.35">
      <c r="A326" t="s">
        <v>13</v>
      </c>
      <c r="B326">
        <v>43</v>
      </c>
      <c r="C326" t="s">
        <v>173</v>
      </c>
      <c r="D326" t="s">
        <v>492</v>
      </c>
      <c r="E326">
        <v>1</v>
      </c>
      <c r="F326">
        <v>65.599999999999994</v>
      </c>
      <c r="G326">
        <f>E326*F326*GiaDinh!$C$18*GiaDinh!$C$17</f>
        <v>55.103999999999992</v>
      </c>
      <c r="H326">
        <v>1.2350000000000001</v>
      </c>
      <c r="I326">
        <f>GiaDinh!$C$15</f>
        <v>15</v>
      </c>
      <c r="J326">
        <f t="shared" si="30"/>
        <v>13</v>
      </c>
      <c r="K326">
        <f>J326*GiaDinh!$C$16</f>
        <v>91</v>
      </c>
      <c r="L326">
        <f t="shared" si="31"/>
        <v>1</v>
      </c>
      <c r="M326">
        <f t="shared" si="32"/>
        <v>15</v>
      </c>
      <c r="N326">
        <f>L326*ROUNDUP(I326/GiaDinh!$C$5-0.0005,0)</f>
        <v>3</v>
      </c>
      <c r="O326">
        <f>L326*(ROUNDUP(I326/GiaDinh!$C$5-0.0005,0)-1)</f>
        <v>2</v>
      </c>
      <c r="P326">
        <f t="shared" si="33"/>
        <v>13</v>
      </c>
      <c r="Q326">
        <f t="shared" si="34"/>
        <v>26</v>
      </c>
      <c r="R326">
        <f t="shared" si="35"/>
        <v>13</v>
      </c>
      <c r="S326">
        <f>M326*GiaDinh!$C$7</f>
        <v>45.15</v>
      </c>
    </row>
    <row r="327" spans="1:19" x14ac:dyDescent="0.35">
      <c r="A327" t="s">
        <v>13</v>
      </c>
      <c r="B327">
        <v>44</v>
      </c>
      <c r="C327" t="s">
        <v>173</v>
      </c>
      <c r="D327" t="s">
        <v>493</v>
      </c>
      <c r="E327">
        <v>1</v>
      </c>
      <c r="F327">
        <v>65.599999999999994</v>
      </c>
      <c r="G327">
        <f>E327*F327*GiaDinh!$C$18*GiaDinh!$C$17</f>
        <v>55.103999999999992</v>
      </c>
      <c r="H327">
        <v>1.2350000000000001</v>
      </c>
      <c r="I327">
        <f>GiaDinh!$C$15</f>
        <v>15</v>
      </c>
      <c r="J327">
        <f t="shared" si="30"/>
        <v>13</v>
      </c>
      <c r="K327">
        <f>J327*GiaDinh!$C$16</f>
        <v>91</v>
      </c>
      <c r="L327">
        <f t="shared" si="31"/>
        <v>1</v>
      </c>
      <c r="M327">
        <f t="shared" si="32"/>
        <v>15</v>
      </c>
      <c r="N327">
        <f>L327*ROUNDUP(I327/GiaDinh!$C$5-0.0005,0)</f>
        <v>3</v>
      </c>
      <c r="O327">
        <f>L327*(ROUNDUP(I327/GiaDinh!$C$5-0.0005,0)-1)</f>
        <v>2</v>
      </c>
      <c r="P327">
        <f t="shared" si="33"/>
        <v>13</v>
      </c>
      <c r="Q327">
        <f t="shared" si="34"/>
        <v>26</v>
      </c>
      <c r="R327">
        <f t="shared" si="35"/>
        <v>13</v>
      </c>
      <c r="S327">
        <f>M327*GiaDinh!$C$7</f>
        <v>45.15</v>
      </c>
    </row>
    <row r="328" spans="1:19" x14ac:dyDescent="0.35">
      <c r="A328" t="s">
        <v>13</v>
      </c>
      <c r="B328">
        <v>45</v>
      </c>
      <c r="C328" t="s">
        <v>173</v>
      </c>
      <c r="D328" t="s">
        <v>494</v>
      </c>
      <c r="E328">
        <v>1</v>
      </c>
      <c r="F328">
        <v>65.599999999999994</v>
      </c>
      <c r="G328">
        <f>E328*F328*GiaDinh!$C$18*GiaDinh!$C$17</f>
        <v>55.103999999999992</v>
      </c>
      <c r="H328">
        <v>1.2350000000000001</v>
      </c>
      <c r="I328">
        <f>GiaDinh!$C$15</f>
        <v>15</v>
      </c>
      <c r="J328">
        <f t="shared" si="30"/>
        <v>13</v>
      </c>
      <c r="K328">
        <f>J328*GiaDinh!$C$16</f>
        <v>91</v>
      </c>
      <c r="L328">
        <f t="shared" si="31"/>
        <v>1</v>
      </c>
      <c r="M328">
        <f t="shared" si="32"/>
        <v>15</v>
      </c>
      <c r="N328">
        <f>L328*ROUNDUP(I328/GiaDinh!$C$5-0.0005,0)</f>
        <v>3</v>
      </c>
      <c r="O328">
        <f>L328*(ROUNDUP(I328/GiaDinh!$C$5-0.0005,0)-1)</f>
        <v>2</v>
      </c>
      <c r="P328">
        <f t="shared" si="33"/>
        <v>13</v>
      </c>
      <c r="Q328">
        <f t="shared" si="34"/>
        <v>26</v>
      </c>
      <c r="R328">
        <f t="shared" si="35"/>
        <v>13</v>
      </c>
      <c r="S328">
        <f>M328*GiaDinh!$C$7</f>
        <v>45.15</v>
      </c>
    </row>
    <row r="329" spans="1:19" x14ac:dyDescent="0.35">
      <c r="A329" t="s">
        <v>13</v>
      </c>
      <c r="B329">
        <v>46</v>
      </c>
      <c r="C329" t="s">
        <v>173</v>
      </c>
      <c r="D329" t="s">
        <v>495</v>
      </c>
      <c r="E329">
        <v>1</v>
      </c>
      <c r="F329">
        <v>65.599999999999994</v>
      </c>
      <c r="G329">
        <f>E329*F329*GiaDinh!$C$18*GiaDinh!$C$17</f>
        <v>55.103999999999992</v>
      </c>
      <c r="H329">
        <v>1.2350000000000001</v>
      </c>
      <c r="I329">
        <f>GiaDinh!$C$15</f>
        <v>15</v>
      </c>
      <c r="J329">
        <f t="shared" si="30"/>
        <v>13</v>
      </c>
      <c r="K329">
        <f>J329*GiaDinh!$C$16</f>
        <v>91</v>
      </c>
      <c r="L329">
        <f t="shared" si="31"/>
        <v>1</v>
      </c>
      <c r="M329">
        <f t="shared" si="32"/>
        <v>15</v>
      </c>
      <c r="N329">
        <f>L329*ROUNDUP(I329/GiaDinh!$C$5-0.0005,0)</f>
        <v>3</v>
      </c>
      <c r="O329">
        <f>L329*(ROUNDUP(I329/GiaDinh!$C$5-0.0005,0)-1)</f>
        <v>2</v>
      </c>
      <c r="P329">
        <f t="shared" si="33"/>
        <v>13</v>
      </c>
      <c r="Q329">
        <f t="shared" si="34"/>
        <v>26</v>
      </c>
      <c r="R329">
        <f t="shared" si="35"/>
        <v>13</v>
      </c>
      <c r="S329">
        <f>M329*GiaDinh!$C$7</f>
        <v>45.15</v>
      </c>
    </row>
    <row r="330" spans="1:19" x14ac:dyDescent="0.35">
      <c r="A330" t="s">
        <v>13</v>
      </c>
      <c r="B330">
        <v>47</v>
      </c>
      <c r="C330" t="s">
        <v>173</v>
      </c>
      <c r="D330" t="s">
        <v>496</v>
      </c>
      <c r="E330">
        <v>1</v>
      </c>
      <c r="F330">
        <v>65.599999999999994</v>
      </c>
      <c r="G330">
        <f>E330*F330*GiaDinh!$C$18*GiaDinh!$C$17</f>
        <v>55.103999999999992</v>
      </c>
      <c r="H330">
        <v>1.2350000000000001</v>
      </c>
      <c r="I330">
        <f>GiaDinh!$C$15</f>
        <v>15</v>
      </c>
      <c r="J330">
        <f t="shared" si="30"/>
        <v>13</v>
      </c>
      <c r="K330">
        <f>J330*GiaDinh!$C$16</f>
        <v>91</v>
      </c>
      <c r="L330">
        <f t="shared" si="31"/>
        <v>1</v>
      </c>
      <c r="M330">
        <f t="shared" si="32"/>
        <v>15</v>
      </c>
      <c r="N330">
        <f>L330*ROUNDUP(I330/GiaDinh!$C$5-0.0005,0)</f>
        <v>3</v>
      </c>
      <c r="O330">
        <f>L330*(ROUNDUP(I330/GiaDinh!$C$5-0.0005,0)-1)</f>
        <v>2</v>
      </c>
      <c r="P330">
        <f t="shared" si="33"/>
        <v>13</v>
      </c>
      <c r="Q330">
        <f t="shared" si="34"/>
        <v>26</v>
      </c>
      <c r="R330">
        <f t="shared" si="35"/>
        <v>13</v>
      </c>
      <c r="S330">
        <f>M330*GiaDinh!$C$7</f>
        <v>45.15</v>
      </c>
    </row>
    <row r="331" spans="1:19" x14ac:dyDescent="0.35">
      <c r="A331" t="s">
        <v>13</v>
      </c>
      <c r="B331">
        <v>48</v>
      </c>
      <c r="C331" t="s">
        <v>173</v>
      </c>
      <c r="D331" t="s">
        <v>497</v>
      </c>
      <c r="E331">
        <v>1</v>
      </c>
      <c r="F331">
        <v>65.599999999999994</v>
      </c>
      <c r="G331">
        <f>E331*F331*GiaDinh!$C$18*GiaDinh!$C$17</f>
        <v>55.103999999999992</v>
      </c>
      <c r="H331">
        <v>1.2350000000000001</v>
      </c>
      <c r="I331">
        <f>GiaDinh!$C$15</f>
        <v>15</v>
      </c>
      <c r="J331">
        <f t="shared" si="30"/>
        <v>13</v>
      </c>
      <c r="K331">
        <f>J331*GiaDinh!$C$16</f>
        <v>91</v>
      </c>
      <c r="L331">
        <f t="shared" si="31"/>
        <v>1</v>
      </c>
      <c r="M331">
        <f t="shared" si="32"/>
        <v>15</v>
      </c>
      <c r="N331">
        <f>L331*ROUNDUP(I331/GiaDinh!$C$5-0.0005,0)</f>
        <v>3</v>
      </c>
      <c r="O331">
        <f>L331*(ROUNDUP(I331/GiaDinh!$C$5-0.0005,0)-1)</f>
        <v>2</v>
      </c>
      <c r="P331">
        <f t="shared" si="33"/>
        <v>13</v>
      </c>
      <c r="Q331">
        <f t="shared" si="34"/>
        <v>26</v>
      </c>
      <c r="R331">
        <f t="shared" si="35"/>
        <v>13</v>
      </c>
      <c r="S331">
        <f>M331*GiaDinh!$C$7</f>
        <v>45.15</v>
      </c>
    </row>
    <row r="332" spans="1:19" x14ac:dyDescent="0.35">
      <c r="A332" t="s">
        <v>13</v>
      </c>
      <c r="B332">
        <v>49</v>
      </c>
      <c r="C332" t="s">
        <v>173</v>
      </c>
      <c r="D332" t="s">
        <v>498</v>
      </c>
      <c r="E332">
        <v>1</v>
      </c>
      <c r="F332">
        <v>65.599999999999994</v>
      </c>
      <c r="G332">
        <f>E332*F332*GiaDinh!$C$18*GiaDinh!$C$17</f>
        <v>55.103999999999992</v>
      </c>
      <c r="H332">
        <v>1.2350000000000001</v>
      </c>
      <c r="I332">
        <f>GiaDinh!$C$15</f>
        <v>15</v>
      </c>
      <c r="J332">
        <f t="shared" si="30"/>
        <v>13</v>
      </c>
      <c r="K332">
        <f>J332*GiaDinh!$C$16</f>
        <v>91</v>
      </c>
      <c r="L332">
        <f t="shared" si="31"/>
        <v>1</v>
      </c>
      <c r="M332">
        <f t="shared" si="32"/>
        <v>15</v>
      </c>
      <c r="N332">
        <f>L332*ROUNDUP(I332/GiaDinh!$C$5-0.0005,0)</f>
        <v>3</v>
      </c>
      <c r="O332">
        <f>L332*(ROUNDUP(I332/GiaDinh!$C$5-0.0005,0)-1)</f>
        <v>2</v>
      </c>
      <c r="P332">
        <f t="shared" si="33"/>
        <v>13</v>
      </c>
      <c r="Q332">
        <f t="shared" si="34"/>
        <v>26</v>
      </c>
      <c r="R332">
        <f t="shared" si="35"/>
        <v>13</v>
      </c>
      <c r="S332">
        <f>M332*GiaDinh!$C$7</f>
        <v>45.15</v>
      </c>
    </row>
    <row r="333" spans="1:19" x14ac:dyDescent="0.35">
      <c r="A333" t="s">
        <v>13</v>
      </c>
      <c r="B333">
        <v>50</v>
      </c>
      <c r="C333" t="s">
        <v>173</v>
      </c>
      <c r="D333" t="s">
        <v>499</v>
      </c>
      <c r="E333">
        <v>1</v>
      </c>
      <c r="F333">
        <v>65.599999999999994</v>
      </c>
      <c r="G333">
        <f>E333*F333*GiaDinh!$C$18*GiaDinh!$C$17</f>
        <v>55.103999999999992</v>
      </c>
      <c r="H333">
        <v>1.2350000000000001</v>
      </c>
      <c r="I333">
        <f>GiaDinh!$C$15</f>
        <v>15</v>
      </c>
      <c r="J333">
        <f t="shared" si="30"/>
        <v>13</v>
      </c>
      <c r="K333">
        <f>J333*GiaDinh!$C$16</f>
        <v>91</v>
      </c>
      <c r="L333">
        <f t="shared" si="31"/>
        <v>1</v>
      </c>
      <c r="M333">
        <f t="shared" si="32"/>
        <v>15</v>
      </c>
      <c r="N333">
        <f>L333*ROUNDUP(I333/GiaDinh!$C$5-0.0005,0)</f>
        <v>3</v>
      </c>
      <c r="O333">
        <f>L333*(ROUNDUP(I333/GiaDinh!$C$5-0.0005,0)-1)</f>
        <v>2</v>
      </c>
      <c r="P333">
        <f t="shared" si="33"/>
        <v>13</v>
      </c>
      <c r="Q333">
        <f t="shared" si="34"/>
        <v>26</v>
      </c>
      <c r="R333">
        <f t="shared" si="35"/>
        <v>13</v>
      </c>
      <c r="S333">
        <f>M333*GiaDinh!$C$7</f>
        <v>45.15</v>
      </c>
    </row>
    <row r="334" spans="1:19" x14ac:dyDescent="0.35">
      <c r="A334" t="s">
        <v>13</v>
      </c>
      <c r="B334">
        <v>51</v>
      </c>
      <c r="C334" t="s">
        <v>173</v>
      </c>
      <c r="D334" t="s">
        <v>500</v>
      </c>
      <c r="E334">
        <v>1</v>
      </c>
      <c r="F334">
        <v>65.599999999999994</v>
      </c>
      <c r="G334">
        <f>E334*F334*GiaDinh!$C$18*GiaDinh!$C$17</f>
        <v>55.103999999999992</v>
      </c>
      <c r="H334">
        <v>1.2350000000000001</v>
      </c>
      <c r="I334">
        <f>GiaDinh!$C$15</f>
        <v>15</v>
      </c>
      <c r="J334">
        <f t="shared" si="30"/>
        <v>13</v>
      </c>
      <c r="K334">
        <f>J334*GiaDinh!$C$16</f>
        <v>91</v>
      </c>
      <c r="L334">
        <f t="shared" si="31"/>
        <v>1</v>
      </c>
      <c r="M334">
        <f t="shared" si="32"/>
        <v>15</v>
      </c>
      <c r="N334">
        <f>L334*ROUNDUP(I334/GiaDinh!$C$5-0.0005,0)</f>
        <v>3</v>
      </c>
      <c r="O334">
        <f>L334*(ROUNDUP(I334/GiaDinh!$C$5-0.0005,0)-1)</f>
        <v>2</v>
      </c>
      <c r="P334">
        <f t="shared" si="33"/>
        <v>13</v>
      </c>
      <c r="Q334">
        <f t="shared" si="34"/>
        <v>26</v>
      </c>
      <c r="R334">
        <f t="shared" si="35"/>
        <v>13</v>
      </c>
      <c r="S334">
        <f>M334*GiaDinh!$C$7</f>
        <v>45.15</v>
      </c>
    </row>
    <row r="335" spans="1:19" x14ac:dyDescent="0.35">
      <c r="A335" t="s">
        <v>13</v>
      </c>
      <c r="B335">
        <v>52</v>
      </c>
      <c r="C335" t="s">
        <v>168</v>
      </c>
      <c r="D335" t="s">
        <v>501</v>
      </c>
      <c r="E335">
        <v>4</v>
      </c>
      <c r="F335">
        <v>65.599999999999994</v>
      </c>
      <c r="G335">
        <f>E335*F335*GiaDinh!$C$18*GiaDinh!$C$17</f>
        <v>220.41599999999997</v>
      </c>
      <c r="H335">
        <v>1.2350000000000001</v>
      </c>
      <c r="I335">
        <f>GiaDinh!$C$15</f>
        <v>15</v>
      </c>
      <c r="J335">
        <f t="shared" si="30"/>
        <v>13</v>
      </c>
      <c r="K335">
        <f>J335*GiaDinh!$C$16</f>
        <v>91</v>
      </c>
      <c r="L335">
        <f t="shared" si="31"/>
        <v>3</v>
      </c>
      <c r="M335">
        <f t="shared" si="32"/>
        <v>45</v>
      </c>
      <c r="N335">
        <f>L335*ROUNDUP(I335/GiaDinh!$C$5-0.0005,0)</f>
        <v>9</v>
      </c>
      <c r="O335">
        <f>L335*(ROUNDUP(I335/GiaDinh!$C$5-0.0005,0)-1)</f>
        <v>6</v>
      </c>
      <c r="P335">
        <f t="shared" si="33"/>
        <v>39</v>
      </c>
      <c r="Q335">
        <f t="shared" si="34"/>
        <v>78</v>
      </c>
      <c r="R335">
        <f t="shared" si="35"/>
        <v>39</v>
      </c>
      <c r="S335">
        <f>M335*GiaDinh!$C$7</f>
        <v>135.44999999999999</v>
      </c>
    </row>
    <row r="336" spans="1:19" x14ac:dyDescent="0.35">
      <c r="A336" t="s">
        <v>13</v>
      </c>
      <c r="B336">
        <v>53</v>
      </c>
      <c r="C336" t="s">
        <v>168</v>
      </c>
      <c r="D336" t="s">
        <v>502</v>
      </c>
      <c r="E336">
        <v>8</v>
      </c>
      <c r="F336">
        <v>65.599999999999994</v>
      </c>
      <c r="G336">
        <f>E336*F336*GiaDinh!$C$18*GiaDinh!$C$17</f>
        <v>440.83199999999994</v>
      </c>
      <c r="H336">
        <v>1.2350000000000001</v>
      </c>
      <c r="I336">
        <f>GiaDinh!$C$15</f>
        <v>15</v>
      </c>
      <c r="J336">
        <f t="shared" si="30"/>
        <v>13</v>
      </c>
      <c r="K336">
        <f>J336*GiaDinh!$C$16</f>
        <v>91</v>
      </c>
      <c r="L336">
        <f t="shared" si="31"/>
        <v>5</v>
      </c>
      <c r="M336">
        <f t="shared" si="32"/>
        <v>75</v>
      </c>
      <c r="N336">
        <f>L336*ROUNDUP(I336/GiaDinh!$C$5-0.0005,0)</f>
        <v>15</v>
      </c>
      <c r="O336">
        <f>L336*(ROUNDUP(I336/GiaDinh!$C$5-0.0005,0)-1)</f>
        <v>10</v>
      </c>
      <c r="P336">
        <f t="shared" si="33"/>
        <v>65</v>
      </c>
      <c r="Q336">
        <f t="shared" si="34"/>
        <v>130</v>
      </c>
      <c r="R336">
        <f t="shared" si="35"/>
        <v>65</v>
      </c>
      <c r="S336">
        <f>M336*GiaDinh!$C$7</f>
        <v>225.74999999999997</v>
      </c>
    </row>
    <row r="337" spans="1:19" x14ac:dyDescent="0.35">
      <c r="A337" t="s">
        <v>13</v>
      </c>
      <c r="B337">
        <v>54</v>
      </c>
      <c r="C337" t="s">
        <v>173</v>
      </c>
      <c r="D337" t="s">
        <v>503</v>
      </c>
      <c r="E337">
        <v>1</v>
      </c>
      <c r="F337">
        <v>65.599999999999994</v>
      </c>
      <c r="G337">
        <f>E337*F337*GiaDinh!$C$18*GiaDinh!$C$17</f>
        <v>55.103999999999992</v>
      </c>
      <c r="H337">
        <v>1.2350000000000001</v>
      </c>
      <c r="I337">
        <f>GiaDinh!$C$15</f>
        <v>15</v>
      </c>
      <c r="J337">
        <f t="shared" si="30"/>
        <v>13</v>
      </c>
      <c r="K337">
        <f>J337*GiaDinh!$C$16</f>
        <v>91</v>
      </c>
      <c r="L337">
        <f t="shared" si="31"/>
        <v>1</v>
      </c>
      <c r="M337">
        <f t="shared" si="32"/>
        <v>15</v>
      </c>
      <c r="N337">
        <f>L337*ROUNDUP(I337/GiaDinh!$C$5-0.0005,0)</f>
        <v>3</v>
      </c>
      <c r="O337">
        <f>L337*(ROUNDUP(I337/GiaDinh!$C$5-0.0005,0)-1)</f>
        <v>2</v>
      </c>
      <c r="P337">
        <f t="shared" si="33"/>
        <v>13</v>
      </c>
      <c r="Q337">
        <f t="shared" si="34"/>
        <v>26</v>
      </c>
      <c r="R337">
        <f t="shared" si="35"/>
        <v>13</v>
      </c>
      <c r="S337">
        <f>M337*GiaDinh!$C$7</f>
        <v>45.15</v>
      </c>
    </row>
    <row r="338" spans="1:19" x14ac:dyDescent="0.35">
      <c r="A338" t="s">
        <v>13</v>
      </c>
      <c r="B338">
        <v>55</v>
      </c>
      <c r="C338" t="s">
        <v>173</v>
      </c>
      <c r="D338" t="s">
        <v>504</v>
      </c>
      <c r="E338">
        <v>1</v>
      </c>
      <c r="F338">
        <v>65.599999999999994</v>
      </c>
      <c r="G338">
        <f>E338*F338*GiaDinh!$C$18*GiaDinh!$C$17</f>
        <v>55.103999999999992</v>
      </c>
      <c r="H338">
        <v>1.2350000000000001</v>
      </c>
      <c r="I338">
        <f>GiaDinh!$C$15</f>
        <v>15</v>
      </c>
      <c r="J338">
        <f t="shared" si="30"/>
        <v>13</v>
      </c>
      <c r="K338">
        <f>J338*GiaDinh!$C$16</f>
        <v>91</v>
      </c>
      <c r="L338">
        <f t="shared" si="31"/>
        <v>1</v>
      </c>
      <c r="M338">
        <f t="shared" si="32"/>
        <v>15</v>
      </c>
      <c r="N338">
        <f>L338*ROUNDUP(I338/GiaDinh!$C$5-0.0005,0)</f>
        <v>3</v>
      </c>
      <c r="O338">
        <f>L338*(ROUNDUP(I338/GiaDinh!$C$5-0.0005,0)-1)</f>
        <v>2</v>
      </c>
      <c r="P338">
        <f t="shared" si="33"/>
        <v>13</v>
      </c>
      <c r="Q338">
        <f t="shared" si="34"/>
        <v>26</v>
      </c>
      <c r="R338">
        <f t="shared" si="35"/>
        <v>13</v>
      </c>
      <c r="S338">
        <f>M338*GiaDinh!$C$7</f>
        <v>45.15</v>
      </c>
    </row>
    <row r="339" spans="1:19" x14ac:dyDescent="0.35">
      <c r="A339" t="s">
        <v>13</v>
      </c>
      <c r="B339">
        <v>56</v>
      </c>
      <c r="C339" t="s">
        <v>173</v>
      </c>
      <c r="D339" t="s">
        <v>505</v>
      </c>
      <c r="E339">
        <v>1</v>
      </c>
      <c r="F339">
        <v>65.599999999999994</v>
      </c>
      <c r="G339">
        <f>E339*F339*GiaDinh!$C$18*GiaDinh!$C$17</f>
        <v>55.103999999999992</v>
      </c>
      <c r="H339">
        <v>1.2350000000000001</v>
      </c>
      <c r="I339">
        <f>GiaDinh!$C$15</f>
        <v>15</v>
      </c>
      <c r="J339">
        <f t="shared" si="30"/>
        <v>13</v>
      </c>
      <c r="K339">
        <f>J339*GiaDinh!$C$16</f>
        <v>91</v>
      </c>
      <c r="L339">
        <f t="shared" si="31"/>
        <v>1</v>
      </c>
      <c r="M339">
        <f t="shared" si="32"/>
        <v>15</v>
      </c>
      <c r="N339">
        <f>L339*ROUNDUP(I339/GiaDinh!$C$5-0.0005,0)</f>
        <v>3</v>
      </c>
      <c r="O339">
        <f>L339*(ROUNDUP(I339/GiaDinh!$C$5-0.0005,0)-1)</f>
        <v>2</v>
      </c>
      <c r="P339">
        <f t="shared" si="33"/>
        <v>13</v>
      </c>
      <c r="Q339">
        <f t="shared" si="34"/>
        <v>26</v>
      </c>
      <c r="R339">
        <f t="shared" si="35"/>
        <v>13</v>
      </c>
      <c r="S339">
        <f>M339*GiaDinh!$C$7</f>
        <v>45.15</v>
      </c>
    </row>
    <row r="340" spans="1:19" x14ac:dyDescent="0.35">
      <c r="A340" t="s">
        <v>13</v>
      </c>
      <c r="B340">
        <v>57</v>
      </c>
      <c r="C340" t="s">
        <v>173</v>
      </c>
      <c r="D340" t="s">
        <v>506</v>
      </c>
      <c r="E340">
        <v>1</v>
      </c>
      <c r="F340">
        <v>65.599999999999994</v>
      </c>
      <c r="G340">
        <f>E340*F340*GiaDinh!$C$18*GiaDinh!$C$17</f>
        <v>55.103999999999992</v>
      </c>
      <c r="H340">
        <v>1.2350000000000001</v>
      </c>
      <c r="I340">
        <f>GiaDinh!$C$15</f>
        <v>15</v>
      </c>
      <c r="J340">
        <f t="shared" si="30"/>
        <v>13</v>
      </c>
      <c r="K340">
        <f>J340*GiaDinh!$C$16</f>
        <v>91</v>
      </c>
      <c r="L340">
        <f t="shared" si="31"/>
        <v>1</v>
      </c>
      <c r="M340">
        <f t="shared" si="32"/>
        <v>15</v>
      </c>
      <c r="N340">
        <f>L340*ROUNDUP(I340/GiaDinh!$C$5-0.0005,0)</f>
        <v>3</v>
      </c>
      <c r="O340">
        <f>L340*(ROUNDUP(I340/GiaDinh!$C$5-0.0005,0)-1)</f>
        <v>2</v>
      </c>
      <c r="P340">
        <f t="shared" si="33"/>
        <v>13</v>
      </c>
      <c r="Q340">
        <f t="shared" si="34"/>
        <v>26</v>
      </c>
      <c r="R340">
        <f t="shared" si="35"/>
        <v>13</v>
      </c>
      <c r="S340">
        <f>M340*GiaDinh!$C$7</f>
        <v>45.15</v>
      </c>
    </row>
    <row r="341" spans="1:19" x14ac:dyDescent="0.35">
      <c r="A341" t="s">
        <v>13</v>
      </c>
      <c r="B341">
        <v>58</v>
      </c>
      <c r="C341" t="s">
        <v>173</v>
      </c>
      <c r="D341" t="s">
        <v>507</v>
      </c>
      <c r="E341">
        <v>1</v>
      </c>
      <c r="F341">
        <v>65.599999999999994</v>
      </c>
      <c r="G341">
        <f>E341*F341*GiaDinh!$C$18*GiaDinh!$C$17</f>
        <v>55.103999999999992</v>
      </c>
      <c r="H341">
        <v>1.2350000000000001</v>
      </c>
      <c r="I341">
        <f>GiaDinh!$C$15</f>
        <v>15</v>
      </c>
      <c r="J341">
        <f t="shared" si="30"/>
        <v>13</v>
      </c>
      <c r="K341">
        <f>J341*GiaDinh!$C$16</f>
        <v>91</v>
      </c>
      <c r="L341">
        <f t="shared" si="31"/>
        <v>1</v>
      </c>
      <c r="M341">
        <f t="shared" si="32"/>
        <v>15</v>
      </c>
      <c r="N341">
        <f>L341*ROUNDUP(I341/GiaDinh!$C$5-0.0005,0)</f>
        <v>3</v>
      </c>
      <c r="O341">
        <f>L341*(ROUNDUP(I341/GiaDinh!$C$5-0.0005,0)-1)</f>
        <v>2</v>
      </c>
      <c r="P341">
        <f t="shared" si="33"/>
        <v>13</v>
      </c>
      <c r="Q341">
        <f t="shared" si="34"/>
        <v>26</v>
      </c>
      <c r="R341">
        <f t="shared" si="35"/>
        <v>13</v>
      </c>
      <c r="S341">
        <f>M341*GiaDinh!$C$7</f>
        <v>45.15</v>
      </c>
    </row>
    <row r="342" spans="1:19" x14ac:dyDescent="0.35">
      <c r="A342" t="s">
        <v>13</v>
      </c>
      <c r="B342">
        <v>59</v>
      </c>
      <c r="C342" t="s">
        <v>173</v>
      </c>
      <c r="D342" t="s">
        <v>508</v>
      </c>
      <c r="E342">
        <v>1</v>
      </c>
      <c r="F342">
        <v>65.599999999999994</v>
      </c>
      <c r="G342">
        <f>E342*F342*GiaDinh!$C$18*GiaDinh!$C$17</f>
        <v>55.103999999999992</v>
      </c>
      <c r="H342">
        <v>1.2350000000000001</v>
      </c>
      <c r="I342">
        <f>GiaDinh!$C$15</f>
        <v>15</v>
      </c>
      <c r="J342">
        <f t="shared" si="30"/>
        <v>13</v>
      </c>
      <c r="K342">
        <f>J342*GiaDinh!$C$16</f>
        <v>91</v>
      </c>
      <c r="L342">
        <f t="shared" si="31"/>
        <v>1</v>
      </c>
      <c r="M342">
        <f t="shared" si="32"/>
        <v>15</v>
      </c>
      <c r="N342">
        <f>L342*ROUNDUP(I342/GiaDinh!$C$5-0.0005,0)</f>
        <v>3</v>
      </c>
      <c r="O342">
        <f>L342*(ROUNDUP(I342/GiaDinh!$C$5-0.0005,0)-1)</f>
        <v>2</v>
      </c>
      <c r="P342">
        <f t="shared" si="33"/>
        <v>13</v>
      </c>
      <c r="Q342">
        <f t="shared" si="34"/>
        <v>26</v>
      </c>
      <c r="R342">
        <f t="shared" si="35"/>
        <v>13</v>
      </c>
      <c r="S342">
        <f>M342*GiaDinh!$C$7</f>
        <v>45.15</v>
      </c>
    </row>
    <row r="343" spans="1:19" x14ac:dyDescent="0.35">
      <c r="A343" t="s">
        <v>13</v>
      </c>
      <c r="B343">
        <v>60</v>
      </c>
      <c r="C343" t="s">
        <v>168</v>
      </c>
      <c r="D343" t="s">
        <v>509</v>
      </c>
      <c r="E343">
        <v>4</v>
      </c>
      <c r="F343">
        <v>65.599999999999994</v>
      </c>
      <c r="G343">
        <f>E343*F343*GiaDinh!$C$18*GiaDinh!$C$17</f>
        <v>220.41599999999997</v>
      </c>
      <c r="H343">
        <v>1.2350000000000001</v>
      </c>
      <c r="I343">
        <f>GiaDinh!$C$15</f>
        <v>15</v>
      </c>
      <c r="J343">
        <f t="shared" si="30"/>
        <v>13</v>
      </c>
      <c r="K343">
        <f>J343*GiaDinh!$C$16</f>
        <v>91</v>
      </c>
      <c r="L343">
        <f t="shared" si="31"/>
        <v>3</v>
      </c>
      <c r="M343">
        <f t="shared" si="32"/>
        <v>45</v>
      </c>
      <c r="N343">
        <f>L343*ROUNDUP(I343/GiaDinh!$C$5-0.0005,0)</f>
        <v>9</v>
      </c>
      <c r="O343">
        <f>L343*(ROUNDUP(I343/GiaDinh!$C$5-0.0005,0)-1)</f>
        <v>6</v>
      </c>
      <c r="P343">
        <f t="shared" si="33"/>
        <v>39</v>
      </c>
      <c r="Q343">
        <f t="shared" si="34"/>
        <v>78</v>
      </c>
      <c r="R343">
        <f t="shared" si="35"/>
        <v>39</v>
      </c>
      <c r="S343">
        <f>M343*GiaDinh!$C$7</f>
        <v>135.44999999999999</v>
      </c>
    </row>
    <row r="344" spans="1:19" x14ac:dyDescent="0.35">
      <c r="A344" t="s">
        <v>13</v>
      </c>
      <c r="B344">
        <v>61</v>
      </c>
      <c r="C344" t="s">
        <v>168</v>
      </c>
      <c r="D344" t="s">
        <v>510</v>
      </c>
      <c r="E344">
        <v>2</v>
      </c>
      <c r="F344">
        <v>65.599999999999994</v>
      </c>
      <c r="G344">
        <f>E344*F344*GiaDinh!$C$18*GiaDinh!$C$17</f>
        <v>110.20799999999998</v>
      </c>
      <c r="H344">
        <v>1.2350000000000001</v>
      </c>
      <c r="I344">
        <f>GiaDinh!$C$15</f>
        <v>15</v>
      </c>
      <c r="J344">
        <f t="shared" si="30"/>
        <v>13</v>
      </c>
      <c r="K344">
        <f>J344*GiaDinh!$C$16</f>
        <v>91</v>
      </c>
      <c r="L344">
        <f t="shared" si="31"/>
        <v>2</v>
      </c>
      <c r="M344">
        <f t="shared" si="32"/>
        <v>30</v>
      </c>
      <c r="N344">
        <f>L344*ROUNDUP(I344/GiaDinh!$C$5-0.0005,0)</f>
        <v>6</v>
      </c>
      <c r="O344">
        <f>L344*(ROUNDUP(I344/GiaDinh!$C$5-0.0005,0)-1)</f>
        <v>4</v>
      </c>
      <c r="P344">
        <f t="shared" si="33"/>
        <v>26</v>
      </c>
      <c r="Q344">
        <f t="shared" si="34"/>
        <v>52</v>
      </c>
      <c r="R344">
        <f t="shared" si="35"/>
        <v>26</v>
      </c>
      <c r="S344">
        <f>M344*GiaDinh!$C$7</f>
        <v>90.3</v>
      </c>
    </row>
    <row r="345" spans="1:19" x14ac:dyDescent="0.35">
      <c r="A345" t="s">
        <v>13</v>
      </c>
      <c r="B345">
        <v>62</v>
      </c>
      <c r="C345" t="s">
        <v>173</v>
      </c>
      <c r="D345" t="s">
        <v>511</v>
      </c>
      <c r="E345">
        <v>1</v>
      </c>
      <c r="F345">
        <v>65.599999999999994</v>
      </c>
      <c r="G345">
        <f>E345*F345*GiaDinh!$C$18*GiaDinh!$C$17</f>
        <v>55.103999999999992</v>
      </c>
      <c r="H345">
        <v>1.2350000000000001</v>
      </c>
      <c r="I345">
        <f>GiaDinh!$C$15</f>
        <v>15</v>
      </c>
      <c r="J345">
        <f t="shared" si="30"/>
        <v>13</v>
      </c>
      <c r="K345">
        <f>J345*GiaDinh!$C$16</f>
        <v>91</v>
      </c>
      <c r="L345">
        <f t="shared" si="31"/>
        <v>1</v>
      </c>
      <c r="M345">
        <f t="shared" si="32"/>
        <v>15</v>
      </c>
      <c r="N345">
        <f>L345*ROUNDUP(I345/GiaDinh!$C$5-0.0005,0)</f>
        <v>3</v>
      </c>
      <c r="O345">
        <f>L345*(ROUNDUP(I345/GiaDinh!$C$5-0.0005,0)-1)</f>
        <v>2</v>
      </c>
      <c r="P345">
        <f t="shared" si="33"/>
        <v>13</v>
      </c>
      <c r="Q345">
        <f t="shared" si="34"/>
        <v>26</v>
      </c>
      <c r="R345">
        <f t="shared" si="35"/>
        <v>13</v>
      </c>
      <c r="S345">
        <f>M345*GiaDinh!$C$7</f>
        <v>45.15</v>
      </c>
    </row>
    <row r="346" spans="1:19" x14ac:dyDescent="0.35">
      <c r="A346" t="s">
        <v>13</v>
      </c>
      <c r="B346">
        <v>63</v>
      </c>
      <c r="C346" t="s">
        <v>173</v>
      </c>
      <c r="D346" t="s">
        <v>512</v>
      </c>
      <c r="E346">
        <v>1</v>
      </c>
      <c r="F346">
        <v>65.599999999999994</v>
      </c>
      <c r="G346">
        <f>E346*F346*GiaDinh!$C$18*GiaDinh!$C$17</f>
        <v>55.103999999999992</v>
      </c>
      <c r="H346">
        <v>1.2350000000000001</v>
      </c>
      <c r="I346">
        <f>GiaDinh!$C$15</f>
        <v>15</v>
      </c>
      <c r="J346">
        <f t="shared" si="30"/>
        <v>13</v>
      </c>
      <c r="K346">
        <f>J346*GiaDinh!$C$16</f>
        <v>91</v>
      </c>
      <c r="L346">
        <f t="shared" si="31"/>
        <v>1</v>
      </c>
      <c r="M346">
        <f t="shared" si="32"/>
        <v>15</v>
      </c>
      <c r="N346">
        <f>L346*ROUNDUP(I346/GiaDinh!$C$5-0.0005,0)</f>
        <v>3</v>
      </c>
      <c r="O346">
        <f>L346*(ROUNDUP(I346/GiaDinh!$C$5-0.0005,0)-1)</f>
        <v>2</v>
      </c>
      <c r="P346">
        <f t="shared" si="33"/>
        <v>13</v>
      </c>
      <c r="Q346">
        <f t="shared" si="34"/>
        <v>26</v>
      </c>
      <c r="R346">
        <f t="shared" si="35"/>
        <v>13</v>
      </c>
      <c r="S346">
        <f>M346*GiaDinh!$C$7</f>
        <v>45.15</v>
      </c>
    </row>
    <row r="347" spans="1:19" x14ac:dyDescent="0.35">
      <c r="A347" t="s">
        <v>13</v>
      </c>
      <c r="B347">
        <v>64</v>
      </c>
      <c r="C347" t="s">
        <v>173</v>
      </c>
      <c r="D347" t="s">
        <v>513</v>
      </c>
      <c r="E347">
        <v>1</v>
      </c>
      <c r="F347">
        <v>65.599999999999994</v>
      </c>
      <c r="G347">
        <f>E347*F347*GiaDinh!$C$18*GiaDinh!$C$17</f>
        <v>55.103999999999992</v>
      </c>
      <c r="H347">
        <v>1.2350000000000001</v>
      </c>
      <c r="I347">
        <f>GiaDinh!$C$15</f>
        <v>15</v>
      </c>
      <c r="J347">
        <f t="shared" si="30"/>
        <v>13</v>
      </c>
      <c r="K347">
        <f>J347*GiaDinh!$C$16</f>
        <v>91</v>
      </c>
      <c r="L347">
        <f t="shared" si="31"/>
        <v>1</v>
      </c>
      <c r="M347">
        <f t="shared" si="32"/>
        <v>15</v>
      </c>
      <c r="N347">
        <f>L347*ROUNDUP(I347/GiaDinh!$C$5-0.0005,0)</f>
        <v>3</v>
      </c>
      <c r="O347">
        <f>L347*(ROUNDUP(I347/GiaDinh!$C$5-0.0005,0)-1)</f>
        <v>2</v>
      </c>
      <c r="P347">
        <f t="shared" si="33"/>
        <v>13</v>
      </c>
      <c r="Q347">
        <f t="shared" si="34"/>
        <v>26</v>
      </c>
      <c r="R347">
        <f t="shared" si="35"/>
        <v>13</v>
      </c>
      <c r="S347">
        <f>M347*GiaDinh!$C$7</f>
        <v>45.15</v>
      </c>
    </row>
    <row r="348" spans="1:19" x14ac:dyDescent="0.35">
      <c r="A348" t="s">
        <v>13</v>
      </c>
      <c r="B348">
        <v>65</v>
      </c>
      <c r="C348" t="s">
        <v>173</v>
      </c>
      <c r="D348" t="s">
        <v>514</v>
      </c>
      <c r="E348">
        <v>1</v>
      </c>
      <c r="F348">
        <v>65.599999999999994</v>
      </c>
      <c r="G348">
        <f>E348*F348*GiaDinh!$C$18*GiaDinh!$C$17</f>
        <v>55.103999999999992</v>
      </c>
      <c r="H348">
        <v>1.2350000000000001</v>
      </c>
      <c r="I348">
        <f>GiaDinh!$C$15</f>
        <v>15</v>
      </c>
      <c r="J348">
        <f t="shared" si="30"/>
        <v>13</v>
      </c>
      <c r="K348">
        <f>J348*GiaDinh!$C$16</f>
        <v>91</v>
      </c>
      <c r="L348">
        <f t="shared" si="31"/>
        <v>1</v>
      </c>
      <c r="M348">
        <f t="shared" si="32"/>
        <v>15</v>
      </c>
      <c r="N348">
        <f>L348*ROUNDUP(I348/GiaDinh!$C$5-0.0005,0)</f>
        <v>3</v>
      </c>
      <c r="O348">
        <f>L348*(ROUNDUP(I348/GiaDinh!$C$5-0.0005,0)-1)</f>
        <v>2</v>
      </c>
      <c r="P348">
        <f t="shared" si="33"/>
        <v>13</v>
      </c>
      <c r="Q348">
        <f t="shared" si="34"/>
        <v>26</v>
      </c>
      <c r="R348">
        <f t="shared" si="35"/>
        <v>13</v>
      </c>
      <c r="S348">
        <f>M348*GiaDinh!$C$7</f>
        <v>45.15</v>
      </c>
    </row>
    <row r="349" spans="1:19" x14ac:dyDescent="0.35">
      <c r="A349" t="s">
        <v>13</v>
      </c>
      <c r="B349">
        <v>66</v>
      </c>
      <c r="C349" t="s">
        <v>173</v>
      </c>
      <c r="D349" t="s">
        <v>515</v>
      </c>
      <c r="E349">
        <v>1</v>
      </c>
      <c r="F349">
        <v>65.599999999999994</v>
      </c>
      <c r="G349">
        <f>E349*F349*GiaDinh!$C$18*GiaDinh!$C$17</f>
        <v>55.103999999999992</v>
      </c>
      <c r="H349">
        <v>1.2350000000000001</v>
      </c>
      <c r="I349">
        <f>GiaDinh!$C$15</f>
        <v>15</v>
      </c>
      <c r="J349">
        <f t="shared" si="30"/>
        <v>13</v>
      </c>
      <c r="K349">
        <f>J349*GiaDinh!$C$16</f>
        <v>91</v>
      </c>
      <c r="L349">
        <f t="shared" si="31"/>
        <v>1</v>
      </c>
      <c r="M349">
        <f t="shared" si="32"/>
        <v>15</v>
      </c>
      <c r="N349">
        <f>L349*ROUNDUP(I349/GiaDinh!$C$5-0.0005,0)</f>
        <v>3</v>
      </c>
      <c r="O349">
        <f>L349*(ROUNDUP(I349/GiaDinh!$C$5-0.0005,0)-1)</f>
        <v>2</v>
      </c>
      <c r="P349">
        <f t="shared" si="33"/>
        <v>13</v>
      </c>
      <c r="Q349">
        <f t="shared" si="34"/>
        <v>26</v>
      </c>
      <c r="R349">
        <f t="shared" si="35"/>
        <v>13</v>
      </c>
      <c r="S349">
        <f>M349*GiaDinh!$C$7</f>
        <v>45.15</v>
      </c>
    </row>
    <row r="350" spans="1:19" x14ac:dyDescent="0.35">
      <c r="A350" t="s">
        <v>13</v>
      </c>
      <c r="B350">
        <v>67</v>
      </c>
      <c r="C350" t="s">
        <v>173</v>
      </c>
      <c r="D350" t="s">
        <v>516</v>
      </c>
      <c r="E350">
        <v>1</v>
      </c>
      <c r="F350">
        <v>65.599999999999994</v>
      </c>
      <c r="G350">
        <f>E350*F350*GiaDinh!$C$18*GiaDinh!$C$17</f>
        <v>55.103999999999992</v>
      </c>
      <c r="H350">
        <v>1.2350000000000001</v>
      </c>
      <c r="I350">
        <f>GiaDinh!$C$15</f>
        <v>15</v>
      </c>
      <c r="J350">
        <f t="shared" si="30"/>
        <v>13</v>
      </c>
      <c r="K350">
        <f>J350*GiaDinh!$C$16</f>
        <v>91</v>
      </c>
      <c r="L350">
        <f t="shared" si="31"/>
        <v>1</v>
      </c>
      <c r="M350">
        <f t="shared" si="32"/>
        <v>15</v>
      </c>
      <c r="N350">
        <f>L350*ROUNDUP(I350/GiaDinh!$C$5-0.0005,0)</f>
        <v>3</v>
      </c>
      <c r="O350">
        <f>L350*(ROUNDUP(I350/GiaDinh!$C$5-0.0005,0)-1)</f>
        <v>2</v>
      </c>
      <c r="P350">
        <f t="shared" si="33"/>
        <v>13</v>
      </c>
      <c r="Q350">
        <f t="shared" si="34"/>
        <v>26</v>
      </c>
      <c r="R350">
        <f t="shared" si="35"/>
        <v>13</v>
      </c>
      <c r="S350">
        <f>M350*GiaDinh!$C$7</f>
        <v>45.15</v>
      </c>
    </row>
    <row r="351" spans="1:19" x14ac:dyDescent="0.35">
      <c r="A351" t="s">
        <v>13</v>
      </c>
      <c r="B351">
        <v>68</v>
      </c>
      <c r="C351" t="s">
        <v>173</v>
      </c>
      <c r="D351" t="s">
        <v>517</v>
      </c>
      <c r="E351">
        <v>1</v>
      </c>
      <c r="F351">
        <v>65.599999999999994</v>
      </c>
      <c r="G351">
        <f>E351*F351*GiaDinh!$C$18*GiaDinh!$C$17</f>
        <v>55.103999999999992</v>
      </c>
      <c r="H351">
        <v>1.2350000000000001</v>
      </c>
      <c r="I351">
        <f>GiaDinh!$C$15</f>
        <v>15</v>
      </c>
      <c r="J351">
        <f t="shared" si="30"/>
        <v>13</v>
      </c>
      <c r="K351">
        <f>J351*GiaDinh!$C$16</f>
        <v>91</v>
      </c>
      <c r="L351">
        <f t="shared" si="31"/>
        <v>1</v>
      </c>
      <c r="M351">
        <f t="shared" si="32"/>
        <v>15</v>
      </c>
      <c r="N351">
        <f>L351*ROUNDUP(I351/GiaDinh!$C$5-0.0005,0)</f>
        <v>3</v>
      </c>
      <c r="O351">
        <f>L351*(ROUNDUP(I351/GiaDinh!$C$5-0.0005,0)-1)</f>
        <v>2</v>
      </c>
      <c r="P351">
        <f t="shared" si="33"/>
        <v>13</v>
      </c>
      <c r="Q351">
        <f t="shared" si="34"/>
        <v>26</v>
      </c>
      <c r="R351">
        <f t="shared" si="35"/>
        <v>13</v>
      </c>
      <c r="S351">
        <f>M351*GiaDinh!$C$7</f>
        <v>45.15</v>
      </c>
    </row>
    <row r="352" spans="1:19" x14ac:dyDescent="0.35">
      <c r="A352" t="s">
        <v>13</v>
      </c>
      <c r="B352">
        <v>69</v>
      </c>
      <c r="C352" t="s">
        <v>173</v>
      </c>
      <c r="D352" t="s">
        <v>518</v>
      </c>
      <c r="E352">
        <v>1</v>
      </c>
      <c r="F352">
        <v>65.599999999999994</v>
      </c>
      <c r="G352">
        <f>E352*F352*GiaDinh!$C$18*GiaDinh!$C$17</f>
        <v>55.103999999999992</v>
      </c>
      <c r="H352">
        <v>1.2350000000000001</v>
      </c>
      <c r="I352">
        <f>GiaDinh!$C$15</f>
        <v>15</v>
      </c>
      <c r="J352">
        <f t="shared" si="30"/>
        <v>13</v>
      </c>
      <c r="K352">
        <f>J352*GiaDinh!$C$16</f>
        <v>91</v>
      </c>
      <c r="L352">
        <f t="shared" si="31"/>
        <v>1</v>
      </c>
      <c r="M352">
        <f t="shared" si="32"/>
        <v>15</v>
      </c>
      <c r="N352">
        <f>L352*ROUNDUP(I352/GiaDinh!$C$5-0.0005,0)</f>
        <v>3</v>
      </c>
      <c r="O352">
        <f>L352*(ROUNDUP(I352/GiaDinh!$C$5-0.0005,0)-1)</f>
        <v>2</v>
      </c>
      <c r="P352">
        <f t="shared" si="33"/>
        <v>13</v>
      </c>
      <c r="Q352">
        <f t="shared" si="34"/>
        <v>26</v>
      </c>
      <c r="R352">
        <f t="shared" si="35"/>
        <v>13</v>
      </c>
      <c r="S352">
        <f>M352*GiaDinh!$C$7</f>
        <v>45.15</v>
      </c>
    </row>
    <row r="353" spans="1:19" x14ac:dyDescent="0.35">
      <c r="A353" t="s">
        <v>13</v>
      </c>
      <c r="B353">
        <v>70</v>
      </c>
      <c r="C353" t="s">
        <v>168</v>
      </c>
      <c r="D353" t="s">
        <v>519</v>
      </c>
      <c r="E353">
        <v>4</v>
      </c>
      <c r="F353">
        <v>65.599999999999994</v>
      </c>
      <c r="G353">
        <f>E353*F353*GiaDinh!$C$18*GiaDinh!$C$17</f>
        <v>220.41599999999997</v>
      </c>
      <c r="H353">
        <v>1.2350000000000001</v>
      </c>
      <c r="I353">
        <f>GiaDinh!$C$15</f>
        <v>15</v>
      </c>
      <c r="J353">
        <f t="shared" si="30"/>
        <v>13</v>
      </c>
      <c r="K353">
        <f>J353*GiaDinh!$C$16</f>
        <v>91</v>
      </c>
      <c r="L353">
        <f t="shared" si="31"/>
        <v>3</v>
      </c>
      <c r="M353">
        <f t="shared" si="32"/>
        <v>45</v>
      </c>
      <c r="N353">
        <f>L353*ROUNDUP(I353/GiaDinh!$C$5-0.0005,0)</f>
        <v>9</v>
      </c>
      <c r="O353">
        <f>L353*(ROUNDUP(I353/GiaDinh!$C$5-0.0005,0)-1)</f>
        <v>6</v>
      </c>
      <c r="P353">
        <f t="shared" si="33"/>
        <v>39</v>
      </c>
      <c r="Q353">
        <f t="shared" si="34"/>
        <v>78</v>
      </c>
      <c r="R353">
        <f t="shared" si="35"/>
        <v>39</v>
      </c>
      <c r="S353">
        <f>M353*GiaDinh!$C$7</f>
        <v>135.44999999999999</v>
      </c>
    </row>
    <row r="354" spans="1:19" x14ac:dyDescent="0.35">
      <c r="A354" t="s">
        <v>13</v>
      </c>
      <c r="B354">
        <v>71</v>
      </c>
      <c r="C354" t="s">
        <v>168</v>
      </c>
      <c r="D354" t="s">
        <v>520</v>
      </c>
      <c r="E354">
        <v>4</v>
      </c>
      <c r="F354">
        <v>65.599999999999994</v>
      </c>
      <c r="G354">
        <f>E354*F354*GiaDinh!$C$18*GiaDinh!$C$17</f>
        <v>220.41599999999997</v>
      </c>
      <c r="H354">
        <v>1.2350000000000001</v>
      </c>
      <c r="I354">
        <f>GiaDinh!$C$15</f>
        <v>15</v>
      </c>
      <c r="J354">
        <f t="shared" si="30"/>
        <v>13</v>
      </c>
      <c r="K354">
        <f>J354*GiaDinh!$C$16</f>
        <v>91</v>
      </c>
      <c r="L354">
        <f t="shared" si="31"/>
        <v>3</v>
      </c>
      <c r="M354">
        <f t="shared" si="32"/>
        <v>45</v>
      </c>
      <c r="N354">
        <f>L354*ROUNDUP(I354/GiaDinh!$C$5-0.0005,0)</f>
        <v>9</v>
      </c>
      <c r="O354">
        <f>L354*(ROUNDUP(I354/GiaDinh!$C$5-0.0005,0)-1)</f>
        <v>6</v>
      </c>
      <c r="P354">
        <f t="shared" si="33"/>
        <v>39</v>
      </c>
      <c r="Q354">
        <f t="shared" si="34"/>
        <v>78</v>
      </c>
      <c r="R354">
        <f t="shared" si="35"/>
        <v>39</v>
      </c>
      <c r="S354">
        <f>M354*GiaDinh!$C$7</f>
        <v>135.44999999999999</v>
      </c>
    </row>
    <row r="355" spans="1:19" x14ac:dyDescent="0.35">
      <c r="A355" t="s">
        <v>13</v>
      </c>
      <c r="B355">
        <v>72</v>
      </c>
      <c r="C355" t="s">
        <v>168</v>
      </c>
      <c r="D355" t="s">
        <v>521</v>
      </c>
      <c r="E355">
        <v>4</v>
      </c>
      <c r="F355">
        <v>65.599999999999994</v>
      </c>
      <c r="G355">
        <f>E355*F355*GiaDinh!$C$18*GiaDinh!$C$17</f>
        <v>220.41599999999997</v>
      </c>
      <c r="H355">
        <v>1.2350000000000001</v>
      </c>
      <c r="I355">
        <f>GiaDinh!$C$15</f>
        <v>15</v>
      </c>
      <c r="J355">
        <f t="shared" si="30"/>
        <v>13</v>
      </c>
      <c r="K355">
        <f>J355*GiaDinh!$C$16</f>
        <v>91</v>
      </c>
      <c r="L355">
        <f t="shared" si="31"/>
        <v>3</v>
      </c>
      <c r="M355">
        <f t="shared" si="32"/>
        <v>45</v>
      </c>
      <c r="N355">
        <f>L355*ROUNDUP(I355/GiaDinh!$C$5-0.0005,0)</f>
        <v>9</v>
      </c>
      <c r="O355">
        <f>L355*(ROUNDUP(I355/GiaDinh!$C$5-0.0005,0)-1)</f>
        <v>6</v>
      </c>
      <c r="P355">
        <f t="shared" si="33"/>
        <v>39</v>
      </c>
      <c r="Q355">
        <f t="shared" si="34"/>
        <v>78</v>
      </c>
      <c r="R355">
        <f t="shared" si="35"/>
        <v>39</v>
      </c>
      <c r="S355">
        <f>M355*GiaDinh!$C$7</f>
        <v>135.44999999999999</v>
      </c>
    </row>
    <row r="356" spans="1:19" x14ac:dyDescent="0.35">
      <c r="A356" t="s">
        <v>14</v>
      </c>
      <c r="B356">
        <v>1</v>
      </c>
      <c r="C356" t="s">
        <v>173</v>
      </c>
      <c r="D356" t="s">
        <v>522</v>
      </c>
      <c r="E356">
        <v>1</v>
      </c>
      <c r="F356">
        <v>100.3</v>
      </c>
      <c r="G356">
        <f>E356*F356*GiaDinh!$C$18*GiaDinh!$C$17</f>
        <v>84.251999999999995</v>
      </c>
      <c r="H356">
        <v>1.1879999999999999</v>
      </c>
      <c r="I356">
        <f>GiaDinh!$C$15</f>
        <v>15</v>
      </c>
      <c r="J356">
        <f t="shared" si="30"/>
        <v>13</v>
      </c>
      <c r="K356">
        <f>J356*GiaDinh!$C$16</f>
        <v>91</v>
      </c>
      <c r="L356">
        <f t="shared" si="31"/>
        <v>1</v>
      </c>
      <c r="M356">
        <f t="shared" si="32"/>
        <v>15</v>
      </c>
      <c r="N356">
        <f>L356*ROUNDUP(I356/GiaDinh!$C$5-0.0005,0)</f>
        <v>3</v>
      </c>
      <c r="O356">
        <f>L356*(ROUNDUP(I356/GiaDinh!$C$5-0.0005,0)-1)</f>
        <v>2</v>
      </c>
      <c r="P356">
        <f t="shared" si="33"/>
        <v>13</v>
      </c>
      <c r="Q356">
        <f t="shared" si="34"/>
        <v>26</v>
      </c>
      <c r="R356">
        <f t="shared" si="35"/>
        <v>13</v>
      </c>
      <c r="S356">
        <f>M356*GiaDinh!$C$7</f>
        <v>45.15</v>
      </c>
    </row>
    <row r="357" spans="1:19" x14ac:dyDescent="0.35">
      <c r="A357" t="s">
        <v>14</v>
      </c>
      <c r="B357">
        <v>2</v>
      </c>
      <c r="C357" t="s">
        <v>173</v>
      </c>
      <c r="D357" t="s">
        <v>523</v>
      </c>
      <c r="E357">
        <v>1</v>
      </c>
      <c r="F357">
        <v>100.3</v>
      </c>
      <c r="G357">
        <f>E357*F357*GiaDinh!$C$18*GiaDinh!$C$17</f>
        <v>84.251999999999995</v>
      </c>
      <c r="H357">
        <v>1.1879999999999999</v>
      </c>
      <c r="I357">
        <f>GiaDinh!$C$15</f>
        <v>15</v>
      </c>
      <c r="J357">
        <f t="shared" si="30"/>
        <v>13</v>
      </c>
      <c r="K357">
        <f>J357*GiaDinh!$C$16</f>
        <v>91</v>
      </c>
      <c r="L357">
        <f t="shared" si="31"/>
        <v>1</v>
      </c>
      <c r="M357">
        <f t="shared" si="32"/>
        <v>15</v>
      </c>
      <c r="N357">
        <f>L357*ROUNDUP(I357/GiaDinh!$C$5-0.0005,0)</f>
        <v>3</v>
      </c>
      <c r="O357">
        <f>L357*(ROUNDUP(I357/GiaDinh!$C$5-0.0005,0)-1)</f>
        <v>2</v>
      </c>
      <c r="P357">
        <f t="shared" si="33"/>
        <v>13</v>
      </c>
      <c r="Q357">
        <f t="shared" si="34"/>
        <v>26</v>
      </c>
      <c r="R357">
        <f t="shared" si="35"/>
        <v>13</v>
      </c>
      <c r="S357">
        <f>M357*GiaDinh!$C$7</f>
        <v>45.15</v>
      </c>
    </row>
    <row r="358" spans="1:19" x14ac:dyDescent="0.35">
      <c r="A358" t="s">
        <v>14</v>
      </c>
      <c r="B358">
        <v>3</v>
      </c>
      <c r="C358" t="s">
        <v>173</v>
      </c>
      <c r="D358" t="s">
        <v>524</v>
      </c>
      <c r="E358">
        <v>1</v>
      </c>
      <c r="F358">
        <v>100.3</v>
      </c>
      <c r="G358">
        <f>E358*F358*GiaDinh!$C$18*GiaDinh!$C$17</f>
        <v>84.251999999999995</v>
      </c>
      <c r="H358">
        <v>1.1879999999999999</v>
      </c>
      <c r="I358">
        <f>GiaDinh!$C$15</f>
        <v>15</v>
      </c>
      <c r="J358">
        <f t="shared" si="30"/>
        <v>13</v>
      </c>
      <c r="K358">
        <f>J358*GiaDinh!$C$16</f>
        <v>91</v>
      </c>
      <c r="L358">
        <f t="shared" si="31"/>
        <v>1</v>
      </c>
      <c r="M358">
        <f t="shared" si="32"/>
        <v>15</v>
      </c>
      <c r="N358">
        <f>L358*ROUNDUP(I358/GiaDinh!$C$5-0.0005,0)</f>
        <v>3</v>
      </c>
      <c r="O358">
        <f>L358*(ROUNDUP(I358/GiaDinh!$C$5-0.0005,0)-1)</f>
        <v>2</v>
      </c>
      <c r="P358">
        <f t="shared" si="33"/>
        <v>13</v>
      </c>
      <c r="Q358">
        <f t="shared" si="34"/>
        <v>26</v>
      </c>
      <c r="R358">
        <f t="shared" si="35"/>
        <v>13</v>
      </c>
      <c r="S358">
        <f>M358*GiaDinh!$C$7</f>
        <v>45.15</v>
      </c>
    </row>
    <row r="359" spans="1:19" x14ac:dyDescent="0.35">
      <c r="A359" t="s">
        <v>14</v>
      </c>
      <c r="B359">
        <v>4</v>
      </c>
      <c r="C359" t="s">
        <v>173</v>
      </c>
      <c r="D359" t="s">
        <v>525</v>
      </c>
      <c r="E359">
        <v>1</v>
      </c>
      <c r="F359">
        <v>100.3</v>
      </c>
      <c r="G359">
        <f>E359*F359*GiaDinh!$C$18*GiaDinh!$C$17</f>
        <v>84.251999999999995</v>
      </c>
      <c r="H359">
        <v>1.1879999999999999</v>
      </c>
      <c r="I359">
        <f>GiaDinh!$C$15</f>
        <v>15</v>
      </c>
      <c r="J359">
        <f t="shared" si="30"/>
        <v>13</v>
      </c>
      <c r="K359">
        <f>J359*GiaDinh!$C$16</f>
        <v>91</v>
      </c>
      <c r="L359">
        <f t="shared" si="31"/>
        <v>1</v>
      </c>
      <c r="M359">
        <f t="shared" si="32"/>
        <v>15</v>
      </c>
      <c r="N359">
        <f>L359*ROUNDUP(I359/GiaDinh!$C$5-0.0005,0)</f>
        <v>3</v>
      </c>
      <c r="O359">
        <f>L359*(ROUNDUP(I359/GiaDinh!$C$5-0.0005,0)-1)</f>
        <v>2</v>
      </c>
      <c r="P359">
        <f t="shared" si="33"/>
        <v>13</v>
      </c>
      <c r="Q359">
        <f t="shared" si="34"/>
        <v>26</v>
      </c>
      <c r="R359">
        <f t="shared" si="35"/>
        <v>13</v>
      </c>
      <c r="S359">
        <f>M359*GiaDinh!$C$7</f>
        <v>45.15</v>
      </c>
    </row>
    <row r="360" spans="1:19" x14ac:dyDescent="0.35">
      <c r="A360" t="s">
        <v>14</v>
      </c>
      <c r="B360">
        <v>5</v>
      </c>
      <c r="C360" t="s">
        <v>173</v>
      </c>
      <c r="D360" t="s">
        <v>526</v>
      </c>
      <c r="E360">
        <v>1</v>
      </c>
      <c r="F360">
        <v>100.3</v>
      </c>
      <c r="G360">
        <f>E360*F360*GiaDinh!$C$18*GiaDinh!$C$17</f>
        <v>84.251999999999995</v>
      </c>
      <c r="H360">
        <v>1.1879999999999999</v>
      </c>
      <c r="I360">
        <f>GiaDinh!$C$15</f>
        <v>15</v>
      </c>
      <c r="J360">
        <f t="shared" si="30"/>
        <v>13</v>
      </c>
      <c r="K360">
        <f>J360*GiaDinh!$C$16</f>
        <v>91</v>
      </c>
      <c r="L360">
        <f t="shared" si="31"/>
        <v>1</v>
      </c>
      <c r="M360">
        <f t="shared" si="32"/>
        <v>15</v>
      </c>
      <c r="N360">
        <f>L360*ROUNDUP(I360/GiaDinh!$C$5-0.0005,0)</f>
        <v>3</v>
      </c>
      <c r="O360">
        <f>L360*(ROUNDUP(I360/GiaDinh!$C$5-0.0005,0)-1)</f>
        <v>2</v>
      </c>
      <c r="P360">
        <f t="shared" si="33"/>
        <v>13</v>
      </c>
      <c r="Q360">
        <f t="shared" si="34"/>
        <v>26</v>
      </c>
      <c r="R360">
        <f t="shared" si="35"/>
        <v>13</v>
      </c>
      <c r="S360">
        <f>M360*GiaDinh!$C$7</f>
        <v>45.15</v>
      </c>
    </row>
    <row r="361" spans="1:19" x14ac:dyDescent="0.35">
      <c r="A361" t="s">
        <v>14</v>
      </c>
      <c r="B361">
        <v>6</v>
      </c>
      <c r="C361" t="s">
        <v>173</v>
      </c>
      <c r="D361" t="s">
        <v>527</v>
      </c>
      <c r="E361">
        <v>1</v>
      </c>
      <c r="F361">
        <v>100.3</v>
      </c>
      <c r="G361">
        <f>E361*F361*GiaDinh!$C$18*GiaDinh!$C$17</f>
        <v>84.251999999999995</v>
      </c>
      <c r="H361">
        <v>1.1879999999999999</v>
      </c>
      <c r="I361">
        <f>GiaDinh!$C$15</f>
        <v>15</v>
      </c>
      <c r="J361">
        <f t="shared" si="30"/>
        <v>13</v>
      </c>
      <c r="K361">
        <f>J361*GiaDinh!$C$16</f>
        <v>91</v>
      </c>
      <c r="L361">
        <f t="shared" si="31"/>
        <v>1</v>
      </c>
      <c r="M361">
        <f t="shared" si="32"/>
        <v>15</v>
      </c>
      <c r="N361">
        <f>L361*ROUNDUP(I361/GiaDinh!$C$5-0.0005,0)</f>
        <v>3</v>
      </c>
      <c r="O361">
        <f>L361*(ROUNDUP(I361/GiaDinh!$C$5-0.0005,0)-1)</f>
        <v>2</v>
      </c>
      <c r="P361">
        <f t="shared" si="33"/>
        <v>13</v>
      </c>
      <c r="Q361">
        <f t="shared" si="34"/>
        <v>26</v>
      </c>
      <c r="R361">
        <f t="shared" si="35"/>
        <v>13</v>
      </c>
      <c r="S361">
        <f>M361*GiaDinh!$C$7</f>
        <v>45.15</v>
      </c>
    </row>
    <row r="362" spans="1:19" x14ac:dyDescent="0.35">
      <c r="A362" t="s">
        <v>14</v>
      </c>
      <c r="B362">
        <v>7</v>
      </c>
      <c r="C362" t="s">
        <v>173</v>
      </c>
      <c r="D362" t="s">
        <v>528</v>
      </c>
      <c r="E362">
        <v>1</v>
      </c>
      <c r="F362">
        <v>100.3</v>
      </c>
      <c r="G362">
        <f>E362*F362*GiaDinh!$C$18*GiaDinh!$C$17</f>
        <v>84.251999999999995</v>
      </c>
      <c r="H362">
        <v>1.1879999999999999</v>
      </c>
      <c r="I362">
        <f>GiaDinh!$C$15</f>
        <v>15</v>
      </c>
      <c r="J362">
        <f t="shared" si="30"/>
        <v>13</v>
      </c>
      <c r="K362">
        <f>J362*GiaDinh!$C$16</f>
        <v>91</v>
      </c>
      <c r="L362">
        <f t="shared" si="31"/>
        <v>1</v>
      </c>
      <c r="M362">
        <f t="shared" si="32"/>
        <v>15</v>
      </c>
      <c r="N362">
        <f>L362*ROUNDUP(I362/GiaDinh!$C$5-0.0005,0)</f>
        <v>3</v>
      </c>
      <c r="O362">
        <f>L362*(ROUNDUP(I362/GiaDinh!$C$5-0.0005,0)-1)</f>
        <v>2</v>
      </c>
      <c r="P362">
        <f t="shared" si="33"/>
        <v>13</v>
      </c>
      <c r="Q362">
        <f t="shared" si="34"/>
        <v>26</v>
      </c>
      <c r="R362">
        <f t="shared" si="35"/>
        <v>13</v>
      </c>
      <c r="S362">
        <f>M362*GiaDinh!$C$7</f>
        <v>45.15</v>
      </c>
    </row>
    <row r="363" spans="1:19" x14ac:dyDescent="0.35">
      <c r="A363" t="s">
        <v>14</v>
      </c>
      <c r="B363">
        <v>8</v>
      </c>
      <c r="C363" t="s">
        <v>173</v>
      </c>
      <c r="D363" t="s">
        <v>529</v>
      </c>
      <c r="E363">
        <v>1</v>
      </c>
      <c r="F363">
        <v>100.3</v>
      </c>
      <c r="G363">
        <f>E363*F363*GiaDinh!$C$18*GiaDinh!$C$17</f>
        <v>84.251999999999995</v>
      </c>
      <c r="H363">
        <v>1.1879999999999999</v>
      </c>
      <c r="I363">
        <f>GiaDinh!$C$15</f>
        <v>15</v>
      </c>
      <c r="J363">
        <f t="shared" si="30"/>
        <v>13</v>
      </c>
      <c r="K363">
        <f>J363*GiaDinh!$C$16</f>
        <v>91</v>
      </c>
      <c r="L363">
        <f t="shared" si="31"/>
        <v>1</v>
      </c>
      <c r="M363">
        <f t="shared" si="32"/>
        <v>15</v>
      </c>
      <c r="N363">
        <f>L363*ROUNDUP(I363/GiaDinh!$C$5-0.0005,0)</f>
        <v>3</v>
      </c>
      <c r="O363">
        <f>L363*(ROUNDUP(I363/GiaDinh!$C$5-0.0005,0)-1)</f>
        <v>2</v>
      </c>
      <c r="P363">
        <f t="shared" si="33"/>
        <v>13</v>
      </c>
      <c r="Q363">
        <f t="shared" si="34"/>
        <v>26</v>
      </c>
      <c r="R363">
        <f t="shared" si="35"/>
        <v>13</v>
      </c>
      <c r="S363">
        <f>M363*GiaDinh!$C$7</f>
        <v>45.15</v>
      </c>
    </row>
    <row r="364" spans="1:19" x14ac:dyDescent="0.35">
      <c r="A364" t="s">
        <v>14</v>
      </c>
      <c r="B364">
        <v>9</v>
      </c>
      <c r="C364" t="s">
        <v>173</v>
      </c>
      <c r="D364" t="s">
        <v>530</v>
      </c>
      <c r="E364">
        <v>1</v>
      </c>
      <c r="F364">
        <v>100.3</v>
      </c>
      <c r="G364">
        <f>E364*F364*GiaDinh!$C$18*GiaDinh!$C$17</f>
        <v>84.251999999999995</v>
      </c>
      <c r="H364">
        <v>1.1879999999999999</v>
      </c>
      <c r="I364">
        <f>GiaDinh!$C$15</f>
        <v>15</v>
      </c>
      <c r="J364">
        <f t="shared" si="30"/>
        <v>13</v>
      </c>
      <c r="K364">
        <f>J364*GiaDinh!$C$16</f>
        <v>91</v>
      </c>
      <c r="L364">
        <f t="shared" si="31"/>
        <v>1</v>
      </c>
      <c r="M364">
        <f t="shared" si="32"/>
        <v>15</v>
      </c>
      <c r="N364">
        <f>L364*ROUNDUP(I364/GiaDinh!$C$5-0.0005,0)</f>
        <v>3</v>
      </c>
      <c r="O364">
        <f>L364*(ROUNDUP(I364/GiaDinh!$C$5-0.0005,0)-1)</f>
        <v>2</v>
      </c>
      <c r="P364">
        <f t="shared" si="33"/>
        <v>13</v>
      </c>
      <c r="Q364">
        <f t="shared" si="34"/>
        <v>26</v>
      </c>
      <c r="R364">
        <f t="shared" si="35"/>
        <v>13</v>
      </c>
      <c r="S364">
        <f>M364*GiaDinh!$C$7</f>
        <v>45.15</v>
      </c>
    </row>
    <row r="365" spans="1:19" x14ac:dyDescent="0.35">
      <c r="A365" t="s">
        <v>14</v>
      </c>
      <c r="B365">
        <v>10</v>
      </c>
      <c r="C365" t="s">
        <v>173</v>
      </c>
      <c r="D365" t="s">
        <v>531</v>
      </c>
      <c r="E365">
        <v>1</v>
      </c>
      <c r="F365">
        <v>100.3</v>
      </c>
      <c r="G365">
        <f>E365*F365*GiaDinh!$C$18*GiaDinh!$C$17</f>
        <v>84.251999999999995</v>
      </c>
      <c r="H365">
        <v>1.1879999999999999</v>
      </c>
      <c r="I365">
        <f>GiaDinh!$C$15</f>
        <v>15</v>
      </c>
      <c r="J365">
        <f t="shared" si="30"/>
        <v>13</v>
      </c>
      <c r="K365">
        <f>J365*GiaDinh!$C$16</f>
        <v>91</v>
      </c>
      <c r="L365">
        <f t="shared" si="31"/>
        <v>1</v>
      </c>
      <c r="M365">
        <f t="shared" si="32"/>
        <v>15</v>
      </c>
      <c r="N365">
        <f>L365*ROUNDUP(I365/GiaDinh!$C$5-0.0005,0)</f>
        <v>3</v>
      </c>
      <c r="O365">
        <f>L365*(ROUNDUP(I365/GiaDinh!$C$5-0.0005,0)-1)</f>
        <v>2</v>
      </c>
      <c r="P365">
        <f t="shared" si="33"/>
        <v>13</v>
      </c>
      <c r="Q365">
        <f t="shared" si="34"/>
        <v>26</v>
      </c>
      <c r="R365">
        <f t="shared" si="35"/>
        <v>13</v>
      </c>
      <c r="S365">
        <f>M365*GiaDinh!$C$7</f>
        <v>45.15</v>
      </c>
    </row>
    <row r="366" spans="1:19" x14ac:dyDescent="0.35">
      <c r="A366" t="s">
        <v>14</v>
      </c>
      <c r="B366">
        <v>11</v>
      </c>
      <c r="C366" t="s">
        <v>173</v>
      </c>
      <c r="D366" t="s">
        <v>532</v>
      </c>
      <c r="E366">
        <v>1</v>
      </c>
      <c r="F366">
        <v>100.3</v>
      </c>
      <c r="G366">
        <f>E366*F366*GiaDinh!$C$18*GiaDinh!$C$17</f>
        <v>84.251999999999995</v>
      </c>
      <c r="H366">
        <v>1.1879999999999999</v>
      </c>
      <c r="I366">
        <f>GiaDinh!$C$15</f>
        <v>15</v>
      </c>
      <c r="J366">
        <f t="shared" si="30"/>
        <v>13</v>
      </c>
      <c r="K366">
        <f>J366*GiaDinh!$C$16</f>
        <v>91</v>
      </c>
      <c r="L366">
        <f t="shared" si="31"/>
        <v>1</v>
      </c>
      <c r="M366">
        <f t="shared" si="32"/>
        <v>15</v>
      </c>
      <c r="N366">
        <f>L366*ROUNDUP(I366/GiaDinh!$C$5-0.0005,0)</f>
        <v>3</v>
      </c>
      <c r="O366">
        <f>L366*(ROUNDUP(I366/GiaDinh!$C$5-0.0005,0)-1)</f>
        <v>2</v>
      </c>
      <c r="P366">
        <f t="shared" si="33"/>
        <v>13</v>
      </c>
      <c r="Q366">
        <f t="shared" si="34"/>
        <v>26</v>
      </c>
      <c r="R366">
        <f t="shared" si="35"/>
        <v>13</v>
      </c>
      <c r="S366">
        <f>M366*GiaDinh!$C$7</f>
        <v>45.15</v>
      </c>
    </row>
    <row r="367" spans="1:19" x14ac:dyDescent="0.35">
      <c r="A367" t="s">
        <v>14</v>
      </c>
      <c r="B367">
        <v>12</v>
      </c>
      <c r="C367" t="s">
        <v>173</v>
      </c>
      <c r="D367" t="s">
        <v>533</v>
      </c>
      <c r="E367">
        <v>1</v>
      </c>
      <c r="F367">
        <v>100.3</v>
      </c>
      <c r="G367">
        <f>E367*F367*GiaDinh!$C$18*GiaDinh!$C$17</f>
        <v>84.251999999999995</v>
      </c>
      <c r="H367">
        <v>1.1879999999999999</v>
      </c>
      <c r="I367">
        <f>GiaDinh!$C$15</f>
        <v>15</v>
      </c>
      <c r="J367">
        <f t="shared" si="30"/>
        <v>13</v>
      </c>
      <c r="K367">
        <f>J367*GiaDinh!$C$16</f>
        <v>91</v>
      </c>
      <c r="L367">
        <f t="shared" si="31"/>
        <v>1</v>
      </c>
      <c r="M367">
        <f t="shared" si="32"/>
        <v>15</v>
      </c>
      <c r="N367">
        <f>L367*ROUNDUP(I367/GiaDinh!$C$5-0.0005,0)</f>
        <v>3</v>
      </c>
      <c r="O367">
        <f>L367*(ROUNDUP(I367/GiaDinh!$C$5-0.0005,0)-1)</f>
        <v>2</v>
      </c>
      <c r="P367">
        <f t="shared" si="33"/>
        <v>13</v>
      </c>
      <c r="Q367">
        <f t="shared" si="34"/>
        <v>26</v>
      </c>
      <c r="R367">
        <f t="shared" si="35"/>
        <v>13</v>
      </c>
      <c r="S367">
        <f>M367*GiaDinh!$C$7</f>
        <v>45.15</v>
      </c>
    </row>
    <row r="368" spans="1:19" x14ac:dyDescent="0.35">
      <c r="A368" t="s">
        <v>14</v>
      </c>
      <c r="B368">
        <v>13</v>
      </c>
      <c r="C368" t="s">
        <v>173</v>
      </c>
      <c r="D368" t="s">
        <v>534</v>
      </c>
      <c r="E368">
        <v>1</v>
      </c>
      <c r="F368">
        <v>100.3</v>
      </c>
      <c r="G368">
        <f>E368*F368*GiaDinh!$C$18*GiaDinh!$C$17</f>
        <v>84.251999999999995</v>
      </c>
      <c r="H368">
        <v>1.1879999999999999</v>
      </c>
      <c r="I368">
        <f>GiaDinh!$C$15</f>
        <v>15</v>
      </c>
      <c r="J368">
        <f t="shared" si="30"/>
        <v>13</v>
      </c>
      <c r="K368">
        <f>J368*GiaDinh!$C$16</f>
        <v>91</v>
      </c>
      <c r="L368">
        <f t="shared" si="31"/>
        <v>1</v>
      </c>
      <c r="M368">
        <f t="shared" si="32"/>
        <v>15</v>
      </c>
      <c r="N368">
        <f>L368*ROUNDUP(I368/GiaDinh!$C$5-0.0005,0)</f>
        <v>3</v>
      </c>
      <c r="O368">
        <f>L368*(ROUNDUP(I368/GiaDinh!$C$5-0.0005,0)-1)</f>
        <v>2</v>
      </c>
      <c r="P368">
        <f t="shared" si="33"/>
        <v>13</v>
      </c>
      <c r="Q368">
        <f t="shared" si="34"/>
        <v>26</v>
      </c>
      <c r="R368">
        <f t="shared" si="35"/>
        <v>13</v>
      </c>
      <c r="S368">
        <f>M368*GiaDinh!$C$7</f>
        <v>45.15</v>
      </c>
    </row>
    <row r="369" spans="1:19" x14ac:dyDescent="0.35">
      <c r="A369" t="s">
        <v>14</v>
      </c>
      <c r="B369">
        <v>14</v>
      </c>
      <c r="C369" t="s">
        <v>173</v>
      </c>
      <c r="D369" t="s">
        <v>535</v>
      </c>
      <c r="E369">
        <v>1</v>
      </c>
      <c r="F369">
        <v>100.3</v>
      </c>
      <c r="G369">
        <f>E369*F369*GiaDinh!$C$18*GiaDinh!$C$17</f>
        <v>84.251999999999995</v>
      </c>
      <c r="H369">
        <v>1.1879999999999999</v>
      </c>
      <c r="I369">
        <f>GiaDinh!$C$15</f>
        <v>15</v>
      </c>
      <c r="J369">
        <f t="shared" si="30"/>
        <v>13</v>
      </c>
      <c r="K369">
        <f>J369*GiaDinh!$C$16</f>
        <v>91</v>
      </c>
      <c r="L369">
        <f t="shared" si="31"/>
        <v>1</v>
      </c>
      <c r="M369">
        <f t="shared" si="32"/>
        <v>15</v>
      </c>
      <c r="N369">
        <f>L369*ROUNDUP(I369/GiaDinh!$C$5-0.0005,0)</f>
        <v>3</v>
      </c>
      <c r="O369">
        <f>L369*(ROUNDUP(I369/GiaDinh!$C$5-0.0005,0)-1)</f>
        <v>2</v>
      </c>
      <c r="P369">
        <f t="shared" si="33"/>
        <v>13</v>
      </c>
      <c r="Q369">
        <f t="shared" si="34"/>
        <v>26</v>
      </c>
      <c r="R369">
        <f t="shared" si="35"/>
        <v>13</v>
      </c>
      <c r="S369">
        <f>M369*GiaDinh!$C$7</f>
        <v>45.15</v>
      </c>
    </row>
    <row r="370" spans="1:19" x14ac:dyDescent="0.35">
      <c r="A370" t="s">
        <v>14</v>
      </c>
      <c r="B370">
        <v>15</v>
      </c>
      <c r="C370" t="s">
        <v>173</v>
      </c>
      <c r="D370" t="s">
        <v>536</v>
      </c>
      <c r="E370">
        <v>1</v>
      </c>
      <c r="F370">
        <v>100.3</v>
      </c>
      <c r="G370">
        <f>E370*F370*GiaDinh!$C$18*GiaDinh!$C$17</f>
        <v>84.251999999999995</v>
      </c>
      <c r="H370">
        <v>1.1879999999999999</v>
      </c>
      <c r="I370">
        <f>GiaDinh!$C$15</f>
        <v>15</v>
      </c>
      <c r="J370">
        <f t="shared" si="30"/>
        <v>13</v>
      </c>
      <c r="K370">
        <f>J370*GiaDinh!$C$16</f>
        <v>91</v>
      </c>
      <c r="L370">
        <f t="shared" si="31"/>
        <v>1</v>
      </c>
      <c r="M370">
        <f t="shared" si="32"/>
        <v>15</v>
      </c>
      <c r="N370">
        <f>L370*ROUNDUP(I370/GiaDinh!$C$5-0.0005,0)</f>
        <v>3</v>
      </c>
      <c r="O370">
        <f>L370*(ROUNDUP(I370/GiaDinh!$C$5-0.0005,0)-1)</f>
        <v>2</v>
      </c>
      <c r="P370">
        <f t="shared" si="33"/>
        <v>13</v>
      </c>
      <c r="Q370">
        <f t="shared" si="34"/>
        <v>26</v>
      </c>
      <c r="R370">
        <f t="shared" si="35"/>
        <v>13</v>
      </c>
      <c r="S370">
        <f>M370*GiaDinh!$C$7</f>
        <v>45.15</v>
      </c>
    </row>
    <row r="371" spans="1:19" x14ac:dyDescent="0.35">
      <c r="A371" t="s">
        <v>14</v>
      </c>
      <c r="B371">
        <v>16</v>
      </c>
      <c r="C371" t="s">
        <v>173</v>
      </c>
      <c r="D371" t="s">
        <v>537</v>
      </c>
      <c r="E371">
        <v>1</v>
      </c>
      <c r="F371">
        <v>100.3</v>
      </c>
      <c r="G371">
        <f>E371*F371*GiaDinh!$C$18*GiaDinh!$C$17</f>
        <v>84.251999999999995</v>
      </c>
      <c r="H371">
        <v>1.1879999999999999</v>
      </c>
      <c r="I371">
        <f>GiaDinh!$C$15</f>
        <v>15</v>
      </c>
      <c r="J371">
        <f t="shared" si="30"/>
        <v>13</v>
      </c>
      <c r="K371">
        <f>J371*GiaDinh!$C$16</f>
        <v>91</v>
      </c>
      <c r="L371">
        <f t="shared" si="31"/>
        <v>1</v>
      </c>
      <c r="M371">
        <f t="shared" si="32"/>
        <v>15</v>
      </c>
      <c r="N371">
        <f>L371*ROUNDUP(I371/GiaDinh!$C$5-0.0005,0)</f>
        <v>3</v>
      </c>
      <c r="O371">
        <f>L371*(ROUNDUP(I371/GiaDinh!$C$5-0.0005,0)-1)</f>
        <v>2</v>
      </c>
      <c r="P371">
        <f t="shared" si="33"/>
        <v>13</v>
      </c>
      <c r="Q371">
        <f t="shared" si="34"/>
        <v>26</v>
      </c>
      <c r="R371">
        <f t="shared" si="35"/>
        <v>13</v>
      </c>
      <c r="S371">
        <f>M371*GiaDinh!$C$7</f>
        <v>45.15</v>
      </c>
    </row>
    <row r="372" spans="1:19" x14ac:dyDescent="0.35">
      <c r="A372" t="s">
        <v>14</v>
      </c>
      <c r="B372">
        <v>17</v>
      </c>
      <c r="C372" t="s">
        <v>173</v>
      </c>
      <c r="D372" t="s">
        <v>538</v>
      </c>
      <c r="E372">
        <v>1</v>
      </c>
      <c r="F372">
        <v>100.3</v>
      </c>
      <c r="G372">
        <f>E372*F372*GiaDinh!$C$18*GiaDinh!$C$17</f>
        <v>84.251999999999995</v>
      </c>
      <c r="H372">
        <v>1.1879999999999999</v>
      </c>
      <c r="I372">
        <f>GiaDinh!$C$15</f>
        <v>15</v>
      </c>
      <c r="J372">
        <f t="shared" si="30"/>
        <v>13</v>
      </c>
      <c r="K372">
        <f>J372*GiaDinh!$C$16</f>
        <v>91</v>
      </c>
      <c r="L372">
        <f t="shared" si="31"/>
        <v>1</v>
      </c>
      <c r="M372">
        <f t="shared" si="32"/>
        <v>15</v>
      </c>
      <c r="N372">
        <f>L372*ROUNDUP(I372/GiaDinh!$C$5-0.0005,0)</f>
        <v>3</v>
      </c>
      <c r="O372">
        <f>L372*(ROUNDUP(I372/GiaDinh!$C$5-0.0005,0)-1)</f>
        <v>2</v>
      </c>
      <c r="P372">
        <f t="shared" si="33"/>
        <v>13</v>
      </c>
      <c r="Q372">
        <f t="shared" si="34"/>
        <v>26</v>
      </c>
      <c r="R372">
        <f t="shared" si="35"/>
        <v>13</v>
      </c>
      <c r="S372">
        <f>M372*GiaDinh!$C$7</f>
        <v>45.15</v>
      </c>
    </row>
    <row r="373" spans="1:19" x14ac:dyDescent="0.35">
      <c r="A373" t="s">
        <v>14</v>
      </c>
      <c r="B373">
        <v>18</v>
      </c>
      <c r="C373" t="s">
        <v>173</v>
      </c>
      <c r="D373" t="s">
        <v>539</v>
      </c>
      <c r="E373">
        <v>1</v>
      </c>
      <c r="F373">
        <v>100.3</v>
      </c>
      <c r="G373">
        <f>E373*F373*GiaDinh!$C$18*GiaDinh!$C$17</f>
        <v>84.251999999999995</v>
      </c>
      <c r="H373">
        <v>1.1879999999999999</v>
      </c>
      <c r="I373">
        <f>GiaDinh!$C$15</f>
        <v>15</v>
      </c>
      <c r="J373">
        <f t="shared" si="30"/>
        <v>13</v>
      </c>
      <c r="K373">
        <f>J373*GiaDinh!$C$16</f>
        <v>91</v>
      </c>
      <c r="L373">
        <f t="shared" si="31"/>
        <v>1</v>
      </c>
      <c r="M373">
        <f t="shared" si="32"/>
        <v>15</v>
      </c>
      <c r="N373">
        <f>L373*ROUNDUP(I373/GiaDinh!$C$5-0.0005,0)</f>
        <v>3</v>
      </c>
      <c r="O373">
        <f>L373*(ROUNDUP(I373/GiaDinh!$C$5-0.0005,0)-1)</f>
        <v>2</v>
      </c>
      <c r="P373">
        <f t="shared" si="33"/>
        <v>13</v>
      </c>
      <c r="Q373">
        <f t="shared" si="34"/>
        <v>26</v>
      </c>
      <c r="R373">
        <f t="shared" si="35"/>
        <v>13</v>
      </c>
      <c r="S373">
        <f>M373*GiaDinh!$C$7</f>
        <v>45.15</v>
      </c>
    </row>
    <row r="374" spans="1:19" x14ac:dyDescent="0.35">
      <c r="A374" t="s">
        <v>14</v>
      </c>
      <c r="B374">
        <v>19</v>
      </c>
      <c r="C374" t="s">
        <v>173</v>
      </c>
      <c r="D374" t="s">
        <v>540</v>
      </c>
      <c r="E374">
        <v>1</v>
      </c>
      <c r="F374">
        <v>100.3</v>
      </c>
      <c r="G374">
        <f>E374*F374*GiaDinh!$C$18*GiaDinh!$C$17</f>
        <v>84.251999999999995</v>
      </c>
      <c r="H374">
        <v>1.1879999999999999</v>
      </c>
      <c r="I374">
        <f>GiaDinh!$C$15</f>
        <v>15</v>
      </c>
      <c r="J374">
        <f t="shared" si="30"/>
        <v>13</v>
      </c>
      <c r="K374">
        <f>J374*GiaDinh!$C$16</f>
        <v>91</v>
      </c>
      <c r="L374">
        <f t="shared" si="31"/>
        <v>1</v>
      </c>
      <c r="M374">
        <f t="shared" si="32"/>
        <v>15</v>
      </c>
      <c r="N374">
        <f>L374*ROUNDUP(I374/GiaDinh!$C$5-0.0005,0)</f>
        <v>3</v>
      </c>
      <c r="O374">
        <f>L374*(ROUNDUP(I374/GiaDinh!$C$5-0.0005,0)-1)</f>
        <v>2</v>
      </c>
      <c r="P374">
        <f t="shared" si="33"/>
        <v>13</v>
      </c>
      <c r="Q374">
        <f t="shared" si="34"/>
        <v>26</v>
      </c>
      <c r="R374">
        <f t="shared" si="35"/>
        <v>13</v>
      </c>
      <c r="S374">
        <f>M374*GiaDinh!$C$7</f>
        <v>45.15</v>
      </c>
    </row>
    <row r="375" spans="1:19" x14ac:dyDescent="0.35">
      <c r="A375" t="s">
        <v>14</v>
      </c>
      <c r="B375">
        <v>20</v>
      </c>
      <c r="C375" t="s">
        <v>173</v>
      </c>
      <c r="D375" t="s">
        <v>541</v>
      </c>
      <c r="E375">
        <v>1</v>
      </c>
      <c r="F375">
        <v>100.3</v>
      </c>
      <c r="G375">
        <f>E375*F375*GiaDinh!$C$18*GiaDinh!$C$17</f>
        <v>84.251999999999995</v>
      </c>
      <c r="H375">
        <v>1.1879999999999999</v>
      </c>
      <c r="I375">
        <f>GiaDinh!$C$15</f>
        <v>15</v>
      </c>
      <c r="J375">
        <f t="shared" si="30"/>
        <v>13</v>
      </c>
      <c r="K375">
        <f>J375*GiaDinh!$C$16</f>
        <v>91</v>
      </c>
      <c r="L375">
        <f t="shared" si="31"/>
        <v>1</v>
      </c>
      <c r="M375">
        <f t="shared" si="32"/>
        <v>15</v>
      </c>
      <c r="N375">
        <f>L375*ROUNDUP(I375/GiaDinh!$C$5-0.0005,0)</f>
        <v>3</v>
      </c>
      <c r="O375">
        <f>L375*(ROUNDUP(I375/GiaDinh!$C$5-0.0005,0)-1)</f>
        <v>2</v>
      </c>
      <c r="P375">
        <f t="shared" si="33"/>
        <v>13</v>
      </c>
      <c r="Q375">
        <f t="shared" si="34"/>
        <v>26</v>
      </c>
      <c r="R375">
        <f t="shared" si="35"/>
        <v>13</v>
      </c>
      <c r="S375">
        <f>M375*GiaDinh!$C$7</f>
        <v>45.15</v>
      </c>
    </row>
    <row r="376" spans="1:19" x14ac:dyDescent="0.35">
      <c r="A376" t="s">
        <v>14</v>
      </c>
      <c r="B376">
        <v>21</v>
      </c>
      <c r="C376" t="s">
        <v>168</v>
      </c>
      <c r="D376" t="s">
        <v>542</v>
      </c>
      <c r="E376">
        <v>2</v>
      </c>
      <c r="F376">
        <v>100.3</v>
      </c>
      <c r="G376">
        <f>E376*F376*GiaDinh!$C$18*GiaDinh!$C$17</f>
        <v>168.50399999999999</v>
      </c>
      <c r="H376">
        <v>1.1879999999999999</v>
      </c>
      <c r="I376">
        <f>GiaDinh!$C$15</f>
        <v>15</v>
      </c>
      <c r="J376">
        <f t="shared" si="30"/>
        <v>13</v>
      </c>
      <c r="K376">
        <f>J376*GiaDinh!$C$16</f>
        <v>91</v>
      </c>
      <c r="L376">
        <f t="shared" si="31"/>
        <v>2</v>
      </c>
      <c r="M376">
        <f t="shared" si="32"/>
        <v>30</v>
      </c>
      <c r="N376">
        <f>L376*ROUNDUP(I376/GiaDinh!$C$5-0.0005,0)</f>
        <v>6</v>
      </c>
      <c r="O376">
        <f>L376*(ROUNDUP(I376/GiaDinh!$C$5-0.0005,0)-1)</f>
        <v>4</v>
      </c>
      <c r="P376">
        <f t="shared" si="33"/>
        <v>26</v>
      </c>
      <c r="Q376">
        <f t="shared" si="34"/>
        <v>52</v>
      </c>
      <c r="R376">
        <f t="shared" si="35"/>
        <v>26</v>
      </c>
      <c r="S376">
        <f>M376*GiaDinh!$C$7</f>
        <v>90.3</v>
      </c>
    </row>
    <row r="377" spans="1:19" x14ac:dyDescent="0.35">
      <c r="A377" t="s">
        <v>14</v>
      </c>
      <c r="B377">
        <v>22</v>
      </c>
      <c r="C377" t="s">
        <v>173</v>
      </c>
      <c r="D377" t="s">
        <v>543</v>
      </c>
      <c r="E377">
        <v>1</v>
      </c>
      <c r="F377">
        <v>100.3</v>
      </c>
      <c r="G377">
        <f>E377*F377*GiaDinh!$C$18*GiaDinh!$C$17</f>
        <v>84.251999999999995</v>
      </c>
      <c r="H377">
        <v>1.1879999999999999</v>
      </c>
      <c r="I377">
        <f>GiaDinh!$C$15</f>
        <v>15</v>
      </c>
      <c r="J377">
        <f t="shared" si="30"/>
        <v>13</v>
      </c>
      <c r="K377">
        <f>J377*GiaDinh!$C$16</f>
        <v>91</v>
      </c>
      <c r="L377">
        <f t="shared" si="31"/>
        <v>1</v>
      </c>
      <c r="M377">
        <f t="shared" si="32"/>
        <v>15</v>
      </c>
      <c r="N377">
        <f>L377*ROUNDUP(I377/GiaDinh!$C$5-0.0005,0)</f>
        <v>3</v>
      </c>
      <c r="O377">
        <f>L377*(ROUNDUP(I377/GiaDinh!$C$5-0.0005,0)-1)</f>
        <v>2</v>
      </c>
      <c r="P377">
        <f t="shared" si="33"/>
        <v>13</v>
      </c>
      <c r="Q377">
        <f t="shared" si="34"/>
        <v>26</v>
      </c>
      <c r="R377">
        <f t="shared" si="35"/>
        <v>13</v>
      </c>
      <c r="S377">
        <f>M377*GiaDinh!$C$7</f>
        <v>45.15</v>
      </c>
    </row>
    <row r="378" spans="1:19" x14ac:dyDescent="0.35">
      <c r="A378" t="s">
        <v>14</v>
      </c>
      <c r="B378">
        <v>23</v>
      </c>
      <c r="C378" t="s">
        <v>173</v>
      </c>
      <c r="D378" t="s">
        <v>544</v>
      </c>
      <c r="E378">
        <v>1</v>
      </c>
      <c r="F378">
        <v>100.3</v>
      </c>
      <c r="G378">
        <f>E378*F378*GiaDinh!$C$18*GiaDinh!$C$17</f>
        <v>84.251999999999995</v>
      </c>
      <c r="H378">
        <v>1.1879999999999999</v>
      </c>
      <c r="I378">
        <f>GiaDinh!$C$15</f>
        <v>15</v>
      </c>
      <c r="J378">
        <f t="shared" si="30"/>
        <v>13</v>
      </c>
      <c r="K378">
        <f>J378*GiaDinh!$C$16</f>
        <v>91</v>
      </c>
      <c r="L378">
        <f t="shared" si="31"/>
        <v>1</v>
      </c>
      <c r="M378">
        <f t="shared" si="32"/>
        <v>15</v>
      </c>
      <c r="N378">
        <f>L378*ROUNDUP(I378/GiaDinh!$C$5-0.0005,0)</f>
        <v>3</v>
      </c>
      <c r="O378">
        <f>L378*(ROUNDUP(I378/GiaDinh!$C$5-0.0005,0)-1)</f>
        <v>2</v>
      </c>
      <c r="P378">
        <f t="shared" si="33"/>
        <v>13</v>
      </c>
      <c r="Q378">
        <f t="shared" si="34"/>
        <v>26</v>
      </c>
      <c r="R378">
        <f t="shared" si="35"/>
        <v>13</v>
      </c>
      <c r="S378">
        <f>M378*GiaDinh!$C$7</f>
        <v>45.15</v>
      </c>
    </row>
    <row r="379" spans="1:19" x14ac:dyDescent="0.35">
      <c r="A379" t="s">
        <v>14</v>
      </c>
      <c r="B379">
        <v>24</v>
      </c>
      <c r="C379" t="s">
        <v>173</v>
      </c>
      <c r="D379" t="s">
        <v>545</v>
      </c>
      <c r="E379">
        <v>1</v>
      </c>
      <c r="F379">
        <v>100.3</v>
      </c>
      <c r="G379">
        <f>E379*F379*GiaDinh!$C$18*GiaDinh!$C$17</f>
        <v>84.251999999999995</v>
      </c>
      <c r="H379">
        <v>1.1879999999999999</v>
      </c>
      <c r="I379">
        <f>GiaDinh!$C$15</f>
        <v>15</v>
      </c>
      <c r="J379">
        <f t="shared" si="30"/>
        <v>13</v>
      </c>
      <c r="K379">
        <f>J379*GiaDinh!$C$16</f>
        <v>91</v>
      </c>
      <c r="L379">
        <f t="shared" si="31"/>
        <v>1</v>
      </c>
      <c r="M379">
        <f t="shared" si="32"/>
        <v>15</v>
      </c>
      <c r="N379">
        <f>L379*ROUNDUP(I379/GiaDinh!$C$5-0.0005,0)</f>
        <v>3</v>
      </c>
      <c r="O379">
        <f>L379*(ROUNDUP(I379/GiaDinh!$C$5-0.0005,0)-1)</f>
        <v>2</v>
      </c>
      <c r="P379">
        <f t="shared" si="33"/>
        <v>13</v>
      </c>
      <c r="Q379">
        <f t="shared" si="34"/>
        <v>26</v>
      </c>
      <c r="R379">
        <f t="shared" si="35"/>
        <v>13</v>
      </c>
      <c r="S379">
        <f>M379*GiaDinh!$C$7</f>
        <v>45.15</v>
      </c>
    </row>
    <row r="380" spans="1:19" x14ac:dyDescent="0.35">
      <c r="A380" t="s">
        <v>14</v>
      </c>
      <c r="B380">
        <v>25</v>
      </c>
      <c r="C380" t="s">
        <v>173</v>
      </c>
      <c r="D380" t="s">
        <v>546</v>
      </c>
      <c r="E380">
        <v>1</v>
      </c>
      <c r="F380">
        <v>100.3</v>
      </c>
      <c r="G380">
        <f>E380*F380*GiaDinh!$C$18*GiaDinh!$C$17</f>
        <v>84.251999999999995</v>
      </c>
      <c r="H380">
        <v>1.1879999999999999</v>
      </c>
      <c r="I380">
        <f>GiaDinh!$C$15</f>
        <v>15</v>
      </c>
      <c r="J380">
        <f t="shared" si="30"/>
        <v>13</v>
      </c>
      <c r="K380">
        <f>J380*GiaDinh!$C$16</f>
        <v>91</v>
      </c>
      <c r="L380">
        <f t="shared" si="31"/>
        <v>1</v>
      </c>
      <c r="M380">
        <f t="shared" si="32"/>
        <v>15</v>
      </c>
      <c r="N380">
        <f>L380*ROUNDUP(I380/GiaDinh!$C$5-0.0005,0)</f>
        <v>3</v>
      </c>
      <c r="O380">
        <f>L380*(ROUNDUP(I380/GiaDinh!$C$5-0.0005,0)-1)</f>
        <v>2</v>
      </c>
      <c r="P380">
        <f t="shared" si="33"/>
        <v>13</v>
      </c>
      <c r="Q380">
        <f t="shared" si="34"/>
        <v>26</v>
      </c>
      <c r="R380">
        <f t="shared" si="35"/>
        <v>13</v>
      </c>
      <c r="S380">
        <f>M380*GiaDinh!$C$7</f>
        <v>45.15</v>
      </c>
    </row>
    <row r="381" spans="1:19" x14ac:dyDescent="0.35">
      <c r="A381" t="s">
        <v>14</v>
      </c>
      <c r="B381">
        <v>26</v>
      </c>
      <c r="C381" t="s">
        <v>173</v>
      </c>
      <c r="D381" t="s">
        <v>547</v>
      </c>
      <c r="E381">
        <v>1</v>
      </c>
      <c r="F381">
        <v>100.3</v>
      </c>
      <c r="G381">
        <f>E381*F381*GiaDinh!$C$18*GiaDinh!$C$17</f>
        <v>84.251999999999995</v>
      </c>
      <c r="H381">
        <v>1.1879999999999999</v>
      </c>
      <c r="I381">
        <f>GiaDinh!$C$15</f>
        <v>15</v>
      </c>
      <c r="J381">
        <f t="shared" si="30"/>
        <v>13</v>
      </c>
      <c r="K381">
        <f>J381*GiaDinh!$C$16</f>
        <v>91</v>
      </c>
      <c r="L381">
        <f t="shared" si="31"/>
        <v>1</v>
      </c>
      <c r="M381">
        <f t="shared" si="32"/>
        <v>15</v>
      </c>
      <c r="N381">
        <f>L381*ROUNDUP(I381/GiaDinh!$C$5-0.0005,0)</f>
        <v>3</v>
      </c>
      <c r="O381">
        <f>L381*(ROUNDUP(I381/GiaDinh!$C$5-0.0005,0)-1)</f>
        <v>2</v>
      </c>
      <c r="P381">
        <f t="shared" si="33"/>
        <v>13</v>
      </c>
      <c r="Q381">
        <f t="shared" si="34"/>
        <v>26</v>
      </c>
      <c r="R381">
        <f t="shared" si="35"/>
        <v>13</v>
      </c>
      <c r="S381">
        <f>M381*GiaDinh!$C$7</f>
        <v>45.15</v>
      </c>
    </row>
    <row r="382" spans="1:19" x14ac:dyDescent="0.35">
      <c r="A382" t="s">
        <v>14</v>
      </c>
      <c r="B382">
        <v>27</v>
      </c>
      <c r="C382" t="s">
        <v>173</v>
      </c>
      <c r="D382" t="s">
        <v>548</v>
      </c>
      <c r="E382">
        <v>1</v>
      </c>
      <c r="F382">
        <v>100.3</v>
      </c>
      <c r="G382">
        <f>E382*F382*GiaDinh!$C$18*GiaDinh!$C$17</f>
        <v>84.251999999999995</v>
      </c>
      <c r="H382">
        <v>1.1879999999999999</v>
      </c>
      <c r="I382">
        <f>GiaDinh!$C$15</f>
        <v>15</v>
      </c>
      <c r="J382">
        <f t="shared" si="30"/>
        <v>13</v>
      </c>
      <c r="K382">
        <f>J382*GiaDinh!$C$16</f>
        <v>91</v>
      </c>
      <c r="L382">
        <f t="shared" si="31"/>
        <v>1</v>
      </c>
      <c r="M382">
        <f t="shared" si="32"/>
        <v>15</v>
      </c>
      <c r="N382">
        <f>L382*ROUNDUP(I382/GiaDinh!$C$5-0.0005,0)</f>
        <v>3</v>
      </c>
      <c r="O382">
        <f>L382*(ROUNDUP(I382/GiaDinh!$C$5-0.0005,0)-1)</f>
        <v>2</v>
      </c>
      <c r="P382">
        <f t="shared" si="33"/>
        <v>13</v>
      </c>
      <c r="Q382">
        <f t="shared" si="34"/>
        <v>26</v>
      </c>
      <c r="R382">
        <f t="shared" si="35"/>
        <v>13</v>
      </c>
      <c r="S382">
        <f>M382*GiaDinh!$C$7</f>
        <v>45.15</v>
      </c>
    </row>
    <row r="383" spans="1:19" x14ac:dyDescent="0.35">
      <c r="A383" t="s">
        <v>14</v>
      </c>
      <c r="B383">
        <v>28</v>
      </c>
      <c r="C383" t="s">
        <v>173</v>
      </c>
      <c r="D383" t="s">
        <v>549</v>
      </c>
      <c r="E383">
        <v>1</v>
      </c>
      <c r="F383">
        <v>100.3</v>
      </c>
      <c r="G383">
        <f>E383*F383*GiaDinh!$C$18*GiaDinh!$C$17</f>
        <v>84.251999999999995</v>
      </c>
      <c r="H383">
        <v>1.1879999999999999</v>
      </c>
      <c r="I383">
        <f>GiaDinh!$C$15</f>
        <v>15</v>
      </c>
      <c r="J383">
        <f t="shared" si="30"/>
        <v>13</v>
      </c>
      <c r="K383">
        <f>J383*GiaDinh!$C$16</f>
        <v>91</v>
      </c>
      <c r="L383">
        <f t="shared" si="31"/>
        <v>1</v>
      </c>
      <c r="M383">
        <f t="shared" si="32"/>
        <v>15</v>
      </c>
      <c r="N383">
        <f>L383*ROUNDUP(I383/GiaDinh!$C$5-0.0005,0)</f>
        <v>3</v>
      </c>
      <c r="O383">
        <f>L383*(ROUNDUP(I383/GiaDinh!$C$5-0.0005,0)-1)</f>
        <v>2</v>
      </c>
      <c r="P383">
        <f t="shared" si="33"/>
        <v>13</v>
      </c>
      <c r="Q383">
        <f t="shared" si="34"/>
        <v>26</v>
      </c>
      <c r="R383">
        <f t="shared" si="35"/>
        <v>13</v>
      </c>
      <c r="S383">
        <f>M383*GiaDinh!$C$7</f>
        <v>45.15</v>
      </c>
    </row>
    <row r="384" spans="1:19" x14ac:dyDescent="0.35">
      <c r="A384" t="s">
        <v>14</v>
      </c>
      <c r="B384">
        <v>29</v>
      </c>
      <c r="C384" t="s">
        <v>173</v>
      </c>
      <c r="D384" t="s">
        <v>550</v>
      </c>
      <c r="E384">
        <v>1</v>
      </c>
      <c r="F384">
        <v>100.3</v>
      </c>
      <c r="G384">
        <f>E384*F384*GiaDinh!$C$18*GiaDinh!$C$17</f>
        <v>84.251999999999995</v>
      </c>
      <c r="H384">
        <v>1.1879999999999999</v>
      </c>
      <c r="I384">
        <f>GiaDinh!$C$15</f>
        <v>15</v>
      </c>
      <c r="J384">
        <f t="shared" si="30"/>
        <v>13</v>
      </c>
      <c r="K384">
        <f>J384*GiaDinh!$C$16</f>
        <v>91</v>
      </c>
      <c r="L384">
        <f t="shared" si="31"/>
        <v>1</v>
      </c>
      <c r="M384">
        <f t="shared" si="32"/>
        <v>15</v>
      </c>
      <c r="N384">
        <f>L384*ROUNDUP(I384/GiaDinh!$C$5-0.0005,0)</f>
        <v>3</v>
      </c>
      <c r="O384">
        <f>L384*(ROUNDUP(I384/GiaDinh!$C$5-0.0005,0)-1)</f>
        <v>2</v>
      </c>
      <c r="P384">
        <f t="shared" si="33"/>
        <v>13</v>
      </c>
      <c r="Q384">
        <f t="shared" si="34"/>
        <v>26</v>
      </c>
      <c r="R384">
        <f t="shared" si="35"/>
        <v>13</v>
      </c>
      <c r="S384">
        <f>M384*GiaDinh!$C$7</f>
        <v>45.15</v>
      </c>
    </row>
    <row r="385" spans="1:19" x14ac:dyDescent="0.35">
      <c r="A385" t="s">
        <v>14</v>
      </c>
      <c r="B385">
        <v>30</v>
      </c>
      <c r="C385" t="s">
        <v>173</v>
      </c>
      <c r="D385" t="s">
        <v>551</v>
      </c>
      <c r="E385">
        <v>1</v>
      </c>
      <c r="F385">
        <v>100.3</v>
      </c>
      <c r="G385">
        <f>E385*F385*GiaDinh!$C$18*GiaDinh!$C$17</f>
        <v>84.251999999999995</v>
      </c>
      <c r="H385">
        <v>1.1879999999999999</v>
      </c>
      <c r="I385">
        <f>GiaDinh!$C$15</f>
        <v>15</v>
      </c>
      <c r="J385">
        <f t="shared" si="30"/>
        <v>13</v>
      </c>
      <c r="K385">
        <f>J385*GiaDinh!$C$16</f>
        <v>91</v>
      </c>
      <c r="L385">
        <f t="shared" si="31"/>
        <v>1</v>
      </c>
      <c r="M385">
        <f t="shared" si="32"/>
        <v>15</v>
      </c>
      <c r="N385">
        <f>L385*ROUNDUP(I385/GiaDinh!$C$5-0.0005,0)</f>
        <v>3</v>
      </c>
      <c r="O385">
        <f>L385*(ROUNDUP(I385/GiaDinh!$C$5-0.0005,0)-1)</f>
        <v>2</v>
      </c>
      <c r="P385">
        <f t="shared" si="33"/>
        <v>13</v>
      </c>
      <c r="Q385">
        <f t="shared" si="34"/>
        <v>26</v>
      </c>
      <c r="R385">
        <f t="shared" si="35"/>
        <v>13</v>
      </c>
      <c r="S385">
        <f>M385*GiaDinh!$C$7</f>
        <v>45.15</v>
      </c>
    </row>
    <row r="386" spans="1:19" x14ac:dyDescent="0.35">
      <c r="A386" t="s">
        <v>14</v>
      </c>
      <c r="B386">
        <v>31</v>
      </c>
      <c r="C386" t="s">
        <v>173</v>
      </c>
      <c r="D386" t="s">
        <v>552</v>
      </c>
      <c r="E386">
        <v>1</v>
      </c>
      <c r="F386">
        <v>100.3</v>
      </c>
      <c r="G386">
        <f>E386*F386*GiaDinh!$C$18*GiaDinh!$C$17</f>
        <v>84.251999999999995</v>
      </c>
      <c r="H386">
        <v>1.1879999999999999</v>
      </c>
      <c r="I386">
        <f>GiaDinh!$C$15</f>
        <v>15</v>
      </c>
      <c r="J386">
        <f t="shared" si="30"/>
        <v>13</v>
      </c>
      <c r="K386">
        <f>J386*GiaDinh!$C$16</f>
        <v>91</v>
      </c>
      <c r="L386">
        <f t="shared" si="31"/>
        <v>1</v>
      </c>
      <c r="M386">
        <f t="shared" si="32"/>
        <v>15</v>
      </c>
      <c r="N386">
        <f>L386*ROUNDUP(I386/GiaDinh!$C$5-0.0005,0)</f>
        <v>3</v>
      </c>
      <c r="O386">
        <f>L386*(ROUNDUP(I386/GiaDinh!$C$5-0.0005,0)-1)</f>
        <v>2</v>
      </c>
      <c r="P386">
        <f t="shared" si="33"/>
        <v>13</v>
      </c>
      <c r="Q386">
        <f t="shared" si="34"/>
        <v>26</v>
      </c>
      <c r="R386">
        <f t="shared" si="35"/>
        <v>13</v>
      </c>
      <c r="S386">
        <f>M386*GiaDinh!$C$7</f>
        <v>45.15</v>
      </c>
    </row>
    <row r="387" spans="1:19" x14ac:dyDescent="0.35">
      <c r="A387" t="s">
        <v>14</v>
      </c>
      <c r="B387">
        <v>32</v>
      </c>
      <c r="C387" t="s">
        <v>173</v>
      </c>
      <c r="D387" t="s">
        <v>553</v>
      </c>
      <c r="E387">
        <v>1</v>
      </c>
      <c r="F387">
        <v>100.3</v>
      </c>
      <c r="G387">
        <f>E387*F387*GiaDinh!$C$18*GiaDinh!$C$17</f>
        <v>84.251999999999995</v>
      </c>
      <c r="H387">
        <v>1.1879999999999999</v>
      </c>
      <c r="I387">
        <f>GiaDinh!$C$15</f>
        <v>15</v>
      </c>
      <c r="J387">
        <f t="shared" si="30"/>
        <v>13</v>
      </c>
      <c r="K387">
        <f>J387*GiaDinh!$C$16</f>
        <v>91</v>
      </c>
      <c r="L387">
        <f t="shared" si="31"/>
        <v>1</v>
      </c>
      <c r="M387">
        <f t="shared" si="32"/>
        <v>15</v>
      </c>
      <c r="N387">
        <f>L387*ROUNDUP(I387/GiaDinh!$C$5-0.0005,0)</f>
        <v>3</v>
      </c>
      <c r="O387">
        <f>L387*(ROUNDUP(I387/GiaDinh!$C$5-0.0005,0)-1)</f>
        <v>2</v>
      </c>
      <c r="P387">
        <f t="shared" si="33"/>
        <v>13</v>
      </c>
      <c r="Q387">
        <f t="shared" si="34"/>
        <v>26</v>
      </c>
      <c r="R387">
        <f t="shared" si="35"/>
        <v>13</v>
      </c>
      <c r="S387">
        <f>M387*GiaDinh!$C$7</f>
        <v>45.15</v>
      </c>
    </row>
    <row r="388" spans="1:19" x14ac:dyDescent="0.35">
      <c r="A388" t="s">
        <v>14</v>
      </c>
      <c r="B388">
        <v>33</v>
      </c>
      <c r="C388" t="s">
        <v>173</v>
      </c>
      <c r="D388" t="s">
        <v>554</v>
      </c>
      <c r="E388">
        <v>1</v>
      </c>
      <c r="F388">
        <v>100.3</v>
      </c>
      <c r="G388">
        <f>E388*F388*GiaDinh!$C$18*GiaDinh!$C$17</f>
        <v>84.251999999999995</v>
      </c>
      <c r="H388">
        <v>1.1879999999999999</v>
      </c>
      <c r="I388">
        <f>GiaDinh!$C$15</f>
        <v>15</v>
      </c>
      <c r="J388">
        <f t="shared" ref="J388:J451" si="36">ROUNDDOWN(I388/H388,0)+1</f>
        <v>13</v>
      </c>
      <c r="K388">
        <f>J388*GiaDinh!$C$16</f>
        <v>91</v>
      </c>
      <c r="L388">
        <f t="shared" ref="L388:L451" si="37">MAX(1,ROUNDUP(G388/K388-0.0005,0))</f>
        <v>1</v>
      </c>
      <c r="M388">
        <f t="shared" ref="M388:M451" si="38">L388*I388</f>
        <v>15</v>
      </c>
      <c r="N388">
        <f>L388*ROUNDUP(I388/GiaDinh!$C$5-0.0005,0)</f>
        <v>3</v>
      </c>
      <c r="O388">
        <f>L388*(ROUNDUP(I388/GiaDinh!$C$5-0.0005,0)-1)</f>
        <v>2</v>
      </c>
      <c r="P388">
        <f t="shared" si="33"/>
        <v>13</v>
      </c>
      <c r="Q388">
        <f t="shared" ref="Q388:Q451" si="39">2*P388</f>
        <v>26</v>
      </c>
      <c r="R388">
        <f t="shared" si="35"/>
        <v>13</v>
      </c>
      <c r="S388">
        <f>M388*GiaDinh!$C$7</f>
        <v>45.15</v>
      </c>
    </row>
    <row r="389" spans="1:19" x14ac:dyDescent="0.35">
      <c r="A389" t="s">
        <v>14</v>
      </c>
      <c r="B389">
        <v>34</v>
      </c>
      <c r="C389" t="s">
        <v>173</v>
      </c>
      <c r="D389" t="s">
        <v>555</v>
      </c>
      <c r="E389">
        <v>1</v>
      </c>
      <c r="F389">
        <v>100.3</v>
      </c>
      <c r="G389">
        <f>E389*F389*GiaDinh!$C$18*GiaDinh!$C$17</f>
        <v>84.251999999999995</v>
      </c>
      <c r="H389">
        <v>1.1879999999999999</v>
      </c>
      <c r="I389">
        <f>GiaDinh!$C$15</f>
        <v>15</v>
      </c>
      <c r="J389">
        <f t="shared" si="36"/>
        <v>13</v>
      </c>
      <c r="K389">
        <f>J389*GiaDinh!$C$16</f>
        <v>91</v>
      </c>
      <c r="L389">
        <f t="shared" si="37"/>
        <v>1</v>
      </c>
      <c r="M389">
        <f t="shared" si="38"/>
        <v>15</v>
      </c>
      <c r="N389">
        <f>L389*ROUNDUP(I389/GiaDinh!$C$5-0.0005,0)</f>
        <v>3</v>
      </c>
      <c r="O389">
        <f>L389*(ROUNDUP(I389/GiaDinh!$C$5-0.0005,0)-1)</f>
        <v>2</v>
      </c>
      <c r="P389">
        <f t="shared" si="33"/>
        <v>13</v>
      </c>
      <c r="Q389">
        <f t="shared" si="39"/>
        <v>26</v>
      </c>
      <c r="R389">
        <f t="shared" si="35"/>
        <v>13</v>
      </c>
      <c r="S389">
        <f>M389*GiaDinh!$C$7</f>
        <v>45.15</v>
      </c>
    </row>
    <row r="390" spans="1:19" x14ac:dyDescent="0.35">
      <c r="A390" t="s">
        <v>14</v>
      </c>
      <c r="B390">
        <v>35</v>
      </c>
      <c r="C390" t="s">
        <v>173</v>
      </c>
      <c r="D390" t="s">
        <v>556</v>
      </c>
      <c r="E390">
        <v>1</v>
      </c>
      <c r="F390">
        <v>100.3</v>
      </c>
      <c r="G390">
        <f>E390*F390*GiaDinh!$C$18*GiaDinh!$C$17</f>
        <v>84.251999999999995</v>
      </c>
      <c r="H390">
        <v>1.1879999999999999</v>
      </c>
      <c r="I390">
        <f>GiaDinh!$C$15</f>
        <v>15</v>
      </c>
      <c r="J390">
        <f t="shared" si="36"/>
        <v>13</v>
      </c>
      <c r="K390">
        <f>J390*GiaDinh!$C$16</f>
        <v>91</v>
      </c>
      <c r="L390">
        <f t="shared" si="37"/>
        <v>1</v>
      </c>
      <c r="M390">
        <f t="shared" si="38"/>
        <v>15</v>
      </c>
      <c r="N390">
        <f>L390*ROUNDUP(I390/GiaDinh!$C$5-0.0005,0)</f>
        <v>3</v>
      </c>
      <c r="O390">
        <f>L390*(ROUNDUP(I390/GiaDinh!$C$5-0.0005,0)-1)</f>
        <v>2</v>
      </c>
      <c r="P390">
        <f t="shared" si="33"/>
        <v>13</v>
      </c>
      <c r="Q390">
        <f t="shared" si="39"/>
        <v>26</v>
      </c>
      <c r="R390">
        <f t="shared" si="35"/>
        <v>13</v>
      </c>
      <c r="S390">
        <f>M390*GiaDinh!$C$7</f>
        <v>45.15</v>
      </c>
    </row>
    <row r="391" spans="1:19" x14ac:dyDescent="0.35">
      <c r="A391" t="s">
        <v>14</v>
      </c>
      <c r="B391">
        <v>36</v>
      </c>
      <c r="C391" t="s">
        <v>168</v>
      </c>
      <c r="D391" t="s">
        <v>557</v>
      </c>
      <c r="E391">
        <v>3</v>
      </c>
      <c r="F391">
        <v>100.3</v>
      </c>
      <c r="G391">
        <f>E391*F391*GiaDinh!$C$18*GiaDinh!$C$17</f>
        <v>252.75599999999994</v>
      </c>
      <c r="H391">
        <v>1.1879999999999999</v>
      </c>
      <c r="I391">
        <f>GiaDinh!$C$15</f>
        <v>15</v>
      </c>
      <c r="J391">
        <f t="shared" si="36"/>
        <v>13</v>
      </c>
      <c r="K391">
        <f>J391*GiaDinh!$C$16</f>
        <v>91</v>
      </c>
      <c r="L391">
        <f t="shared" si="37"/>
        <v>3</v>
      </c>
      <c r="M391">
        <f t="shared" si="38"/>
        <v>45</v>
      </c>
      <c r="N391">
        <f>L391*ROUNDUP(I391/GiaDinh!$C$5-0.0005,0)</f>
        <v>9</v>
      </c>
      <c r="O391">
        <f>L391*(ROUNDUP(I391/GiaDinh!$C$5-0.0005,0)-1)</f>
        <v>6</v>
      </c>
      <c r="P391">
        <f t="shared" si="33"/>
        <v>39</v>
      </c>
      <c r="Q391">
        <f t="shared" si="39"/>
        <v>78</v>
      </c>
      <c r="R391">
        <f t="shared" si="35"/>
        <v>39</v>
      </c>
      <c r="S391">
        <f>M391*GiaDinh!$C$7</f>
        <v>135.44999999999999</v>
      </c>
    </row>
    <row r="392" spans="1:19" x14ac:dyDescent="0.35">
      <c r="A392" t="s">
        <v>14</v>
      </c>
      <c r="B392">
        <v>37</v>
      </c>
      <c r="C392" t="s">
        <v>168</v>
      </c>
      <c r="D392" t="s">
        <v>558</v>
      </c>
      <c r="E392">
        <v>1</v>
      </c>
      <c r="F392">
        <v>100.3</v>
      </c>
      <c r="G392">
        <f>E392*F392*GiaDinh!$C$18*GiaDinh!$C$17</f>
        <v>84.251999999999995</v>
      </c>
      <c r="H392">
        <v>1.1879999999999999</v>
      </c>
      <c r="I392">
        <f>GiaDinh!$C$15</f>
        <v>15</v>
      </c>
      <c r="J392">
        <f t="shared" si="36"/>
        <v>13</v>
      </c>
      <c r="K392">
        <f>J392*GiaDinh!$C$16</f>
        <v>91</v>
      </c>
      <c r="L392">
        <f t="shared" si="37"/>
        <v>1</v>
      </c>
      <c r="M392">
        <f t="shared" si="38"/>
        <v>15</v>
      </c>
      <c r="N392">
        <f>L392*ROUNDUP(I392/GiaDinh!$C$5-0.0005,0)</f>
        <v>3</v>
      </c>
      <c r="O392">
        <f>L392*(ROUNDUP(I392/GiaDinh!$C$5-0.0005,0)-1)</f>
        <v>2</v>
      </c>
      <c r="P392">
        <f t="shared" si="33"/>
        <v>13</v>
      </c>
      <c r="Q392">
        <f t="shared" si="39"/>
        <v>26</v>
      </c>
      <c r="R392">
        <f t="shared" si="35"/>
        <v>13</v>
      </c>
      <c r="S392">
        <f>M392*GiaDinh!$C$7</f>
        <v>45.15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8"/>
  <sheetViews>
    <sheetView workbookViewId="0"/>
  </sheetViews>
  <sheetFormatPr defaultRowHeight="15.5" x14ac:dyDescent="0.35"/>
  <cols>
    <col min="1" max="1" width="10.83203125" customWidth="1"/>
    <col min="2" max="2" width="52.83203125" customWidth="1"/>
    <col min="3" max="3" width="9.83203125" customWidth="1"/>
    <col min="4" max="4" width="8.83203125" customWidth="1"/>
    <col min="5" max="5" width="100.83203125" customWidth="1"/>
  </cols>
  <sheetData>
    <row r="1" spans="1:5" ht="17" customHeight="1" x14ac:dyDescent="0.4">
      <c r="A1" s="1" t="s">
        <v>559</v>
      </c>
    </row>
    <row r="3" spans="1:5" s="3" customFormat="1" x14ac:dyDescent="0.35">
      <c r="A3" s="3" t="s">
        <v>93</v>
      </c>
      <c r="B3" s="3" t="s">
        <v>560</v>
      </c>
      <c r="C3" s="3" t="s">
        <v>561</v>
      </c>
      <c r="D3" s="3" t="s">
        <v>5</v>
      </c>
      <c r="E3" s="3" t="s">
        <v>18</v>
      </c>
    </row>
    <row r="4" spans="1:5" x14ac:dyDescent="0.35">
      <c r="A4" t="s">
        <v>562</v>
      </c>
      <c r="B4" t="s">
        <v>563</v>
      </c>
      <c r="C4" s="4">
        <v>6</v>
      </c>
      <c r="D4" t="s">
        <v>43</v>
      </c>
      <c r="E4" t="s">
        <v>564</v>
      </c>
    </row>
    <row r="5" spans="1:5" x14ac:dyDescent="0.35">
      <c r="A5" t="s">
        <v>565</v>
      </c>
      <c r="B5" t="s">
        <v>566</v>
      </c>
      <c r="C5" s="4">
        <v>6</v>
      </c>
      <c r="D5" t="s">
        <v>43</v>
      </c>
      <c r="E5" t="s">
        <v>567</v>
      </c>
    </row>
    <row r="6" spans="1:5" x14ac:dyDescent="0.35">
      <c r="A6" t="s">
        <v>568</v>
      </c>
      <c r="B6" t="s">
        <v>569</v>
      </c>
      <c r="C6" s="4">
        <v>2.36</v>
      </c>
      <c r="D6" t="s">
        <v>570</v>
      </c>
      <c r="E6" t="s">
        <v>571</v>
      </c>
    </row>
    <row r="7" spans="1:5" x14ac:dyDescent="0.35">
      <c r="A7" t="s">
        <v>572</v>
      </c>
      <c r="B7" t="s">
        <v>573</v>
      </c>
      <c r="C7" s="4">
        <v>3.01</v>
      </c>
      <c r="D7" t="s">
        <v>570</v>
      </c>
      <c r="E7" t="s">
        <v>574</v>
      </c>
    </row>
    <row r="8" spans="1:5" x14ac:dyDescent="0.35">
      <c r="A8" t="s">
        <v>575</v>
      </c>
      <c r="B8" t="s">
        <v>576</v>
      </c>
      <c r="C8" s="4">
        <v>2</v>
      </c>
      <c r="D8" t="s">
        <v>577</v>
      </c>
      <c r="E8" t="s">
        <v>578</v>
      </c>
    </row>
    <row r="9" spans="1:5" x14ac:dyDescent="0.35">
      <c r="A9" t="s">
        <v>579</v>
      </c>
      <c r="B9" t="s">
        <v>580</v>
      </c>
      <c r="C9" s="4">
        <v>2</v>
      </c>
      <c r="D9" t="s">
        <v>577</v>
      </c>
      <c r="E9" t="s">
        <v>581</v>
      </c>
    </row>
    <row r="10" spans="1:5" x14ac:dyDescent="0.35">
      <c r="A10" t="s">
        <v>582</v>
      </c>
      <c r="B10" t="s">
        <v>583</v>
      </c>
      <c r="C10" s="4">
        <v>2</v>
      </c>
      <c r="D10" t="s">
        <v>584</v>
      </c>
      <c r="E10" t="s">
        <v>581</v>
      </c>
    </row>
    <row r="11" spans="1:5" x14ac:dyDescent="0.35">
      <c r="A11" t="s">
        <v>585</v>
      </c>
      <c r="B11" t="s">
        <v>586</v>
      </c>
      <c r="C11" s="4">
        <v>2</v>
      </c>
      <c r="D11" t="s">
        <v>584</v>
      </c>
      <c r="E11" t="s">
        <v>587</v>
      </c>
    </row>
    <row r="12" spans="1:5" x14ac:dyDescent="0.35">
      <c r="A12" t="s">
        <v>588</v>
      </c>
      <c r="B12" t="s">
        <v>589</v>
      </c>
      <c r="C12" s="4">
        <v>4</v>
      </c>
      <c r="D12" t="s">
        <v>584</v>
      </c>
      <c r="E12" t="s">
        <v>590</v>
      </c>
    </row>
    <row r="13" spans="1:5" x14ac:dyDescent="0.35">
      <c r="A13" t="s">
        <v>591</v>
      </c>
      <c r="B13" t="s">
        <v>35</v>
      </c>
      <c r="C13" s="4">
        <v>2</v>
      </c>
      <c r="D13" t="s">
        <v>592</v>
      </c>
      <c r="E13" t="s">
        <v>593</v>
      </c>
    </row>
    <row r="14" spans="1:5" x14ac:dyDescent="0.35">
      <c r="A14" t="s">
        <v>594</v>
      </c>
      <c r="B14" t="s">
        <v>595</v>
      </c>
      <c r="C14" s="4">
        <v>3</v>
      </c>
      <c r="D14" t="s">
        <v>596</v>
      </c>
      <c r="E14" t="s">
        <v>597</v>
      </c>
    </row>
    <row r="15" spans="1:5" x14ac:dyDescent="0.35">
      <c r="A15" t="s">
        <v>598</v>
      </c>
      <c r="B15" t="s">
        <v>599</v>
      </c>
      <c r="C15" s="4">
        <v>15</v>
      </c>
      <c r="D15" t="s">
        <v>43</v>
      </c>
      <c r="E15" t="s">
        <v>600</v>
      </c>
    </row>
    <row r="16" spans="1:5" x14ac:dyDescent="0.35">
      <c r="A16" t="s">
        <v>601</v>
      </c>
      <c r="B16" t="s">
        <v>602</v>
      </c>
      <c r="C16" s="4">
        <v>7</v>
      </c>
      <c r="D16" t="s">
        <v>603</v>
      </c>
      <c r="E16" t="s">
        <v>604</v>
      </c>
    </row>
    <row r="17" spans="1:5" x14ac:dyDescent="0.35">
      <c r="A17" t="s">
        <v>605</v>
      </c>
      <c r="B17" t="s">
        <v>606</v>
      </c>
      <c r="C17" s="4">
        <v>1.2</v>
      </c>
      <c r="E17" t="s">
        <v>607</v>
      </c>
    </row>
    <row r="18" spans="1:5" x14ac:dyDescent="0.35">
      <c r="A18" t="s">
        <v>608</v>
      </c>
      <c r="B18" t="s">
        <v>609</v>
      </c>
      <c r="C18" s="4">
        <v>0.7</v>
      </c>
      <c r="D18" t="s">
        <v>610</v>
      </c>
      <c r="E18" t="s">
        <v>611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0"/>
  <sheetViews>
    <sheetView tabSelected="1" workbookViewId="0"/>
  </sheetViews>
  <sheetFormatPr defaultRowHeight="15.5" x14ac:dyDescent="0.35"/>
  <cols>
    <col min="1" max="1" width="4.83203125" customWidth="1"/>
    <col min="2" max="2" width="170.83203125" customWidth="1"/>
  </cols>
  <sheetData>
    <row r="1" spans="1:2" ht="17" customHeight="1" x14ac:dyDescent="0.4">
      <c r="A1" s="1" t="s">
        <v>612</v>
      </c>
    </row>
    <row r="3" spans="1:2" s="3" customFormat="1" ht="31" customHeight="1" x14ac:dyDescent="0.35">
      <c r="A3" s="3" t="s">
        <v>613</v>
      </c>
      <c r="B3" s="3" t="s">
        <v>614</v>
      </c>
    </row>
    <row r="4" spans="1:2" ht="31" customHeight="1" x14ac:dyDescent="0.35">
      <c r="A4" t="s">
        <v>615</v>
      </c>
      <c r="B4" s="7" t="s">
        <v>616</v>
      </c>
    </row>
    <row r="5" spans="1:2" ht="31" customHeight="1" x14ac:dyDescent="0.35">
      <c r="A5" t="s">
        <v>617</v>
      </c>
      <c r="B5" s="7" t="s">
        <v>618</v>
      </c>
    </row>
    <row r="6" spans="1:2" x14ac:dyDescent="0.35">
      <c r="A6" t="s">
        <v>619</v>
      </c>
      <c r="B6" s="7" t="s">
        <v>620</v>
      </c>
    </row>
    <row r="7" spans="1:2" x14ac:dyDescent="0.35">
      <c r="A7" t="s">
        <v>621</v>
      </c>
      <c r="B7" s="7" t="s">
        <v>622</v>
      </c>
    </row>
    <row r="8" spans="1:2" x14ac:dyDescent="0.35">
      <c r="A8" t="s">
        <v>623</v>
      </c>
      <c r="B8" s="7" t="s">
        <v>624</v>
      </c>
    </row>
    <row r="9" spans="1:2" x14ac:dyDescent="0.35">
      <c r="A9" t="s">
        <v>625</v>
      </c>
      <c r="B9" s="7" t="s">
        <v>626</v>
      </c>
    </row>
    <row r="10" spans="1:2" x14ac:dyDescent="0.35">
      <c r="A10" t="s">
        <v>627</v>
      </c>
      <c r="B10" s="7" t="s">
        <v>628</v>
      </c>
    </row>
    <row r="11" spans="1:2" ht="62" customHeight="1" x14ac:dyDescent="0.35">
      <c r="A11" t="s">
        <v>629</v>
      </c>
      <c r="B11" s="7" t="s">
        <v>630</v>
      </c>
    </row>
    <row r="12" spans="1:2" x14ac:dyDescent="0.35">
      <c r="A12" t="s">
        <v>631</v>
      </c>
      <c r="B12" s="7" t="s">
        <v>632</v>
      </c>
    </row>
    <row r="13" spans="1:2" ht="31" customHeight="1" x14ac:dyDescent="0.35">
      <c r="A13">
        <v>11</v>
      </c>
      <c r="B13" s="7" t="s">
        <v>633</v>
      </c>
    </row>
    <row r="14" spans="1:2" ht="31" x14ac:dyDescent="0.35">
      <c r="A14">
        <v>12</v>
      </c>
      <c r="B14" s="7" t="s">
        <v>634</v>
      </c>
    </row>
    <row r="15" spans="1:2" x14ac:dyDescent="0.35">
      <c r="B15" s="7"/>
    </row>
    <row r="16" spans="1:2" x14ac:dyDescent="0.35">
      <c r="B16" s="7"/>
    </row>
    <row r="17" spans="2:2" x14ac:dyDescent="0.35">
      <c r="B17" s="7"/>
    </row>
    <row r="18" spans="2:2" x14ac:dyDescent="0.35">
      <c r="B18" s="7"/>
    </row>
    <row r="19" spans="2:2" x14ac:dyDescent="0.35">
      <c r="B19" s="7"/>
    </row>
    <row r="20" spans="2:2" x14ac:dyDescent="0.35">
      <c r="B20"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TongHop</vt:lpstr>
      <vt:lpstr>DuLieuBanVe</vt:lpstr>
      <vt:lpstr>C52_TungThanh</vt:lpstr>
      <vt:lpstr>Hop40x60_TungThanh</vt:lpstr>
      <vt:lpstr>GiaCuong_Be1</vt:lpstr>
      <vt:lpstr>GiaCuong_UocTinh</vt:lpstr>
      <vt:lpstr>GiaDinh</vt:lpstr>
      <vt:lpstr>GhiChu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Nhật Lê</dc:creator>
  <cp:lastModifiedBy>Nhật Lê</cp:lastModifiedBy>
  <dcterms:created xsi:type="dcterms:W3CDTF">2026-10-16T15:07:19Z</dcterms:created>
  <dcterms:modified xsi:type="dcterms:W3CDTF">2026-10-23T16:38:53Z</dcterms:modified>
</cp:coreProperties>
</file>