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1.HUONG_DAN" sheetId="1" state="visible" r:id="rId1"/>
    <sheet xmlns:r="http://schemas.openxmlformats.org/officeDocument/2006/relationships" name="2.THONG_SO" sheetId="2" state="visible" r:id="rId2"/>
    <sheet xmlns:r="http://schemas.openxmlformats.org/officeDocument/2006/relationships" name="3.BE_VA_NEO" sheetId="3" state="visible" r:id="rId3"/>
    <sheet xmlns:r="http://schemas.openxmlformats.org/officeDocument/2006/relationships" name="4.COC_DAN_HUONG" sheetId="4" state="visible" r:id="rId4"/>
    <sheet xmlns:r="http://schemas.openxmlformats.org/officeDocument/2006/relationships" name="5.TOA_DO_NEO" sheetId="5" state="visible" r:id="rId5"/>
    <sheet xmlns:r="http://schemas.openxmlformats.org/officeDocument/2006/relationships" name="7.BE01_CHI_TIET" sheetId="6" state="visible" r:id="rId6"/>
  </sheets>
  <definedNames>
    <definedName name="_xlnm._FilterDatabase" localSheetId="4" hidden="1">'5.TOA_DO_NEO'!$B$5:$K$304</definedName>
  </definedNames>
  <calcPr calcId="191028" fullCalcOnLoad="1" iterateDelta="0.0001"/>
</workbook>
</file>

<file path=xl/styles.xml><?xml version="1.0" encoding="utf-8"?>
<styleSheet xmlns="http://schemas.openxmlformats.org/spreadsheetml/2006/main">
  <numFmts count="3">
    <numFmt numFmtId="164" formatCode="0.0"/>
    <numFmt numFmtId="165" formatCode="0.000"/>
    <numFmt numFmtId="166" formatCode="0.000000"/>
  </numFmts>
  <fonts count="12">
    <font>
      <name val="Calibri"/>
      <charset val="1"/>
      <family val="2"/>
      <color theme="1"/>
      <sz val="11"/>
    </font>
    <font>
      <name val="Arial"/>
      <charset val="1"/>
      <b val="1"/>
      <sz val="14"/>
    </font>
    <font>
      <name val="Arial"/>
      <charset val="1"/>
      <i val="1"/>
      <sz val="11"/>
    </font>
    <font>
      <name val="Arial"/>
      <charset val="1"/>
      <sz val="11"/>
    </font>
    <font>
      <name val="Arial"/>
      <charset val="1"/>
      <b val="1"/>
      <sz val="11"/>
    </font>
    <font>
      <name val="Arial"/>
      <charset val="1"/>
      <b val="1"/>
      <sz val="13"/>
    </font>
    <font>
      <name val="Arial"/>
      <charset val="1"/>
      <b val="1"/>
      <color rgb="FFFFFFFF"/>
      <sz val="11"/>
    </font>
    <font>
      <name val="Arial"/>
      <charset val="1"/>
      <color rgb="FF0000FF"/>
      <sz val="11"/>
    </font>
    <font>
      <name val="Arial"/>
      <charset val="1"/>
      <i val="1"/>
      <sz val="9"/>
    </font>
    <font>
      <name val="Arial"/>
      <charset val="1"/>
      <color rgb="FFFF0000"/>
      <sz val="11"/>
    </font>
    <font>
      <name val="Arial"/>
      <family val="2"/>
      <sz val="10"/>
    </font>
    <font>
      <i val="1"/>
      <color rgb="FF595959"/>
      <sz val="9"/>
    </font>
  </fonts>
  <fills count="9">
    <fill>
      <patternFill/>
    </fill>
    <fill>
      <patternFill patternType="gray125"/>
    </fill>
    <fill>
      <patternFill patternType="solid">
        <fgColor rgb="FF1F4E79"/>
        <bgColor rgb="FF003366"/>
      </patternFill>
    </fill>
    <fill>
      <patternFill patternType="solid">
        <fgColor rgb="FFFFF2CC"/>
        <bgColor rgb="FFFCE4D6"/>
      </patternFill>
    </fill>
    <fill>
      <patternFill patternType="solid">
        <fgColor rgb="FFDDEBF7"/>
        <bgColor rgb="FFEDEDED"/>
      </patternFill>
    </fill>
    <fill>
      <patternFill patternType="solid">
        <fgColor rgb="FFFFC7CE"/>
        <bgColor rgb="FFFCE4D6"/>
      </patternFill>
    </fill>
    <fill>
      <patternFill patternType="solid">
        <fgColor rgb="FFFCE4D6"/>
        <bgColor rgb="FFFFF2CC"/>
      </patternFill>
    </fill>
    <fill>
      <patternFill patternType="solid">
        <fgColor rgb="FFEDEDED"/>
        <bgColor rgb="FFDDEBF7"/>
      </patternFill>
    </fill>
    <fill>
      <patternFill patternType="solid">
        <fgColor rgb="FFFFE699"/>
        <bgColor rgb="FFFFF2CC"/>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50">
    <xf numFmtId="0" fontId="0" fillId="0" borderId="0" pivotButton="0" quotePrefix="0" xfId="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2" fontId="7" fillId="3" borderId="1" pivotButton="0" quotePrefix="0" xfId="0"/>
    <xf numFmtId="0" fontId="8" fillId="0" borderId="0" pivotButton="0" quotePrefix="0" xfId="0"/>
    <xf numFmtId="2" fontId="9" fillId="3" borderId="1" pivotButton="0" quotePrefix="0" xfId="0"/>
    <xf numFmtId="2" fontId="3" fillId="4" borderId="1" pivotButton="0" quotePrefix="0" xfId="0"/>
    <xf numFmtId="2" fontId="4" fillId="5" borderId="1" pivotButton="0" quotePrefix="0" xfId="0"/>
    <xf numFmtId="164" fontId="3" fillId="4" borderId="1" pivotButton="0" quotePrefix="0" xfId="0"/>
    <xf numFmtId="0" fontId="3" fillId="4" borderId="1" pivotButton="0" quotePrefix="0" xfId="0"/>
    <xf numFmtId="3" fontId="7" fillId="3" borderId="1" pivotButton="0" quotePrefix="0" xfId="0"/>
    <xf numFmtId="2" fontId="3" fillId="0" borderId="0" pivotButton="0" quotePrefix="0" xfId="0"/>
    <xf numFmtId="165" fontId="3" fillId="0" borderId="0" pivotButton="0" quotePrefix="0" xfId="0"/>
    <xf numFmtId="1" fontId="3" fillId="0" borderId="0" pivotButton="0" quotePrefix="0" xfId="0"/>
    <xf numFmtId="0" fontId="9" fillId="0" borderId="0" pivotButton="0" quotePrefix="0" xfId="0"/>
    <xf numFmtId="165" fontId="7" fillId="3" borderId="1" pivotButton="0" quotePrefix="0" xfId="0"/>
    <xf numFmtId="164" fontId="3" fillId="0" borderId="0" pivotButton="0" quotePrefix="0" xfId="0"/>
    <xf numFmtId="3" fontId="3" fillId="0" borderId="0" pivotButton="0" quotePrefix="0" xfId="0"/>
    <xf numFmtId="0" fontId="6" fillId="2" borderId="1" applyAlignment="1" pivotButton="0" quotePrefix="0" xfId="0">
      <alignment horizontal="center" vertical="center" wrapText="1"/>
    </xf>
    <xf numFmtId="0" fontId="4" fillId="0" borderId="1" pivotButton="0" quotePrefix="0" xfId="0"/>
    <xf numFmtId="164" fontId="7" fillId="3" borderId="1" pivotButton="0" quotePrefix="0" xfId="0"/>
    <xf numFmtId="3" fontId="3" fillId="4" borderId="1" pivotButton="0" quotePrefix="0" xfId="0"/>
    <xf numFmtId="1" fontId="7" fillId="4" borderId="1" pivotButton="0" quotePrefix="0" xfId="0"/>
    <xf numFmtId="1" fontId="7" fillId="3" borderId="1" pivotButton="0" quotePrefix="0" xfId="0"/>
    <xf numFmtId="1" fontId="3" fillId="4" borderId="1" pivotButton="0" quotePrefix="0" xfId="0"/>
    <xf numFmtId="0" fontId="7" fillId="3" borderId="1" pivotButton="0" quotePrefix="0" xfId="0"/>
    <xf numFmtId="1" fontId="7" fillId="6" borderId="1" pivotButton="0" quotePrefix="0" xfId="0"/>
    <xf numFmtId="2" fontId="7" fillId="6" borderId="1" pivotButton="0" quotePrefix="0" xfId="0"/>
    <xf numFmtId="3" fontId="4" fillId="4" borderId="1" pivotButton="0" quotePrefix="0" xfId="0"/>
    <xf numFmtId="165" fontId="3" fillId="4" borderId="1" pivotButton="0" quotePrefix="0" xfId="0"/>
    <xf numFmtId="166" fontId="3" fillId="4" borderId="1" pivotButton="0" quotePrefix="0" xfId="0"/>
    <xf numFmtId="0" fontId="6" fillId="2" borderId="1" applyAlignment="1" pivotButton="0" quotePrefix="0" xfId="0">
      <alignment horizontal="center"/>
    </xf>
    <xf numFmtId="0" fontId="3" fillId="0" borderId="1" pivotButton="0" quotePrefix="0" xfId="0"/>
    <xf numFmtId="2" fontId="3" fillId="7" borderId="1" pivotButton="0" quotePrefix="0" xfId="0"/>
    <xf numFmtId="2" fontId="0" fillId="4" borderId="1" pivotButton="0" quotePrefix="0" xfId="0"/>
    <xf numFmtId="164" fontId="0" fillId="4" borderId="1" pivotButton="0" quotePrefix="0" xfId="0"/>
    <xf numFmtId="2" fontId="7" fillId="0" borderId="0" pivotButton="0" quotePrefix="0" xfId="0"/>
    <xf numFmtId="0" fontId="6" fillId="0" borderId="0" pivotButton="0" quotePrefix="0" xfId="0"/>
    <xf numFmtId="165" fontId="7" fillId="0" borderId="0" pivotButton="0" quotePrefix="0" xfId="0"/>
    <xf numFmtId="2" fontId="6" fillId="2" borderId="0" pivotButton="0" quotePrefix="0" xfId="0"/>
    <xf numFmtId="0" fontId="7" fillId="8" borderId="1" pivotButton="0" quotePrefix="0" xfId="0"/>
    <xf numFmtId="1" fontId="6" fillId="2" borderId="0" pivotButton="0" quotePrefix="0" xfId="0"/>
    <xf numFmtId="164" fontId="7" fillId="6" borderId="1" pivotButton="0" quotePrefix="0" xfId="0"/>
    <xf numFmtId="164" fontId="4" fillId="4" borderId="1" pivotButton="0" quotePrefix="0" xfId="0"/>
    <xf numFmtId="0" fontId="11" fillId="0" borderId="0" pivotButton="0" quotePrefix="0" xfId="0"/>
  </cellXfs>
  <cellStyles count="1">
    <cellStyle name="Bình thường" xfId="0" builtinId="0"/>
  </cellStyles>
  <dxfs count="36">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CE4D6"/>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7F7F7F"/>
      </font>
      <fill>
        <patternFill patternType="solid">
          <fgColor rgb="FFF2F2F2"/>
          <bgColor rgb="FFF2F2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DEDED"/>
      <rgbColor rgb="FFC6EFCE"/>
      <rgbColor rgb="FFFFE6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Claude</author>
  </authors>
  <commentList>
    <comment ref="B5" authorId="0" shapeId="0">
      <text>
        <t>NHẬP: mã bè theo bản vẽ</t>
      </text>
    </comment>
    <comment ref="C5" authorId="0" shapeId="0">
      <text>
        <t>NHẬP: đọc từ bản vẽ chi tiết từng bè</t>
      </text>
    </comment>
    <comment ref="D5" authorId="0" shapeId="0">
      <text>
        <t>NHẬP: đọc từ bản vẽ chi tiết từng bè</t>
      </text>
    </comment>
    <comment ref="E5" authorId="0" shapeId="0">
      <text>
        <t>NHẬP: đọc từ mặt cắt trên bản vẽ</t>
      </text>
    </comment>
    <comment ref="F5" authorId="0" shapeId="0">
      <text>
        <t>NHẬP: đọc từ mặt cắt trên bản vẽ</t>
      </text>
    </comment>
    <comment ref="G5" authorId="0" shapeId="0">
      <text>
        <t>NHẬP: góc xoay của bè so với trục X, đọc từ mặt bằng</t>
      </text>
    </comment>
    <comment ref="H5" authorId="0" shapeId="0">
      <text>
        <t>Công thức: ROUND(dt be / 2.THONG_SO!C27 x 2.THONG_SO!C26, 0). Ty le dien tich be nay tren tong dien tich du an, nhan tong so tam pin</t>
      </text>
    </comment>
    <comment ref="I5" authorId="0" shapeId="0">
      <text>
        <t>Công thức: H x 2.THONG_SO!C25 x SIN(RADIANS(2.THONG_SO!C24)). Dien tich tam pin chieu ngang, nhan sin goc nghieng pin</t>
      </text>
    </comment>
    <comment ref="J5" authorId="0" shapeId="0">
      <text>
        <t>Công thức: (E+F)/2 x 2.THONG_SO!C23. Be rong TB nhan chieu cao phao noi</t>
      </text>
    </comment>
    <comment ref="K5" authorId="0" shapeId="0">
      <text>
        <t>Công thức luc gio: 0,5 x rho_khong_khi x (Cd_pin x I x he_so_che_chan + Cd_phao x J) x V^2 /1000, cac he so tu sheet 2.THONG_SO</t>
      </text>
    </comment>
    <comment ref="L5" authorId="0" shapeId="0">
      <text>
        <t>NHẬP: hệ số tập trung lực = T max / F, lấy từ mô hình phân bố lực chi tiết đã tính sẵn cho từng bè (16-24 hướng gió)</t>
      </text>
    </comment>
    <comment ref="M5" authorId="0" shapeId="0">
      <text>
        <t>Công thức: K x L + 2.THONG_SO!C32 (luc cang truoc T0). T max = luc moi truong x he so tap trung + T0</t>
      </text>
    </comment>
    <comment ref="N5" authorId="0" shapeId="0">
      <text>
        <t>Công thức: MAX(chu_vi / 2.THONG_SO!C33, 3). So day toi thieu theo chu vi chia khoang cach toi da</t>
      </text>
    </comment>
    <comment ref="O5" authorId="0" shapeId="0">
      <text>
        <t>NHẬP: số dây neo bờ — người dùng quyết định theo hình học từng cạnh trên bản vẽ</t>
      </text>
    </comment>
    <comment ref="P5" authorId="0" shapeId="0">
      <text>
        <t>NHẬP: số dây neo đáy — tương tự cột O</t>
      </text>
    </comment>
    <comment ref="Q5" authorId="0" shapeId="0">
      <text>
        <t>Công thức: M x 2.THONG_SO!C31 (he so an toan cap). MBL yeu cau = T max x FS</t>
      </text>
    </comment>
    <comment ref="R5" authorId="0" shapeId="0">
      <text>
        <t>NHẬP: chọn mã cáp từ danh sách thả xuống (PES-20 đến PES-44)</t>
      </text>
    </comment>
    <comment ref="S5" authorId="0" shapeId="0">
      <text>
        <t>Tra bảng MBL theo mã cáp đã chọn ở cột R (hàm LOOKUP)</t>
      </text>
    </comment>
    <comment ref="T5" authorId="0" shapeId="0">
      <text>
        <t>Công thức: Q / S — hệ số sử dụng = MBL yêu cầu / MBL cáp thực tế</t>
      </text>
    </comment>
    <comment ref="U5" authorId="0" shapeId="0">
      <text>
        <t>ĐẠT khi T ≤ 1</t>
      </text>
    </comment>
    <comment ref="V5" authorId="0" shapeId="0">
      <text>
        <t>KHÔNG dùng mỏ neo bản kéo nữa — toàn bộ neo đáy là CỌC ĐÓNG lòng hồ. Với bè 01: xem chi tiết ở sheet 7 (Cách 1 hoặc Cách 2). Với bè 2-13: nhập "Chưa tính chi tiết" cho tới khi có bản vẽ, dùng sheet 4 (công cụ tính chung) để tính khi làm chi tiết.</t>
      </text>
    </comment>
    <comment ref="W5" authorId="0" shapeId="0">
      <text>
        <t>Sức chịu ngang cho phép của cọc đã chọn ở sheet chi tiết bè (sheet 7 hoặc sheet 4)</t>
      </text>
    </comment>
    <comment ref="X5" authorId="0" shapeId="0">
      <text>
        <t>= P (số dây neo đáy) x FS / W. Chỉ tính được khi đã có sức chịu ở cột W</t>
      </text>
    </comment>
    <comment ref="Y5" authorId="0" shapeId="0">
      <text>
        <t>ĐẠT khi X ≤ 1. "CHƯA TÍNH" nghĩa là chưa làm chi tiết bè này</t>
      </text>
    </comment>
    <comment ref="Z5" authorId="1" shapeId="0">
      <text>
        <t>Độ sâu nước tại vị trí bè (thường lấy ở mực nước thấp nhất thiết kế, trường hợp bất lợi nhất cho góc dây). Mặc định lấy độ sâu lớn nhất dự án (2.THONG_SO!C7); sửa lại nếu bạn có số liệu mặt cắt thực tế cho từng bè.</t>
      </text>
    </comment>
    <comment ref="AA5" authorId="1" shapeId="0">
      <text>
        <t>Nhập khoảng cách ngang từ mép bè đến vị trí dự kiến đặt cọc neo đáy. Đây là tham số bạn tự bố trí — chọn càng gần bè càng đỡ tốn dây, nhưng khoảng cách càng ngắn thì góc dây tại cọc càng dốc, lực nhổ (Tv) càng lớn và dễ KHÔNG ĐẠT. Xem cột KT NEO ĐÁY (AI) để kiểm tra.</t>
      </text>
    </comment>
    <comment ref="AE5" authorId="1" shapeId="0">
      <text>
        <t>Lấy từ '4.COC_DAN_HUONG' mục C (Cách 1 — đỉnh cọc ở đáy hồ, D=0,35m, L=8m, dùng chung cho mọi cọc neo đáy). Đổi D/L tại sheet 4 nếu muốn thử tiết diện cọc khác.</t>
      </text>
    </comment>
    <comment ref="AL5" authorId="1" shapeId="0">
      <text>
        <t>Khoảng cách bè→cọc neo BỜ chỉ ảnh hưởng chiều dài dây (để tính khối lượng cáp), KHÔNG ảnh hưởng kết quả ĐẠT/KHÔNG ĐẠT của cọc neo bờ — vì tay đòn e của cọc bờ cố định 0,5 m (cáp buộc sát mặt đất), không phụ thuộc khoảng cách ngang tới bè.</t>
      </text>
    </comment>
    <comment ref="L6" authorId="0" shapeId="0">
      <text>
        <t>Lấy từ sheet 7.BE01_CHI_TIET (tính chi tiết theo bản vẽ CT-BP01, đã tối ưu 6 dây/cạnh dài + 4 dây/cạnh ngắn). Các bè 2-13 CHƯA có bản vẽ chi tiết nên vẫn dùng số ước lượng — cần cập nhật tương tự khi có bản vẽ.</t>
      </text>
    </comment>
  </commentList>
</comments>
</file>

<file path=xl/comments/comment2.xml><?xml version="1.0" encoding="utf-8"?>
<comments xmlns="http://schemas.openxmlformats.org/spreadsheetml/2006/main">
  <authors>
    <author>Unknown Author</author>
  </authors>
  <commentList>
    <comment ref="C22" authorId="0" shapeId="0">
      <text>
        <t>Xem ô E22: kết quả dò tối ưu qua nhiều tổ hợp số dây, không phải số tùy ý</t>
      </text>
    </comment>
    <comment ref="C23" authorId="0" shapeId="0">
      <text>
        <t>Xem ô E23: kết quả dò tối ưu qua nhiều tổ hợp số dây, không phải số tùy ý</t>
      </text>
    </comment>
    <comment ref="C35" authorId="0" shapeId="0">
      <text>
        <t>Xem ô E35: giá trị từ mô hình phân bố lực ngoài Excel, không phải công thức trong sheet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7</col>
      <colOff>0</colOff>
      <row>5</row>
      <rowOff>0</rowOff>
    </from>
    <to>
      <col>18</col>
      <colOff>123840</colOff>
      <row>28</row>
      <rowOff>182880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372760" y="981000"/>
          <a:ext cx="6850440" cy="4564440"/>
        </a:xfrm>
        <a:prstGeom xmlns:a="http://schemas.openxmlformats.org/drawingml/2006/main" prst="rect">
          <avLst/>
        </a:prstGeom>
        <a:ln xmlns:a="http://schemas.openxmlformats.org/drawingml/2006/main" w="0">
          <a:noFill/>
          <a:prstDash val="solid"/>
        </a:ln>
      </spPr>
    </pic>
    <clientData/>
  </twoCellAnchor>
  <twoCellAnchor editAs="oneCell">
    <from>
      <col>7</col>
      <colOff>0</colOff>
      <row>87</row>
      <rowOff>0</rowOff>
    </from>
    <to>
      <col>18</col>
      <colOff>505080</colOff>
      <row>103</row>
      <rowOff>135720</rowOff>
    </to>
    <pic>
      <nvPicPr>
        <cNvPr id="3" name="Image 3"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1372760" y="16602120"/>
          <a:ext cx="7231680" cy="3183840"/>
        </a:xfrm>
        <a:prstGeom xmlns:a="http://schemas.openxmlformats.org/drawingml/2006/main" prst="rect">
          <avLst/>
        </a:prstGeom>
        <a:ln xmlns:a="http://schemas.openxmlformats.org/drawingml/2006/main" w="0">
          <a:noFill/>
          <a:prstDash val="solid"/>
        </a:ln>
      </spPr>
    </pic>
    <clientData/>
  </twoCellAnchor>
  <twoCellAnchor editAs="oneCell">
    <from>
      <col>7</col>
      <colOff>0</colOff>
      <row>127</row>
      <rowOff>0</rowOff>
    </from>
    <to>
      <col>18</col>
      <colOff>505440</colOff>
      <row>147</row>
      <rowOff>12240</rowOff>
    </to>
    <pic>
      <nvPicPr>
        <cNvPr id="4" name="Image 4"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1372760" y="24222240"/>
          <a:ext cx="7232040" cy="3822120"/>
        </a:xfrm>
        <a:prstGeom xmlns:a="http://schemas.openxmlformats.org/drawingml/2006/main" prst="rect">
          <avLst/>
        </a:prstGeom>
        <a:ln xmlns:a="http://schemas.openxmlformats.org/drawingml/2006/main" w="0">
          <a:noFill/>
          <a:prstDash val="solid"/>
        </a:ln>
      </spPr>
    </pic>
    <clientData/>
  </twoCellAnchor>
  <twoCellAnchor editAs="oneCell">
    <from>
      <col>7</col>
      <colOff>0</colOff>
      <row>45</row>
      <rowOff>0</rowOff>
    </from>
    <to>
      <col>18</col>
      <colOff>508320</colOff>
      <row>62</row>
      <rowOff>158040</rowOff>
    </to>
    <pic>
      <nvPicPr>
        <cNvPr id="5" name="Image 4" descr="Picture"/>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1372760" y="8601120"/>
          <a:ext cx="7234920" cy="33966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B2:C37"/>
  <sheetViews>
    <sheetView tabSelected="1" topLeftCell="B1" zoomScaleNormal="100" workbookViewId="0">
      <selection activeCell="A1" sqref="A1"/>
    </sheetView>
  </sheetViews>
  <sheetFormatPr baseColWidth="8" defaultColWidth="8.7421875" defaultRowHeight="15"/>
  <cols>
    <col width="34.03125" customWidth="1" style="1" min="2" max="2"/>
    <col width="87.9765625" customWidth="1" style="1" min="3" max="3"/>
  </cols>
  <sheetData>
    <row r="2" ht="17.25" customHeight="1" s="1">
      <c r="B2" s="2" t="inlineStr">
        <is>
          <t>BẢNG TÍNH NEO BÈ PIN NỔI — HỒ HUỔI VÃNH (BẢN RÚT GỌN)</t>
        </is>
      </c>
    </row>
    <row r="3" ht="15" customHeight="1" s="1">
      <c r="B3" s="3" t="inlineStr">
        <is>
          <t>5 trang. Ô vàng = nhập. Ô xanh = công thức. Thay số ở trang 2 là toàn bộ tự tính lại.</t>
        </is>
      </c>
    </row>
    <row r="5" ht="15" customHeight="1" s="1">
      <c r="B5" s="4" t="n"/>
      <c r="C5" s="4" t="n"/>
    </row>
    <row r="6" ht="15" customHeight="1" s="1">
      <c r="B6" s="5" t="inlineStr">
        <is>
          <t>CÁC TRANG</t>
        </is>
      </c>
      <c r="C6" s="4" t="n"/>
    </row>
    <row r="7" ht="15" customHeight="1" s="1">
      <c r="B7" s="5" t="inlineStr">
        <is>
          <t>2.THONG_SO</t>
        </is>
      </c>
      <c r="C7" s="4" t="inlineStr">
        <is>
          <t>Toàn bộ thông số đầu vào, gom về một trang.</t>
        </is>
      </c>
    </row>
    <row r="8" ht="15" customHeight="1" s="1">
      <c r="B8" s="5" t="inlineStr">
        <is>
          <t>3.BE_VA_NEO</t>
        </is>
      </c>
      <c r="C8" s="4" t="inlineStr">
        <is>
          <t>13 bè, mỗi bè một dòng. Lực gió, số dây, cỡ cáp, mỏ neo, kiểm tra.</t>
        </is>
      </c>
    </row>
    <row r="9" ht="15" customHeight="1" s="1">
      <c r="B9" s="5" t="inlineStr">
        <is>
          <t>4.COC_DAN_HUONG</t>
        </is>
      </c>
      <c r="C9" s="4" t="inlineStr">
        <is>
          <t>Công cụ tính CHUNG cho mọi bè — cọc neo bờ (mục B) và cọc neo lòng hồ 2 cách (mục C, D). Có bảng tra sức chịu.</t>
        </is>
      </c>
    </row>
    <row r="10" ht="15" customHeight="1" s="1">
      <c r="B10" s="5" t="inlineStr">
        <is>
          <t>5.TOA_DO_NEO</t>
        </is>
      </c>
      <c r="C10" s="4" t="inlineStr">
        <is>
          <t>299 mỏ neo với tọa độ X, Y, Z — dùng để vẽ lại bản vẽ.</t>
        </is>
      </c>
    </row>
    <row r="11" ht="15" customHeight="1" s="1">
      <c r="B11" s="5" t="n"/>
      <c r="C11" s="4" t="n"/>
    </row>
    <row r="12" ht="15" customHeight="1" s="1">
      <c r="B12" s="4" t="n"/>
      <c r="C12" s="4" t="n"/>
    </row>
    <row r="13" ht="15" customHeight="1" s="1">
      <c r="B13" s="5" t="inlineStr">
        <is>
          <t>CÁCH VẼ LẠI BẢN VẼ</t>
        </is>
      </c>
      <c r="C13" s="4" t="n"/>
    </row>
    <row r="14" ht="15" customHeight="1" s="1">
      <c r="B14" s="4" t="inlineStr">
        <is>
          <t>Bước 1</t>
        </is>
      </c>
      <c r="C14" s="4" t="inlineStr">
        <is>
          <t>Trang 5 cột X bè, Y bè: điểm nối cáp trên mép bè.</t>
        </is>
      </c>
    </row>
    <row r="15" ht="15" customHeight="1" s="1">
      <c r="B15" s="4" t="inlineStr">
        <is>
          <t>Bước 2</t>
        </is>
      </c>
      <c r="C15" s="4" t="inlineStr">
        <is>
          <t>Trang 5 cột X neo, Y neo: vị trí mỏ neo.</t>
        </is>
      </c>
    </row>
    <row r="16" ht="15" customHeight="1" s="1">
      <c r="B16" s="4" t="inlineStr">
        <is>
          <t>Bước 3</t>
        </is>
      </c>
      <c r="C16" s="4" t="inlineStr">
        <is>
          <t>Nối hai điểm bằng đường thẳng = dây neo.</t>
        </is>
      </c>
    </row>
    <row r="17" ht="15" customHeight="1" s="1">
      <c r="B17" s="4" t="inlineStr">
        <is>
          <t>Bước 4</t>
        </is>
      </c>
      <c r="C17" s="4" t="inlineStr">
        <is>
          <t>Cột Loại: NEO BỜ vẽ ký hiệu cọc trên bờ, NEO ĐÁY vẽ ký hiệu cọc đóng lòng hồ (KHÔNG dùng mỏ neo bản kéo).</t>
        </is>
      </c>
    </row>
    <row r="18" ht="15" customHeight="1" s="1">
      <c r="B18" s="4" t="n"/>
      <c r="C18" s="4" t="inlineStr">
        <is>
          <t>Toàn bộ tọa độ theo hệ của bản vẽ DXF gốc, đơn vị mét.</t>
        </is>
      </c>
    </row>
    <row r="19" ht="15" customHeight="1" s="1">
      <c r="B19" s="4" t="n"/>
      <c r="C19" s="4" t="n"/>
    </row>
    <row r="20" ht="15" customHeight="1" s="1">
      <c r="B20" s="5" t="inlineStr">
        <is>
          <t>MỰC NƯỚC THIẾT KẾ</t>
        </is>
      </c>
      <c r="C20" s="4" t="n"/>
    </row>
    <row r="21" ht="15" customHeight="1" s="1">
      <c r="B21" s="4" t="n"/>
      <c r="C21" s="4" t="inlineStr">
        <is>
          <t>Không dùng MNC làm đầu vào. Mực nước thấp nhất = đáy hồ + độ sâu tối thiểu dưới bè.</t>
        </is>
      </c>
    </row>
    <row r="22" ht="15" customHeight="1" s="1">
      <c r="B22" s="4" t="n"/>
      <c r="C22" s="4" t="inlineStr">
        <is>
          <t>MNC chỉ dùng để KIỂM TRA khả thi: nếu MNC thấp hơn mức đó thì bè sẽ mắc cạn.</t>
        </is>
      </c>
    </row>
    <row r="23" ht="15" customHeight="1" s="1">
      <c r="B23" s="4" t="n"/>
      <c r="C23" s="4" t="n"/>
    </row>
    <row r="24" ht="15" customHeight="1" s="1">
      <c r="B24" s="5" t="inlineStr">
        <is>
          <t>GIỚI HẠN</t>
        </is>
      </c>
      <c r="C24" s="4" t="n"/>
    </row>
    <row r="25" ht="15" customHeight="1" s="1">
      <c r="B25" s="4" t="n"/>
      <c r="C25" s="4" t="inlineStr">
        <is>
          <t>Tính sơ bộ. Mô hình tĩnh, tuyến tính, bè chỉ tịnh tiến không xoay.</t>
        </is>
      </c>
    </row>
    <row r="26" ht="15" customHeight="1" s="1">
      <c r="B26" s="4" t="n"/>
      <c r="C26" s="4" t="inlineStr">
        <is>
          <t>Không mô phỏng động lực học, dây chùng phi tuyến, mỏi.</t>
        </is>
      </c>
    </row>
    <row r="27" ht="15" customHeight="1" s="1">
      <c r="B27" s="4" t="n"/>
      <c r="C27" s="4" t="inlineStr">
        <is>
          <t>Thiết kế thi công phải do kỹ sư chuyên ngành lập và thẩm tra.</t>
        </is>
      </c>
    </row>
    <row r="29" ht="15" customHeight="1" s="1">
      <c r="B29" s="5" t="inlineStr">
        <is>
          <t>GIẢI THÍCH CÔNG THỨC</t>
        </is>
      </c>
    </row>
    <row r="30" ht="15" customHeight="1" s="1">
      <c r="B30" s="5" t="inlineStr">
        <is>
          <t>Cột E (bên phải công thức)</t>
        </is>
      </c>
      <c r="C30" s="4" t="inlineStr">
        <is>
          <t>Mọi ô công thức đều có ô liền kề bên phải ghi rõ tính từ đâu — ô nào, sheet nào, ý nghĩa gì.</t>
        </is>
      </c>
    </row>
    <row r="31" ht="15" customHeight="1" s="1">
      <c r="B31" s="5" t="inlineStr">
        <is>
          <t>Di chuột vào tiêu đề cột</t>
        </is>
      </c>
      <c r="C31" s="4" t="inlineStr">
        <is>
          <t>Ở trang 3.BE_VA_NEO (dạng bảng), di chuột vào TIÊU ĐỀ mỗi cột để xem chú thích công thức của cả cột.</t>
        </is>
      </c>
    </row>
    <row r="32" ht="15" customHeight="1" s="1">
      <c r="B32" s="5" t="inlineStr">
        <is>
          <t>Ký hiệu tham chiếu</t>
        </is>
      </c>
      <c r="C32" s="4" t="inlineStr">
        <is>
          <t>"Ô C29" = ô C29 trong CÙNG sheet. "2.THONG_SO ô C31" = ô C31 ở SHEET KHÁC.</t>
        </is>
      </c>
    </row>
    <row r="33" ht="15" customHeight="1" s="1">
      <c r="B33" s="5" t="inlineStr">
        <is>
          <t>Không sửa ô có nền xanh</t>
        </is>
      </c>
      <c r="C33" s="4" t="inlineStr">
        <is>
          <t>Nền xanh nhạt là công thức tự tính. Chỉ sửa ô nền vàng (đầu vào).</t>
        </is>
      </c>
    </row>
    <row r="35" ht="15" customHeight="1" s="1">
      <c r="B35" s="5" t="inlineStr">
        <is>
          <t>LOẠI NEO</t>
        </is>
      </c>
    </row>
    <row r="36" ht="15" customHeight="1" s="1">
      <c r="B36" s="5" t="inlineStr">
        <is>
          <t>Chỉ dùng CỌC ĐÓNG</t>
        </is>
      </c>
      <c r="C36" s="4" t="inlineStr">
        <is>
          <t>Neo bờ: cọc trên đất bờ, tay đòn nhỏ. Neo đáy: cọc đóng vào lòng hồ (2 cách, xem sheet 4 và sheet 7). KHÔNG dùng mỏ neo bản kéo/neo xoắn.</t>
        </is>
      </c>
    </row>
    <row r="37" ht="15" customHeight="1" s="1">
      <c r="B37" s="5" t="inlineStr">
        <is>
          <t>Bè 01 đã tính chi tiết</t>
        </is>
      </c>
      <c r="C37" s="4" t="inlineStr">
        <is>
          <t>Sheet 3 hàng BÈ 1 liên kết trực tiếp tới sheet 7. Các bè 2-13 còn để "Chưa tính chi tiết" — tính dần khi có bản vẽ, dùng sheet 4 làm công cụ.</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outlinePr summaryBelow="1" summaryRight="1"/>
    <pageSetUpPr fitToPage="1"/>
  </sheetPr>
  <dimension ref="B2:J62"/>
  <sheetViews>
    <sheetView zoomScaleNormal="100" workbookViewId="0">
      <selection activeCell="A1" sqref="A1"/>
    </sheetView>
  </sheetViews>
  <sheetFormatPr baseColWidth="8" defaultColWidth="8.7421875" defaultRowHeight="15"/>
  <cols>
    <col width="46.00390625" customWidth="1" style="1" min="2" max="2"/>
    <col width="13.98828125" customWidth="1" style="1" min="3" max="3"/>
    <col width="9.953125" customWidth="1" style="1" min="4" max="4"/>
    <col width="62.015625" customWidth="1" style="1" min="5" max="5"/>
    <col width="41.96875" customWidth="1" style="1" min="7" max="7"/>
    <col width="13.046875" customWidth="1" style="1" min="8" max="9"/>
    <col width="52.05859375" customWidth="1" style="1" min="10" max="10"/>
  </cols>
  <sheetData>
    <row r="2" ht="15.75" customHeight="1" s="1">
      <c r="B2" s="6" t="inlineStr">
        <is>
          <t>THÔNG SỐ ĐẦU VÀO</t>
        </is>
      </c>
    </row>
    <row r="4" ht="15" customHeight="1" s="1">
      <c r="B4" s="7" t="inlineStr">
        <is>
          <t>A. MỰC NƯỚC VÀ LÒNG HỒ</t>
        </is>
      </c>
      <c r="C4" s="7" t="n"/>
      <c r="D4" s="7" t="n"/>
      <c r="E4" s="7" t="n"/>
      <c r="F4" s="7" t="n"/>
    </row>
    <row r="5" ht="15" customHeight="1" s="1">
      <c r="B5" s="4" t="inlineStr">
        <is>
          <t>MNDBT</t>
        </is>
      </c>
      <c r="C5" s="8" t="n">
        <v>383</v>
      </c>
      <c r="D5" s="4" t="inlineStr">
        <is>
          <t>m</t>
        </is>
      </c>
      <c r="E5" s="9" t="inlineStr">
        <is>
          <t>Từ hồ sơ hồ</t>
        </is>
      </c>
    </row>
    <row r="6" ht="15" customHeight="1" s="1">
      <c r="B6" s="4" t="inlineStr">
        <is>
          <t>MNCN (mực nước cao nhất)</t>
        </is>
      </c>
      <c r="C6" s="10" t="n">
        <v>384</v>
      </c>
      <c r="D6" s="4" t="inlineStr">
        <is>
          <t>m</t>
        </is>
      </c>
      <c r="E6" s="9" t="inlineStr">
        <is>
          <t>GIẢ ĐỊNH</t>
        </is>
      </c>
    </row>
    <row r="7" ht="15" customHeight="1" s="1">
      <c r="B7" s="4" t="inlineStr">
        <is>
          <t>Độ sâu lớn nhất tại MNDBT</t>
        </is>
      </c>
      <c r="C7" s="8" t="n">
        <v>6.2</v>
      </c>
      <c r="D7" s="4" t="inlineStr">
        <is>
          <t>m</t>
        </is>
      </c>
      <c r="E7" s="9" t="inlineStr">
        <is>
          <t>Từ mặt cắt lòng hồ</t>
        </is>
      </c>
    </row>
    <row r="8" ht="15" customHeight="1" s="1">
      <c r="B8" s="4" t="inlineStr">
        <is>
          <t>Cao trình đáy hồ</t>
        </is>
      </c>
      <c r="C8" s="11">
        <f>C5-C7</f>
        <v/>
      </c>
      <c r="D8" s="4" t="inlineStr">
        <is>
          <t>m</t>
        </is>
      </c>
      <c r="E8" s="9" t="inlineStr">
        <is>
          <t>→ ô C5 (mndbt) − Ô C7 (độ sâu lớn nhất)</t>
        </is>
      </c>
    </row>
    <row r="9" ht="15" customHeight="1" s="1">
      <c r="B9" s="4" t="inlineStr">
        <is>
          <t>Độ sâu tối thiểu cần có dưới bè</t>
        </is>
      </c>
      <c r="C9" s="8" t="n">
        <v>1.5</v>
      </c>
      <c r="D9" s="4" t="inlineStr">
        <is>
          <t>m</t>
        </is>
      </c>
      <c r="E9" s="9" t="inlineStr">
        <is>
          <t>Mớn nước phao + mỏ neo + bùn + dự phòng</t>
        </is>
      </c>
    </row>
    <row r="10" ht="15" customHeight="1" s="1">
      <c r="B10" s="4" t="inlineStr">
        <is>
          <t>MỰC NƯỚC THẤP NHẤT THIẾT KẾ</t>
        </is>
      </c>
      <c r="C10" s="12">
        <f>C8+C9</f>
        <v/>
      </c>
      <c r="D10" s="4" t="inlineStr">
        <is>
          <t>m</t>
        </is>
      </c>
      <c r="E10" s="9" t="inlineStr">
        <is>
          <t>Đáy hồ + độ sâu tối thiểu</t>
        </is>
      </c>
    </row>
    <row r="11" ht="15" customHeight="1" s="1">
      <c r="B11" s="4" t="inlineStr">
        <is>
          <t>Biên độ làm việc của hệ neo</t>
        </is>
      </c>
      <c r="C11" s="11">
        <f>C5-C10</f>
        <v/>
      </c>
      <c r="D11" s="4" t="inlineStr">
        <is>
          <t>m</t>
        </is>
      </c>
      <c r="E11" s="9" t="inlineStr">
        <is>
          <t>→ ô C5 (mndbt) − Ô C10 (mực nước thấp nhất thiết kế)</t>
        </is>
      </c>
    </row>
    <row r="12" ht="15" customHeight="1" s="1">
      <c r="B12" s="4" t="inlineStr">
        <is>
          <t>Độ dốc bờ 1:m</t>
        </is>
      </c>
      <c r="C12" s="8" t="n">
        <v>3.1</v>
      </c>
      <c r="D12" s="4" t="inlineStr">
        <is>
          <t>-</t>
        </is>
      </c>
      <c r="E12" s="9" t="inlineStr">
        <is>
          <t>Đo từ đường đồng mức 0,5 m</t>
        </is>
      </c>
    </row>
    <row r="13" ht="15" customHeight="1" s="1">
      <c r="B13" s="4" t="inlineStr">
        <is>
          <t>Bờ lùi khi rút nước</t>
        </is>
      </c>
      <c r="C13" s="13">
        <f>C11*C12</f>
        <v/>
      </c>
      <c r="D13" s="4" t="inlineStr">
        <is>
          <t>m</t>
        </is>
      </c>
      <c r="E13" s="9" t="inlineStr">
        <is>
          <t>→ ô C11 (biên độ) × Ô C12 (độ dốc bờ 1:m)</t>
        </is>
      </c>
    </row>
    <row r="14" ht="15" customHeight="1" s="1">
      <c r="B14" s="4" t="inlineStr">
        <is>
          <t>MNC theo hồ sơ (chỉ để kiểm tra)</t>
        </is>
      </c>
      <c r="C14" s="8" t="n"/>
      <c r="D14" s="4" t="inlineStr">
        <is>
          <t>m</t>
        </is>
      </c>
      <c r="E14" s="9" t="inlineStr">
        <is>
          <t>Để trống nếu chưa có</t>
        </is>
      </c>
    </row>
    <row r="15" ht="15" customHeight="1" s="1">
      <c r="B15" s="4" t="inlineStr">
        <is>
          <t>KIỂM TRA KHẢ THI</t>
        </is>
      </c>
      <c r="C15" s="14">
        <f>IF(C14="","Chưa có MNC — chưa kiểm tra được",IF(C14&gt;=C10,"KHẢ THI","KHÔNG KHẢ THI — bè sẽ mắc cạn"))</f>
        <v/>
      </c>
      <c r="D15" s="4" t="n"/>
      <c r="E15" s="9" t="inlineStr">
        <is>
          <t>So sánh Ô C14 (MNC hồ sơ, nhập tay) với Ô C10. Để trống C14 thì chưa kiểm tra được</t>
        </is>
      </c>
    </row>
    <row r="17" ht="15" customHeight="1" s="1">
      <c r="B17" s="7" t="inlineStr">
        <is>
          <t>B. TẢI TRỌNG</t>
        </is>
      </c>
      <c r="C17" s="7" t="n"/>
      <c r="D17" s="7" t="n"/>
      <c r="E17" s="7" t="n"/>
      <c r="F17" s="7" t="n"/>
    </row>
    <row r="18" ht="15" customHeight="1" s="1">
      <c r="B18" s="4" t="inlineStr">
        <is>
          <t>Vận tốc gió thiết kế V</t>
        </is>
      </c>
      <c r="C18" s="10" t="n">
        <v>30</v>
      </c>
      <c r="D18" s="4" t="inlineStr">
        <is>
          <t>m/s</t>
        </is>
      </c>
      <c r="E18" s="9" t="inlineStr">
        <is>
          <t>GIẢ ĐỊNH — cần QCVN 02</t>
        </is>
      </c>
    </row>
    <row r="19" ht="15" customHeight="1" s="1">
      <c r="B19" s="4" t="inlineStr">
        <is>
          <t>Khối lượng riêng không khí</t>
        </is>
      </c>
      <c r="C19" s="8" t="n">
        <v>1.25</v>
      </c>
      <c r="D19" s="4" t="inlineStr">
        <is>
          <t>kg/m3</t>
        </is>
      </c>
      <c r="E19" s="9" t="n"/>
    </row>
    <row r="20" ht="15" customHeight="1" s="1">
      <c r="B20" s="4" t="inlineStr">
        <is>
          <t>Hệ số lực cản tấm pin</t>
        </is>
      </c>
      <c r="C20" s="10" t="n">
        <v>1.3</v>
      </c>
      <c r="D20" s="4" t="inlineStr">
        <is>
          <t>-</t>
        </is>
      </c>
      <c r="E20" s="9" t="inlineStr">
        <is>
          <t>GIẢ ĐỊNH</t>
        </is>
      </c>
    </row>
    <row r="21" ht="15" customHeight="1" s="1">
      <c r="B21" s="4" t="inlineStr">
        <is>
          <t>Hệ số che chắn giữa các hàng</t>
        </is>
      </c>
      <c r="C21" s="10" t="n">
        <v>0.55</v>
      </c>
      <c r="D21" s="4" t="inlineStr">
        <is>
          <t>-</t>
        </is>
      </c>
      <c r="E21" s="9" t="inlineStr">
        <is>
          <t>GIẢ ĐỊNH</t>
        </is>
      </c>
    </row>
    <row r="22" ht="15" customHeight="1" s="1">
      <c r="B22" s="4" t="inlineStr">
        <is>
          <t>Hệ số lực cản phao</t>
        </is>
      </c>
      <c r="C22" s="10" t="n">
        <v>1.1</v>
      </c>
      <c r="D22" s="4" t="inlineStr">
        <is>
          <t>-</t>
        </is>
      </c>
      <c r="E22" s="9" t="inlineStr">
        <is>
          <t>GIẢ ĐỊNH</t>
        </is>
      </c>
    </row>
    <row r="23" ht="15" customHeight="1" s="1">
      <c r="B23" s="4" t="inlineStr">
        <is>
          <t>Chiều cao phần nổi của phao</t>
        </is>
      </c>
      <c r="C23" s="10" t="n">
        <v>0.35</v>
      </c>
      <c r="D23" s="4" t="inlineStr">
        <is>
          <t>m</t>
        </is>
      </c>
      <c r="E23" s="9" t="inlineStr">
        <is>
          <t>GIẢ ĐỊNH</t>
        </is>
      </c>
    </row>
    <row r="24" ht="15" customHeight="1" s="1">
      <c r="B24" s="4" t="inlineStr">
        <is>
          <t>Góc nghiêng tấm pin</t>
        </is>
      </c>
      <c r="C24" s="8" t="n">
        <v>12</v>
      </c>
      <c r="D24" s="4" t="inlineStr">
        <is>
          <t>độ</t>
        </is>
      </c>
      <c r="E24" s="9" t="n"/>
    </row>
    <row r="25" ht="15" customHeight="1" s="1">
      <c r="B25" s="4" t="inlineStr">
        <is>
          <t>Diện tích một tấm pin</t>
        </is>
      </c>
      <c r="C25" s="8" t="n">
        <v>2.701</v>
      </c>
      <c r="D25" s="4" t="inlineStr">
        <is>
          <t>m2</t>
        </is>
      </c>
      <c r="E25" s="9" t="inlineStr">
        <is>
          <t>2382 x 1134 mm</t>
        </is>
      </c>
    </row>
    <row r="26" ht="15" customHeight="1" s="1">
      <c r="B26" s="4" t="inlineStr">
        <is>
          <t>Tổng số tấm pin toàn dự án</t>
        </is>
      </c>
      <c r="C26" s="15" t="n">
        <v>17367</v>
      </c>
      <c r="D26" s="4" t="inlineStr">
        <is>
          <t>tấm</t>
        </is>
      </c>
      <c r="E26" s="9" t="inlineStr">
        <is>
          <t>Từ bản vẽ</t>
        </is>
      </c>
    </row>
    <row r="27" ht="15" customHeight="1" s="1">
      <c r="B27" s="4" t="inlineStr">
        <is>
          <t>Tổng diện tích bè toàn dự án</t>
        </is>
      </c>
      <c r="C27" s="15" t="n">
        <v>81115</v>
      </c>
      <c r="D27" s="4" t="inlineStr">
        <is>
          <t>m2</t>
        </is>
      </c>
      <c r="E27" s="9" t="inlineStr">
        <is>
          <t>Từ bản vẽ</t>
        </is>
      </c>
    </row>
    <row r="28" ht="15" customHeight="1" s="1">
      <c r="B28" s="4" t="inlineStr">
        <is>
          <t>Cộng thêm cho dòng chảy và sóng</t>
        </is>
      </c>
      <c r="C28" s="8" t="n">
        <v>1.05</v>
      </c>
      <c r="D28" s="4" t="inlineStr">
        <is>
          <t>-</t>
        </is>
      </c>
      <c r="E28" s="9" t="inlineStr">
        <is>
          <t>Hồ gần như không sóng</t>
        </is>
      </c>
    </row>
    <row r="30" ht="15" customHeight="1" s="1">
      <c r="B30" s="7" t="inlineStr">
        <is>
          <t>C. DÂY CÁP</t>
        </is>
      </c>
      <c r="C30" s="7" t="n"/>
      <c r="D30" s="7" t="n"/>
      <c r="E30" s="7" t="n"/>
      <c r="F30" s="7" t="n"/>
    </row>
    <row r="31" ht="15" customHeight="1" s="1">
      <c r="B31" s="4" t="inlineStr">
        <is>
          <t>Hệ số an toàn cho cáp</t>
        </is>
      </c>
      <c r="C31" s="10" t="n">
        <v>3</v>
      </c>
      <c r="D31" s="4" t="inlineStr">
        <is>
          <t>-</t>
        </is>
      </c>
      <c r="E31" s="9" t="inlineStr">
        <is>
          <t>GIẢ ĐỊNH</t>
        </is>
      </c>
    </row>
    <row r="32" ht="15" customHeight="1" s="1">
      <c r="B32" s="4" t="inlineStr">
        <is>
          <t>Lực căng trước T0</t>
        </is>
      </c>
      <c r="C32" s="10" t="n">
        <v>5</v>
      </c>
      <c r="D32" s="4" t="inlineStr">
        <is>
          <t>kN</t>
        </is>
      </c>
      <c r="E32" s="9" t="inlineStr">
        <is>
          <t>GIẢ ĐỊNH</t>
        </is>
      </c>
    </row>
    <row r="33" ht="15" customHeight="1" s="1">
      <c r="B33" s="4" t="inlineStr">
        <is>
          <t>Khoảng cách dây tối đa</t>
        </is>
      </c>
      <c r="C33" s="8" t="n">
        <v>15</v>
      </c>
      <c r="D33" s="4" t="inlineStr">
        <is>
          <t>m</t>
        </is>
      </c>
      <c r="E33" s="9" t="inlineStr">
        <is>
          <t>Theo cấu tạo</t>
        </is>
      </c>
    </row>
    <row r="35" ht="15" customHeight="1" s="1">
      <c r="B35" s="7" t="inlineStr">
        <is>
          <t>D. ĐẤT NỀN VÀ MỎ NEO</t>
        </is>
      </c>
      <c r="C35" s="7" t="n"/>
      <c r="D35" s="7" t="n"/>
      <c r="E35" s="7" t="n"/>
      <c r="F35" s="7" t="n"/>
      <c r="G35" s="4" t="n"/>
      <c r="H35" s="4" t="n"/>
      <c r="I35" s="4" t="n"/>
      <c r="J35" s="4" t="n"/>
    </row>
    <row r="36" ht="15" customHeight="1" s="1">
      <c r="B36" s="4" t="inlineStr">
        <is>
          <t>cu tại LÒNG HỒ (đáy hồ) — dùng cho cọc neo đáy</t>
        </is>
      </c>
      <c r="C36" s="10" t="n">
        <v>20</v>
      </c>
      <c r="D36" s="4" t="inlineStr">
        <is>
          <t>kPa</t>
        </is>
      </c>
      <c r="E36" s="9" t="inlineStr">
        <is>
          <t>NHẬP: lực dính bùn đáy hồ. Dùng cho MỌI cọc đóng dưới nước</t>
        </is>
      </c>
      <c r="G36" s="4" t="n"/>
      <c r="H36" s="16" t="n"/>
      <c r="I36" s="4" t="n"/>
      <c r="J36" s="4" t="n"/>
    </row>
    <row r="37" ht="15" customHeight="1" s="1">
      <c r="B37" s="4" t="inlineStr">
        <is>
          <t>Hệ số an toàn cọc (Broms)</t>
        </is>
      </c>
      <c r="C37" s="10" t="n">
        <v>2.5</v>
      </c>
      <c r="D37" s="4" t="inlineStr">
        <is>
          <t>-</t>
        </is>
      </c>
      <c r="E37" s="9" t="inlineStr">
        <is>
          <t>GIẢ ĐỊNH</t>
        </is>
      </c>
      <c r="G37" s="4" t="n"/>
      <c r="H37" s="17" t="n"/>
      <c r="I37" s="4" t="n"/>
      <c r="J37" s="4" t="n"/>
    </row>
    <row r="38" ht="15" customHeight="1" s="1">
      <c r="B38" s="4" t="n"/>
      <c r="C38" s="18" t="n"/>
      <c r="D38" s="4" t="n"/>
      <c r="E38" s="4" t="n"/>
      <c r="F38" s="4" t="n"/>
      <c r="G38" s="4" t="n"/>
      <c r="H38" s="16" t="n"/>
      <c r="I38" s="4" t="n"/>
      <c r="J38" s="4" t="n"/>
    </row>
    <row r="39" ht="15" customHeight="1" s="1">
      <c r="B39" s="4" t="n"/>
      <c r="C39" s="18" t="n"/>
      <c r="D39" s="4" t="n"/>
      <c r="E39" s="4" t="n"/>
      <c r="F39" s="4" t="n"/>
      <c r="G39" s="4" t="n"/>
      <c r="H39" s="17" t="n"/>
      <c r="I39" s="4" t="n"/>
      <c r="J39" s="4" t="n"/>
    </row>
    <row r="40" ht="15" customHeight="1" s="1">
      <c r="B40" s="4" t="n"/>
      <c r="C40" s="18" t="n"/>
      <c r="D40" s="4" t="n"/>
      <c r="E40" s="4" t="n"/>
      <c r="F40" s="4" t="n"/>
      <c r="G40" s="4" t="n"/>
      <c r="H40" s="17" t="n"/>
      <c r="I40" s="4" t="n"/>
      <c r="J40" s="4" t="n"/>
    </row>
    <row r="41" ht="15" customHeight="1" s="1">
      <c r="B41" t="inlineStr">
        <is>
          <t>cu tại ĐẤT BỜ — dùng cho cọc neo bờ</t>
        </is>
      </c>
      <c r="C41" s="8" t="n">
        <v>40</v>
      </c>
      <c r="D41" s="4" t="inlineStr">
        <is>
          <t>kPa</t>
        </is>
      </c>
      <c r="E41" s="19" t="inlineStr">
        <is>
          <t>NHẬP: lực dính đất bờ, thường CAO HƠN bùn đáy hồ. CẦN KHẢO SÁT</t>
        </is>
      </c>
      <c r="G41" s="4" t="n"/>
      <c r="H41" s="16" t="n"/>
      <c r="I41" s="4" t="n"/>
      <c r="J41" s="4" t="n"/>
    </row>
    <row r="42" ht="15" customHeight="1" s="1">
      <c r="B42" s="7" t="inlineStr">
        <is>
          <t>E. CỌC LÒNG HỒ — CÁCH 2 (đỉnh cọc trên MNCN, qua vòng trượt)</t>
        </is>
      </c>
      <c r="C42" s="7" t="n"/>
      <c r="D42" s="7" t="n"/>
      <c r="E42" s="7" t="n"/>
      <c r="F42" s="7" t="n"/>
      <c r="G42" s="4" t="n"/>
      <c r="H42" s="16" t="n"/>
      <c r="I42" s="4" t="n"/>
      <c r="J42" s="4" t="n"/>
    </row>
    <row r="43" ht="15" customHeight="1" s="1">
      <c r="B43" s="4" t="inlineStr">
        <is>
          <t>Cao trình chân cọc</t>
        </is>
      </c>
      <c r="C43" s="11">
        <f>C10</f>
        <v/>
      </c>
      <c r="D43" s="4" t="inlineStr">
        <is>
          <t>m</t>
        </is>
      </c>
      <c r="E43" s="9" t="inlineStr">
        <is>
          <t>Cách 2 chỉ dùng khi bắt buộc tránh thợ lặn. Xem so sánh 2 cách ở sheet 4 và sheet 7</t>
        </is>
      </c>
      <c r="G43" s="4" t="n"/>
      <c r="H43" s="16" t="n"/>
      <c r="I43" s="4" t="n"/>
      <c r="J43" s="4" t="n"/>
    </row>
    <row r="44" ht="15" customHeight="1" s="1">
      <c r="B44" s="4" t="inlineStr">
        <is>
          <t>Cao trình đỉnh cọc</t>
        </is>
      </c>
      <c r="C44" s="11">
        <f>C6+0.8</f>
        <v/>
      </c>
      <c r="D44" s="4" t="inlineStr">
        <is>
          <t>m</t>
        </is>
      </c>
      <c r="E44" s="9" t="inlineStr">
        <is>
          <t>MNCN + 0,8 m chống tuột vòng</t>
        </is>
      </c>
      <c r="G44" s="4" t="n"/>
      <c r="H44" s="16" t="n"/>
      <c r="I44" s="4" t="n"/>
      <c r="J44" s="4" t="n"/>
    </row>
    <row r="45" ht="15" customHeight="1" s="1">
      <c r="B45" s="4" t="inlineStr">
        <is>
          <t>Tay đòn e khi hồ đầy</t>
        </is>
      </c>
      <c r="C45" s="11">
        <f>C5+C23-C43</f>
        <v/>
      </c>
      <c r="D45" s="4" t="inlineStr">
        <is>
          <t>m</t>
        </is>
      </c>
      <c r="E45" s="9" t="inlineStr">
        <is>
          <t>TRƯỜNG HỢP BẤT LỢI NHẤT</t>
        </is>
      </c>
      <c r="G45" s="4" t="n"/>
      <c r="H45" s="16" t="n"/>
      <c r="I45" s="4" t="n"/>
      <c r="J45" s="4" t="n"/>
    </row>
    <row r="46" ht="15" customHeight="1" s="1">
      <c r="B46" s="4" t="inlineStr">
        <is>
          <t>Đường kính ống thép D</t>
        </is>
      </c>
      <c r="C46" s="8" t="n">
        <v>0.8</v>
      </c>
      <c r="D46" s="4" t="inlineStr">
        <is>
          <t>m</t>
        </is>
      </c>
      <c r="E46" s="9" t="n"/>
      <c r="G46" s="4" t="n"/>
      <c r="H46" s="4" t="n"/>
      <c r="I46" s="4" t="n"/>
      <c r="J46" s="4" t="n"/>
    </row>
    <row r="47" ht="15" customHeight="1" s="1">
      <c r="B47" s="4" t="inlineStr">
        <is>
          <t>Chiều dày thành t</t>
        </is>
      </c>
      <c r="C47" s="20" t="n">
        <v>0.016</v>
      </c>
      <c r="D47" s="4" t="inlineStr">
        <is>
          <t>m</t>
        </is>
      </c>
      <c r="E47" s="9" t="n"/>
      <c r="G47" s="4" t="n"/>
      <c r="H47" s="4" t="n"/>
      <c r="I47" s="4" t="n"/>
      <c r="J47" s="4" t="n"/>
    </row>
    <row r="48" ht="15" customHeight="1" s="1">
      <c r="B48" s="4" t="inlineStr">
        <is>
          <t>Chiều sâu ngàm L</t>
        </is>
      </c>
      <c r="C48" s="8" t="n">
        <v>13</v>
      </c>
      <c r="D48" s="4" t="inlineStr">
        <is>
          <t>m</t>
        </is>
      </c>
      <c r="E48" s="9" t="n"/>
      <c r="G48" s="4" t="n"/>
      <c r="H48" s="4" t="n"/>
      <c r="I48" s="4" t="n"/>
      <c r="J48" s="4" t="n"/>
    </row>
    <row r="49" ht="15" customHeight="1" s="1">
      <c r="B49" s="4" t="inlineStr">
        <is>
          <t>Giới hạn chảy thép fy</t>
        </is>
      </c>
      <c r="C49" s="15" t="n">
        <v>235000</v>
      </c>
      <c r="D49" s="4" t="inlineStr">
        <is>
          <t>kPa</t>
        </is>
      </c>
      <c r="E49" s="9" t="inlineStr">
        <is>
          <t>S235</t>
        </is>
      </c>
      <c r="G49" s="4" t="n"/>
      <c r="H49" s="4" t="n"/>
      <c r="I49" s="4" t="n"/>
      <c r="J49" s="4" t="n"/>
    </row>
    <row r="50" ht="15" customHeight="1" s="1">
      <c r="G50" s="4" t="n"/>
      <c r="H50" s="21" t="n"/>
      <c r="I50" s="17" t="n"/>
      <c r="J50" s="4" t="n"/>
    </row>
    <row r="51" ht="15" customHeight="1" s="1">
      <c r="B51" s="4" t="n"/>
      <c r="C51" s="4" t="n"/>
      <c r="D51" s="4" t="n"/>
      <c r="E51" s="4" t="n"/>
      <c r="F51" s="4" t="n"/>
      <c r="G51" s="4" t="n"/>
      <c r="H51" s="21" t="n"/>
      <c r="I51" s="17" t="n"/>
      <c r="J51" s="4" t="n"/>
    </row>
    <row r="52" ht="15" customHeight="1" s="1">
      <c r="B52" s="4" t="n"/>
      <c r="C52" s="22" t="n"/>
      <c r="D52" s="4" t="n"/>
      <c r="E52" s="4" t="n"/>
      <c r="F52" s="4" t="n"/>
      <c r="G52" s="4" t="n"/>
      <c r="H52" s="21" t="n"/>
      <c r="I52" s="17" t="n"/>
      <c r="J52" s="4" t="n"/>
    </row>
    <row r="53" ht="15" customHeight="1" s="1">
      <c r="B53" s="4" t="n"/>
      <c r="C53" s="22" t="n"/>
      <c r="D53" s="4" t="n"/>
      <c r="E53" s="4" t="n"/>
      <c r="F53" s="4" t="n"/>
      <c r="G53" s="4" t="n"/>
      <c r="H53" s="21" t="n"/>
      <c r="I53" s="17" t="n"/>
      <c r="J53" s="4" t="n"/>
    </row>
    <row r="54" ht="15" customHeight="1" s="1">
      <c r="B54" s="4" t="n"/>
      <c r="C54" s="22" t="n"/>
      <c r="D54" s="4" t="n"/>
      <c r="E54" s="4" t="n"/>
      <c r="F54" s="4" t="n"/>
      <c r="G54" s="4" t="n"/>
      <c r="H54" s="21" t="n"/>
      <c r="I54" s="17" t="n"/>
      <c r="J54" s="4" t="n"/>
    </row>
    <row r="55" ht="15" customHeight="1" s="1">
      <c r="B55" s="4" t="n"/>
      <c r="C55" s="22" t="n"/>
      <c r="D55" s="4" t="n"/>
      <c r="E55" s="4" t="n"/>
      <c r="F55" s="4" t="n"/>
      <c r="G55" s="4" t="n"/>
      <c r="H55" s="4" t="n"/>
      <c r="I55" s="4" t="n"/>
      <c r="J55" s="4" t="n"/>
    </row>
    <row r="56" ht="15" customHeight="1" s="1">
      <c r="B56" s="4" t="n"/>
      <c r="C56" s="22" t="n"/>
      <c r="D56" s="4" t="n"/>
      <c r="E56" s="4" t="n"/>
      <c r="F56" s="4" t="n"/>
      <c r="G56" s="4" t="n"/>
      <c r="H56" s="4" t="n"/>
    </row>
    <row r="57" ht="15" customHeight="1" s="1">
      <c r="B57" s="4" t="n"/>
      <c r="C57" s="22" t="n"/>
      <c r="D57" s="4" t="n"/>
      <c r="E57" s="4" t="n"/>
      <c r="F57" s="4" t="n"/>
      <c r="G57" s="4" t="n"/>
      <c r="H57" s="4" t="n"/>
    </row>
    <row r="58" ht="15" customHeight="1" s="1">
      <c r="B58" s="4" t="n"/>
      <c r="C58" s="22" t="n"/>
      <c r="D58" s="4" t="n"/>
      <c r="E58" s="4" t="n"/>
      <c r="F58" s="4" t="n"/>
      <c r="G58" s="4" t="n"/>
      <c r="H58" s="4" t="n"/>
    </row>
    <row r="59" ht="15" customHeight="1" s="1">
      <c r="B59" s="4" t="n"/>
      <c r="C59" s="22" t="n"/>
      <c r="D59" s="4" t="n"/>
      <c r="E59" s="4" t="n"/>
      <c r="F59" s="4" t="n"/>
      <c r="G59" s="4" t="n"/>
      <c r="H59" s="4" t="n"/>
    </row>
    <row r="60" ht="15" customHeight="1" s="1">
      <c r="B60" s="4" t="n"/>
      <c r="C60" s="22" t="n"/>
      <c r="D60" s="4" t="n"/>
      <c r="E60" s="4" t="n"/>
      <c r="F60" s="4" t="n"/>
      <c r="G60" s="4" t="n"/>
      <c r="H60" s="4" t="n"/>
    </row>
    <row r="61" ht="15" customHeight="1" s="1">
      <c r="B61" s="4" t="n"/>
      <c r="C61" s="22" t="n"/>
      <c r="D61" s="4" t="n"/>
      <c r="E61" s="4" t="n"/>
      <c r="F61" s="4" t="n"/>
      <c r="G61" s="4" t="n"/>
      <c r="H61" s="4" t="n"/>
    </row>
    <row r="62" ht="15" customHeight="1" s="1">
      <c r="B62" s="4" t="n"/>
      <c r="C62" s="22" t="n"/>
      <c r="D62" s="4" t="n"/>
      <c r="E62" s="4" t="n"/>
      <c r="F62" s="4" t="n"/>
      <c r="G62" s="4" t="n"/>
      <c r="H62" s="4" t="n"/>
    </row>
  </sheetData>
  <conditionalFormatting sqref="C15">
    <cfRule type="cellIs" priority="2" operator="equal" dxfId="1">
      <formula>"KHẢ THI"</formula>
    </cfRule>
  </conditionalFormatting>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outlinePr summaryBelow="1" summaryRight="1"/>
    <pageSetUpPr fitToPage="1"/>
  </sheetPr>
  <dimension ref="B2:AO29"/>
  <sheetViews>
    <sheetView zoomScaleNormal="100" workbookViewId="0">
      <pane xSplit="2" ySplit="5" topLeftCell="C6" activePane="bottomRight" state="frozen"/>
      <selection pane="bottomLeft" activeCell="A6" sqref="A6"/>
      <selection pane="topRight" activeCell="C1" sqref="C1"/>
      <selection pane="bottomRight" activeCell="A1" sqref="A1"/>
    </sheetView>
  </sheetViews>
  <sheetFormatPr baseColWidth="8" defaultColWidth="8.7421875" defaultRowHeight="15"/>
  <cols>
    <col width="6.9921875" customWidth="1" style="1" min="2" max="2"/>
    <col width="13.046875" customWidth="1" style="1" min="3" max="3"/>
    <col width="11.02734375" customWidth="1" style="1" min="4" max="4"/>
    <col width="9.953125" customWidth="1" style="1" min="5" max="7"/>
    <col width="11.02734375" customWidth="1" style="1" min="8" max="8"/>
    <col width="13.046875" customWidth="1" style="1" min="9" max="9"/>
    <col width="13.98828125" customWidth="1" style="1" min="10" max="10"/>
    <col width="16.94921875" customWidth="1" style="1" min="11" max="11"/>
    <col width="13.046875" customWidth="1" style="1" min="12" max="12"/>
    <col width="11.97265625" customWidth="1" style="1" min="13" max="13"/>
    <col width="9.01171875" customWidth="1" style="1" min="14" max="14"/>
    <col width="11.02734375" customWidth="1" style="1" min="15" max="15"/>
    <col width="11.97265625" customWidth="1" style="1" min="16" max="16"/>
    <col width="14.9296875" customWidth="1" style="1" min="17" max="17"/>
    <col width="11.02734375" customWidth="1" style="1" min="18" max="18"/>
    <col width="13.046875" customWidth="1" style="1" min="19" max="19"/>
    <col width="9.01171875" customWidth="1" style="1" min="20" max="20"/>
    <col width="11.97265625" customWidth="1" style="1" min="21" max="21"/>
    <col width="14.9296875" customWidth="1" style="1" min="22" max="22"/>
    <col width="13.046875" customWidth="1" style="1" min="23" max="23"/>
    <col width="11.02734375" customWidth="1" style="1" min="24" max="24"/>
    <col width="11.97265625" customWidth="1" style="1" min="25" max="25"/>
    <col width="13.5" customWidth="1" style="1" min="26" max="26"/>
    <col width="13.5" customWidth="1" style="1" min="27" max="27"/>
    <col width="13.5" customWidth="1" style="1" min="28" max="28"/>
    <col width="13.5" customWidth="1" style="1" min="29" max="29"/>
    <col width="13.5" customWidth="1" style="1" min="30" max="30"/>
    <col width="13.5" customWidth="1" style="1" min="31" max="31"/>
    <col width="13.5" customWidth="1" style="1" min="32" max="32"/>
    <col width="13.5" customWidth="1" style="1" min="33" max="33"/>
    <col width="13.5" customWidth="1" style="1" min="34" max="34"/>
    <col width="13.5" customWidth="1" style="1" min="35" max="35"/>
    <col width="13.5" customWidth="1" style="1" min="36" max="36"/>
    <col width="13.5" customWidth="1" style="1" min="37" max="37"/>
    <col width="13.5" customWidth="1" style="1" min="38" max="38"/>
    <col width="13.5" customWidth="1" style="1" min="39" max="39"/>
    <col width="13.5" customWidth="1" style="1" min="40" max="40"/>
    <col width="13.5" customWidth="1" style="1" min="41" max="41"/>
  </cols>
  <sheetData>
    <row r="2" ht="15.75" customHeight="1" s="1">
      <c r="B2" s="6" t="inlineStr">
        <is>
          <t>TÍNH TOÁN 13 BÈ — MỖI BÈ MỘT DÒNG</t>
        </is>
      </c>
    </row>
    <row r="3" ht="15" customHeight="1" s="1">
      <c r="B3" s="9" t="inlineStr">
        <is>
          <t>Ô vàng là nhập (hình học đọc từ bản vẽ + hệ số tập trung lực). Còn lại tự tính.</t>
        </is>
      </c>
    </row>
    <row r="5" ht="13.5" customHeight="1" s="1">
      <c r="B5" s="23" t="inlineStr">
        <is>
          <t>Bè</t>
        </is>
      </c>
      <c r="C5" s="23" t="inlineStr">
        <is>
          <t>Diện tích (m²)</t>
        </is>
      </c>
      <c r="D5" s="23" t="inlineStr">
        <is>
          <t>Chu vi (m)</t>
        </is>
      </c>
      <c r="E5" s="23" t="inlineStr">
        <is>
          <t>Dài (m)</t>
        </is>
      </c>
      <c r="F5" s="23" t="inlineStr">
        <is>
          <t>Rộng (m)</t>
        </is>
      </c>
      <c r="G5" s="23" t="inlineStr">
        <is>
          <t>Góc bè (°)</t>
        </is>
      </c>
      <c r="H5" s="23" t="inlineStr">
        <is>
          <t>Số tấm pin</t>
        </is>
      </c>
      <c r="I5" s="23" t="inlineStr">
        <is>
          <t>A chiếu pin (m²)</t>
        </is>
      </c>
      <c r="J5" s="23" t="inlineStr">
        <is>
          <t>A chiếu phao (m²)</t>
        </is>
      </c>
      <c r="K5" s="23" t="inlineStr">
        <is>
          <t>LỰC MÔI TRƯỜNG F (kN)</t>
        </is>
      </c>
      <c r="L5" s="23" t="inlineStr">
        <is>
          <t>Hệ số tập trung</t>
        </is>
      </c>
      <c r="M5" s="23" t="inlineStr">
        <is>
          <t>T max (kN)</t>
        </is>
      </c>
      <c r="N5" s="23" t="inlineStr">
        <is>
          <t>Số dây</t>
        </is>
      </c>
      <c r="O5" s="23" t="inlineStr">
        <is>
          <t>Số neo bờ</t>
        </is>
      </c>
      <c r="P5" s="23" t="inlineStr">
        <is>
          <t>Số neo đáy</t>
        </is>
      </c>
      <c r="Q5" s="23" t="inlineStr">
        <is>
          <t>MBL cáp yêu cầu (kN)</t>
        </is>
      </c>
      <c r="R5" s="23" t="inlineStr">
        <is>
          <t>Cáp chọn</t>
        </is>
      </c>
      <c r="S5" s="23" t="inlineStr">
        <is>
          <t>MBL cáp (kN)</t>
        </is>
      </c>
      <c r="T5" s="23" t="inlineStr">
        <is>
          <t>HS cáp</t>
        </is>
      </c>
      <c r="U5" s="23" t="inlineStr">
        <is>
          <t>KT CÁP</t>
        </is>
      </c>
      <c r="V5" s="23" t="inlineStr">
        <is>
          <t>Loại neo đáy</t>
        </is>
      </c>
      <c r="W5" s="23" t="inlineStr">
        <is>
          <t>Sức chịu (kN)</t>
        </is>
      </c>
      <c r="X5" s="23" t="inlineStr">
        <is>
          <t>HS neo đáy</t>
        </is>
      </c>
      <c r="Y5" s="23" t="inlineStr">
        <is>
          <t>KT NEO ĐÁY</t>
        </is>
      </c>
      <c r="Z5" s="23" t="inlineStr">
        <is>
          <t>Độ sâu nước tại bè (m)</t>
        </is>
      </c>
      <c r="AA5" s="23" t="inlineStr">
        <is>
          <t>K.cách bè→cọc NEO ĐÁY (m)</t>
        </is>
      </c>
      <c r="AB5" s="23" t="inlineStr">
        <is>
          <t>Góc dây tại cọc (°)</t>
        </is>
      </c>
      <c r="AC5" s="23" t="inlineStr">
        <is>
          <t>Th - Lực ngang (kN)</t>
        </is>
      </c>
      <c r="AD5" s="23" t="inlineStr">
        <is>
          <t>Tv - Lực nhổ (kN)</t>
        </is>
      </c>
      <c r="AE5" s="23" t="inlineStr">
        <is>
          <t>Sức chịu NGANG cọc (kN)</t>
        </is>
      </c>
      <c r="AF5" s="23" t="inlineStr">
        <is>
          <t>Sức chịu NHỔ cọc (kN)</t>
        </is>
      </c>
      <c r="AG5" s="23" t="inlineStr">
        <is>
          <t>HS ngang</t>
        </is>
      </c>
      <c r="AH5" s="23" t="inlineStr">
        <is>
          <t>HS nhổ</t>
        </is>
      </c>
      <c r="AI5" s="23" t="inlineStr">
        <is>
          <t>KT NEO ĐÁY (theo k.cách)</t>
        </is>
      </c>
      <c r="AJ5" s="23" t="inlineStr">
        <is>
          <t>Dài 1 dây NEO ĐÁY (m)</t>
        </is>
      </c>
      <c r="AK5" s="23" t="inlineStr">
        <is>
          <t>Tổng dài dây NEO ĐÁY (m)</t>
        </is>
      </c>
      <c r="AL5" s="23" t="inlineStr">
        <is>
          <t>K.cách bè→cọc NEO BỜ (m)</t>
        </is>
      </c>
      <c r="AM5" s="23" t="inlineStr">
        <is>
          <t>Dài 1 dây NEO BỜ (m)</t>
        </is>
      </c>
      <c r="AN5" s="23" t="inlineStr">
        <is>
          <t>Tổng dài dây NEO BỜ (m)</t>
        </is>
      </c>
      <c r="AO5" s="23" t="inlineStr">
        <is>
          <t>TỔNG DÀI DÂY NEO (m)</t>
        </is>
      </c>
    </row>
    <row r="6" ht="15" customHeight="1" s="1">
      <c r="B6" s="24" t="inlineStr">
        <is>
          <t>BÈ 1</t>
        </is>
      </c>
      <c r="C6" s="15" t="n">
        <v>3600</v>
      </c>
      <c r="D6" s="25" t="n">
        <v>263.2</v>
      </c>
      <c r="E6" s="25" t="n">
        <v>90.59999999999999</v>
      </c>
      <c r="F6" s="25" t="n">
        <v>41</v>
      </c>
      <c r="G6" s="25" t="n">
        <v>144</v>
      </c>
      <c r="H6" s="26">
        <f>ROUND(C6/'2.THONG_SO'!$C$27*'2.THONG_SO'!$C$26,0)</f>
        <v/>
      </c>
      <c r="I6" s="26">
        <f>H6*'2.THONG_SO'!$C$25*SIN(RADIANS('2.THONG_SO'!$C$24))</f>
        <v/>
      </c>
      <c r="J6" s="13">
        <f>(E6+F6)/2*'2.THONG_SO'!$C$23</f>
        <v/>
      </c>
      <c r="K6" s="13">
        <f>0.5*'2.THONG_SO'!$C$19*('2.THONG_SO'!$C$20*I6*'2.THONG_SO'!$C$21+'2.THONG_SO'!$C$22*J6)*'2.THONG_SO'!$C$18^2/1000*'2.THONG_SO'!$C$28</f>
        <v/>
      </c>
      <c r="L6" s="20">
        <f>'7.BE01_CHI_TIET'!C28</f>
        <v/>
      </c>
      <c r="M6" s="13">
        <f>K6*L6+'2.THONG_SO'!$C$32</f>
        <v/>
      </c>
      <c r="N6" s="27">
        <f>'7.BE01_CHI_TIET'!C24</f>
        <v/>
      </c>
      <c r="O6" s="28">
        <f>'7.BE01_CHI_TIET'!C25</f>
        <v/>
      </c>
      <c r="P6" s="28">
        <f>'7.BE01_CHI_TIET'!C26</f>
        <v/>
      </c>
      <c r="Q6" s="29">
        <f>M6*'2.THONG_SO'!$C$31</f>
        <v/>
      </c>
      <c r="R6" s="30" t="inlineStr">
        <is>
          <t>PES-28</t>
        </is>
      </c>
      <c r="S6" s="29">
        <f>IFERROR(LOOKUP(R6,{"PES-20";"PES-24";"PES-28";"PES-32";"PES-36";"PES-40";"PES-44"},{120;175;235;310;390;480;580}),"")</f>
        <v/>
      </c>
      <c r="T6" s="11">
        <f>IFERROR(Q6/S6,"")</f>
        <v/>
      </c>
      <c r="U6" s="14">
        <f>IF(T6="","THIẾU DỮ LIỆU",IF(T6&lt;=1,"ĐẠT","KHÔNG ĐẠT"))</f>
        <v/>
      </c>
      <c r="V6" s="14" t="inlineStr">
        <is>
          <t>Cọc đóng lòng hồ</t>
        </is>
      </c>
      <c r="W6" s="13">
        <f>IF('7.BE01_CHI_TIET'!C112="Cách 1 — đỉnh ở đáy hồ",'7.BE01_CHI_TIET'!C75,'7.BE01_CHI_TIET'!C100)</f>
        <v/>
      </c>
      <c r="X6" s="11">
        <f>IFERROR(P6*'2.THONG_SO'!$C$37/W6,"")</f>
        <v/>
      </c>
      <c r="Y6" s="14">
        <f>'7.BE01_CHI_TIET'!C113</f>
        <v/>
      </c>
      <c r="Z6" s="25" t="n">
        <v>6</v>
      </c>
      <c r="AA6" s="25" t="n">
        <v>13.5</v>
      </c>
      <c r="AB6" s="47">
        <f>IFERROR(DEGREES(ATAN(Z6/AA6)),"")</f>
        <v/>
      </c>
      <c r="AC6" s="47">
        <f>M6*COS(RADIANS(AB6))</f>
        <v/>
      </c>
      <c r="AD6" s="47">
        <f>M6*SIN(RADIANS(AB6))</f>
        <v/>
      </c>
      <c r="AE6" s="47">
        <f>'4.COC_DAN_HUONG'!$C$38</f>
        <v/>
      </c>
      <c r="AF6" s="47">
        <f>'4.COC_DAN_HUONG'!$C$39</f>
        <v/>
      </c>
      <c r="AG6" s="32">
        <f>IFERROR(AC6/AE6,"")</f>
        <v/>
      </c>
      <c r="AH6" s="32">
        <f>IFERROR(AD6/AF6,"")</f>
        <v/>
      </c>
      <c r="AI6" s="14">
        <f>IF(P6=0,"KHÔNG CÓ NEO ĐÁY",IF(AND(AG6&lt;=1,AH6&lt;=1),"ĐẠT","KHÔNG ĐẠT — rút ngắn k.cách hoặc tăng D/L cọc"))</f>
        <v/>
      </c>
      <c r="AJ6" s="47">
        <f>SQRT(Z6^2+AA6^2)</f>
        <v/>
      </c>
      <c r="AK6" s="47">
        <f>P6*AJ6</f>
        <v/>
      </c>
      <c r="AL6" s="25" t="n">
        <v>20</v>
      </c>
      <c r="AM6" s="47">
        <f>AL6</f>
        <v/>
      </c>
      <c r="AN6" s="47">
        <f>O6*AM6</f>
        <v/>
      </c>
      <c r="AO6" s="47">
        <f>AK6+AN6</f>
        <v/>
      </c>
    </row>
    <row r="7" ht="15" customHeight="1" s="1">
      <c r="B7" s="24" t="inlineStr">
        <is>
          <t>BÈ 2</t>
        </is>
      </c>
      <c r="C7" s="15" t="n">
        <v>4125</v>
      </c>
      <c r="D7" s="25" t="n">
        <v>288.9</v>
      </c>
      <c r="E7" s="25" t="n">
        <v>88.7</v>
      </c>
      <c r="F7" s="25" t="n">
        <v>56</v>
      </c>
      <c r="G7" s="25" t="n">
        <v>140.7</v>
      </c>
      <c r="H7" s="26">
        <f>ROUND(C7/'2.THONG_SO'!$C$27*'2.THONG_SO'!$C$26,0)</f>
        <v/>
      </c>
      <c r="I7" s="26">
        <f>H7*'2.THONG_SO'!$C$25*SIN(RADIANS('2.THONG_SO'!$C$24))</f>
        <v/>
      </c>
      <c r="J7" s="13">
        <f>(E7+F7)/2*'2.THONG_SO'!$C$23</f>
        <v/>
      </c>
      <c r="K7" s="13">
        <f>0.5*'2.THONG_SO'!$C$19*('2.THONG_SO'!$C$20*I7*'2.THONG_SO'!$C$21+'2.THONG_SO'!$C$22*J7)*'2.THONG_SO'!$C$18^2/1000*'2.THONG_SO'!$C$28</f>
        <v/>
      </c>
      <c r="L7" s="20" t="n">
        <v>0.282</v>
      </c>
      <c r="M7" s="13">
        <f>K7*L7+'2.THONG_SO'!$C$32</f>
        <v/>
      </c>
      <c r="N7" s="29">
        <f>MAX(CEILING(D7/'2.THONG_SO'!$C$33,1),3)</f>
        <v/>
      </c>
      <c r="O7" s="28" t="n">
        <v>10</v>
      </c>
      <c r="P7" s="28" t="n">
        <v>10</v>
      </c>
      <c r="Q7" s="29">
        <f>M7*'2.THONG_SO'!$C$31</f>
        <v/>
      </c>
      <c r="R7" s="30" t="inlineStr">
        <is>
          <t>PES-28</t>
        </is>
      </c>
      <c r="S7" s="29">
        <f>IFERROR(LOOKUP(R7,{"PES-20";"PES-24";"PES-28";"PES-32";"PES-36";"PES-40";"PES-44"},{120;175;235;310;390;480;580}),"")</f>
        <v/>
      </c>
      <c r="T7" s="11">
        <f>IFERROR(Q7/S7,"")</f>
        <v/>
      </c>
      <c r="U7" s="14">
        <f>IF(T7="","THIẾU DỮ LIỆU",IF(T7&lt;=1,"ĐẠT","KHÔNG ĐẠT"))</f>
        <v/>
      </c>
      <c r="V7" s="30" t="inlineStr">
        <is>
          <t>Chưa tính chi tiết</t>
        </is>
      </c>
      <c r="W7" s="31">
        <f>IF(V7="BAN-1.0",'2.THONG_SO'!$C$38,IF(V7="BAN-1.4",'2.THONG_SO'!$C$39,IF(V7="BAN-1.8",'2.THONG_SO'!$C$40,"")))</f>
        <v/>
      </c>
      <c r="X7" s="32">
        <f>IFERROR(M7*'2.THONG_SO'!$C$37/W7,"")</f>
        <v/>
      </c>
      <c r="Y7" s="14">
        <f>IF(V7="Chưa tính chi tiết","CHƯA TÍNH",IF(X7="","CHƯA TÍNH",IF(X7&lt;=1,"ĐẠT","KHÔNG ĐẠT")))</f>
        <v/>
      </c>
      <c r="Z7" s="25" t="n">
        <v>6.2</v>
      </c>
      <c r="AA7" s="25" t="n">
        <v>15</v>
      </c>
      <c r="AB7" s="47">
        <f>IFERROR(DEGREES(ATAN(Z7/AA7)),"")</f>
        <v/>
      </c>
      <c r="AC7" s="47">
        <f>M7*COS(RADIANS(AB7))</f>
        <v/>
      </c>
      <c r="AD7" s="47">
        <f>M7*SIN(RADIANS(AB7))</f>
        <v/>
      </c>
      <c r="AE7" s="47">
        <f>'4.COC_DAN_HUONG'!$C$38</f>
        <v/>
      </c>
      <c r="AF7" s="47">
        <f>'4.COC_DAN_HUONG'!$C$39</f>
        <v/>
      </c>
      <c r="AG7" s="32">
        <f>IFERROR(AC7/AE7,"")</f>
        <v/>
      </c>
      <c r="AH7" s="32">
        <f>IFERROR(AD7/AF7,"")</f>
        <v/>
      </c>
      <c r="AI7" s="14">
        <f>IF(P7=0,"KHÔNG CÓ NEO ĐÁY",IF(AND(AG7&lt;=1,AH7&lt;=1),"ĐẠT","KHÔNG ĐẠT — rút ngắn k.cách hoặc tăng D/L cọc"))</f>
        <v/>
      </c>
      <c r="AJ7" s="47">
        <f>SQRT(Z7^2+AA7^2)</f>
        <v/>
      </c>
      <c r="AK7" s="47">
        <f>P7*AJ7</f>
        <v/>
      </c>
      <c r="AL7" s="25" t="n">
        <v>20</v>
      </c>
      <c r="AM7" s="47">
        <f>AL7</f>
        <v/>
      </c>
      <c r="AN7" s="47">
        <f>O7*AM7</f>
        <v/>
      </c>
      <c r="AO7" s="47">
        <f>AK7+AN7</f>
        <v/>
      </c>
    </row>
    <row r="8" ht="15" customHeight="1" s="1">
      <c r="B8" s="24" t="inlineStr">
        <is>
          <t>BÈ 3</t>
        </is>
      </c>
      <c r="C8" s="15" t="n">
        <v>4800</v>
      </c>
      <c r="D8" s="25" t="n">
        <v>297.8</v>
      </c>
      <c r="E8" s="25" t="n">
        <v>88.7</v>
      </c>
      <c r="F8" s="25" t="n">
        <v>60.3</v>
      </c>
      <c r="G8" s="25" t="n">
        <v>113</v>
      </c>
      <c r="H8" s="26">
        <f>ROUND(C8/'2.THONG_SO'!$C$27*'2.THONG_SO'!$C$26,0)</f>
        <v/>
      </c>
      <c r="I8" s="26">
        <f>H8*'2.THONG_SO'!$C$25*SIN(RADIANS('2.THONG_SO'!$C$24))</f>
        <v/>
      </c>
      <c r="J8" s="13">
        <f>(E8+F8)/2*'2.THONG_SO'!$C$23</f>
        <v/>
      </c>
      <c r="K8" s="13">
        <f>0.5*'2.THONG_SO'!$C$19*('2.THONG_SO'!$C$20*I8*'2.THONG_SO'!$C$21+'2.THONG_SO'!$C$22*J8)*'2.THONG_SO'!$C$18^2/1000*'2.THONG_SO'!$C$28</f>
        <v/>
      </c>
      <c r="L8" s="20" t="n">
        <v>0.327</v>
      </c>
      <c r="M8" s="13">
        <f>K8*L8+'2.THONG_SO'!$C$32</f>
        <v/>
      </c>
      <c r="N8" s="29">
        <f>MAX(CEILING(D8/'2.THONG_SO'!$C$33,1),3)</f>
        <v/>
      </c>
      <c r="O8" s="28" t="n">
        <v>11</v>
      </c>
      <c r="P8" s="28" t="n">
        <v>9</v>
      </c>
      <c r="Q8" s="29">
        <f>M8*'2.THONG_SO'!$C$31</f>
        <v/>
      </c>
      <c r="R8" s="30" t="inlineStr">
        <is>
          <t>PES-32</t>
        </is>
      </c>
      <c r="S8" s="29">
        <f>IFERROR(LOOKUP(R8,{"PES-20";"PES-24";"PES-28";"PES-32";"PES-36";"PES-40";"PES-44"},{120;175;235;310;390;480;580}),"")</f>
        <v/>
      </c>
      <c r="T8" s="11">
        <f>IFERROR(Q8/S8,"")</f>
        <v/>
      </c>
      <c r="U8" s="14">
        <f>IF(T8="","THIẾU DỮ LIỆU",IF(T8&lt;=1,"ĐẠT","KHÔNG ĐẠT"))</f>
        <v/>
      </c>
      <c r="V8" s="30" t="inlineStr">
        <is>
          <t>Chưa tính chi tiết</t>
        </is>
      </c>
      <c r="W8" s="31">
        <f>IF(V8="BAN-1.0",'2.THONG_SO'!$C$38,IF(V8="BAN-1.4",'2.THONG_SO'!$C$39,IF(V8="BAN-1.8",'2.THONG_SO'!$C$40,"")))</f>
        <v/>
      </c>
      <c r="X8" s="32">
        <f>IFERROR(M8*'2.THONG_SO'!$C$37/W8,"")</f>
        <v/>
      </c>
      <c r="Y8" s="14">
        <f>IF(V8="Chưa tính chi tiết","CHƯA TÍNH",IF(X8="","CHƯA TÍNH",IF(X8&lt;=1,"ĐẠT","KHÔNG ĐẠT")))</f>
        <v/>
      </c>
      <c r="Z8" s="25" t="n">
        <v>6.2</v>
      </c>
      <c r="AA8" s="25" t="n">
        <v>15</v>
      </c>
      <c r="AB8" s="47">
        <f>IFERROR(DEGREES(ATAN(Z8/AA8)),"")</f>
        <v/>
      </c>
      <c r="AC8" s="47">
        <f>M8*COS(RADIANS(AB8))</f>
        <v/>
      </c>
      <c r="AD8" s="47">
        <f>M8*SIN(RADIANS(AB8))</f>
        <v/>
      </c>
      <c r="AE8" s="47">
        <f>'4.COC_DAN_HUONG'!$C$38</f>
        <v/>
      </c>
      <c r="AF8" s="47">
        <f>'4.COC_DAN_HUONG'!$C$39</f>
        <v/>
      </c>
      <c r="AG8" s="32">
        <f>IFERROR(AC8/AE8,"")</f>
        <v/>
      </c>
      <c r="AH8" s="32">
        <f>IFERROR(AD8/AF8,"")</f>
        <v/>
      </c>
      <c r="AI8" s="14">
        <f>IF(P8=0,"KHÔNG CÓ NEO ĐÁY",IF(AND(AG8&lt;=1,AH8&lt;=1),"ĐẠT","KHÔNG ĐẠT — rút ngắn k.cách hoặc tăng D/L cọc"))</f>
        <v/>
      </c>
      <c r="AJ8" s="47">
        <f>SQRT(Z8^2+AA8^2)</f>
        <v/>
      </c>
      <c r="AK8" s="47">
        <f>P8*AJ8</f>
        <v/>
      </c>
      <c r="AL8" s="25" t="n">
        <v>20</v>
      </c>
      <c r="AM8" s="47">
        <f>AL8</f>
        <v/>
      </c>
      <c r="AN8" s="47">
        <f>O8*AM8</f>
        <v/>
      </c>
      <c r="AO8" s="47">
        <f>AK8+AN8</f>
        <v/>
      </c>
    </row>
    <row r="9" ht="15" customHeight="1" s="1">
      <c r="B9" s="24" t="inlineStr">
        <is>
          <t>BÈ 4</t>
        </is>
      </c>
      <c r="C9" s="15" t="n">
        <v>4860</v>
      </c>
      <c r="D9" s="25" t="n">
        <v>330.2</v>
      </c>
      <c r="E9" s="25" t="n">
        <v>100.1</v>
      </c>
      <c r="F9" s="25" t="n">
        <v>65.09999999999999</v>
      </c>
      <c r="G9" s="25" t="n">
        <v>90</v>
      </c>
      <c r="H9" s="26">
        <f>ROUND(C9/'2.THONG_SO'!$C$27*'2.THONG_SO'!$C$26,0)</f>
        <v/>
      </c>
      <c r="I9" s="26">
        <f>H9*'2.THONG_SO'!$C$25*SIN(RADIANS('2.THONG_SO'!$C$24))</f>
        <v/>
      </c>
      <c r="J9" s="13">
        <f>(E9+F9)/2*'2.THONG_SO'!$C$23</f>
        <v/>
      </c>
      <c r="K9" s="13">
        <f>0.5*'2.THONG_SO'!$C$19*('2.THONG_SO'!$C$20*I9*'2.THONG_SO'!$C$21+'2.THONG_SO'!$C$22*J9)*'2.THONG_SO'!$C$18^2/1000*'2.THONG_SO'!$C$28</f>
        <v/>
      </c>
      <c r="L9" s="20" t="n">
        <v>0.34</v>
      </c>
      <c r="M9" s="13">
        <f>K9*L9+'2.THONG_SO'!$C$32</f>
        <v/>
      </c>
      <c r="N9" s="29">
        <f>MAX(CEILING(D9/'2.THONG_SO'!$C$33,1),3)</f>
        <v/>
      </c>
      <c r="O9" s="28" t="n">
        <v>6</v>
      </c>
      <c r="P9" s="28" t="n">
        <v>17</v>
      </c>
      <c r="Q9" s="29">
        <f>M9*'2.THONG_SO'!$C$31</f>
        <v/>
      </c>
      <c r="R9" s="30" t="inlineStr">
        <is>
          <t>PES-32</t>
        </is>
      </c>
      <c r="S9" s="29">
        <f>IFERROR(LOOKUP(R9,{"PES-20";"PES-24";"PES-28";"PES-32";"PES-36";"PES-40";"PES-44"},{120;175;235;310;390;480;580}),"")</f>
        <v/>
      </c>
      <c r="T9" s="11">
        <f>IFERROR(Q9/S9,"")</f>
        <v/>
      </c>
      <c r="U9" s="14">
        <f>IF(T9="","THIẾU DỮ LIỆU",IF(T9&lt;=1,"ĐẠT","KHÔNG ĐẠT"))</f>
        <v/>
      </c>
      <c r="V9" s="30" t="inlineStr">
        <is>
          <t>Chưa tính chi tiết</t>
        </is>
      </c>
      <c r="W9" s="31">
        <f>IF(V9="BAN-1.0",'2.THONG_SO'!$C$38,IF(V9="BAN-1.4",'2.THONG_SO'!$C$39,IF(V9="BAN-1.8",'2.THONG_SO'!$C$40,"")))</f>
        <v/>
      </c>
      <c r="X9" s="32">
        <f>IFERROR(M9*'2.THONG_SO'!$C$37/W9,"")</f>
        <v/>
      </c>
      <c r="Y9" s="14">
        <f>IF(V9="Chưa tính chi tiết","CHƯA TÍNH",IF(X9="","CHƯA TÍNH",IF(X9&lt;=1,"ĐẠT","KHÔNG ĐẠT")))</f>
        <v/>
      </c>
      <c r="Z9" s="25" t="n">
        <v>6.2</v>
      </c>
      <c r="AA9" s="25" t="n">
        <v>15</v>
      </c>
      <c r="AB9" s="47">
        <f>IFERROR(DEGREES(ATAN(Z9/AA9)),"")</f>
        <v/>
      </c>
      <c r="AC9" s="47">
        <f>M9*COS(RADIANS(AB9))</f>
        <v/>
      </c>
      <c r="AD9" s="47">
        <f>M9*SIN(RADIANS(AB9))</f>
        <v/>
      </c>
      <c r="AE9" s="47">
        <f>'4.COC_DAN_HUONG'!$C$38</f>
        <v/>
      </c>
      <c r="AF9" s="47">
        <f>'4.COC_DAN_HUONG'!$C$39</f>
        <v/>
      </c>
      <c r="AG9" s="32">
        <f>IFERROR(AC9/AE9,"")</f>
        <v/>
      </c>
      <c r="AH9" s="32">
        <f>IFERROR(AD9/AF9,"")</f>
        <v/>
      </c>
      <c r="AI9" s="14">
        <f>IF(P9=0,"KHÔNG CÓ NEO ĐÁY",IF(AND(AG9&lt;=1,AH9&lt;=1),"ĐẠT","KHÔNG ĐẠT — rút ngắn k.cách hoặc tăng D/L cọc"))</f>
        <v/>
      </c>
      <c r="AJ9" s="47">
        <f>SQRT(Z9^2+AA9^2)</f>
        <v/>
      </c>
      <c r="AK9" s="47">
        <f>P9*AJ9</f>
        <v/>
      </c>
      <c r="AL9" s="25" t="n">
        <v>20</v>
      </c>
      <c r="AM9" s="47">
        <f>AL9</f>
        <v/>
      </c>
      <c r="AN9" s="47">
        <f>O9*AM9</f>
        <v/>
      </c>
      <c r="AO9" s="47">
        <f>AK9+AN9</f>
        <v/>
      </c>
    </row>
    <row r="10" ht="15" customHeight="1" s="1">
      <c r="B10" s="24" t="inlineStr">
        <is>
          <t>BÈ 5</t>
        </is>
      </c>
      <c r="C10" s="15" t="n">
        <v>19200</v>
      </c>
      <c r="D10" s="25" t="n">
        <v>547.6</v>
      </c>
      <c r="E10" s="25" t="n">
        <v>156.9</v>
      </c>
      <c r="F10" s="25" t="n">
        <v>117</v>
      </c>
      <c r="G10" s="25" t="n">
        <v>90</v>
      </c>
      <c r="H10" s="26">
        <f>ROUND(C10/'2.THONG_SO'!$C$27*'2.THONG_SO'!$C$26,0)</f>
        <v/>
      </c>
      <c r="I10" s="26">
        <f>H10*'2.THONG_SO'!$C$25*SIN(RADIANS('2.THONG_SO'!$C$24))</f>
        <v/>
      </c>
      <c r="J10" s="13">
        <f>(E10+F10)/2*'2.THONG_SO'!$C$23</f>
        <v/>
      </c>
      <c r="K10" s="13">
        <f>0.5*'2.THONG_SO'!$C$19*('2.THONG_SO'!$C$20*I10*'2.THONG_SO'!$C$21+'2.THONG_SO'!$C$22*J10)*'2.THONG_SO'!$C$18^2/1000*'2.THONG_SO'!$C$28</f>
        <v/>
      </c>
      <c r="L10" s="20" t="n">
        <v>0.102</v>
      </c>
      <c r="M10" s="13">
        <f>K10*L10+'2.THONG_SO'!$C$32</f>
        <v/>
      </c>
      <c r="N10" s="29">
        <f>MAX(CEILING(D10/'2.THONG_SO'!$C$33,1),3)</f>
        <v/>
      </c>
      <c r="O10" s="28" t="n">
        <v>12</v>
      </c>
      <c r="P10" s="28" t="n">
        <v>38</v>
      </c>
      <c r="Q10" s="29">
        <f>M10*'2.THONG_SO'!$C$31</f>
        <v/>
      </c>
      <c r="R10" s="30" t="inlineStr">
        <is>
          <t>PES-36</t>
        </is>
      </c>
      <c r="S10" s="29">
        <f>IFERROR(LOOKUP(R10,{"PES-20";"PES-24";"PES-28";"PES-32";"PES-36";"PES-40";"PES-44"},{120;175;235;310;390;480;580}),"")</f>
        <v/>
      </c>
      <c r="T10" s="11">
        <f>IFERROR(Q10/S10,"")</f>
        <v/>
      </c>
      <c r="U10" s="14">
        <f>IF(T10="","THIẾU DỮ LIỆU",IF(T10&lt;=1,"ĐẠT","KHÔNG ĐẠT"))</f>
        <v/>
      </c>
      <c r="V10" s="30" t="inlineStr">
        <is>
          <t>Chưa tính chi tiết</t>
        </is>
      </c>
      <c r="W10" s="31">
        <f>IF(V10="BAN-1.0",'2.THONG_SO'!$C$38,IF(V10="BAN-1.4",'2.THONG_SO'!$C$39,IF(V10="BAN-1.8",'2.THONG_SO'!$C$40,"")))</f>
        <v/>
      </c>
      <c r="X10" s="32">
        <f>IFERROR(M10*'2.THONG_SO'!$C$37/W10,"")</f>
        <v/>
      </c>
      <c r="Y10" s="14">
        <f>IF(V10="Chưa tính chi tiết","CHƯA TÍNH",IF(X10="","CHƯA TÍNH",IF(X10&lt;=1,"ĐẠT","KHÔNG ĐẠT")))</f>
        <v/>
      </c>
      <c r="Z10" s="25" t="n">
        <v>6.2</v>
      </c>
      <c r="AA10" s="25" t="n">
        <v>15</v>
      </c>
      <c r="AB10" s="47">
        <f>IFERROR(DEGREES(ATAN(Z10/AA10)),"")</f>
        <v/>
      </c>
      <c r="AC10" s="47">
        <f>M10*COS(RADIANS(AB10))</f>
        <v/>
      </c>
      <c r="AD10" s="47">
        <f>M10*SIN(RADIANS(AB10))</f>
        <v/>
      </c>
      <c r="AE10" s="47">
        <f>'4.COC_DAN_HUONG'!$C$38</f>
        <v/>
      </c>
      <c r="AF10" s="47">
        <f>'4.COC_DAN_HUONG'!$C$39</f>
        <v/>
      </c>
      <c r="AG10" s="32">
        <f>IFERROR(AC10/AE10,"")</f>
        <v/>
      </c>
      <c r="AH10" s="32">
        <f>IFERROR(AD10/AF10,"")</f>
        <v/>
      </c>
      <c r="AI10" s="14">
        <f>IF(P10=0,"KHÔNG CÓ NEO ĐÁY",IF(AND(AG10&lt;=1,AH10&lt;=1),"ĐẠT","KHÔNG ĐẠT — rút ngắn k.cách hoặc tăng D/L cọc"))</f>
        <v/>
      </c>
      <c r="AJ10" s="47">
        <f>SQRT(Z10^2+AA10^2)</f>
        <v/>
      </c>
      <c r="AK10" s="47">
        <f>P10*AJ10</f>
        <v/>
      </c>
      <c r="AL10" s="25" t="n">
        <v>20</v>
      </c>
      <c r="AM10" s="47">
        <f>AL10</f>
        <v/>
      </c>
      <c r="AN10" s="47">
        <f>O10*AM10</f>
        <v/>
      </c>
      <c r="AO10" s="47">
        <f>AK10+AN10</f>
        <v/>
      </c>
    </row>
    <row r="11" ht="15" customHeight="1" s="1">
      <c r="B11" s="24" t="inlineStr">
        <is>
          <t>BÈ 6</t>
        </is>
      </c>
      <c r="C11" s="15" t="n">
        <v>9031</v>
      </c>
      <c r="D11" s="25" t="n">
        <v>409.5</v>
      </c>
      <c r="E11" s="25" t="n">
        <v>108.6</v>
      </c>
      <c r="F11" s="25" t="n">
        <v>96.3</v>
      </c>
      <c r="G11" s="25" t="n">
        <v>0</v>
      </c>
      <c r="H11" s="26">
        <f>ROUND(C11/'2.THONG_SO'!$C$27*'2.THONG_SO'!$C$26,0)</f>
        <v/>
      </c>
      <c r="I11" s="26">
        <f>H11*'2.THONG_SO'!$C$25*SIN(RADIANS('2.THONG_SO'!$C$24))</f>
        <v/>
      </c>
      <c r="J11" s="13">
        <f>(E11+F11)/2*'2.THONG_SO'!$C$23</f>
        <v/>
      </c>
      <c r="K11" s="13">
        <f>0.5*'2.THONG_SO'!$C$19*('2.THONG_SO'!$C$20*I11*'2.THONG_SO'!$C$21+'2.THONG_SO'!$C$22*J11)*'2.THONG_SO'!$C$18^2/1000*'2.THONG_SO'!$C$28</f>
        <v/>
      </c>
      <c r="L11" s="20" t="n">
        <v>0.206</v>
      </c>
      <c r="M11" s="13">
        <f>K11*L11+'2.THONG_SO'!$C$32</f>
        <v/>
      </c>
      <c r="N11" s="29">
        <f>MAX(CEILING(D11/'2.THONG_SO'!$C$33,1),3)</f>
        <v/>
      </c>
      <c r="O11" s="28" t="n">
        <v>4</v>
      </c>
      <c r="P11" s="28" t="n">
        <v>24</v>
      </c>
      <c r="Q11" s="29">
        <f>M11*'2.THONG_SO'!$C$31</f>
        <v/>
      </c>
      <c r="R11" s="30" t="inlineStr">
        <is>
          <t>PES-36</t>
        </is>
      </c>
      <c r="S11" s="29">
        <f>IFERROR(LOOKUP(R11,{"PES-20";"PES-24";"PES-28";"PES-32";"PES-36";"PES-40";"PES-44"},{120;175;235;310;390;480;580}),"")</f>
        <v/>
      </c>
      <c r="T11" s="11">
        <f>IFERROR(Q11/S11,"")</f>
        <v/>
      </c>
      <c r="U11" s="14">
        <f>IF(T11="","THIẾU DỮ LIỆU",IF(T11&lt;=1,"ĐẠT","KHÔNG ĐẠT"))</f>
        <v/>
      </c>
      <c r="V11" s="30" t="inlineStr">
        <is>
          <t>Chưa tính chi tiết</t>
        </is>
      </c>
      <c r="W11" s="31">
        <f>IF(V11="BAN-1.0",'2.THONG_SO'!$C$38,IF(V11="BAN-1.4",'2.THONG_SO'!$C$39,IF(V11="BAN-1.8",'2.THONG_SO'!$C$40,"")))</f>
        <v/>
      </c>
      <c r="X11" s="32">
        <f>IFERROR(M11*'2.THONG_SO'!$C$37/W11,"")</f>
        <v/>
      </c>
      <c r="Y11" s="14">
        <f>IF(V11="Chưa tính chi tiết","CHƯA TÍNH",IF(X11="","CHƯA TÍNH",IF(X11&lt;=1,"ĐẠT","KHÔNG ĐẠT")))</f>
        <v/>
      </c>
      <c r="Z11" s="25" t="n">
        <v>6.2</v>
      </c>
      <c r="AA11" s="25" t="n">
        <v>15</v>
      </c>
      <c r="AB11" s="47">
        <f>IFERROR(DEGREES(ATAN(Z11/AA11)),"")</f>
        <v/>
      </c>
      <c r="AC11" s="47">
        <f>M11*COS(RADIANS(AB11))</f>
        <v/>
      </c>
      <c r="AD11" s="47">
        <f>M11*SIN(RADIANS(AB11))</f>
        <v/>
      </c>
      <c r="AE11" s="47">
        <f>'4.COC_DAN_HUONG'!$C$38</f>
        <v/>
      </c>
      <c r="AF11" s="47">
        <f>'4.COC_DAN_HUONG'!$C$39</f>
        <v/>
      </c>
      <c r="AG11" s="32">
        <f>IFERROR(AC11/AE11,"")</f>
        <v/>
      </c>
      <c r="AH11" s="32">
        <f>IFERROR(AD11/AF11,"")</f>
        <v/>
      </c>
      <c r="AI11" s="14">
        <f>IF(P11=0,"KHÔNG CÓ NEO ĐÁY",IF(AND(AG11&lt;=1,AH11&lt;=1),"ĐẠT","KHÔNG ĐẠT — rút ngắn k.cách hoặc tăng D/L cọc"))</f>
        <v/>
      </c>
      <c r="AJ11" s="47">
        <f>SQRT(Z11^2+AA11^2)</f>
        <v/>
      </c>
      <c r="AK11" s="47">
        <f>P11*AJ11</f>
        <v/>
      </c>
      <c r="AL11" s="25" t="n">
        <v>20</v>
      </c>
      <c r="AM11" s="47">
        <f>AL11</f>
        <v/>
      </c>
      <c r="AN11" s="47">
        <f>O11*AM11</f>
        <v/>
      </c>
      <c r="AO11" s="47">
        <f>AK11+AN11</f>
        <v/>
      </c>
    </row>
    <row r="12" ht="15" customHeight="1" s="1">
      <c r="B12" s="24" t="inlineStr">
        <is>
          <t>BÈ 7</t>
        </is>
      </c>
      <c r="C12" s="15" t="n">
        <v>2575</v>
      </c>
      <c r="D12" s="25" t="n">
        <v>230.2</v>
      </c>
      <c r="E12" s="25" t="n">
        <v>62.7</v>
      </c>
      <c r="F12" s="25" t="n">
        <v>52.6</v>
      </c>
      <c r="G12" s="25" t="n">
        <v>0</v>
      </c>
      <c r="H12" s="26">
        <f>ROUND(C12/'2.THONG_SO'!$C$27*'2.THONG_SO'!$C$26,0)</f>
        <v/>
      </c>
      <c r="I12" s="26">
        <f>H12*'2.THONG_SO'!$C$25*SIN(RADIANS('2.THONG_SO'!$C$24))</f>
        <v/>
      </c>
      <c r="J12" s="13">
        <f>(E12+F12)/2*'2.THONG_SO'!$C$23</f>
        <v/>
      </c>
      <c r="K12" s="13">
        <f>0.5*'2.THONG_SO'!$C$19*('2.THONG_SO'!$C$20*I12*'2.THONG_SO'!$C$21+'2.THONG_SO'!$C$22*J12)*'2.THONG_SO'!$C$18^2/1000*'2.THONG_SO'!$C$28</f>
        <v/>
      </c>
      <c r="L12" s="20" t="n">
        <v>0.341</v>
      </c>
      <c r="M12" s="13">
        <f>K12*L12+'2.THONG_SO'!$C$32</f>
        <v/>
      </c>
      <c r="N12" s="29">
        <f>MAX(CEILING(D12/'2.THONG_SO'!$C$33,1),3)</f>
        <v/>
      </c>
      <c r="O12" s="28" t="n">
        <v>4</v>
      </c>
      <c r="P12" s="28" t="n">
        <v>12</v>
      </c>
      <c r="Q12" s="29">
        <f>M12*'2.THONG_SO'!$C$31</f>
        <v/>
      </c>
      <c r="R12" s="30" t="inlineStr">
        <is>
          <t>PES-24</t>
        </is>
      </c>
      <c r="S12" s="29">
        <f>IFERROR(LOOKUP(R12,{"PES-20";"PES-24";"PES-28";"PES-32";"PES-36";"PES-40";"PES-44"},{120;175;235;310;390;480;580}),"")</f>
        <v/>
      </c>
      <c r="T12" s="11">
        <f>IFERROR(Q12/S12,"")</f>
        <v/>
      </c>
      <c r="U12" s="14">
        <f>IF(T12="","THIẾU DỮ LIỆU",IF(T12&lt;=1,"ĐẠT","KHÔNG ĐẠT"))</f>
        <v/>
      </c>
      <c r="V12" s="30" t="inlineStr">
        <is>
          <t>Chưa tính chi tiết</t>
        </is>
      </c>
      <c r="W12" s="31">
        <f>IF(V12="BAN-1.0",'2.THONG_SO'!$C$38,IF(V12="BAN-1.4",'2.THONG_SO'!$C$39,IF(V12="BAN-1.8",'2.THONG_SO'!$C$40,"")))</f>
        <v/>
      </c>
      <c r="X12" s="32">
        <f>IFERROR(M12*'2.THONG_SO'!$C$37/W12,"")</f>
        <v/>
      </c>
      <c r="Y12" s="14">
        <f>IF(V12="Chưa tính chi tiết","CHƯA TÍNH",IF(X12="","CHƯA TÍNH",IF(X12&lt;=1,"ĐẠT","KHÔNG ĐẠT")))</f>
        <v/>
      </c>
      <c r="Z12" s="25" t="n">
        <v>6.2</v>
      </c>
      <c r="AA12" s="25" t="n">
        <v>15</v>
      </c>
      <c r="AB12" s="47">
        <f>IFERROR(DEGREES(ATAN(Z12/AA12)),"")</f>
        <v/>
      </c>
      <c r="AC12" s="47">
        <f>M12*COS(RADIANS(AB12))</f>
        <v/>
      </c>
      <c r="AD12" s="47">
        <f>M12*SIN(RADIANS(AB12))</f>
        <v/>
      </c>
      <c r="AE12" s="47">
        <f>'4.COC_DAN_HUONG'!$C$38</f>
        <v/>
      </c>
      <c r="AF12" s="47">
        <f>'4.COC_DAN_HUONG'!$C$39</f>
        <v/>
      </c>
      <c r="AG12" s="32">
        <f>IFERROR(AC12/AE12,"")</f>
        <v/>
      </c>
      <c r="AH12" s="32">
        <f>IFERROR(AD12/AF12,"")</f>
        <v/>
      </c>
      <c r="AI12" s="14">
        <f>IF(P12=0,"KHÔNG CÓ NEO ĐÁY",IF(AND(AG12&lt;=1,AH12&lt;=1),"ĐẠT","KHÔNG ĐẠT — rút ngắn k.cách hoặc tăng D/L cọc"))</f>
        <v/>
      </c>
      <c r="AJ12" s="47">
        <f>SQRT(Z12^2+AA12^2)</f>
        <v/>
      </c>
      <c r="AK12" s="47">
        <f>P12*AJ12</f>
        <v/>
      </c>
      <c r="AL12" s="25" t="n">
        <v>20</v>
      </c>
      <c r="AM12" s="47">
        <f>AL12</f>
        <v/>
      </c>
      <c r="AN12" s="47">
        <f>O12*AM12</f>
        <v/>
      </c>
      <c r="AO12" s="47">
        <f>AK12+AN12</f>
        <v/>
      </c>
    </row>
    <row r="13" ht="15" customHeight="1" s="1">
      <c r="B13" s="24" t="inlineStr">
        <is>
          <t>BÈ 8</t>
        </is>
      </c>
      <c r="C13" s="15" t="n">
        <v>2118</v>
      </c>
      <c r="D13" s="25" t="n">
        <v>182.7</v>
      </c>
      <c r="E13" s="25" t="n">
        <v>48.2</v>
      </c>
      <c r="F13" s="25" t="n">
        <v>43.1</v>
      </c>
      <c r="G13" s="25" t="n">
        <v>16</v>
      </c>
      <c r="H13" s="26">
        <f>ROUND(C13/'2.THONG_SO'!$C$27*'2.THONG_SO'!$C$26,0)</f>
        <v/>
      </c>
      <c r="I13" s="26">
        <f>H13*'2.THONG_SO'!$C$25*SIN(RADIANS('2.THONG_SO'!$C$24))</f>
        <v/>
      </c>
      <c r="J13" s="13">
        <f>(E13+F13)/2*'2.THONG_SO'!$C$23</f>
        <v/>
      </c>
      <c r="K13" s="13">
        <f>0.5*'2.THONG_SO'!$C$19*('2.THONG_SO'!$C$20*I13*'2.THONG_SO'!$C$21+'2.THONG_SO'!$C$22*J13)*'2.THONG_SO'!$C$18^2/1000*'2.THONG_SO'!$C$28</f>
        <v/>
      </c>
      <c r="L13" s="20" t="n">
        <v>0.348</v>
      </c>
      <c r="M13" s="13">
        <f>K13*L13+'2.THONG_SO'!$C$32</f>
        <v/>
      </c>
      <c r="N13" s="29">
        <f>MAX(CEILING(D13/'2.THONG_SO'!$C$33,1),3)</f>
        <v/>
      </c>
      <c r="O13" s="28" t="n">
        <v>7</v>
      </c>
      <c r="P13" s="28" t="n">
        <v>6</v>
      </c>
      <c r="Q13" s="29">
        <f>M13*'2.THONG_SO'!$C$31</f>
        <v/>
      </c>
      <c r="R13" s="30" t="inlineStr">
        <is>
          <t>PES-24</t>
        </is>
      </c>
      <c r="S13" s="29">
        <f>IFERROR(LOOKUP(R13,{"PES-20";"PES-24";"PES-28";"PES-32";"PES-36";"PES-40";"PES-44"},{120;175;235;310;390;480;580}),"")</f>
        <v/>
      </c>
      <c r="T13" s="11">
        <f>IFERROR(Q13/S13,"")</f>
        <v/>
      </c>
      <c r="U13" s="14">
        <f>IF(T13="","THIẾU DỮ LIỆU",IF(T13&lt;=1,"ĐẠT","KHÔNG ĐẠT"))</f>
        <v/>
      </c>
      <c r="V13" s="30" t="inlineStr">
        <is>
          <t>Chưa tính chi tiết</t>
        </is>
      </c>
      <c r="W13" s="31">
        <f>IF(V13="BAN-1.0",'2.THONG_SO'!$C$38,IF(V13="BAN-1.4",'2.THONG_SO'!$C$39,IF(V13="BAN-1.8",'2.THONG_SO'!$C$40,"")))</f>
        <v/>
      </c>
      <c r="X13" s="32">
        <f>IFERROR(M13*'2.THONG_SO'!$C$37/W13,"")</f>
        <v/>
      </c>
      <c r="Y13" s="14">
        <f>IF(V13="Chưa tính chi tiết","CHƯA TÍNH",IF(X13="","CHƯA TÍNH",IF(X13&lt;=1,"ĐẠT","KHÔNG ĐẠT")))</f>
        <v/>
      </c>
      <c r="Z13" s="25" t="n">
        <v>6.2</v>
      </c>
      <c r="AA13" s="25" t="n">
        <v>15</v>
      </c>
      <c r="AB13" s="47">
        <f>IFERROR(DEGREES(ATAN(Z13/AA13)),"")</f>
        <v/>
      </c>
      <c r="AC13" s="47">
        <f>M13*COS(RADIANS(AB13))</f>
        <v/>
      </c>
      <c r="AD13" s="47">
        <f>M13*SIN(RADIANS(AB13))</f>
        <v/>
      </c>
      <c r="AE13" s="47">
        <f>'4.COC_DAN_HUONG'!$C$38</f>
        <v/>
      </c>
      <c r="AF13" s="47">
        <f>'4.COC_DAN_HUONG'!$C$39</f>
        <v/>
      </c>
      <c r="AG13" s="32">
        <f>IFERROR(AC13/AE13,"")</f>
        <v/>
      </c>
      <c r="AH13" s="32">
        <f>IFERROR(AD13/AF13,"")</f>
        <v/>
      </c>
      <c r="AI13" s="14">
        <f>IF(P13=0,"KHÔNG CÓ NEO ĐÁY",IF(AND(AG13&lt;=1,AH13&lt;=1),"ĐẠT","KHÔNG ĐẠT — rút ngắn k.cách hoặc tăng D/L cọc"))</f>
        <v/>
      </c>
      <c r="AJ13" s="47">
        <f>SQRT(Z13^2+AA13^2)</f>
        <v/>
      </c>
      <c r="AK13" s="47">
        <f>P13*AJ13</f>
        <v/>
      </c>
      <c r="AL13" s="25" t="n">
        <v>20</v>
      </c>
      <c r="AM13" s="47">
        <f>AL13</f>
        <v/>
      </c>
      <c r="AN13" s="47">
        <f>O13*AM13</f>
        <v/>
      </c>
      <c r="AO13" s="47">
        <f>AK13+AN13</f>
        <v/>
      </c>
    </row>
    <row r="14" ht="15" customHeight="1" s="1">
      <c r="B14" s="24" t="inlineStr">
        <is>
          <t>BÈ 9</t>
        </is>
      </c>
      <c r="C14" s="15" t="n">
        <v>2646</v>
      </c>
      <c r="D14" s="25" t="n">
        <v>215.3</v>
      </c>
      <c r="E14" s="25" t="n">
        <v>62.7</v>
      </c>
      <c r="F14" s="25" t="n">
        <v>45</v>
      </c>
      <c r="G14" s="25" t="n">
        <v>16</v>
      </c>
      <c r="H14" s="26">
        <f>ROUND(C14/'2.THONG_SO'!$C$27*'2.THONG_SO'!$C$26,0)</f>
        <v/>
      </c>
      <c r="I14" s="26">
        <f>H14*'2.THONG_SO'!$C$25*SIN(RADIANS('2.THONG_SO'!$C$24))</f>
        <v/>
      </c>
      <c r="J14" s="13">
        <f>(E14+F14)/2*'2.THONG_SO'!$C$23</f>
        <v/>
      </c>
      <c r="K14" s="13">
        <f>0.5*'2.THONG_SO'!$C$19*('2.THONG_SO'!$C$20*I14*'2.THONG_SO'!$C$21+'2.THONG_SO'!$C$22*J14)*'2.THONG_SO'!$C$18^2/1000*'2.THONG_SO'!$C$28</f>
        <v/>
      </c>
      <c r="L14" s="20" t="n">
        <v>0.361</v>
      </c>
      <c r="M14" s="13">
        <f>K14*L14+'2.THONG_SO'!$C$32</f>
        <v/>
      </c>
      <c r="N14" s="29">
        <f>MAX(CEILING(D14/'2.THONG_SO'!$C$33,1),3)</f>
        <v/>
      </c>
      <c r="O14" s="28" t="n">
        <v>9</v>
      </c>
      <c r="P14" s="28" t="n">
        <v>6</v>
      </c>
      <c r="Q14" s="29">
        <f>M14*'2.THONG_SO'!$C$31</f>
        <v/>
      </c>
      <c r="R14" s="30" t="inlineStr">
        <is>
          <t>PES-24</t>
        </is>
      </c>
      <c r="S14" s="29">
        <f>IFERROR(LOOKUP(R14,{"PES-20";"PES-24";"PES-28";"PES-32";"PES-36";"PES-40";"PES-44"},{120;175;235;310;390;480;580}),"")</f>
        <v/>
      </c>
      <c r="T14" s="11">
        <f>IFERROR(Q14/S14,"")</f>
        <v/>
      </c>
      <c r="U14" s="14">
        <f>IF(T14="","THIẾU DỮ LIỆU",IF(T14&lt;=1,"ĐẠT","KHÔNG ĐẠT"))</f>
        <v/>
      </c>
      <c r="V14" s="30" t="inlineStr">
        <is>
          <t>Chưa tính chi tiết</t>
        </is>
      </c>
      <c r="W14" s="31">
        <f>IF(V14="BAN-1.0",'2.THONG_SO'!$C$38,IF(V14="BAN-1.4",'2.THONG_SO'!$C$39,IF(V14="BAN-1.8",'2.THONG_SO'!$C$40,"")))</f>
        <v/>
      </c>
      <c r="X14" s="32">
        <f>IFERROR(M14*'2.THONG_SO'!$C$37/W14,"")</f>
        <v/>
      </c>
      <c r="Y14" s="14">
        <f>IF(V14="Chưa tính chi tiết","CHƯA TÍNH",IF(X14="","CHƯA TÍNH",IF(X14&lt;=1,"ĐẠT","KHÔNG ĐẠT")))</f>
        <v/>
      </c>
      <c r="Z14" s="25" t="n">
        <v>6.2</v>
      </c>
      <c r="AA14" s="25" t="n">
        <v>15</v>
      </c>
      <c r="AB14" s="47">
        <f>IFERROR(DEGREES(ATAN(Z14/AA14)),"")</f>
        <v/>
      </c>
      <c r="AC14" s="47">
        <f>M14*COS(RADIANS(AB14))</f>
        <v/>
      </c>
      <c r="AD14" s="47">
        <f>M14*SIN(RADIANS(AB14))</f>
        <v/>
      </c>
      <c r="AE14" s="47">
        <f>'4.COC_DAN_HUONG'!$C$38</f>
        <v/>
      </c>
      <c r="AF14" s="47">
        <f>'4.COC_DAN_HUONG'!$C$39</f>
        <v/>
      </c>
      <c r="AG14" s="32">
        <f>IFERROR(AC14/AE14,"")</f>
        <v/>
      </c>
      <c r="AH14" s="32">
        <f>IFERROR(AD14/AF14,"")</f>
        <v/>
      </c>
      <c r="AI14" s="14">
        <f>IF(P14=0,"KHÔNG CÓ NEO ĐÁY",IF(AND(AG14&lt;=1,AH14&lt;=1),"ĐẠT","KHÔNG ĐẠT — rút ngắn k.cách hoặc tăng D/L cọc"))</f>
        <v/>
      </c>
      <c r="AJ14" s="47">
        <f>SQRT(Z14^2+AA14^2)</f>
        <v/>
      </c>
      <c r="AK14" s="47">
        <f>P14*AJ14</f>
        <v/>
      </c>
      <c r="AL14" s="25" t="n">
        <v>20</v>
      </c>
      <c r="AM14" s="47">
        <f>AL14</f>
        <v/>
      </c>
      <c r="AN14" s="47">
        <f>O14*AM14</f>
        <v/>
      </c>
      <c r="AO14" s="47">
        <f>AK14+AN14</f>
        <v/>
      </c>
    </row>
    <row r="15" ht="15" customHeight="1" s="1">
      <c r="B15" s="24" t="inlineStr">
        <is>
          <t>BÈ 10</t>
        </is>
      </c>
      <c r="C15" s="15" t="n">
        <v>11630</v>
      </c>
      <c r="D15" s="25" t="n">
        <v>469.2</v>
      </c>
      <c r="E15" s="25" t="n">
        <v>145.5</v>
      </c>
      <c r="F15" s="25" t="n">
        <v>89.3</v>
      </c>
      <c r="G15" s="25" t="n">
        <v>90</v>
      </c>
      <c r="H15" s="26">
        <f>ROUND(C15/'2.THONG_SO'!$C$27*'2.THONG_SO'!$C$26,0)</f>
        <v/>
      </c>
      <c r="I15" s="26">
        <f>H15*'2.THONG_SO'!$C$25*SIN(RADIANS('2.THONG_SO'!$C$24))</f>
        <v/>
      </c>
      <c r="J15" s="13">
        <f>(E15+F15)/2*'2.THONG_SO'!$C$23</f>
        <v/>
      </c>
      <c r="K15" s="13">
        <f>0.5*'2.THONG_SO'!$C$19*('2.THONG_SO'!$C$20*I15*'2.THONG_SO'!$C$21+'2.THONG_SO'!$C$22*J15)*'2.THONG_SO'!$C$18^2/1000*'2.THONG_SO'!$C$28</f>
        <v/>
      </c>
      <c r="L15" s="20" t="n">
        <v>0.169</v>
      </c>
      <c r="M15" s="13">
        <f>K15*L15+'2.THONG_SO'!$C$32</f>
        <v/>
      </c>
      <c r="N15" s="29">
        <f>MAX(CEILING(D15/'2.THONG_SO'!$C$33,1),3)</f>
        <v/>
      </c>
      <c r="O15" s="28" t="n">
        <v>18</v>
      </c>
      <c r="P15" s="28" t="n">
        <v>14</v>
      </c>
      <c r="Q15" s="29">
        <f>M15*'2.THONG_SO'!$C$31</f>
        <v/>
      </c>
      <c r="R15" s="30" t="inlineStr">
        <is>
          <t>PES-36</t>
        </is>
      </c>
      <c r="S15" s="29">
        <f>IFERROR(LOOKUP(R15,{"PES-20";"PES-24";"PES-28";"PES-32";"PES-36";"PES-40";"PES-44"},{120;175;235;310;390;480;580}),"")</f>
        <v/>
      </c>
      <c r="T15" s="11">
        <f>IFERROR(Q15/S15,"")</f>
        <v/>
      </c>
      <c r="U15" s="14">
        <f>IF(T15="","THIẾU DỮ LIỆU",IF(T15&lt;=1,"ĐẠT","KHÔNG ĐẠT"))</f>
        <v/>
      </c>
      <c r="V15" s="30" t="inlineStr">
        <is>
          <t>Chưa tính chi tiết</t>
        </is>
      </c>
      <c r="W15" s="31">
        <f>IF(V15="BAN-1.0",'2.THONG_SO'!$C$38,IF(V15="BAN-1.4",'2.THONG_SO'!$C$39,IF(V15="BAN-1.8",'2.THONG_SO'!$C$40,"")))</f>
        <v/>
      </c>
      <c r="X15" s="32">
        <f>IFERROR(M15*'2.THONG_SO'!$C$37/W15,"")</f>
        <v/>
      </c>
      <c r="Y15" s="14">
        <f>IF(V15="Chưa tính chi tiết","CHƯA TÍNH",IF(X15="","CHƯA TÍNH",IF(X15&lt;=1,"ĐẠT","KHÔNG ĐẠT")))</f>
        <v/>
      </c>
      <c r="Z15" s="25" t="n">
        <v>6.2</v>
      </c>
      <c r="AA15" s="25" t="n">
        <v>15</v>
      </c>
      <c r="AB15" s="47">
        <f>IFERROR(DEGREES(ATAN(Z15/AA15)),"")</f>
        <v/>
      </c>
      <c r="AC15" s="47">
        <f>M15*COS(RADIANS(AB15))</f>
        <v/>
      </c>
      <c r="AD15" s="47">
        <f>M15*SIN(RADIANS(AB15))</f>
        <v/>
      </c>
      <c r="AE15" s="47">
        <f>'4.COC_DAN_HUONG'!$C$38</f>
        <v/>
      </c>
      <c r="AF15" s="47">
        <f>'4.COC_DAN_HUONG'!$C$39</f>
        <v/>
      </c>
      <c r="AG15" s="32">
        <f>IFERROR(AC15/AE15,"")</f>
        <v/>
      </c>
      <c r="AH15" s="32">
        <f>IFERROR(AD15/AF15,"")</f>
        <v/>
      </c>
      <c r="AI15" s="14">
        <f>IF(P15=0,"KHÔNG CÓ NEO ĐÁY",IF(AND(AG15&lt;=1,AH15&lt;=1),"ĐẠT","KHÔNG ĐẠT — rút ngắn k.cách hoặc tăng D/L cọc"))</f>
        <v/>
      </c>
      <c r="AJ15" s="47">
        <f>SQRT(Z15^2+AA15^2)</f>
        <v/>
      </c>
      <c r="AK15" s="47">
        <f>P15*AJ15</f>
        <v/>
      </c>
      <c r="AL15" s="25" t="n">
        <v>20</v>
      </c>
      <c r="AM15" s="47">
        <f>AL15</f>
        <v/>
      </c>
      <c r="AN15" s="47">
        <f>O15*AM15</f>
        <v/>
      </c>
      <c r="AO15" s="47">
        <f>AK15+AN15</f>
        <v/>
      </c>
    </row>
    <row r="16" ht="15" customHeight="1" s="1">
      <c r="B16" s="24" t="inlineStr">
        <is>
          <t>BÈ 11</t>
        </is>
      </c>
      <c r="C16" s="15" t="n">
        <v>8830</v>
      </c>
      <c r="D16" s="25" t="n">
        <v>401.1</v>
      </c>
      <c r="E16" s="25" t="n">
        <v>106.7</v>
      </c>
      <c r="F16" s="25" t="n">
        <v>94.09999999999999</v>
      </c>
      <c r="G16" s="25" t="n">
        <v>90</v>
      </c>
      <c r="H16" s="26">
        <f>ROUND(C16/'2.THONG_SO'!$C$27*'2.THONG_SO'!$C$26,0)</f>
        <v/>
      </c>
      <c r="I16" s="26">
        <f>H16*'2.THONG_SO'!$C$25*SIN(RADIANS('2.THONG_SO'!$C$24))</f>
        <v/>
      </c>
      <c r="J16" s="13">
        <f>(E16+F16)/2*'2.THONG_SO'!$C$23</f>
        <v/>
      </c>
      <c r="K16" s="13">
        <f>0.5*'2.THONG_SO'!$C$19*('2.THONG_SO'!$C$20*I16*'2.THONG_SO'!$C$21+'2.THONG_SO'!$C$22*J16)*'2.THONG_SO'!$C$18^2/1000*'2.THONG_SO'!$C$28</f>
        <v/>
      </c>
      <c r="L16" s="20" t="n">
        <v>0.18</v>
      </c>
      <c r="M16" s="13">
        <f>K16*L16+'2.THONG_SO'!$C$32</f>
        <v/>
      </c>
      <c r="N16" s="29">
        <f>MAX(CEILING(D16/'2.THONG_SO'!$C$33,1),3)</f>
        <v/>
      </c>
      <c r="O16" s="28" t="n">
        <v>11</v>
      </c>
      <c r="P16" s="28" t="n">
        <v>16</v>
      </c>
      <c r="Q16" s="29">
        <f>M16*'2.THONG_SO'!$C$31</f>
        <v/>
      </c>
      <c r="R16" s="30" t="inlineStr">
        <is>
          <t>PES-32</t>
        </is>
      </c>
      <c r="S16" s="29">
        <f>IFERROR(LOOKUP(R16,{"PES-20";"PES-24";"PES-28";"PES-32";"PES-36";"PES-40";"PES-44"},{120;175;235;310;390;480;580}),"")</f>
        <v/>
      </c>
      <c r="T16" s="11">
        <f>IFERROR(Q16/S16,"")</f>
        <v/>
      </c>
      <c r="U16" s="14">
        <f>IF(T16="","THIẾU DỮ LIỆU",IF(T16&lt;=1,"ĐẠT","KHÔNG ĐẠT"))</f>
        <v/>
      </c>
      <c r="V16" s="30" t="inlineStr">
        <is>
          <t>Chưa tính chi tiết</t>
        </is>
      </c>
      <c r="W16" s="31">
        <f>IF(V16="BAN-1.0",'2.THONG_SO'!$C$38,IF(V16="BAN-1.4",'2.THONG_SO'!$C$39,IF(V16="BAN-1.8",'2.THONG_SO'!$C$40,"")))</f>
        <v/>
      </c>
      <c r="X16" s="32">
        <f>IFERROR(M16*'2.THONG_SO'!$C$37/W16,"")</f>
        <v/>
      </c>
      <c r="Y16" s="14">
        <f>IF(V16="Chưa tính chi tiết","CHƯA TÍNH",IF(X16="","CHƯA TÍNH",IF(X16&lt;=1,"ĐẠT","KHÔNG ĐẠT")))</f>
        <v/>
      </c>
      <c r="Z16" s="25" t="n">
        <v>6.2</v>
      </c>
      <c r="AA16" s="25" t="n">
        <v>15</v>
      </c>
      <c r="AB16" s="47">
        <f>IFERROR(DEGREES(ATAN(Z16/AA16)),"")</f>
        <v/>
      </c>
      <c r="AC16" s="47">
        <f>M16*COS(RADIANS(AB16))</f>
        <v/>
      </c>
      <c r="AD16" s="47">
        <f>M16*SIN(RADIANS(AB16))</f>
        <v/>
      </c>
      <c r="AE16" s="47">
        <f>'4.COC_DAN_HUONG'!$C$38</f>
        <v/>
      </c>
      <c r="AF16" s="47">
        <f>'4.COC_DAN_HUONG'!$C$39</f>
        <v/>
      </c>
      <c r="AG16" s="32">
        <f>IFERROR(AC16/AE16,"")</f>
        <v/>
      </c>
      <c r="AH16" s="32">
        <f>IFERROR(AD16/AF16,"")</f>
        <v/>
      </c>
      <c r="AI16" s="14">
        <f>IF(P16=0,"KHÔNG CÓ NEO ĐÁY",IF(AND(AG16&lt;=1,AH16&lt;=1),"ĐẠT","KHÔNG ĐẠT — rút ngắn k.cách hoặc tăng D/L cọc"))</f>
        <v/>
      </c>
      <c r="AJ16" s="47">
        <f>SQRT(Z16^2+AA16^2)</f>
        <v/>
      </c>
      <c r="AK16" s="47">
        <f>P16*AJ16</f>
        <v/>
      </c>
      <c r="AL16" s="25" t="n">
        <v>20</v>
      </c>
      <c r="AM16" s="47">
        <f>AL16</f>
        <v/>
      </c>
      <c r="AN16" s="47">
        <f>O16*AM16</f>
        <v/>
      </c>
      <c r="AO16" s="47">
        <f>AK16+AN16</f>
        <v/>
      </c>
    </row>
    <row r="17" ht="15" customHeight="1" s="1">
      <c r="B17" s="24" t="inlineStr">
        <is>
          <t>BÈ 12</t>
        </is>
      </c>
      <c r="C17" s="15" t="n">
        <v>4200</v>
      </c>
      <c r="D17" s="25" t="n">
        <v>256.5</v>
      </c>
      <c r="E17" s="25" t="n">
        <v>70</v>
      </c>
      <c r="F17" s="25" t="n">
        <v>58.3</v>
      </c>
      <c r="G17" s="25" t="n">
        <v>0</v>
      </c>
      <c r="H17" s="26">
        <f>ROUND(C17/'2.THONG_SO'!$C$27*'2.THONG_SO'!$C$26,0)</f>
        <v/>
      </c>
      <c r="I17" s="26">
        <f>H17*'2.THONG_SO'!$C$25*SIN(RADIANS('2.THONG_SO'!$C$24))</f>
        <v/>
      </c>
      <c r="J17" s="13">
        <f>(E17+F17)/2*'2.THONG_SO'!$C$23</f>
        <v/>
      </c>
      <c r="K17" s="13">
        <f>0.5*'2.THONG_SO'!$C$19*('2.THONG_SO'!$C$20*I17*'2.THONG_SO'!$C$21+'2.THONG_SO'!$C$22*J17)*'2.THONG_SO'!$C$18^2/1000*'2.THONG_SO'!$C$28</f>
        <v/>
      </c>
      <c r="L17" s="20" t="n">
        <v>0.3</v>
      </c>
      <c r="M17" s="13">
        <f>K17*L17+'2.THONG_SO'!$C$32</f>
        <v/>
      </c>
      <c r="N17" s="29">
        <f>MAX(CEILING(D17/'2.THONG_SO'!$C$33,1),3)</f>
        <v/>
      </c>
      <c r="O17" s="28" t="n">
        <v>9</v>
      </c>
      <c r="P17" s="28" t="n">
        <v>9</v>
      </c>
      <c r="Q17" s="29">
        <f>M17*'2.THONG_SO'!$C$31</f>
        <v/>
      </c>
      <c r="R17" s="30" t="inlineStr">
        <is>
          <t>PES-28</t>
        </is>
      </c>
      <c r="S17" s="29">
        <f>IFERROR(LOOKUP(R17,{"PES-20";"PES-24";"PES-28";"PES-32";"PES-36";"PES-40";"PES-44"},{120;175;235;310;390;480;580}),"")</f>
        <v/>
      </c>
      <c r="T17" s="11">
        <f>IFERROR(Q17/S17,"")</f>
        <v/>
      </c>
      <c r="U17" s="14">
        <f>IF(T17="","THIẾU DỮ LIỆU",IF(T17&lt;=1,"ĐẠT","KHÔNG ĐẠT"))</f>
        <v/>
      </c>
      <c r="V17" s="30" t="inlineStr">
        <is>
          <t>Chưa tính chi tiết</t>
        </is>
      </c>
      <c r="W17" s="31">
        <f>IF(V17="BAN-1.0",'2.THONG_SO'!$C$38,IF(V17="BAN-1.4",'2.THONG_SO'!$C$39,IF(V17="BAN-1.8",'2.THONG_SO'!$C$40,"")))</f>
        <v/>
      </c>
      <c r="X17" s="32">
        <f>IFERROR(M17*'2.THONG_SO'!$C$37/W17,"")</f>
        <v/>
      </c>
      <c r="Y17" s="14">
        <f>IF(V17="Chưa tính chi tiết","CHƯA TÍNH",IF(X17="","CHƯA TÍNH",IF(X17&lt;=1,"ĐẠT","KHÔNG ĐẠT")))</f>
        <v/>
      </c>
      <c r="Z17" s="25" t="n">
        <v>6.2</v>
      </c>
      <c r="AA17" s="25" t="n">
        <v>15</v>
      </c>
      <c r="AB17" s="47">
        <f>IFERROR(DEGREES(ATAN(Z17/AA17)),"")</f>
        <v/>
      </c>
      <c r="AC17" s="47">
        <f>M17*COS(RADIANS(AB17))</f>
        <v/>
      </c>
      <c r="AD17" s="47">
        <f>M17*SIN(RADIANS(AB17))</f>
        <v/>
      </c>
      <c r="AE17" s="47">
        <f>'4.COC_DAN_HUONG'!$C$38</f>
        <v/>
      </c>
      <c r="AF17" s="47">
        <f>'4.COC_DAN_HUONG'!$C$39</f>
        <v/>
      </c>
      <c r="AG17" s="32">
        <f>IFERROR(AC17/AE17,"")</f>
        <v/>
      </c>
      <c r="AH17" s="32">
        <f>IFERROR(AD17/AF17,"")</f>
        <v/>
      </c>
      <c r="AI17" s="14">
        <f>IF(P17=0,"KHÔNG CÓ NEO ĐÁY",IF(AND(AG17&lt;=1,AH17&lt;=1),"ĐẠT","KHÔNG ĐẠT — rút ngắn k.cách hoặc tăng D/L cọc"))</f>
        <v/>
      </c>
      <c r="AJ17" s="47">
        <f>SQRT(Z17^2+AA17^2)</f>
        <v/>
      </c>
      <c r="AK17" s="47">
        <f>P17*AJ17</f>
        <v/>
      </c>
      <c r="AL17" s="25" t="n">
        <v>20</v>
      </c>
      <c r="AM17" s="47">
        <f>AL17</f>
        <v/>
      </c>
      <c r="AN17" s="47">
        <f>O17*AM17</f>
        <v/>
      </c>
      <c r="AO17" s="47">
        <f>AK17+AN17</f>
        <v/>
      </c>
    </row>
    <row r="18" ht="15" customHeight="1" s="1">
      <c r="B18" s="24" t="inlineStr">
        <is>
          <t>BÈ 13</t>
        </is>
      </c>
      <c r="C18" s="15" t="n">
        <v>3500</v>
      </c>
      <c r="D18" s="25" t="n">
        <v>272.5</v>
      </c>
      <c r="E18" s="25" t="n">
        <v>100.1</v>
      </c>
      <c r="F18" s="25" t="n">
        <v>36.2</v>
      </c>
      <c r="G18" s="25" t="n">
        <v>64</v>
      </c>
      <c r="H18" s="26">
        <f>ROUND(C18/'2.THONG_SO'!$C$27*'2.THONG_SO'!$C$26,0)</f>
        <v/>
      </c>
      <c r="I18" s="26">
        <f>H18*'2.THONG_SO'!$C$25*SIN(RADIANS('2.THONG_SO'!$C$24))</f>
        <v/>
      </c>
      <c r="J18" s="13">
        <f>(E18+F18)/2*'2.THONG_SO'!$C$23</f>
        <v/>
      </c>
      <c r="K18" s="13">
        <f>0.5*'2.THONG_SO'!$C$19*('2.THONG_SO'!$C$20*I18*'2.THONG_SO'!$C$21+'2.THONG_SO'!$C$22*J18)*'2.THONG_SO'!$C$18^2/1000*'2.THONG_SO'!$C$28</f>
        <v/>
      </c>
      <c r="L18" s="20" t="n">
        <v>0.327</v>
      </c>
      <c r="M18" s="13">
        <f>K18*L18+'2.THONG_SO'!$C$32</f>
        <v/>
      </c>
      <c r="N18" s="29">
        <f>MAX(CEILING(D18/'2.THONG_SO'!$C$33,1),3)</f>
        <v/>
      </c>
      <c r="O18" s="28" t="n">
        <v>14</v>
      </c>
      <c r="P18" s="28" t="n">
        <v>5</v>
      </c>
      <c r="Q18" s="29">
        <f>M18*'2.THONG_SO'!$C$31</f>
        <v/>
      </c>
      <c r="R18" s="30" t="inlineStr">
        <is>
          <t>PES-28</t>
        </is>
      </c>
      <c r="S18" s="29">
        <f>IFERROR(LOOKUP(R18,{"PES-20";"PES-24";"PES-28";"PES-32";"PES-36";"PES-40";"PES-44"},{120;175;235;310;390;480;580}),"")</f>
        <v/>
      </c>
      <c r="T18" s="11">
        <f>IFERROR(Q18/S18,"")</f>
        <v/>
      </c>
      <c r="U18" s="14">
        <f>IF(T18="","THIẾU DỮ LIỆU",IF(T18&lt;=1,"ĐẠT","KHÔNG ĐẠT"))</f>
        <v/>
      </c>
      <c r="V18" s="30" t="inlineStr">
        <is>
          <t>Chưa tính chi tiết</t>
        </is>
      </c>
      <c r="W18" s="31">
        <f>IF(V18="BAN-1.0",'2.THONG_SO'!$C$38,IF(V18="BAN-1.4",'2.THONG_SO'!$C$39,IF(V18="BAN-1.8",'2.THONG_SO'!$C$40,"")))</f>
        <v/>
      </c>
      <c r="X18" s="32">
        <f>IFERROR(M18*'2.THONG_SO'!$C$37/W18,"")</f>
        <v/>
      </c>
      <c r="Y18" s="14">
        <f>IF(V18="Chưa tính chi tiết","CHƯA TÍNH",IF(X18="","CHƯA TÍNH",IF(X18&lt;=1,"ĐẠT","KHÔNG ĐẠT")))</f>
        <v/>
      </c>
      <c r="Z18" s="25" t="n">
        <v>6.2</v>
      </c>
      <c r="AA18" s="25" t="n">
        <v>15</v>
      </c>
      <c r="AB18" s="47">
        <f>IFERROR(DEGREES(ATAN(Z18/AA18)),"")</f>
        <v/>
      </c>
      <c r="AC18" s="47">
        <f>M18*COS(RADIANS(AB18))</f>
        <v/>
      </c>
      <c r="AD18" s="47">
        <f>M18*SIN(RADIANS(AB18))</f>
        <v/>
      </c>
      <c r="AE18" s="47">
        <f>'4.COC_DAN_HUONG'!$C$38</f>
        <v/>
      </c>
      <c r="AF18" s="47">
        <f>'4.COC_DAN_HUONG'!$C$39</f>
        <v/>
      </c>
      <c r="AG18" s="32">
        <f>IFERROR(AC18/AE18,"")</f>
        <v/>
      </c>
      <c r="AH18" s="32">
        <f>IFERROR(AD18/AF18,"")</f>
        <v/>
      </c>
      <c r="AI18" s="14">
        <f>IF(P18=0,"KHÔNG CÓ NEO ĐÁY",IF(AND(AG18&lt;=1,AH18&lt;=1),"ĐẠT","KHÔNG ĐẠT — rút ngắn k.cách hoặc tăng D/L cọc"))</f>
        <v/>
      </c>
      <c r="AJ18" s="47">
        <f>SQRT(Z18^2+AA18^2)</f>
        <v/>
      </c>
      <c r="AK18" s="47">
        <f>P18*AJ18</f>
        <v/>
      </c>
      <c r="AL18" s="25" t="n">
        <v>20</v>
      </c>
      <c r="AM18" s="47">
        <f>AL18</f>
        <v/>
      </c>
      <c r="AN18" s="47">
        <f>O18*AM18</f>
        <v/>
      </c>
      <c r="AO18" s="47">
        <f>AK18+AN18</f>
        <v/>
      </c>
    </row>
    <row r="19" ht="15" customHeight="1" s="1">
      <c r="B19" s="5" t="inlineStr">
        <is>
          <t>TỔNG</t>
        </is>
      </c>
      <c r="C19" s="33">
        <f>SUM(C6:C18)</f>
        <v/>
      </c>
      <c r="N19" s="33">
        <f>SUM(N6:N18)</f>
        <v/>
      </c>
      <c r="O19" s="33">
        <f>SUM(O6:O18)</f>
        <v/>
      </c>
      <c r="P19" s="33">
        <f>SUM(P6:P18)</f>
        <v/>
      </c>
      <c r="AK19" s="48">
        <f>SUM(AK6:AK18)</f>
        <v/>
      </c>
      <c r="AN19" s="48">
        <f>SUM(AN6:AN18)</f>
        <v/>
      </c>
      <c r="AO19" s="48">
        <f>SUM(AO6:AO18)</f>
        <v/>
      </c>
    </row>
    <row r="20" ht="15" customHeight="1" s="1"/>
    <row r="21" ht="15" customHeight="1" s="1">
      <c r="B21" s="9" t="inlineStr">
        <is>
          <t>Hệ số tập trung = T max / F, lấy từ mô hình phân bố lực chi tiết. Bè có ít dây chịu tải thì hệ số cao.</t>
        </is>
      </c>
    </row>
    <row r="22" ht="15" customHeight="1" s="1">
      <c r="B22" s="9" t="inlineStr">
        <is>
          <t>A chiếu phao dùng bề rộng trung bình (Dài + Rộng)/2 — đơn giản hóa so với bản chi tiết.</t>
        </is>
      </c>
    </row>
    <row r="23" ht="15" customHeight="1" s="1"/>
    <row r="24">
      <c r="B24" s="49" t="inlineStr">
        <is>
          <t>GHI CHÚ (cột Z→AO — thêm để tùy biến khoảng cách bè↔cọc và kiểm tra neo đáy):</t>
        </is>
      </c>
    </row>
    <row r="25">
      <c r="B25" s="49" t="inlineStr">
        <is>
          <t>- Cột AA (vàng) = khoảng cách bè→cọc NEO ĐÁY do bạn tự bố trí. Đổi số này để dò khoảng cách gần nhất mà cột AI vẫn ra ĐẠT.</t>
        </is>
      </c>
    </row>
    <row r="26">
      <c r="B26" s="49" t="inlineStr">
        <is>
          <t>- Góc dây (AB) = arctan(Độ sâu nước Z / khoảng cách AA) → khoảng cách càng ngắn, góc càng dốc, lực nhổ Tv (AD) càng lớn.</t>
        </is>
      </c>
    </row>
    <row r="27">
      <c r="B27" s="49" t="inlineStr">
        <is>
          <t>- Sức chịu cọc (AE, AF) lấy cố định từ sheet 4 (Cách 1, D=0,35m, L=8m dùng chung). Nếu đổi tiết diện/chiều dài cọc thì sửa ở sheet 4 mục C.</t>
        </is>
      </c>
    </row>
    <row r="28">
      <c r="B28" s="49" t="inlineStr">
        <is>
          <t>- Cột AJ, AK, AN, AO dùng để lấy tổng mét dây neo cần đặt hàng theo khoảng cách bạn đã chọn (không cộng hao phí buộc đầu/tăng đơ).</t>
        </is>
      </c>
    </row>
    <row r="29">
      <c r="B29" s="49" t="inlineStr">
        <is>
          <t>- Bè 1 (dòng 6): công thức Y6 (KT NEO ĐÁY gốc) vẫn lấy từ sheet 7.BE01_CHI_TIET (khoảng cách thực 13,5 m theo bản vẽ). Cột AI ở đây là công cụ thử khoảng cách khác, độc lập với sheet 7.</t>
        </is>
      </c>
    </row>
  </sheetData>
  <conditionalFormatting sqref="U6:U18">
    <cfRule type="cellIs" priority="2" operator="equal" dxfId="1">
      <formula>"ĐẠT"</formula>
    </cfRule>
    <cfRule type="cellIs" priority="3" operator="equal" dxfId="0">
      <formula>"KHÔNG ĐẠT"</formula>
    </cfRule>
  </conditionalFormatting>
  <conditionalFormatting sqref="Y6:Y18">
    <cfRule type="cellIs" priority="4" operator="equal" dxfId="1">
      <formula>"ĐẠT"</formula>
    </cfRule>
    <cfRule type="cellIs" priority="6" operator="equal" dxfId="0">
      <formula>"KHÔNG ĐẠT"</formula>
    </cfRule>
    <cfRule type="cellIs" priority="7" operator="equal" dxfId="27">
      <formula>"CHƯA TÍNH"</formula>
    </cfRule>
  </conditionalFormatting>
  <conditionalFormatting sqref="AI6:AI18">
    <cfRule type="cellIs" priority="6" operator="equal" dxfId="33">
      <formula>"ĐẠT"</formula>
    </cfRule>
    <cfRule type="cellIs" priority="7" operator="equal" dxfId="34">
      <formula>"KHÔNG ĐẠT — rút ngắn k.cách hoặc tăng D/L cọc"</formula>
    </cfRule>
    <cfRule type="cellIs" priority="8" operator="equal" dxfId="35">
      <formula>"KHÔNG CÓ NEO ĐÁY"</formula>
    </cfRule>
  </conditionalFormatting>
  <dataValidations count="3">
    <dataValidation sqref="R6:R18" showDropDown="0" showInputMessage="0" showErrorMessage="0" allowBlank="1" type="list">
      <formula1>"PES-20,PES-24,PES-28,PES-32,PES-36,PES-40,PES-44"</formula1>
      <formula2>0</formula2>
    </dataValidation>
    <dataValidation sqref="V6" showDropDown="0" showInputMessage="0" showErrorMessage="0" allowBlank="1" type="list">
      <formula1>"BAN-1.0,BAN-1.4,BAN-1.8"</formula1>
      <formula2>0</formula2>
    </dataValidation>
    <dataValidation sqref="V7:V18" showDropDown="0" showInputMessage="0" showErrorMessage="0" allowBlank="1" type="list">
      <formula1>"Cọc đóng lòng hồ,Chưa tính chi tiết"</formula1>
      <formula2>0</formula2>
    </dataValidation>
  </dataValidations>
  <pageMargins left="0.75" right="0.75" top="1" bottom="1" header="0.511811023622047" footer="0.511811023622047"/>
  <pageSetup orientation="landscape"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G80"/>
  <sheetViews>
    <sheetView zoomScaleNormal="100" workbookViewId="0">
      <pane xSplit="1" ySplit="5" topLeftCell="B6" activePane="bottomRight" state="frozen"/>
      <selection pane="bottomLeft" activeCell="A6" sqref="A6"/>
      <selection pane="topRight" activeCell="B1" sqref="B1"/>
      <selection pane="bottomRight" activeCell="A1" sqref="A1"/>
    </sheetView>
  </sheetViews>
  <sheetFormatPr baseColWidth="8" defaultColWidth="8.7421875" defaultRowHeight="15"/>
  <cols>
    <col width="46.00390625" customWidth="1" style="1" min="2" max="2"/>
    <col width="13.98828125" customWidth="1" style="1" min="3" max="3"/>
    <col width="9.953125" customWidth="1" style="1" min="4" max="4"/>
    <col width="57.9765625" customWidth="1" style="1" min="5" max="5"/>
  </cols>
  <sheetData>
    <row r="2" ht="17.25" customHeight="1" s="1">
      <c r="B2" s="2" t="inlineStr">
        <is>
          <t>CỌC ĐÓNG — CÔNG CỤ TÍNH CHUNG (dùng cho MỌI bè)</t>
        </is>
      </c>
    </row>
    <row r="3" ht="15" customHeight="1" s="1">
      <c r="B3" s="3" t="inlineStr">
        <is>
          <t>Toàn bộ hệ neo dùng CỌC ĐÓNG. Nhập T max của bè đang tính vào ô C6, đổi kích thước cọc để tìm phương án đạt.</t>
        </is>
      </c>
    </row>
    <row r="5" ht="15" customHeight="1" s="1">
      <c r="B5" s="7" t="inlineStr">
        <is>
          <t>A. TẢI TRỌNG ĐẦU VÀO</t>
        </is>
      </c>
      <c r="C5" s="7" t="n"/>
      <c r="D5" s="7" t="n"/>
      <c r="E5" s="7" t="n"/>
      <c r="F5" s="7" t="n"/>
    </row>
    <row r="6" ht="15" customHeight="1" s="1">
      <c r="B6" s="4" t="inlineStr">
        <is>
          <t>Lực dây lớn nhất T (nhập cho bè đang xét)</t>
        </is>
      </c>
      <c r="C6" s="8" t="n">
        <v>59.3</v>
      </c>
      <c r="D6" s="4" t="inlineStr">
        <is>
          <t>kN</t>
        </is>
      </c>
      <c r="E6" s="9" t="inlineStr">
        <is>
          <t>VD: lấy từ sheet 3 cột M hoặc sheet chi tiết bè</t>
        </is>
      </c>
    </row>
    <row r="7" ht="15" customHeight="1" s="1">
      <c r="B7" s="4" t="inlineStr">
        <is>
          <t>Hệ số an toàn cọc</t>
        </is>
      </c>
      <c r="C7" s="11">
        <f>'2.THONG_SO'!C37</f>
        <v/>
      </c>
      <c r="D7" s="4" t="inlineStr">
        <is>
          <t>-</t>
        </is>
      </c>
      <c r="E7" s="9" t="n"/>
    </row>
    <row r="9" ht="15" customHeight="1" s="1">
      <c r="B9" s="7" t="inlineStr">
        <is>
          <t>B. CỌC NEO BỜ  (đóng trên đất bờ, tay đòn nhỏ)</t>
        </is>
      </c>
      <c r="C9" s="7" t="n"/>
      <c r="D9" s="7" t="n"/>
      <c r="E9" s="7" t="n"/>
      <c r="F9" s="7" t="n"/>
    </row>
    <row r="10" ht="15" customHeight="1" s="1">
      <c r="B10" s="9" t="inlineStr">
        <is>
          <t>Cọc trên bờ không di chuyển theo mực nước. Cáp buộc gần sát mặt đất — tay đòn nhỏ, không cần vòng trượt.</t>
        </is>
      </c>
    </row>
    <row r="11" ht="15" customHeight="1" s="1">
      <c r="B11" s="4" t="inlineStr">
        <is>
          <t>cu ĐẤT BỜ</t>
        </is>
      </c>
      <c r="C11" s="11">
        <f>'2.THONG_SO'!C41</f>
        <v/>
      </c>
      <c r="D11" s="4" t="inlineStr">
        <is>
          <t>kPa</t>
        </is>
      </c>
      <c r="E11" s="9" t="n"/>
    </row>
    <row r="12" ht="15" customHeight="1" s="1">
      <c r="B12" s="4" t="inlineStr">
        <is>
          <t>Tay đòn e</t>
        </is>
      </c>
      <c r="C12" s="8" t="n">
        <v>0.5</v>
      </c>
      <c r="D12" s="4" t="inlineStr">
        <is>
          <t>m</t>
        </is>
      </c>
      <c r="E12" s="9" t="n"/>
    </row>
    <row r="13" ht="15" customHeight="1" s="1">
      <c r="B13" s="4" t="inlineStr">
        <is>
          <t>Cạnh cọc D</t>
        </is>
      </c>
      <c r="C13" s="8" t="n">
        <v>0.45</v>
      </c>
      <c r="D13" s="4" t="inlineStr">
        <is>
          <t>m</t>
        </is>
      </c>
      <c r="E13" s="9" t="n"/>
    </row>
    <row r="14" ht="15" customHeight="1" s="1">
      <c r="B14" s="4" t="inlineStr">
        <is>
          <t>Chiều sâu ngàm L</t>
        </is>
      </c>
      <c r="C14" s="8" t="n">
        <v>6.5</v>
      </c>
      <c r="D14" s="4" t="inlineStr">
        <is>
          <t>m</t>
        </is>
      </c>
      <c r="E14" s="9" t="n"/>
    </row>
    <row r="15" ht="15" customHeight="1" s="1">
      <c r="B15" s="4" t="inlineStr">
        <is>
          <t>g = L − 1,5D</t>
        </is>
      </c>
      <c r="C15" s="34">
        <f>C14-1.5*C13</f>
        <v/>
      </c>
      <c r="D15" s="4" t="inlineStr">
        <is>
          <t>m</t>
        </is>
      </c>
      <c r="E15" s="9" t="n"/>
    </row>
    <row r="16" ht="15" customHeight="1" s="1">
      <c r="B16" s="4" t="inlineStr">
        <is>
          <t>A</t>
        </is>
      </c>
      <c r="C16" s="35">
        <f>0.02778/(C11*C13)</f>
        <v/>
      </c>
      <c r="D16" s="4" t="inlineStr">
        <is>
          <t>-</t>
        </is>
      </c>
      <c r="E16" s="9" t="n"/>
    </row>
    <row r="17" ht="15" customHeight="1" s="1">
      <c r="B17" s="4" t="inlineStr">
        <is>
          <t>B</t>
        </is>
      </c>
      <c r="C17" s="34">
        <f>C12+1.5*C13+0.5*C15</f>
        <v/>
      </c>
      <c r="D17" s="4" t="inlineStr">
        <is>
          <t>-</t>
        </is>
      </c>
      <c r="E17" s="9" t="n"/>
    </row>
    <row r="18" ht="15" customHeight="1" s="1">
      <c r="B18" s="4" t="inlineStr">
        <is>
          <t>C</t>
        </is>
      </c>
      <c r="C18" s="13">
        <f>-2.25*C13*C11*C15^2</f>
        <v/>
      </c>
      <c r="D18" s="4" t="inlineStr">
        <is>
          <t>-</t>
        </is>
      </c>
      <c r="E18" s="9" t="n"/>
    </row>
    <row r="19" ht="15" customHeight="1" s="1">
      <c r="B19" s="4" t="inlineStr">
        <is>
          <t>Hu (sức chịu cực hạn)</t>
        </is>
      </c>
      <c r="C19" s="13">
        <f>(-C17+SQRT(C17^2-4*C16*C18))/(2*C16)</f>
        <v/>
      </c>
      <c r="D19" s="4" t="inlineStr">
        <is>
          <t>kN</t>
        </is>
      </c>
      <c r="E19" s="9" t="n"/>
    </row>
    <row r="20" ht="15" customHeight="1" s="1">
      <c r="B20" s="4" t="inlineStr">
        <is>
          <t>Sức chịu cho phép</t>
        </is>
      </c>
      <c r="C20" s="13">
        <f>C19/C7</f>
        <v/>
      </c>
      <c r="D20" s="4" t="inlineStr">
        <is>
          <t>kN</t>
        </is>
      </c>
      <c r="E20" s="9" t="n"/>
    </row>
    <row r="21" ht="15" customHeight="1" s="1">
      <c r="B21" s="4" t="inlineStr">
        <is>
          <t>Hệ số sử dụng</t>
        </is>
      </c>
      <c r="C21" s="11">
        <f>C6/C20</f>
        <v/>
      </c>
      <c r="D21" s="4" t="inlineStr">
        <is>
          <t>-</t>
        </is>
      </c>
      <c r="E21" s="9" t="n"/>
    </row>
    <row r="22" ht="15" customHeight="1" s="1">
      <c r="B22" s="4" t="inlineStr">
        <is>
          <t>KIỂM TRA NGANG</t>
        </is>
      </c>
      <c r="C22" s="14">
        <f>IF(C21&lt;=1,"ĐẠT","KHÔNG ĐẠT — tăng L hoặc D")</f>
        <v/>
      </c>
      <c r="D22" s="4" t="n"/>
      <c r="E22" s="9" t="n"/>
    </row>
    <row r="23" ht="15" customHeight="1" s="1">
      <c r="B23" s="4" t="inlineStr">
        <is>
          <t>Mômen lớn nhất</t>
        </is>
      </c>
      <c r="C23" s="13">
        <f>C6*(C12+1.5*C13+0.5*C6/(9*C11*C13))</f>
        <v/>
      </c>
      <c r="D23" s="4" t="inlineStr">
        <is>
          <t>kNm</t>
        </is>
      </c>
      <c r="E23" s="9" t="n"/>
    </row>
    <row r="24" ht="15" customHeight="1" s="1">
      <c r="B24" s="4" t="inlineStr">
        <is>
          <t>Kiểm tra tiết diện</t>
        </is>
      </c>
      <c r="C24" s="11">
        <f>C23/(0.9*14500*C13^3/6)</f>
        <v/>
      </c>
      <c r="D24" s="4" t="inlineStr">
        <is>
          <t>-</t>
        </is>
      </c>
      <c r="E24" s="9" t="n"/>
    </row>
    <row r="25" ht="15" customHeight="1" s="1">
      <c r="B25" s="4" t="inlineStr">
        <is>
          <t>KIỂM TRA TIẾT DIỆN</t>
        </is>
      </c>
      <c r="C25" s="14">
        <f>IF(C24&lt;=1,"ĐẠT","KHÔNG ĐẠT — tăng D")</f>
        <v/>
      </c>
      <c r="D25" s="4" t="n"/>
      <c r="E25" s="9" t="n"/>
    </row>
    <row r="26" ht="15" customHeight="1" s="1">
      <c r="B26" s="4" t="inlineStr">
        <is>
          <t>Chiều dài cọc đặt hàng</t>
        </is>
      </c>
      <c r="C26" s="11">
        <f>C14+1.5</f>
        <v/>
      </c>
      <c r="D26" s="4" t="inlineStr">
        <is>
          <t>m</t>
        </is>
      </c>
      <c r="E26" s="9" t="n"/>
    </row>
    <row r="28" ht="15" customHeight="1" s="1">
      <c r="B28" s="7" t="inlineStr">
        <is>
          <t>C. CỌC NEO LÒNG HỒ — CÁCH 1  (đỉnh cọc ở đáy hồ, cần thợ lặn)</t>
        </is>
      </c>
      <c r="C28" s="7" t="n"/>
      <c r="D28" s="7" t="n"/>
      <c r="E28" s="7" t="n"/>
      <c r="F28" s="7" t="n"/>
    </row>
    <row r="29" ht="15" customHeight="1" s="1">
      <c r="B29" s="9" t="inlineStr">
        <is>
          <t>Cáp nối ngay đỉnh cọc dưới nước, tay đòn xấp xỉ 0. Cọc nhỏ nhất nhưng phải có thợ lặn khi thi công và bảo trì.</t>
        </is>
      </c>
    </row>
    <row r="30" ht="15" customHeight="1" s="1">
      <c r="B30" s="4" t="inlineStr">
        <is>
          <t>cu ĐÁY HỒ</t>
        </is>
      </c>
      <c r="C30" s="11">
        <f>'2.THONG_SO'!C36</f>
        <v/>
      </c>
      <c r="D30" s="4" t="inlineStr">
        <is>
          <t>kPa</t>
        </is>
      </c>
      <c r="E30" s="9" t="n"/>
    </row>
    <row r="31" ht="15" customHeight="1" s="1">
      <c r="B31" s="4" t="inlineStr">
        <is>
          <t>Cạnh cọc D</t>
        </is>
      </c>
      <c r="C31" s="8" t="n">
        <v>0.35</v>
      </c>
      <c r="D31" s="4" t="inlineStr">
        <is>
          <t>m</t>
        </is>
      </c>
      <c r="E31" s="9" t="n"/>
    </row>
    <row r="32" ht="15" customHeight="1" s="1">
      <c r="B32" s="4" t="inlineStr">
        <is>
          <t>Chiều sâu ngàm L</t>
        </is>
      </c>
      <c r="C32" s="8" t="n">
        <v>8</v>
      </c>
      <c r="D32" s="4" t="inlineStr">
        <is>
          <t>m</t>
        </is>
      </c>
      <c r="E32" s="9" t="n"/>
    </row>
    <row r="33" ht="15" customHeight="1" s="1">
      <c r="B33" s="4" t="inlineStr">
        <is>
          <t>g = L − 1,5D</t>
        </is>
      </c>
      <c r="C33" s="34">
        <f>C32-1.5*C31</f>
        <v/>
      </c>
      <c r="D33" s="4" t="inlineStr">
        <is>
          <t>m</t>
        </is>
      </c>
      <c r="E33" s="9" t="n"/>
    </row>
    <row r="34" ht="15" customHeight="1" s="1">
      <c r="B34" s="4" t="inlineStr">
        <is>
          <t>A</t>
        </is>
      </c>
      <c r="C34" s="35">
        <f>0.02778/(C30*C31)</f>
        <v/>
      </c>
      <c r="D34" s="4" t="inlineStr">
        <is>
          <t>-</t>
        </is>
      </c>
      <c r="E34" s="9" t="n"/>
    </row>
    <row r="35" ht="15" customHeight="1" s="1">
      <c r="B35" s="4" t="inlineStr">
        <is>
          <t>B</t>
        </is>
      </c>
      <c r="C35" s="34">
        <f>1.5*C31+0.5*C33</f>
        <v/>
      </c>
      <c r="D35" s="4" t="inlineStr">
        <is>
          <t>-</t>
        </is>
      </c>
      <c r="E35" s="9" t="inlineStr">
        <is>
          <t>tay đòn e = 0</t>
        </is>
      </c>
    </row>
    <row r="36" ht="15" customHeight="1" s="1">
      <c r="B36" s="4" t="inlineStr">
        <is>
          <t>C</t>
        </is>
      </c>
      <c r="C36" s="13">
        <f>-2.25*C31*C30*C33^2</f>
        <v/>
      </c>
      <c r="D36" s="4" t="inlineStr">
        <is>
          <t>-</t>
        </is>
      </c>
      <c r="E36" s="9" t="n"/>
    </row>
    <row r="37" ht="15" customHeight="1" s="1">
      <c r="B37" s="4" t="inlineStr">
        <is>
          <t>Hu</t>
        </is>
      </c>
      <c r="C37" s="13">
        <f>(-C35+SQRT(C35^2-4*C34*C36))/(2*C34)</f>
        <v/>
      </c>
      <c r="D37" s="4" t="inlineStr">
        <is>
          <t>kN</t>
        </is>
      </c>
      <c r="E37" s="9" t="n"/>
    </row>
    <row r="38" ht="15" customHeight="1" s="1">
      <c r="B38" s="4" t="inlineStr">
        <is>
          <t>Sức chịu NGANG cho phép</t>
        </is>
      </c>
      <c r="C38" s="13">
        <f>C37/C7</f>
        <v/>
      </c>
      <c r="D38" s="4" t="inlineStr">
        <is>
          <t>kN</t>
        </is>
      </c>
      <c r="E38" s="9" t="n"/>
    </row>
    <row r="39" ht="15" customHeight="1" s="1">
      <c r="B39" s="4" t="inlineStr">
        <is>
          <t>Sức chịu NHỔ cho phép</t>
        </is>
      </c>
      <c r="C39" s="13">
        <f>0.7*C30*4*C31*C32/2</f>
        <v/>
      </c>
      <c r="D39" s="4" t="inlineStr">
        <is>
          <t>kN</t>
        </is>
      </c>
      <c r="E39" s="9" t="inlineStr">
        <is>
          <t>ma sát thân cọc, FS=2,0</t>
        </is>
      </c>
    </row>
    <row r="40" ht="15" customHeight="1" s="1">
      <c r="B40" s="4" t="inlineStr">
        <is>
          <t>Hệ số sử dụng (giả thiết cáp ~ngang)</t>
        </is>
      </c>
      <c r="C40" s="11">
        <f>C6/C38</f>
        <v/>
      </c>
      <c r="D40" s="4" t="inlineStr">
        <is>
          <t>-</t>
        </is>
      </c>
      <c r="E40" s="9" t="n"/>
    </row>
    <row r="41" ht="15" customHeight="1" s="1">
      <c r="B41" s="4" t="inlineStr">
        <is>
          <t>KIỂM TRA CÁCH 1</t>
        </is>
      </c>
      <c r="C41" s="14">
        <f>IF(C40&lt;=1,"ĐẠT","KHÔNG ĐẠT — tăng D hoặc L")</f>
        <v/>
      </c>
      <c r="D41" s="4" t="n"/>
      <c r="E41" s="9" t="n"/>
    </row>
    <row r="42" ht="15" customHeight="1" s="1">
      <c r="B42" s="4" t="inlineStr">
        <is>
          <t>Chiều dài cọc (nhô 1,0 m)</t>
        </is>
      </c>
      <c r="C42" s="11">
        <f>C32+1</f>
        <v/>
      </c>
      <c r="D42" s="4" t="inlineStr">
        <is>
          <t>m</t>
        </is>
      </c>
      <c r="E42" s="9" t="n"/>
    </row>
    <row r="44" ht="15" customHeight="1" s="1">
      <c r="B44" s="7" t="inlineStr">
        <is>
          <t>D. CỌC NEO LÒNG HỒ — CÁCH 2  (đỉnh cọc trên MNCN, qua vòng trượt)</t>
        </is>
      </c>
      <c r="C44" s="7" t="n"/>
      <c r="D44" s="7" t="n"/>
      <c r="E44" s="7" t="n"/>
      <c r="F44" s="7" t="n"/>
    </row>
    <row r="45" ht="15" customHeight="1" s="1">
      <c r="B45" s="9" t="inlineStr">
        <is>
          <t>Không cần thợ lặn nhưng tay đòn lớn — cọc to và dài hơn nhiều. Chỉ chọn khi bắt buộc tránh thợ lặn.</t>
        </is>
      </c>
    </row>
    <row r="46" ht="15" customHeight="1" s="1">
      <c r="B46" s="4" t="inlineStr">
        <is>
          <t>Cao trình đỉnh cọc</t>
        </is>
      </c>
      <c r="C46" s="11">
        <f>'2.THONG_SO'!C6+0.8</f>
        <v/>
      </c>
      <c r="D46" s="4" t="inlineStr">
        <is>
          <t>m</t>
        </is>
      </c>
      <c r="E46" s="9" t="inlineStr">
        <is>
          <t>MNCN + 0,8 m</t>
        </is>
      </c>
    </row>
    <row r="47" ht="15" customHeight="1" s="1">
      <c r="B47" s="4" t="inlineStr">
        <is>
          <t>Cao trình đáy hồ</t>
        </is>
      </c>
      <c r="C47" s="11">
        <f>'2.THONG_SO'!C5-'2.THONG_SO'!C7</f>
        <v/>
      </c>
      <c r="D47" s="4" t="inlineStr">
        <is>
          <t>m</t>
        </is>
      </c>
      <c r="E47" s="9" t="inlineStr">
        <is>
          <t>MNDBT trừ độ sâu lớn nhất</t>
        </is>
      </c>
    </row>
    <row r="48" ht="15" customHeight="1" s="1">
      <c r="B48" s="4" t="inlineStr">
        <is>
          <t>Tay đòn e</t>
        </is>
      </c>
      <c r="C48" s="11">
        <f>C46-C47</f>
        <v/>
      </c>
      <c r="D48" s="4" t="inlineStr">
        <is>
          <t>m</t>
        </is>
      </c>
      <c r="E48" s="9" t="n"/>
    </row>
    <row r="49" ht="15" customHeight="1" s="1">
      <c r="B49" s="4" t="inlineStr">
        <is>
          <t>Cạnh cọc D</t>
        </is>
      </c>
      <c r="C49" s="8" t="n">
        <v>0.7</v>
      </c>
      <c r="D49" s="4" t="inlineStr">
        <is>
          <t>m</t>
        </is>
      </c>
      <c r="E49" s="9" t="n"/>
    </row>
    <row r="50" ht="15" customHeight="1" s="1">
      <c r="B50" s="4" t="inlineStr">
        <is>
          <t>Chiều sâu ngàm L</t>
        </is>
      </c>
      <c r="C50" s="8" t="n">
        <v>9</v>
      </c>
      <c r="D50" s="4" t="inlineStr">
        <is>
          <t>m</t>
        </is>
      </c>
      <c r="E50" s="9" t="n"/>
    </row>
    <row r="51" ht="15" customHeight="1" s="1">
      <c r="B51" s="4" t="inlineStr">
        <is>
          <t>g = L − 1,5D</t>
        </is>
      </c>
      <c r="C51" s="34">
        <f>C50-1.5*C49</f>
        <v/>
      </c>
      <c r="D51" s="4" t="inlineStr">
        <is>
          <t>m</t>
        </is>
      </c>
      <c r="E51" s="9" t="n"/>
    </row>
    <row r="52" ht="15" customHeight="1" s="1">
      <c r="B52" s="4" t="inlineStr">
        <is>
          <t>A</t>
        </is>
      </c>
      <c r="C52" s="35">
        <f>0.02778/(C30*C49)</f>
        <v/>
      </c>
      <c r="D52" s="4" t="inlineStr">
        <is>
          <t>-</t>
        </is>
      </c>
      <c r="E52" s="9" t="n"/>
    </row>
    <row r="53" ht="15" customHeight="1" s="1">
      <c r="B53" s="4" t="inlineStr">
        <is>
          <t>B</t>
        </is>
      </c>
      <c r="C53" s="34">
        <f>C48+1.5*C49+0.5*C51</f>
        <v/>
      </c>
      <c r="D53" s="4" t="inlineStr">
        <is>
          <t>-</t>
        </is>
      </c>
      <c r="E53" s="9" t="n"/>
    </row>
    <row r="54" ht="15" customHeight="1" s="1">
      <c r="B54" s="4" t="inlineStr">
        <is>
          <t>C</t>
        </is>
      </c>
      <c r="C54" s="13">
        <f>-2.25*C49*C30*C51^2</f>
        <v/>
      </c>
      <c r="D54" s="4" t="inlineStr">
        <is>
          <t>-</t>
        </is>
      </c>
      <c r="E54" s="9" t="n"/>
    </row>
    <row r="55" ht="15" customHeight="1" s="1">
      <c r="B55" s="4" t="inlineStr">
        <is>
          <t>Sức chịu NGANG cho phép</t>
        </is>
      </c>
      <c r="C55" s="13">
        <f>(-C53+SQRT(C53^2-4*C52*C54))/(2*C52)/C7</f>
        <v/>
      </c>
      <c r="D55" s="4" t="inlineStr">
        <is>
          <t>kN</t>
        </is>
      </c>
      <c r="E55" s="9" t="n"/>
    </row>
    <row r="56" ht="15" customHeight="1" s="1">
      <c r="B56" s="4" t="inlineStr">
        <is>
          <t>HS ngang</t>
        </is>
      </c>
      <c r="C56" s="11">
        <f>C6/C55</f>
        <v/>
      </c>
      <c r="D56" s="4" t="inlineStr">
        <is>
          <t>-</t>
        </is>
      </c>
      <c r="E56" s="9" t="inlineStr">
        <is>
          <t>Cáp nằm ngang → không có lực nhổ</t>
        </is>
      </c>
    </row>
    <row r="57" ht="15" customHeight="1" s="1">
      <c r="B57" s="4" t="inlineStr">
        <is>
          <t>Mômen lớn nhất</t>
        </is>
      </c>
      <c r="C57" s="13">
        <f>C6*(C48+1.5*C49+0.5*C6/(9*C30*C49))</f>
        <v/>
      </c>
      <c r="D57" s="4" t="inlineStr">
        <is>
          <t>kNm</t>
        </is>
      </c>
      <c r="E57" s="9" t="n"/>
    </row>
    <row r="58" ht="15" customHeight="1" s="1">
      <c r="B58" s="4" t="inlineStr">
        <is>
          <t>Kiểm tra tiết diện</t>
        </is>
      </c>
      <c r="C58" s="11">
        <f>C57/(0.9*14500*C49^3/6)</f>
        <v/>
      </c>
      <c r="D58" s="4" t="inlineStr">
        <is>
          <t>-</t>
        </is>
      </c>
      <c r="E58" s="9" t="n"/>
    </row>
    <row r="59" ht="15" customHeight="1" s="1">
      <c r="B59" s="4" t="inlineStr">
        <is>
          <t>KIỂM TRA CÁCH 2</t>
        </is>
      </c>
      <c r="C59" s="14">
        <f>IF(AND(C56&lt;=1,C58&lt;=1),"ĐẠT","KHÔNG ĐẠT")</f>
        <v/>
      </c>
      <c r="D59" s="4" t="n"/>
      <c r="E59" s="9" t="n"/>
    </row>
    <row r="60" ht="15" customHeight="1" s="1">
      <c r="B60" s="4" t="inlineStr">
        <is>
          <t>Chiều dài cọc</t>
        </is>
      </c>
      <c r="C60" s="11">
        <f>C50+C48+0.5</f>
        <v/>
      </c>
      <c r="D60" s="4" t="inlineStr">
        <is>
          <t>m</t>
        </is>
      </c>
      <c r="E60" s="9" t="n"/>
    </row>
    <row r="62" ht="15" customHeight="1" s="1">
      <c r="B62" s="7" t="inlineStr">
        <is>
          <t>E. BẢNG TRA NHANH — SỨC CHỊU NGANG CHO PHÉP (kN), tay đòn e = 0</t>
        </is>
      </c>
      <c r="C62" s="7" t="n"/>
      <c r="D62" s="7" t="n"/>
      <c r="E62" s="7" t="n"/>
      <c r="F62" s="7" t="n"/>
    </row>
    <row r="63" ht="15" customHeight="1" s="1">
      <c r="B63" s="9" t="inlineStr">
        <is>
          <t>Dùng để chọn nhanh D, L cho cọc lòng hồ Cách 1. Đổi cu ở ô C30 rồi xem lại. Ô xanh lá = đủ cho lực T ở ô C6.</t>
        </is>
      </c>
    </row>
    <row r="64" ht="15" customHeight="1" s="1">
      <c r="B64" s="7" t="inlineStr">
        <is>
          <t>L (m)</t>
        </is>
      </c>
      <c r="C64" s="36" t="inlineStr">
        <is>
          <t>D = 0.30</t>
        </is>
      </c>
      <c r="D64" s="36" t="inlineStr">
        <is>
          <t>D = 0.35</t>
        </is>
      </c>
      <c r="E64" s="36" t="inlineStr">
        <is>
          <t>D = 0.40</t>
        </is>
      </c>
      <c r="F64" s="36" t="inlineStr">
        <is>
          <t>D = 0.45</t>
        </is>
      </c>
      <c r="G64" s="36" t="inlineStr">
        <is>
          <t>D = 0.50</t>
        </is>
      </c>
    </row>
    <row r="65" ht="15" customHeight="1" s="1">
      <c r="B65" s="37" t="n">
        <v>5</v>
      </c>
      <c r="C65" s="29">
        <f>IF((5-1.5*0.3)&lt;=0,0,(-(1.5*0.3+0.5*(5-1.5*0.3))+SQRT((1.5*0.3+0.5*(5-1.5*0.3))^2-4*(0.02778/($C$30*0.3))*(-2.25*0.3*$C$30*(5-1.5*0.3)^2)))/(2*(0.02778/($C$30*0.3)))/$C$7)</f>
        <v/>
      </c>
      <c r="D65" s="29">
        <f>IF((5-1.5*0.35)&lt;=0,0,(-(1.5*0.35+0.5*(5-1.5*0.35))+SQRT((1.5*0.35+0.5*(5-1.5*0.35))^2-4*(0.02778/($C$30*0.35))*(-2.25*0.35*$C$30*(5-1.5*0.35)^2)))/(2*(0.02778/($C$30*0.35)))/$C$7)</f>
        <v/>
      </c>
      <c r="E65" s="29">
        <f>IF((5-1.5*0.4)&lt;=0,0,(-(1.5*0.4+0.5*(5-1.5*0.4))+SQRT((1.5*0.4+0.5*(5-1.5*0.4))^2-4*(0.02778/($C$30*0.4))*(-2.25*0.4*$C$30*(5-1.5*0.4)^2)))/(2*(0.02778/($C$30*0.4)))/$C$7)</f>
        <v/>
      </c>
      <c r="F65" s="29">
        <f>IF((5-1.5*0.45)&lt;=0,0,(-(1.5*0.45+0.5*(5-1.5*0.45))+SQRT((1.5*0.45+0.5*(5-1.5*0.45))^2-4*(0.02778/($C$30*0.45))*(-2.25*0.45*$C$30*(5-1.5*0.45)^2)))/(2*(0.02778/($C$30*0.45)))/$C$7)</f>
        <v/>
      </c>
      <c r="G65" s="29">
        <f>IF((5-1.5*0.5)&lt;=0,0,(-(1.5*0.5+0.5*(5-1.5*0.5))+SQRT((1.5*0.5+0.5*(5-1.5*0.5))^2-4*(0.02778/($C$30*0.5))*(-2.25*0.5*$C$30*(5-1.5*0.5)^2)))/(2*(0.02778/($C$30*0.5)))/$C$7)</f>
        <v/>
      </c>
    </row>
    <row r="66" ht="15" customHeight="1" s="1">
      <c r="B66" s="37" t="n">
        <v>6</v>
      </c>
      <c r="C66" s="29">
        <f>IF((6-1.5*0.3)&lt;=0,0,(-(1.5*0.3+0.5*(6-1.5*0.3))+SQRT((1.5*0.3+0.5*(6-1.5*0.3))^2-4*(0.02778/($C$30*0.3))*(-2.25*0.3*$C$30*(6-1.5*0.3)^2)))/(2*(0.02778/($C$30*0.3)))/$C$7)</f>
        <v/>
      </c>
      <c r="D66" s="29">
        <f>IF((6-1.5*0.35)&lt;=0,0,(-(1.5*0.35+0.5*(6-1.5*0.35))+SQRT((1.5*0.35+0.5*(6-1.5*0.35))^2-4*(0.02778/($C$30*0.35))*(-2.25*0.35*$C$30*(6-1.5*0.35)^2)))/(2*(0.02778/($C$30*0.35)))/$C$7)</f>
        <v/>
      </c>
      <c r="E66" s="29">
        <f>IF((6-1.5*0.4)&lt;=0,0,(-(1.5*0.4+0.5*(6-1.5*0.4))+SQRT((1.5*0.4+0.5*(6-1.5*0.4))^2-4*(0.02778/($C$30*0.4))*(-2.25*0.4*$C$30*(6-1.5*0.4)^2)))/(2*(0.02778/($C$30*0.4)))/$C$7)</f>
        <v/>
      </c>
      <c r="F66" s="29">
        <f>IF((6-1.5*0.45)&lt;=0,0,(-(1.5*0.45+0.5*(6-1.5*0.45))+SQRT((1.5*0.45+0.5*(6-1.5*0.45))^2-4*(0.02778/($C$30*0.45))*(-2.25*0.45*$C$30*(6-1.5*0.45)^2)))/(2*(0.02778/($C$30*0.45)))/$C$7)</f>
        <v/>
      </c>
      <c r="G66" s="29">
        <f>IF((6-1.5*0.5)&lt;=0,0,(-(1.5*0.5+0.5*(6-1.5*0.5))+SQRT((1.5*0.5+0.5*(6-1.5*0.5))^2-4*(0.02778/($C$30*0.5))*(-2.25*0.5*$C$30*(6-1.5*0.5)^2)))/(2*(0.02778/($C$30*0.5)))/$C$7)</f>
        <v/>
      </c>
    </row>
    <row r="67" ht="15" customHeight="1" s="1">
      <c r="B67" s="37" t="n">
        <v>7</v>
      </c>
      <c r="C67" s="29">
        <f>IF((7-1.5*0.3)&lt;=0,0,(-(1.5*0.3+0.5*(7-1.5*0.3))+SQRT((1.5*0.3+0.5*(7-1.5*0.3))^2-4*(0.02778/($C$30*0.3))*(-2.25*0.3*$C$30*(7-1.5*0.3)^2)))/(2*(0.02778/($C$30*0.3)))/$C$7)</f>
        <v/>
      </c>
      <c r="D67" s="29">
        <f>IF((7-1.5*0.35)&lt;=0,0,(-(1.5*0.35+0.5*(7-1.5*0.35))+SQRT((1.5*0.35+0.5*(7-1.5*0.35))^2-4*(0.02778/($C$30*0.35))*(-2.25*0.35*$C$30*(7-1.5*0.35)^2)))/(2*(0.02778/($C$30*0.35)))/$C$7)</f>
        <v/>
      </c>
      <c r="E67" s="29">
        <f>IF((7-1.5*0.4)&lt;=0,0,(-(1.5*0.4+0.5*(7-1.5*0.4))+SQRT((1.5*0.4+0.5*(7-1.5*0.4))^2-4*(0.02778/($C$30*0.4))*(-2.25*0.4*$C$30*(7-1.5*0.4)^2)))/(2*(0.02778/($C$30*0.4)))/$C$7)</f>
        <v/>
      </c>
      <c r="F67" s="29">
        <f>IF((7-1.5*0.45)&lt;=0,0,(-(1.5*0.45+0.5*(7-1.5*0.45))+SQRT((1.5*0.45+0.5*(7-1.5*0.45))^2-4*(0.02778/($C$30*0.45))*(-2.25*0.45*$C$30*(7-1.5*0.45)^2)))/(2*(0.02778/($C$30*0.45)))/$C$7)</f>
        <v/>
      </c>
      <c r="G67" s="29">
        <f>IF((7-1.5*0.5)&lt;=0,0,(-(1.5*0.5+0.5*(7-1.5*0.5))+SQRT((1.5*0.5+0.5*(7-1.5*0.5))^2-4*(0.02778/($C$30*0.5))*(-2.25*0.5*$C$30*(7-1.5*0.5)^2)))/(2*(0.02778/($C$30*0.5)))/$C$7)</f>
        <v/>
      </c>
    </row>
    <row r="68" ht="15" customHeight="1" s="1">
      <c r="B68" s="37" t="n">
        <v>8</v>
      </c>
      <c r="C68" s="29">
        <f>IF((8-1.5*0.3)&lt;=0,0,(-(1.5*0.3+0.5*(8-1.5*0.3))+SQRT((1.5*0.3+0.5*(8-1.5*0.3))^2-4*(0.02778/($C$30*0.3))*(-2.25*0.3*$C$30*(8-1.5*0.3)^2)))/(2*(0.02778/($C$30*0.3)))/$C$7)</f>
        <v/>
      </c>
      <c r="D68" s="29">
        <f>IF((8-1.5*0.35)&lt;=0,0,(-(1.5*0.35+0.5*(8-1.5*0.35))+SQRT((1.5*0.35+0.5*(8-1.5*0.35))^2-4*(0.02778/($C$30*0.35))*(-2.25*0.35*$C$30*(8-1.5*0.35)^2)))/(2*(0.02778/($C$30*0.35)))/$C$7)</f>
        <v/>
      </c>
      <c r="E68" s="29">
        <f>IF((8-1.5*0.4)&lt;=0,0,(-(1.5*0.4+0.5*(8-1.5*0.4))+SQRT((1.5*0.4+0.5*(8-1.5*0.4))^2-4*(0.02778/($C$30*0.4))*(-2.25*0.4*$C$30*(8-1.5*0.4)^2)))/(2*(0.02778/($C$30*0.4)))/$C$7)</f>
        <v/>
      </c>
      <c r="F68" s="29">
        <f>IF((8-1.5*0.45)&lt;=0,0,(-(1.5*0.45+0.5*(8-1.5*0.45))+SQRT((1.5*0.45+0.5*(8-1.5*0.45))^2-4*(0.02778/($C$30*0.45))*(-2.25*0.45*$C$30*(8-1.5*0.45)^2)))/(2*(0.02778/($C$30*0.45)))/$C$7)</f>
        <v/>
      </c>
      <c r="G68" s="29">
        <f>IF((8-1.5*0.5)&lt;=0,0,(-(1.5*0.5+0.5*(8-1.5*0.5))+SQRT((1.5*0.5+0.5*(8-1.5*0.5))^2-4*(0.02778/($C$30*0.5))*(-2.25*0.5*$C$30*(8-1.5*0.5)^2)))/(2*(0.02778/($C$30*0.5)))/$C$7)</f>
        <v/>
      </c>
    </row>
    <row r="69" ht="15" customHeight="1" s="1">
      <c r="B69" s="37" t="n">
        <v>9</v>
      </c>
      <c r="C69" s="29">
        <f>IF((9-1.5*0.3)&lt;=0,0,(-(1.5*0.3+0.5*(9-1.5*0.3))+SQRT((1.5*0.3+0.5*(9-1.5*0.3))^2-4*(0.02778/($C$30*0.3))*(-2.25*0.3*$C$30*(9-1.5*0.3)^2)))/(2*(0.02778/($C$30*0.3)))/$C$7)</f>
        <v/>
      </c>
      <c r="D69" s="29">
        <f>IF((9-1.5*0.35)&lt;=0,0,(-(1.5*0.35+0.5*(9-1.5*0.35))+SQRT((1.5*0.35+0.5*(9-1.5*0.35))^2-4*(0.02778/($C$30*0.35))*(-2.25*0.35*$C$30*(9-1.5*0.35)^2)))/(2*(0.02778/($C$30*0.35)))/$C$7)</f>
        <v/>
      </c>
      <c r="E69" s="29">
        <f>IF((9-1.5*0.4)&lt;=0,0,(-(1.5*0.4+0.5*(9-1.5*0.4))+SQRT((1.5*0.4+0.5*(9-1.5*0.4))^2-4*(0.02778/($C$30*0.4))*(-2.25*0.4*$C$30*(9-1.5*0.4)^2)))/(2*(0.02778/($C$30*0.4)))/$C$7)</f>
        <v/>
      </c>
      <c r="F69" s="29">
        <f>IF((9-1.5*0.45)&lt;=0,0,(-(1.5*0.45+0.5*(9-1.5*0.45))+SQRT((1.5*0.45+0.5*(9-1.5*0.45))^2-4*(0.02778/($C$30*0.45))*(-2.25*0.45*$C$30*(9-1.5*0.45)^2)))/(2*(0.02778/($C$30*0.45)))/$C$7)</f>
        <v/>
      </c>
      <c r="G69" s="29">
        <f>IF((9-1.5*0.5)&lt;=0,0,(-(1.5*0.5+0.5*(9-1.5*0.5))+SQRT((1.5*0.5+0.5*(9-1.5*0.5))^2-4*(0.02778/($C$30*0.5))*(-2.25*0.5*$C$30*(9-1.5*0.5)^2)))/(2*(0.02778/($C$30*0.5)))/$C$7)</f>
        <v/>
      </c>
    </row>
    <row r="70" ht="15" customHeight="1" s="1">
      <c r="B70" s="37" t="n">
        <v>10</v>
      </c>
      <c r="C70" s="29">
        <f>IF((10-1.5*0.3)&lt;=0,0,(-(1.5*0.3+0.5*(10-1.5*0.3))+SQRT((1.5*0.3+0.5*(10-1.5*0.3))^2-4*(0.02778/($C$30*0.3))*(-2.25*0.3*$C$30*(10-1.5*0.3)^2)))/(2*(0.02778/($C$30*0.3)))/$C$7)</f>
        <v/>
      </c>
      <c r="D70" s="29">
        <f>IF((10-1.5*0.35)&lt;=0,0,(-(1.5*0.35+0.5*(10-1.5*0.35))+SQRT((1.5*0.35+0.5*(10-1.5*0.35))^2-4*(0.02778/($C$30*0.35))*(-2.25*0.35*$C$30*(10-1.5*0.35)^2)))/(2*(0.02778/($C$30*0.35)))/$C$7)</f>
        <v/>
      </c>
      <c r="E70" s="29">
        <f>IF((10-1.5*0.4)&lt;=0,0,(-(1.5*0.4+0.5*(10-1.5*0.4))+SQRT((1.5*0.4+0.5*(10-1.5*0.4))^2-4*(0.02778/($C$30*0.4))*(-2.25*0.4*$C$30*(10-1.5*0.4)^2)))/(2*(0.02778/($C$30*0.4)))/$C$7)</f>
        <v/>
      </c>
      <c r="F70" s="29">
        <f>IF((10-1.5*0.45)&lt;=0,0,(-(1.5*0.45+0.5*(10-1.5*0.45))+SQRT((1.5*0.45+0.5*(10-1.5*0.45))^2-4*(0.02778/($C$30*0.45))*(-2.25*0.45*$C$30*(10-1.5*0.45)^2)))/(2*(0.02778/($C$30*0.45)))/$C$7)</f>
        <v/>
      </c>
      <c r="G70" s="29">
        <f>IF((10-1.5*0.5)&lt;=0,0,(-(1.5*0.5+0.5*(10-1.5*0.5))+SQRT((1.5*0.5+0.5*(10-1.5*0.5))^2-4*(0.02778/($C$30*0.5))*(-2.25*0.5*$C$30*(10-1.5*0.5)^2)))/(2*(0.02778/($C$30*0.5)))/$C$7)</f>
        <v/>
      </c>
    </row>
    <row r="71" ht="15" customHeight="1" s="1">
      <c r="B71" s="37" t="n">
        <v>11</v>
      </c>
      <c r="C71" s="29">
        <f>IF((11-1.5*0.3)&lt;=0,0,(-(1.5*0.3+0.5*(11-1.5*0.3))+SQRT((1.5*0.3+0.5*(11-1.5*0.3))^2-4*(0.02778/($C$30*0.3))*(-2.25*0.3*$C$30*(11-1.5*0.3)^2)))/(2*(0.02778/($C$30*0.3)))/$C$7)</f>
        <v/>
      </c>
      <c r="D71" s="29">
        <f>IF((11-1.5*0.35)&lt;=0,0,(-(1.5*0.35+0.5*(11-1.5*0.35))+SQRT((1.5*0.35+0.5*(11-1.5*0.35))^2-4*(0.02778/($C$30*0.35))*(-2.25*0.35*$C$30*(11-1.5*0.35)^2)))/(2*(0.02778/($C$30*0.35)))/$C$7)</f>
        <v/>
      </c>
      <c r="E71" s="29">
        <f>IF((11-1.5*0.4)&lt;=0,0,(-(1.5*0.4+0.5*(11-1.5*0.4))+SQRT((1.5*0.4+0.5*(11-1.5*0.4))^2-4*(0.02778/($C$30*0.4))*(-2.25*0.4*$C$30*(11-1.5*0.4)^2)))/(2*(0.02778/($C$30*0.4)))/$C$7)</f>
        <v/>
      </c>
      <c r="F71" s="29">
        <f>IF((11-1.5*0.45)&lt;=0,0,(-(1.5*0.45+0.5*(11-1.5*0.45))+SQRT((1.5*0.45+0.5*(11-1.5*0.45))^2-4*(0.02778/($C$30*0.45))*(-2.25*0.45*$C$30*(11-1.5*0.45)^2)))/(2*(0.02778/($C$30*0.45)))/$C$7)</f>
        <v/>
      </c>
      <c r="G71" s="29">
        <f>IF((11-1.5*0.5)&lt;=0,0,(-(1.5*0.5+0.5*(11-1.5*0.5))+SQRT((1.5*0.5+0.5*(11-1.5*0.5))^2-4*(0.02778/($C$30*0.5))*(-2.25*0.5*$C$30*(11-1.5*0.5)^2)))/(2*(0.02778/($C$30*0.5)))/$C$7)</f>
        <v/>
      </c>
    </row>
    <row r="72" ht="15" customHeight="1" s="1">
      <c r="B72" s="37" t="n">
        <v>12</v>
      </c>
      <c r="C72" s="29">
        <f>IF((12-1.5*0.3)&lt;=0,0,(-(1.5*0.3+0.5*(12-1.5*0.3))+SQRT((1.5*0.3+0.5*(12-1.5*0.3))^2-4*(0.02778/($C$30*0.3))*(-2.25*0.3*$C$30*(12-1.5*0.3)^2)))/(2*(0.02778/($C$30*0.3)))/$C$7)</f>
        <v/>
      </c>
      <c r="D72" s="29">
        <f>IF((12-1.5*0.35)&lt;=0,0,(-(1.5*0.35+0.5*(12-1.5*0.35))+SQRT((1.5*0.35+0.5*(12-1.5*0.35))^2-4*(0.02778/($C$30*0.35))*(-2.25*0.35*$C$30*(12-1.5*0.35)^2)))/(2*(0.02778/($C$30*0.35)))/$C$7)</f>
        <v/>
      </c>
      <c r="E72" s="29">
        <f>IF((12-1.5*0.4)&lt;=0,0,(-(1.5*0.4+0.5*(12-1.5*0.4))+SQRT((1.5*0.4+0.5*(12-1.5*0.4))^2-4*(0.02778/($C$30*0.4))*(-2.25*0.4*$C$30*(12-1.5*0.4)^2)))/(2*(0.02778/($C$30*0.4)))/$C$7)</f>
        <v/>
      </c>
      <c r="F72" s="29">
        <f>IF((12-1.5*0.45)&lt;=0,0,(-(1.5*0.45+0.5*(12-1.5*0.45))+SQRT((1.5*0.45+0.5*(12-1.5*0.45))^2-4*(0.02778/($C$30*0.45))*(-2.25*0.45*$C$30*(12-1.5*0.45)^2)))/(2*(0.02778/($C$30*0.45)))/$C$7)</f>
        <v/>
      </c>
      <c r="G72" s="29">
        <f>IF((12-1.5*0.5)&lt;=0,0,(-(1.5*0.5+0.5*(12-1.5*0.5))+SQRT((1.5*0.5+0.5*(12-1.5*0.5))^2-4*(0.02778/($C$30*0.5))*(-2.25*0.5*$C$30*(12-1.5*0.5)^2)))/(2*(0.02778/($C$30*0.5)))/$C$7)</f>
        <v/>
      </c>
    </row>
    <row r="74" ht="15" customHeight="1" s="1">
      <c r="B74" s="7" t="inlineStr">
        <is>
          <t>F. KHỐI LƯỢNG THAM KHẢO (áp dụng thông số ở mục B/C/D phía trên)</t>
        </is>
      </c>
      <c r="C74" s="7" t="n"/>
      <c r="D74" s="7" t="n"/>
      <c r="E74" s="7" t="n"/>
      <c r="F74" s="7" t="n"/>
    </row>
    <row r="75" ht="15" customHeight="1" s="1">
      <c r="B75" s="4" t="inlineStr">
        <is>
          <t>Bê tông 1 cọc neo bờ</t>
        </is>
      </c>
      <c r="C75" s="11">
        <f>C13^2*C26</f>
        <v/>
      </c>
      <c r="D75" s="4" t="inlineStr">
        <is>
          <t>m3</t>
        </is>
      </c>
      <c r="E75" s="9" t="n"/>
    </row>
    <row r="76" ht="15" customHeight="1" s="1">
      <c r="B76" s="4" t="inlineStr">
        <is>
          <t>Bê tông 1 cọc lòng hồ — Cách 1</t>
        </is>
      </c>
      <c r="C76" s="11">
        <f>C31^2*C42</f>
        <v/>
      </c>
      <c r="D76" s="4" t="inlineStr">
        <is>
          <t>m3</t>
        </is>
      </c>
      <c r="E76" s="9" t="n"/>
    </row>
    <row r="77" ht="15" customHeight="1" s="1">
      <c r="B77" s="4" t="inlineStr">
        <is>
          <t>Bê tông 1 cọc lòng hồ — Cách 2</t>
        </is>
      </c>
      <c r="C77" s="11">
        <f>C49^2*C60</f>
        <v/>
      </c>
      <c r="D77" s="4" t="inlineStr">
        <is>
          <t>m3</t>
        </is>
      </c>
      <c r="E77" s="9" t="n"/>
    </row>
    <row r="79" ht="15" customHeight="1" s="1">
      <c r="B79" s="9" t="inlineStr">
        <is>
          <t>Đây là công cụ TÍNH CHUNG — áp dụng cho bè nào thì nhập T max của bè đó vào ô C6.</t>
        </is>
      </c>
    </row>
    <row r="80" ht="15" customHeight="1" s="1">
      <c r="B80" s="9" t="inlineStr">
        <is>
          <t>Bè 01 đã có tính riêng đầy đủ (4 cạnh, số dây, cọc dùng chung với bè 02) tại sheet 7.BE01_CHI_TIET.</t>
        </is>
      </c>
    </row>
  </sheetData>
  <conditionalFormatting sqref="C22">
    <cfRule type="cellIs" priority="2" operator="equal" dxfId="1">
      <formula>"ĐẠT"</formula>
    </cfRule>
    <cfRule type="cellIs" priority="3" operator="notEqual" dxfId="0">
      <formula>"ĐẠT"</formula>
    </cfRule>
  </conditionalFormatting>
  <conditionalFormatting sqref="C25">
    <cfRule type="cellIs" priority="4" operator="equal" dxfId="1">
      <formula>"ĐẠT"</formula>
    </cfRule>
    <cfRule type="cellIs" priority="5" operator="notEqual" dxfId="0">
      <formula>"ĐẠT"</formula>
    </cfRule>
  </conditionalFormatting>
  <conditionalFormatting sqref="C41">
    <cfRule type="cellIs" priority="6" operator="equal" dxfId="1">
      <formula>"ĐẠT"</formula>
    </cfRule>
    <cfRule type="cellIs" priority="7" operator="notEqual" dxfId="0">
      <formula>"ĐẠT"</formula>
    </cfRule>
  </conditionalFormatting>
  <conditionalFormatting sqref="C59">
    <cfRule type="cellIs" priority="8" operator="equal" dxfId="1">
      <formula>"ĐẠT"</formula>
    </cfRule>
    <cfRule type="cellIs" priority="9" operator="notEqual" dxfId="0">
      <formula>"ĐẠT"</formula>
    </cfRule>
  </conditionalFormatting>
  <conditionalFormatting sqref="C65:G72">
    <cfRule type="cellIs" priority="10" operator="greaterThanOrEqual" dxfId="1">
      <formula>$C$6</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fitToPage="1"/>
  </sheetPr>
  <dimension ref="B2:K308"/>
  <sheetViews>
    <sheetView zoomScaleNormal="100" workbookViewId="0">
      <pane xSplit="3" ySplit="5" topLeftCell="D6" activePane="bottomRight" state="frozen"/>
      <selection pane="bottomLeft" activeCell="A6" sqref="A6"/>
      <selection pane="topRight" activeCell="D1" sqref="D1"/>
      <selection pane="bottomRight" activeCell="A1" sqref="A1"/>
    </sheetView>
  </sheetViews>
  <sheetFormatPr baseColWidth="8" defaultColWidth="8.7421875" defaultRowHeight="15"/>
  <cols>
    <col width="7.93359375" customWidth="1" style="1" min="2" max="2"/>
    <col width="11.97265625" customWidth="1" style="1" min="3" max="3"/>
    <col width="11.02734375" customWidth="1" style="1" min="4" max="4"/>
    <col width="11.97265625" customWidth="1" style="1" min="5" max="8"/>
    <col width="11.02734375" customWidth="1" style="1" min="9" max="10"/>
    <col width="13.046875" customWidth="1" style="1" min="11" max="11"/>
  </cols>
  <sheetData>
    <row r="2" ht="15.75" customHeight="1" s="1">
      <c r="B2" s="6" t="inlineStr">
        <is>
          <t>TỌA ĐỘ MỎ NEO — DÙNG ĐỂ VẼ LẠI BẢN VẼ</t>
        </is>
      </c>
    </row>
    <row r="3" ht="15" customHeight="1" s="1">
      <c r="B3" s="9" t="inlineStr">
        <is>
          <t>Nối (X bè, Y bè) với (X neo, Y neo) bằng đường thẳng = dây neo. Đơn vị mét, hệ tọa độ bản vẽ gốc.</t>
        </is>
      </c>
    </row>
    <row r="5" ht="26.25" customHeight="1" s="1">
      <c r="B5" s="23" t="inlineStr">
        <is>
          <t>Bè</t>
        </is>
      </c>
      <c r="C5" s="23" t="inlineStr">
        <is>
          <t>Mã neo</t>
        </is>
      </c>
      <c r="D5" s="23" t="inlineStr">
        <is>
          <t>Loại</t>
        </is>
      </c>
      <c r="E5" s="23" t="inlineStr">
        <is>
          <t>X bè</t>
        </is>
      </c>
      <c r="F5" s="23" t="inlineStr">
        <is>
          <t>Y bè</t>
        </is>
      </c>
      <c r="G5" s="23" t="inlineStr">
        <is>
          <t>X neo</t>
        </is>
      </c>
      <c r="H5" s="23" t="inlineStr">
        <is>
          <t>Y neo</t>
        </is>
      </c>
      <c r="I5" s="23" t="inlineStr">
        <is>
          <t>Z neo</t>
        </is>
      </c>
      <c r="J5" s="23" t="inlineStr">
        <is>
          <t>Nhịp (m)</t>
        </is>
      </c>
      <c r="K5" s="23" t="inlineStr">
        <is>
          <t>Phương vị (°)</t>
        </is>
      </c>
    </row>
    <row r="6" ht="15" customHeight="1" s="1">
      <c r="B6" s="37" t="inlineStr">
        <is>
          <t>BÈ 1</t>
        </is>
      </c>
      <c r="C6" s="37" t="inlineStr">
        <is>
          <t>N1-01</t>
        </is>
      </c>
      <c r="D6" s="37" t="inlineStr">
        <is>
          <t>NEO ĐÁY</t>
        </is>
      </c>
      <c r="E6" s="38" t="n">
        <v>-226.12</v>
      </c>
      <c r="F6" s="38" t="n">
        <v>91.42</v>
      </c>
      <c r="G6" s="38" t="n">
        <v>-211.93</v>
      </c>
      <c r="H6" s="38" t="n">
        <v>81.12</v>
      </c>
      <c r="I6" s="38" t="n">
        <v>376.8</v>
      </c>
      <c r="J6" s="39">
        <f>SQRT((G6-E6)^2+(H6-F6)^2)</f>
        <v/>
      </c>
      <c r="K6" s="40">
        <f>MOD(DEGREES(ATAN2(G6-E6,H6-F6)),360)</f>
        <v/>
      </c>
    </row>
    <row r="7" ht="15" customHeight="1" s="1">
      <c r="B7" s="37" t="inlineStr">
        <is>
          <t>BÈ 1</t>
        </is>
      </c>
      <c r="C7" s="37" t="inlineStr">
        <is>
          <t>N1-02</t>
        </is>
      </c>
      <c r="D7" s="37" t="inlineStr">
        <is>
          <t>NEO BỜ</t>
        </is>
      </c>
      <c r="E7" s="38" t="n">
        <v>-217.52</v>
      </c>
      <c r="F7" s="38" t="n">
        <v>103.25</v>
      </c>
      <c r="G7" s="38" t="n">
        <v>-236.81</v>
      </c>
      <c r="H7" s="38" t="n">
        <v>75.64</v>
      </c>
      <c r="I7" s="38" t="n">
        <v>384.5</v>
      </c>
      <c r="J7" s="39">
        <f>SQRT((G7-E7)^2+(H7-F7)^2)</f>
        <v/>
      </c>
      <c r="K7" s="40">
        <f>MOD(DEGREES(ATAN2(G7-E7,H7-F7)),360)</f>
        <v/>
      </c>
    </row>
    <row r="8" ht="15" customHeight="1" s="1">
      <c r="B8" s="37" t="inlineStr">
        <is>
          <t>BÈ 1</t>
        </is>
      </c>
      <c r="C8" s="37" t="inlineStr">
        <is>
          <t>N1-03</t>
        </is>
      </c>
      <c r="D8" s="37" t="inlineStr">
        <is>
          <t>NEO BỜ</t>
        </is>
      </c>
      <c r="E8" s="38" t="n">
        <v>-208.93</v>
      </c>
      <c r="F8" s="38" t="n">
        <v>115.08</v>
      </c>
      <c r="G8" s="38" t="n">
        <v>-242.11</v>
      </c>
      <c r="H8" s="38" t="n">
        <v>141.14</v>
      </c>
      <c r="I8" s="38" t="n">
        <v>384.5</v>
      </c>
      <c r="J8" s="39">
        <f>SQRT((G8-E8)^2+(H8-F8)^2)</f>
        <v/>
      </c>
      <c r="K8" s="40">
        <f>MOD(DEGREES(ATAN2(G8-E8,H8-F8)),360)</f>
        <v/>
      </c>
    </row>
    <row r="9" ht="15" customHeight="1" s="1">
      <c r="B9" s="37" t="inlineStr">
        <is>
          <t>BÈ 1</t>
        </is>
      </c>
      <c r="C9" s="37" t="inlineStr">
        <is>
          <t>N1-04</t>
        </is>
      </c>
      <c r="D9" s="37" t="inlineStr">
        <is>
          <t>NEO BỜ</t>
        </is>
      </c>
      <c r="E9" s="38" t="n">
        <v>-199.7</v>
      </c>
      <c r="F9" s="38" t="n">
        <v>122.92</v>
      </c>
      <c r="G9" s="38" t="n">
        <v>-177.5</v>
      </c>
      <c r="H9" s="38" t="n">
        <v>146.69</v>
      </c>
      <c r="I9" s="38" t="n">
        <v>384.5</v>
      </c>
      <c r="J9" s="39">
        <f>SQRT((G9-E9)^2+(H9-F9)^2)</f>
        <v/>
      </c>
      <c r="K9" s="40">
        <f>MOD(DEGREES(ATAN2(G9-E9,H9-F9)),360)</f>
        <v/>
      </c>
    </row>
    <row r="10" ht="15" customHeight="1" s="1">
      <c r="B10" s="37" t="inlineStr">
        <is>
          <t>BÈ 1</t>
        </is>
      </c>
      <c r="C10" s="37" t="inlineStr">
        <is>
          <t>N1-05</t>
        </is>
      </c>
      <c r="D10" s="37" t="inlineStr">
        <is>
          <t>NEO BỜ</t>
        </is>
      </c>
      <c r="E10" s="38" t="n">
        <v>-187.88</v>
      </c>
      <c r="F10" s="38" t="n">
        <v>114.33</v>
      </c>
      <c r="G10" s="38" t="n">
        <v>-170.74</v>
      </c>
      <c r="H10" s="38" t="n">
        <v>140.52</v>
      </c>
      <c r="I10" s="38" t="n">
        <v>384.5</v>
      </c>
      <c r="J10" s="39">
        <f>SQRT((G10-E10)^2+(H10-F10)^2)</f>
        <v/>
      </c>
      <c r="K10" s="40">
        <f>MOD(DEGREES(ATAN2(G10-E10,H10-F10)),360)</f>
        <v/>
      </c>
    </row>
    <row r="11" ht="15" customHeight="1" s="1">
      <c r="B11" s="37" t="inlineStr">
        <is>
          <t>BÈ 1</t>
        </is>
      </c>
      <c r="C11" s="37" t="inlineStr">
        <is>
          <t>N1-06</t>
        </is>
      </c>
      <c r="D11" s="37" t="inlineStr">
        <is>
          <t>NEO BỜ</t>
        </is>
      </c>
      <c r="E11" s="38" t="n">
        <v>-176.05</v>
      </c>
      <c r="F11" s="38" t="n">
        <v>105.73</v>
      </c>
      <c r="G11" s="38" t="n">
        <v>-162.49</v>
      </c>
      <c r="H11" s="38" t="n">
        <v>134.77</v>
      </c>
      <c r="I11" s="38" t="n">
        <v>384.5</v>
      </c>
      <c r="J11" s="39">
        <f>SQRT((G11-E11)^2+(H11-F11)^2)</f>
        <v/>
      </c>
      <c r="K11" s="40">
        <f>MOD(DEGREES(ATAN2(G11-E11,H11-F11)),360)</f>
        <v/>
      </c>
    </row>
    <row r="12" ht="15" customHeight="1" s="1">
      <c r="B12" s="37" t="inlineStr">
        <is>
          <t>BÈ 1</t>
        </is>
      </c>
      <c r="C12" s="37" t="inlineStr">
        <is>
          <t>N1-07</t>
        </is>
      </c>
      <c r="D12" s="37" t="inlineStr">
        <is>
          <t>NEO BỜ</t>
        </is>
      </c>
      <c r="E12" s="38" t="n">
        <v>-164.22</v>
      </c>
      <c r="F12" s="38" t="n">
        <v>97.14</v>
      </c>
      <c r="G12" s="38" t="n">
        <v>-141.23</v>
      </c>
      <c r="H12" s="38" t="n">
        <v>99.78</v>
      </c>
      <c r="I12" s="38" t="n">
        <v>384.5</v>
      </c>
      <c r="J12" s="39">
        <f>SQRT((G12-E12)^2+(H12-F12)^2)</f>
        <v/>
      </c>
      <c r="K12" s="40">
        <f>MOD(DEGREES(ATAN2(G12-E12,H12-F12)),360)</f>
        <v/>
      </c>
    </row>
    <row r="13" ht="15" customHeight="1" s="1">
      <c r="B13" s="37" t="inlineStr">
        <is>
          <t>BÈ 1</t>
        </is>
      </c>
      <c r="C13" s="37" t="inlineStr">
        <is>
          <t>N1-08</t>
        </is>
      </c>
      <c r="D13" s="37" t="inlineStr">
        <is>
          <t>NEO BỜ</t>
        </is>
      </c>
      <c r="E13" s="38" t="n">
        <v>-152.39</v>
      </c>
      <c r="F13" s="38" t="n">
        <v>88.55</v>
      </c>
      <c r="G13" s="38" t="n">
        <v>-140.05</v>
      </c>
      <c r="H13" s="38" t="n">
        <v>95.47</v>
      </c>
      <c r="I13" s="38" t="n">
        <v>384.5</v>
      </c>
      <c r="J13" s="39">
        <f>SQRT((G13-E13)^2+(H13-F13)^2)</f>
        <v/>
      </c>
      <c r="K13" s="40">
        <f>MOD(DEGREES(ATAN2(G13-E13,H13-F13)),360)</f>
        <v/>
      </c>
    </row>
    <row r="14" ht="15" customHeight="1" s="1">
      <c r="B14" s="37" t="inlineStr">
        <is>
          <t>BÈ 1</t>
        </is>
      </c>
      <c r="C14" s="37" t="inlineStr">
        <is>
          <t>N1-09</t>
        </is>
      </c>
      <c r="D14" s="37" t="inlineStr">
        <is>
          <t>NEO BỜ</t>
        </is>
      </c>
      <c r="E14" s="38" t="n">
        <v>-140.56</v>
      </c>
      <c r="F14" s="38" t="n">
        <v>79.95</v>
      </c>
      <c r="G14" s="38" t="n">
        <v>-134.99</v>
      </c>
      <c r="H14" s="38" t="n">
        <v>90.48</v>
      </c>
      <c r="I14" s="38" t="n">
        <v>384.5</v>
      </c>
      <c r="J14" s="39">
        <f>SQRT((G14-E14)^2+(H14-F14)^2)</f>
        <v/>
      </c>
      <c r="K14" s="40">
        <f>MOD(DEGREES(ATAN2(G14-E14,H14-F14)),360)</f>
        <v/>
      </c>
    </row>
    <row r="15" ht="15" customHeight="1" s="1">
      <c r="B15" s="37" t="inlineStr">
        <is>
          <t>BÈ 1</t>
        </is>
      </c>
      <c r="C15" s="37" t="inlineStr">
        <is>
          <t>N1-10</t>
        </is>
      </c>
      <c r="D15" s="37" t="inlineStr">
        <is>
          <t>NEO ĐÁY</t>
        </is>
      </c>
      <c r="E15" s="38" t="n">
        <v>-128.73</v>
      </c>
      <c r="F15" s="38" t="n">
        <v>71.36</v>
      </c>
      <c r="G15" s="38" t="n">
        <v>-114.55</v>
      </c>
      <c r="H15" s="38" t="n">
        <v>61.05</v>
      </c>
      <c r="I15" s="38" t="n">
        <v>376.8</v>
      </c>
      <c r="J15" s="39">
        <f>SQRT((G15-E15)^2+(H15-F15)^2)</f>
        <v/>
      </c>
      <c r="K15" s="40">
        <f>MOD(DEGREES(ATAN2(G15-E15,H15-F15)),360)</f>
        <v/>
      </c>
    </row>
    <row r="16" ht="15" customHeight="1" s="1">
      <c r="B16" s="37" t="inlineStr">
        <is>
          <t>BÈ 1</t>
        </is>
      </c>
      <c r="C16" s="37" t="inlineStr">
        <is>
          <t>N1-11</t>
        </is>
      </c>
      <c r="D16" s="37" t="inlineStr">
        <is>
          <t>NEO ĐÁY</t>
        </is>
      </c>
      <c r="E16" s="38" t="n">
        <v>-137.33</v>
      </c>
      <c r="F16" s="38" t="n">
        <v>59.53</v>
      </c>
      <c r="G16" s="38" t="n">
        <v>-123.14</v>
      </c>
      <c r="H16" s="38" t="n">
        <v>49.22</v>
      </c>
      <c r="I16" s="38" t="n">
        <v>376.8</v>
      </c>
      <c r="J16" s="39">
        <f>SQRT((G16-E16)^2+(H16-F16)^2)</f>
        <v/>
      </c>
      <c r="K16" s="40">
        <f>MOD(DEGREES(ATAN2(G16-E16,H16-F16)),360)</f>
        <v/>
      </c>
    </row>
    <row r="17" ht="15" customHeight="1" s="1">
      <c r="B17" s="37" t="inlineStr">
        <is>
          <t>BÈ 1</t>
        </is>
      </c>
      <c r="C17" s="37" t="inlineStr">
        <is>
          <t>N1-12</t>
        </is>
      </c>
      <c r="D17" s="37" t="inlineStr">
        <is>
          <t>NEO ĐÁY</t>
        </is>
      </c>
      <c r="E17" s="38" t="n">
        <v>-145.92</v>
      </c>
      <c r="F17" s="38" t="n">
        <v>47.7</v>
      </c>
      <c r="G17" s="38" t="n">
        <v>-131.73</v>
      </c>
      <c r="H17" s="38" t="n">
        <v>37.39</v>
      </c>
      <c r="I17" s="38" t="n">
        <v>376.8</v>
      </c>
      <c r="J17" s="39">
        <f>SQRT((G17-E17)^2+(H17-F17)^2)</f>
        <v/>
      </c>
      <c r="K17" s="40">
        <f>MOD(DEGREES(ATAN2(G17-E17,H17-F17)),360)</f>
        <v/>
      </c>
    </row>
    <row r="18" ht="15" customHeight="1" s="1">
      <c r="B18" s="37" t="inlineStr">
        <is>
          <t>BÈ 1</t>
        </is>
      </c>
      <c r="C18" s="37" t="inlineStr">
        <is>
          <t>N1-13</t>
        </is>
      </c>
      <c r="D18" s="37" t="inlineStr">
        <is>
          <t>NEO BỜ</t>
        </is>
      </c>
      <c r="E18" s="38" t="n">
        <v>-155.15</v>
      </c>
      <c r="F18" s="38" t="n">
        <v>39.86</v>
      </c>
      <c r="G18" s="38" t="n">
        <v>-161.95</v>
      </c>
      <c r="H18" s="38" t="n">
        <v>30.54</v>
      </c>
      <c r="I18" s="38" t="n">
        <v>384.5</v>
      </c>
      <c r="J18" s="39">
        <f>SQRT((G18-E18)^2+(H18-F18)^2)</f>
        <v/>
      </c>
      <c r="K18" s="40">
        <f>MOD(DEGREES(ATAN2(G18-E18,H18-F18)),360)</f>
        <v/>
      </c>
    </row>
    <row r="19" ht="15" customHeight="1" s="1">
      <c r="B19" s="37" t="inlineStr">
        <is>
          <t>BÈ 1</t>
        </is>
      </c>
      <c r="C19" s="37" t="inlineStr">
        <is>
          <t>N1-14</t>
        </is>
      </c>
      <c r="D19" s="37" t="inlineStr">
        <is>
          <t>NEO BỜ</t>
        </is>
      </c>
      <c r="E19" s="38" t="n">
        <v>-166.97</v>
      </c>
      <c r="F19" s="38" t="n">
        <v>48.45</v>
      </c>
      <c r="G19" s="38" t="n">
        <v>-174.02</v>
      </c>
      <c r="H19" s="38" t="n">
        <v>38.02</v>
      </c>
      <c r="I19" s="38" t="n">
        <v>384.5</v>
      </c>
      <c r="J19" s="39">
        <f>SQRT((G19-E19)^2+(H19-F19)^2)</f>
        <v/>
      </c>
      <c r="K19" s="40">
        <f>MOD(DEGREES(ATAN2(G19-E19,H19-F19)),360)</f>
        <v/>
      </c>
    </row>
    <row r="20" ht="15" customHeight="1" s="1">
      <c r="B20" s="37" t="inlineStr">
        <is>
          <t>BÈ 1</t>
        </is>
      </c>
      <c r="C20" s="37" t="inlineStr">
        <is>
          <t>N1-15</t>
        </is>
      </c>
      <c r="D20" s="37" t="inlineStr">
        <is>
          <t>NEO BỜ</t>
        </is>
      </c>
      <c r="E20" s="38" t="n">
        <v>-178.8</v>
      </c>
      <c r="F20" s="38" t="n">
        <v>57.05</v>
      </c>
      <c r="G20" s="38" t="n">
        <v>-185.52</v>
      </c>
      <c r="H20" s="38" t="n">
        <v>45.22</v>
      </c>
      <c r="I20" s="38" t="n">
        <v>384.5</v>
      </c>
      <c r="J20" s="39">
        <f>SQRT((G20-E20)^2+(H20-F20)^2)</f>
        <v/>
      </c>
      <c r="K20" s="40">
        <f>MOD(DEGREES(ATAN2(G20-E20,H20-F20)),360)</f>
        <v/>
      </c>
    </row>
    <row r="21" ht="15" customHeight="1" s="1">
      <c r="B21" s="37" t="inlineStr">
        <is>
          <t>BÈ 1</t>
        </is>
      </c>
      <c r="C21" s="37" t="inlineStr">
        <is>
          <t>N1-16</t>
        </is>
      </c>
      <c r="D21" s="37" t="inlineStr">
        <is>
          <t>NEO BỜ</t>
        </is>
      </c>
      <c r="E21" s="38" t="n">
        <v>-190.63</v>
      </c>
      <c r="F21" s="38" t="n">
        <v>65.64</v>
      </c>
      <c r="G21" s="38" t="n">
        <v>-195.7</v>
      </c>
      <c r="H21" s="38" t="n">
        <v>50.34</v>
      </c>
      <c r="I21" s="38" t="n">
        <v>384.5</v>
      </c>
      <c r="J21" s="39">
        <f>SQRT((G21-E21)^2+(H21-F21)^2)</f>
        <v/>
      </c>
      <c r="K21" s="40">
        <f>MOD(DEGREES(ATAN2(G21-E21,H21-F21)),360)</f>
        <v/>
      </c>
    </row>
    <row r="22" ht="15" customHeight="1" s="1">
      <c r="B22" s="37" t="inlineStr">
        <is>
          <t>BÈ 1</t>
        </is>
      </c>
      <c r="C22" s="37" t="inlineStr">
        <is>
          <t>N1-17</t>
        </is>
      </c>
      <c r="D22" s="37" t="inlineStr">
        <is>
          <t>NEO BỜ</t>
        </is>
      </c>
      <c r="E22" s="38" t="n">
        <v>-202.46</v>
      </c>
      <c r="F22" s="38" t="n">
        <v>74.23999999999999</v>
      </c>
      <c r="G22" s="38" t="n">
        <v>-216.19</v>
      </c>
      <c r="H22" s="38" t="n">
        <v>59.89</v>
      </c>
      <c r="I22" s="38" t="n">
        <v>384.5</v>
      </c>
      <c r="J22" s="39">
        <f>SQRT((G22-E22)^2+(H22-F22)^2)</f>
        <v/>
      </c>
      <c r="K22" s="40">
        <f>MOD(DEGREES(ATAN2(G22-E22,H22-F22)),360)</f>
        <v/>
      </c>
    </row>
    <row r="23" ht="15" customHeight="1" s="1">
      <c r="B23" s="37" t="inlineStr">
        <is>
          <t>BÈ 1</t>
        </is>
      </c>
      <c r="C23" s="37" t="inlineStr">
        <is>
          <t>N1-18</t>
        </is>
      </c>
      <c r="D23" s="37" t="inlineStr">
        <is>
          <t>NEO BỜ</t>
        </is>
      </c>
      <c r="E23" s="38" t="n">
        <v>-214.29</v>
      </c>
      <c r="F23" s="38" t="n">
        <v>82.83</v>
      </c>
      <c r="G23" s="38" t="n">
        <v>-224.88</v>
      </c>
      <c r="H23" s="38" t="n">
        <v>67.52</v>
      </c>
      <c r="I23" s="38" t="n">
        <v>384.5</v>
      </c>
      <c r="J23" s="39">
        <f>SQRT((G23-E23)^2+(H23-F23)^2)</f>
        <v/>
      </c>
      <c r="K23" s="40">
        <f>MOD(DEGREES(ATAN2(G23-E23,H23-F23)),360)</f>
        <v/>
      </c>
    </row>
    <row r="24" ht="15" customHeight="1" s="1">
      <c r="B24" s="37" t="inlineStr">
        <is>
          <t>BÈ 2</t>
        </is>
      </c>
      <c r="C24" s="37" t="inlineStr">
        <is>
          <t>N2-01</t>
        </is>
      </c>
      <c r="D24" s="37" t="inlineStr">
        <is>
          <t>NEO BỜ</t>
        </is>
      </c>
      <c r="E24" s="38" t="n">
        <v>-140.79</v>
      </c>
      <c r="F24" s="38" t="n">
        <v>9.94</v>
      </c>
      <c r="G24" s="38" t="n">
        <v>-154.43</v>
      </c>
      <c r="H24" s="38" t="n">
        <v>14.11</v>
      </c>
      <c r="I24" s="38" t="n">
        <v>384.5</v>
      </c>
      <c r="J24" s="39">
        <f>SQRT((G24-E24)^2+(H24-F24)^2)</f>
        <v/>
      </c>
      <c r="K24" s="40">
        <f>MOD(DEGREES(ATAN2(G24-E24,H24-F24)),360)</f>
        <v/>
      </c>
    </row>
    <row r="25" ht="15" customHeight="1" s="1">
      <c r="B25" s="37" t="inlineStr">
        <is>
          <t>BÈ 2</t>
        </is>
      </c>
      <c r="C25" s="37" t="inlineStr">
        <is>
          <t>N2-02</t>
        </is>
      </c>
      <c r="D25" s="37" t="inlineStr">
        <is>
          <t>NEO ĐÁY</t>
        </is>
      </c>
      <c r="E25" s="38" t="n">
        <v>-131.64</v>
      </c>
      <c r="F25" s="38" t="n">
        <v>21.12</v>
      </c>
      <c r="G25" s="38" t="n">
        <v>-145.22</v>
      </c>
      <c r="H25" s="38" t="n">
        <v>32.23</v>
      </c>
      <c r="I25" s="38" t="n">
        <v>376.8</v>
      </c>
      <c r="J25" s="39">
        <f>SQRT((G25-E25)^2+(H25-F25)^2)</f>
        <v/>
      </c>
      <c r="K25" s="40">
        <f>MOD(DEGREES(ATAN2(G25-E25,H25-F25)),360)</f>
        <v/>
      </c>
    </row>
    <row r="26" ht="15" customHeight="1" s="1">
      <c r="B26" s="37" t="inlineStr">
        <is>
          <t>BÈ 2</t>
        </is>
      </c>
      <c r="C26" s="37" t="inlineStr">
        <is>
          <t>N2-03</t>
        </is>
      </c>
      <c r="D26" s="37" t="inlineStr">
        <is>
          <t>NEO ĐÁY</t>
        </is>
      </c>
      <c r="E26" s="38" t="n">
        <v>-122.5</v>
      </c>
      <c r="F26" s="38" t="n">
        <v>32.3</v>
      </c>
      <c r="G26" s="38" t="n">
        <v>-136.07</v>
      </c>
      <c r="H26" s="38" t="n">
        <v>43.41</v>
      </c>
      <c r="I26" s="38" t="n">
        <v>376.8</v>
      </c>
      <c r="J26" s="39">
        <f>SQRT((G26-E26)^2+(H26-F26)^2)</f>
        <v/>
      </c>
      <c r="K26" s="40">
        <f>MOD(DEGREES(ATAN2(G26-E26,H26-F26)),360)</f>
        <v/>
      </c>
    </row>
    <row r="27" ht="15" customHeight="1" s="1">
      <c r="B27" s="37" t="inlineStr">
        <is>
          <t>BÈ 2</t>
        </is>
      </c>
      <c r="C27" s="37" t="inlineStr">
        <is>
          <t>N2-04</t>
        </is>
      </c>
      <c r="D27" s="37" t="inlineStr">
        <is>
          <t>NEO ĐÁY</t>
        </is>
      </c>
      <c r="E27" s="38" t="n">
        <v>-113.35</v>
      </c>
      <c r="F27" s="38" t="n">
        <v>43.49</v>
      </c>
      <c r="G27" s="38" t="n">
        <v>-126.93</v>
      </c>
      <c r="H27" s="38" t="n">
        <v>54.59</v>
      </c>
      <c r="I27" s="38" t="n">
        <v>376.8</v>
      </c>
      <c r="J27" s="39">
        <f>SQRT((G27-E27)^2+(H27-F27)^2)</f>
        <v/>
      </c>
      <c r="K27" s="40">
        <f>MOD(DEGREES(ATAN2(G27-E27,H27-F27)),360)</f>
        <v/>
      </c>
    </row>
    <row r="28" ht="15" customHeight="1" s="1">
      <c r="B28" s="37" t="inlineStr">
        <is>
          <t>BÈ 2</t>
        </is>
      </c>
      <c r="C28" s="37" t="inlineStr">
        <is>
          <t>N2-05</t>
        </is>
      </c>
      <c r="D28" s="37" t="inlineStr">
        <is>
          <t>NEO BỜ</t>
        </is>
      </c>
      <c r="E28" s="38" t="n">
        <v>-103.88</v>
      </c>
      <c r="F28" s="38" t="n">
        <v>51.44</v>
      </c>
      <c r="G28" s="38" t="n">
        <v>-101.87</v>
      </c>
      <c r="H28" s="38" t="n">
        <v>64.92</v>
      </c>
      <c r="I28" s="38" t="n">
        <v>384.5</v>
      </c>
      <c r="J28" s="39">
        <f>SQRT((G28-E28)^2+(H28-F28)^2)</f>
        <v/>
      </c>
      <c r="K28" s="40">
        <f>MOD(DEGREES(ATAN2(G28-E28,H28-F28)),360)</f>
        <v/>
      </c>
    </row>
    <row r="29" ht="15" customHeight="1" s="1">
      <c r="B29" s="37" t="inlineStr">
        <is>
          <t>BÈ 2</t>
        </is>
      </c>
      <c r="C29" s="37" t="inlineStr">
        <is>
          <t>N2-06</t>
        </is>
      </c>
      <c r="D29" s="37" t="inlineStr">
        <is>
          <t>NEO BỜ</t>
        </is>
      </c>
      <c r="E29" s="38" t="n">
        <v>-92.7</v>
      </c>
      <c r="F29" s="38" t="n">
        <v>42.3</v>
      </c>
      <c r="G29" s="38" t="n">
        <v>-90.73</v>
      </c>
      <c r="H29" s="38" t="n">
        <v>64.76000000000001</v>
      </c>
      <c r="I29" s="38" t="n">
        <v>384.5</v>
      </c>
      <c r="J29" s="39">
        <f>SQRT((G29-E29)^2+(H29-F29)^2)</f>
        <v/>
      </c>
      <c r="K29" s="40">
        <f>MOD(DEGREES(ATAN2(G29-E29,H29-F29)),360)</f>
        <v/>
      </c>
    </row>
    <row r="30" ht="15" customHeight="1" s="1">
      <c r="B30" s="37" t="inlineStr">
        <is>
          <t>BÈ 2</t>
        </is>
      </c>
      <c r="C30" s="37" t="inlineStr">
        <is>
          <t>N2-07</t>
        </is>
      </c>
      <c r="D30" s="37" t="inlineStr">
        <is>
          <t>NEO BỜ</t>
        </is>
      </c>
      <c r="E30" s="38" t="n">
        <v>-81.52</v>
      </c>
      <c r="F30" s="38" t="n">
        <v>33.15</v>
      </c>
      <c r="G30" s="38" t="n">
        <v>-86.20999999999999</v>
      </c>
      <c r="H30" s="38" t="n">
        <v>65.61</v>
      </c>
      <c r="I30" s="38" t="n">
        <v>384.5</v>
      </c>
      <c r="J30" s="39">
        <f>SQRT((G30-E30)^2+(H30-F30)^2)</f>
        <v/>
      </c>
      <c r="K30" s="40">
        <f>MOD(DEGREES(ATAN2(G30-E30,H30-F30)),360)</f>
        <v/>
      </c>
    </row>
    <row r="31" ht="15" customHeight="1" s="1">
      <c r="B31" s="37" t="inlineStr">
        <is>
          <t>BÈ 2</t>
        </is>
      </c>
      <c r="C31" s="37" t="inlineStr">
        <is>
          <t>N2-08</t>
        </is>
      </c>
      <c r="D31" s="37" t="inlineStr">
        <is>
          <t>NEO BỜ</t>
        </is>
      </c>
      <c r="E31" s="38" t="n">
        <v>-70.23999999999999</v>
      </c>
      <c r="F31" s="38" t="n">
        <v>24.59</v>
      </c>
      <c r="G31" s="38" t="n">
        <v>-44.58</v>
      </c>
      <c r="H31" s="38" t="n">
        <v>56.23</v>
      </c>
      <c r="I31" s="38" t="n">
        <v>384.5</v>
      </c>
      <c r="J31" s="39">
        <f>SQRT((G31-E31)^2+(H31-F31)^2)</f>
        <v/>
      </c>
      <c r="K31" s="40">
        <f>MOD(DEGREES(ATAN2(G31-E31,H31-F31)),360)</f>
        <v/>
      </c>
    </row>
    <row r="32" ht="15" customHeight="1" s="1">
      <c r="B32" s="37" t="inlineStr">
        <is>
          <t>BÈ 2</t>
        </is>
      </c>
      <c r="C32" s="37" t="inlineStr">
        <is>
          <t>N2-09</t>
        </is>
      </c>
      <c r="D32" s="37" t="inlineStr">
        <is>
          <t>NEO BỜ</t>
        </is>
      </c>
      <c r="E32" s="38" t="n">
        <v>-59.06</v>
      </c>
      <c r="F32" s="38" t="n">
        <v>15.44</v>
      </c>
      <c r="G32" s="38" t="n">
        <v>-25.24</v>
      </c>
      <c r="H32" s="38" t="n">
        <v>36.13</v>
      </c>
      <c r="I32" s="38" t="n">
        <v>384.5</v>
      </c>
      <c r="J32" s="39">
        <f>SQRT((G32-E32)^2+(H32-F32)^2)</f>
        <v/>
      </c>
      <c r="K32" s="40">
        <f>MOD(DEGREES(ATAN2(G32-E32,H32-F32)),360)</f>
        <v/>
      </c>
    </row>
    <row r="33" ht="15" customHeight="1" s="1">
      <c r="B33" s="37" t="inlineStr">
        <is>
          <t>BÈ 2</t>
        </is>
      </c>
      <c r="C33" s="37" t="inlineStr">
        <is>
          <t>N2-10</t>
        </is>
      </c>
      <c r="D33" s="37" t="inlineStr">
        <is>
          <t>NEO BỜ</t>
        </is>
      </c>
      <c r="E33" s="38" t="n">
        <v>-47.88</v>
      </c>
      <c r="F33" s="38" t="n">
        <v>6.3</v>
      </c>
      <c r="G33" s="38" t="n">
        <v>-20.75</v>
      </c>
      <c r="H33" s="38" t="n">
        <v>30.29</v>
      </c>
      <c r="I33" s="38" t="n">
        <v>384.5</v>
      </c>
      <c r="J33" s="39">
        <f>SQRT((G33-E33)^2+(H33-F33)^2)</f>
        <v/>
      </c>
      <c r="K33" s="40">
        <f>MOD(DEGREES(ATAN2(G33-E33,H33-F33)),360)</f>
        <v/>
      </c>
    </row>
    <row r="34" ht="15" customHeight="1" s="1">
      <c r="B34" s="37" t="inlineStr">
        <is>
          <t>BÈ 2</t>
        </is>
      </c>
      <c r="C34" s="37" t="inlineStr">
        <is>
          <t>N2-11</t>
        </is>
      </c>
      <c r="D34" s="37" t="inlineStr">
        <is>
          <t>NEO ĐÁY</t>
        </is>
      </c>
      <c r="E34" s="38" t="n">
        <v>-36.7</v>
      </c>
      <c r="F34" s="38" t="n">
        <v>-2.85</v>
      </c>
      <c r="G34" s="38" t="n">
        <v>-22.8</v>
      </c>
      <c r="H34" s="38" t="n">
        <v>-13.54</v>
      </c>
      <c r="I34" s="38" t="n">
        <v>376.8</v>
      </c>
      <c r="J34" s="39">
        <f>SQRT((G34-E34)^2+(H34-F34)^2)</f>
        <v/>
      </c>
      <c r="K34" s="40">
        <f>MOD(DEGREES(ATAN2(G34-E34,H34-F34)),360)</f>
        <v/>
      </c>
    </row>
    <row r="35" ht="15" customHeight="1" s="1">
      <c r="B35" s="37" t="inlineStr">
        <is>
          <t>BÈ 2</t>
        </is>
      </c>
      <c r="C35" s="37" t="inlineStr">
        <is>
          <t>N2-12</t>
        </is>
      </c>
      <c r="D35" s="37" t="inlineStr">
        <is>
          <t>NEO ĐÁY</t>
        </is>
      </c>
      <c r="E35" s="38" t="n">
        <v>-45.83</v>
      </c>
      <c r="F35" s="38" t="n">
        <v>-14.03</v>
      </c>
      <c r="G35" s="38" t="n">
        <v>-32.25</v>
      </c>
      <c r="H35" s="38" t="n">
        <v>-25.13</v>
      </c>
      <c r="I35" s="38" t="n">
        <v>376.8</v>
      </c>
      <c r="J35" s="39">
        <f>SQRT((G35-E35)^2+(H35-F35)^2)</f>
        <v/>
      </c>
      <c r="K35" s="40">
        <f>MOD(DEGREES(ATAN2(G35-E35,H35-F35)),360)</f>
        <v/>
      </c>
    </row>
    <row r="36" ht="15" customHeight="1" s="1">
      <c r="B36" s="37" t="inlineStr">
        <is>
          <t>BÈ 2</t>
        </is>
      </c>
      <c r="C36" s="37" t="inlineStr">
        <is>
          <t>N2-13</t>
        </is>
      </c>
      <c r="D36" s="37" t="inlineStr">
        <is>
          <t>NEO ĐÁY</t>
        </is>
      </c>
      <c r="E36" s="38" t="n">
        <v>-54.97</v>
      </c>
      <c r="F36" s="38" t="n">
        <v>-25.21</v>
      </c>
      <c r="G36" s="38" t="n">
        <v>-41.4</v>
      </c>
      <c r="H36" s="38" t="n">
        <v>-36.31</v>
      </c>
      <c r="I36" s="38" t="n">
        <v>376.8</v>
      </c>
      <c r="J36" s="39">
        <f>SQRT((G36-E36)^2+(H36-F36)^2)</f>
        <v/>
      </c>
      <c r="K36" s="40">
        <f>MOD(DEGREES(ATAN2(G36-E36,H36-F36)),360)</f>
        <v/>
      </c>
    </row>
    <row r="37" ht="15" customHeight="1" s="1">
      <c r="B37" s="37" t="inlineStr">
        <is>
          <t>BÈ 2</t>
        </is>
      </c>
      <c r="C37" s="37" t="inlineStr">
        <is>
          <t>N2-14</t>
        </is>
      </c>
      <c r="D37" s="37" t="inlineStr">
        <is>
          <t>NEO BỜ</t>
        </is>
      </c>
      <c r="E37" s="38" t="n">
        <v>-64.45</v>
      </c>
      <c r="F37" s="38" t="n">
        <v>-33.13</v>
      </c>
      <c r="G37" s="38" t="n">
        <v>-75.90000000000001</v>
      </c>
      <c r="H37" s="38" t="n">
        <v>-40.38</v>
      </c>
      <c r="I37" s="38" t="n">
        <v>384.5</v>
      </c>
      <c r="J37" s="39">
        <f>SQRT((G37-E37)^2+(H37-F37)^2)</f>
        <v/>
      </c>
      <c r="K37" s="40">
        <f>MOD(DEGREES(ATAN2(G37-E37,H37-F37)),360)</f>
        <v/>
      </c>
    </row>
    <row r="38" ht="15" customHeight="1" s="1">
      <c r="B38" s="37" t="inlineStr">
        <is>
          <t>BÈ 2</t>
        </is>
      </c>
      <c r="C38" s="37" t="inlineStr">
        <is>
          <t>N2-15</t>
        </is>
      </c>
      <c r="D38" s="37" t="inlineStr">
        <is>
          <t>NEO BỜ</t>
        </is>
      </c>
      <c r="E38" s="38" t="n">
        <v>-75.63</v>
      </c>
      <c r="F38" s="38" t="n">
        <v>-23.98</v>
      </c>
      <c r="G38" s="38" t="n">
        <v>-86.78</v>
      </c>
      <c r="H38" s="38" t="n">
        <v>-32.68</v>
      </c>
      <c r="I38" s="38" t="n">
        <v>384.5</v>
      </c>
      <c r="J38" s="39">
        <f>SQRT((G38-E38)^2+(H38-F38)^2)</f>
        <v/>
      </c>
      <c r="K38" s="40">
        <f>MOD(DEGREES(ATAN2(G38-E38,H38-F38)),360)</f>
        <v/>
      </c>
    </row>
    <row r="39" ht="15" customHeight="1" s="1">
      <c r="B39" s="37" t="inlineStr">
        <is>
          <t>BÈ 2</t>
        </is>
      </c>
      <c r="C39" s="37" t="inlineStr">
        <is>
          <t>N2-16</t>
        </is>
      </c>
      <c r="D39" s="37" t="inlineStr">
        <is>
          <t>NEO BỜ</t>
        </is>
      </c>
      <c r="E39" s="38" t="n">
        <v>-86.81</v>
      </c>
      <c r="F39" s="38" t="n">
        <v>-14.84</v>
      </c>
      <c r="G39" s="38" t="n">
        <v>-92.95</v>
      </c>
      <c r="H39" s="38" t="n">
        <v>-26.7</v>
      </c>
      <c r="I39" s="38" t="n">
        <v>384.5</v>
      </c>
      <c r="J39" s="39">
        <f>SQRT((G39-E39)^2+(H39-F39)^2)</f>
        <v/>
      </c>
      <c r="K39" s="40">
        <f>MOD(DEGREES(ATAN2(G39-E39,H39-F39)),360)</f>
        <v/>
      </c>
    </row>
    <row r="40" ht="15" customHeight="1" s="1">
      <c r="B40" s="37" t="inlineStr">
        <is>
          <t>BÈ 2</t>
        </is>
      </c>
      <c r="C40" s="37" t="inlineStr">
        <is>
          <t>N2-17</t>
        </is>
      </c>
      <c r="D40" s="37" t="inlineStr">
        <is>
          <t>NEO ĐÁY</t>
        </is>
      </c>
      <c r="E40" s="38" t="n">
        <v>-97.98999999999999</v>
      </c>
      <c r="F40" s="38" t="n">
        <v>-5.69</v>
      </c>
      <c r="G40" s="38" t="n">
        <v>-109.09</v>
      </c>
      <c r="H40" s="38" t="n">
        <v>-19.27</v>
      </c>
      <c r="I40" s="38" t="n">
        <v>376.8</v>
      </c>
      <c r="J40" s="39">
        <f>SQRT((G40-E40)^2+(H40-F40)^2)</f>
        <v/>
      </c>
      <c r="K40" s="40">
        <f>MOD(DEGREES(ATAN2(G40-E40,H40-F40)),360)</f>
        <v/>
      </c>
    </row>
    <row r="41" ht="15" customHeight="1" s="1">
      <c r="B41" s="37" t="inlineStr">
        <is>
          <t>BÈ 2</t>
        </is>
      </c>
      <c r="C41" s="37" t="inlineStr">
        <is>
          <t>N2-18</t>
        </is>
      </c>
      <c r="D41" s="37" t="inlineStr">
        <is>
          <t>NEO ĐÁY</t>
        </is>
      </c>
      <c r="E41" s="38" t="n">
        <v>-108.5</v>
      </c>
      <c r="F41" s="38" t="n">
        <v>-3.87</v>
      </c>
      <c r="G41" s="38" t="n">
        <v>-95.11</v>
      </c>
      <c r="H41" s="38" t="n">
        <v>-15.19</v>
      </c>
      <c r="I41" s="38" t="n">
        <v>376.8</v>
      </c>
      <c r="J41" s="39">
        <f>SQRT((G41-E41)^2+(H41-F41)^2)</f>
        <v/>
      </c>
      <c r="K41" s="40">
        <f>MOD(DEGREES(ATAN2(G41-E41,H41-F41)),360)</f>
        <v/>
      </c>
    </row>
    <row r="42" ht="15" customHeight="1" s="1">
      <c r="B42" s="37" t="inlineStr">
        <is>
          <t>BÈ 2</t>
        </is>
      </c>
      <c r="C42" s="37" t="inlineStr">
        <is>
          <t>N2-19</t>
        </is>
      </c>
      <c r="D42" s="37" t="inlineStr">
        <is>
          <t>NEO ĐÁY</t>
        </is>
      </c>
      <c r="E42" s="38" t="n">
        <v>-118.43</v>
      </c>
      <c r="F42" s="38" t="n">
        <v>-8.35</v>
      </c>
      <c r="G42" s="38" t="n">
        <v>-129.53</v>
      </c>
      <c r="H42" s="38" t="n">
        <v>-21.92</v>
      </c>
      <c r="I42" s="38" t="n">
        <v>376.8</v>
      </c>
      <c r="J42" s="39">
        <f>SQRT((G42-E42)^2+(H42-F42)^2)</f>
        <v/>
      </c>
      <c r="K42" s="40">
        <f>MOD(DEGREES(ATAN2(G42-E42,H42-F42)),360)</f>
        <v/>
      </c>
    </row>
    <row r="43" ht="15" customHeight="1" s="1">
      <c r="B43" s="37" t="inlineStr">
        <is>
          <t>BÈ 2</t>
        </is>
      </c>
      <c r="C43" s="37" t="inlineStr">
        <is>
          <t>N2-20</t>
        </is>
      </c>
      <c r="D43" s="37" t="inlineStr">
        <is>
          <t>NEO ĐÁY</t>
        </is>
      </c>
      <c r="E43" s="38" t="n">
        <v>-129.61</v>
      </c>
      <c r="F43" s="38" t="n">
        <v>0.8</v>
      </c>
      <c r="G43" s="38" t="n">
        <v>-140.71</v>
      </c>
      <c r="H43" s="38" t="n">
        <v>-12.78</v>
      </c>
      <c r="I43" s="38" t="n">
        <v>376.8</v>
      </c>
      <c r="J43" s="39">
        <f>SQRT((G43-E43)^2+(H43-F43)^2)</f>
        <v/>
      </c>
      <c r="K43" s="40">
        <f>MOD(DEGREES(ATAN2(G43-E43,H43-F43)),360)</f>
        <v/>
      </c>
    </row>
    <row r="44" ht="15" customHeight="1" s="1">
      <c r="B44" s="37" t="inlineStr">
        <is>
          <t>BÈ 3</t>
        </is>
      </c>
      <c r="C44" s="37" t="inlineStr">
        <is>
          <t>N3-01</t>
        </is>
      </c>
      <c r="D44" s="37" t="inlineStr">
        <is>
          <t>NEO ĐÁY</t>
        </is>
      </c>
      <c r="E44" s="38" t="n">
        <v>-48.94</v>
      </c>
      <c r="F44" s="38" t="n">
        <v>-45.2</v>
      </c>
      <c r="G44" s="38" t="n">
        <v>-42.09</v>
      </c>
      <c r="H44" s="38" t="n">
        <v>-61.34</v>
      </c>
      <c r="I44" s="38" t="n">
        <v>376.8</v>
      </c>
      <c r="J44" s="39">
        <f>SQRT((G44-E44)^2+(H44-F44)^2)</f>
        <v/>
      </c>
      <c r="K44" s="40">
        <f>MOD(DEGREES(ATAN2(G44-E44,H44-F44)),360)</f>
        <v/>
      </c>
    </row>
    <row r="45" ht="15" customHeight="1" s="1">
      <c r="B45" s="37" t="inlineStr">
        <is>
          <t>BÈ 3</t>
        </is>
      </c>
      <c r="C45" s="37" t="inlineStr">
        <is>
          <t>N3-02</t>
        </is>
      </c>
      <c r="D45" s="37" t="inlineStr">
        <is>
          <t>NEO ĐÁY</t>
        </is>
      </c>
      <c r="E45" s="38" t="n">
        <v>-35.23</v>
      </c>
      <c r="F45" s="38" t="n">
        <v>-39.38</v>
      </c>
      <c r="G45" s="38" t="n">
        <v>-42.08</v>
      </c>
      <c r="H45" s="38" t="n">
        <v>-23.24</v>
      </c>
      <c r="I45" s="38" t="n">
        <v>376.8</v>
      </c>
      <c r="J45" s="39">
        <f>SQRT((G45-E45)^2+(H45-F45)^2)</f>
        <v/>
      </c>
      <c r="K45" s="40">
        <f>MOD(DEGREES(ATAN2(G45-E45,H45-F45)),360)</f>
        <v/>
      </c>
    </row>
    <row r="46" ht="15" customHeight="1" s="1">
      <c r="B46" s="37" t="inlineStr">
        <is>
          <t>BÈ 3</t>
        </is>
      </c>
      <c r="C46" s="37" t="inlineStr">
        <is>
          <t>N3-03</t>
        </is>
      </c>
      <c r="D46" s="37" t="inlineStr">
        <is>
          <t>NEO ĐÁY</t>
        </is>
      </c>
      <c r="E46" s="38" t="n">
        <v>-21.53</v>
      </c>
      <c r="F46" s="38" t="n">
        <v>-33.57</v>
      </c>
      <c r="G46" s="38" t="n">
        <v>-28.38</v>
      </c>
      <c r="H46" s="38" t="n">
        <v>-17.42</v>
      </c>
      <c r="I46" s="38" t="n">
        <v>376.8</v>
      </c>
      <c r="J46" s="39">
        <f>SQRT((G46-E46)^2+(H46-F46)^2)</f>
        <v/>
      </c>
      <c r="K46" s="40">
        <f>MOD(DEGREES(ATAN2(G46-E46,H46-F46)),360)</f>
        <v/>
      </c>
    </row>
    <row r="47" ht="15" customHeight="1" s="1">
      <c r="B47" s="37" t="inlineStr">
        <is>
          <t>BÈ 3</t>
        </is>
      </c>
      <c r="C47" s="37" t="inlineStr">
        <is>
          <t>N3-04</t>
        </is>
      </c>
      <c r="D47" s="37" t="inlineStr">
        <is>
          <t>NEO BỜ</t>
        </is>
      </c>
      <c r="E47" s="38" t="n">
        <v>-11.03</v>
      </c>
      <c r="F47" s="38" t="n">
        <v>-35.71</v>
      </c>
      <c r="G47" s="38" t="n">
        <v>24.14</v>
      </c>
      <c r="H47" s="38" t="n">
        <v>-13.54</v>
      </c>
      <c r="I47" s="38" t="n">
        <v>384.5</v>
      </c>
      <c r="J47" s="39">
        <f>SQRT((G47-E47)^2+(H47-F47)^2)</f>
        <v/>
      </c>
      <c r="K47" s="40">
        <f>MOD(DEGREES(ATAN2(G47-E47,H47-F47)),360)</f>
        <v/>
      </c>
    </row>
    <row r="48" ht="15" customHeight="1" s="1">
      <c r="B48" s="37" t="inlineStr">
        <is>
          <t>BÈ 3</t>
        </is>
      </c>
      <c r="C48" s="37" t="inlineStr">
        <is>
          <t>N3-05</t>
        </is>
      </c>
      <c r="D48" s="37" t="inlineStr">
        <is>
          <t>NEO BỜ</t>
        </is>
      </c>
      <c r="E48" s="38" t="n">
        <v>-5.17</v>
      </c>
      <c r="F48" s="38" t="n">
        <v>-49.41</v>
      </c>
      <c r="G48" s="38" t="n">
        <v>36.91</v>
      </c>
      <c r="H48" s="38" t="n">
        <v>-43.91</v>
      </c>
      <c r="I48" s="38" t="n">
        <v>384.5</v>
      </c>
      <c r="J48" s="39">
        <f>SQRT((G48-E48)^2+(H48-F48)^2)</f>
        <v/>
      </c>
      <c r="K48" s="40">
        <f>MOD(DEGREES(ATAN2(G48-E48,H48-F48)),360)</f>
        <v/>
      </c>
    </row>
    <row r="49" ht="15" customHeight="1" s="1">
      <c r="B49" s="37" t="inlineStr">
        <is>
          <t>BÈ 3</t>
        </is>
      </c>
      <c r="C49" s="37" t="inlineStr">
        <is>
          <t>N3-06</t>
        </is>
      </c>
      <c r="D49" s="37" t="inlineStr">
        <is>
          <t>NEO ĐÁY</t>
        </is>
      </c>
      <c r="E49" s="38" t="n">
        <v>4.63</v>
      </c>
      <c r="F49" s="38" t="n">
        <v>-53.34</v>
      </c>
      <c r="G49" s="38" t="n">
        <v>-2.14</v>
      </c>
      <c r="H49" s="38" t="n">
        <v>-37.17</v>
      </c>
      <c r="I49" s="38" t="n">
        <v>376.8</v>
      </c>
      <c r="J49" s="39">
        <f>SQRT((G49-E49)^2+(H49-F49)^2)</f>
        <v/>
      </c>
      <c r="K49" s="40">
        <f>MOD(DEGREES(ATAN2(G49-E49,H49-F49)),360)</f>
        <v/>
      </c>
    </row>
    <row r="50" ht="15" customHeight="1" s="1">
      <c r="B50" s="37" t="inlineStr">
        <is>
          <t>BÈ 3</t>
        </is>
      </c>
      <c r="C50" s="37" t="inlineStr">
        <is>
          <t>N3-07</t>
        </is>
      </c>
      <c r="D50" s="37" t="inlineStr">
        <is>
          <t>NEO BỜ</t>
        </is>
      </c>
      <c r="E50" s="38" t="n">
        <v>18</v>
      </c>
      <c r="F50" s="38" t="n">
        <v>-48.52</v>
      </c>
      <c r="G50" s="38" t="n">
        <v>36.91</v>
      </c>
      <c r="H50" s="38" t="n">
        <v>-43.91</v>
      </c>
      <c r="I50" s="38" t="n">
        <v>384.5</v>
      </c>
      <c r="J50" s="39">
        <f>SQRT((G50-E50)^2+(H50-F50)^2)</f>
        <v/>
      </c>
      <c r="K50" s="40">
        <f>MOD(DEGREES(ATAN2(G50-E50,H50-F50)),360)</f>
        <v/>
      </c>
    </row>
    <row r="51" ht="15" customHeight="1" s="1">
      <c r="B51" s="37" t="inlineStr">
        <is>
          <t>BÈ 3</t>
        </is>
      </c>
      <c r="C51" s="37" t="inlineStr">
        <is>
          <t>N3-08</t>
        </is>
      </c>
      <c r="D51" s="37" t="inlineStr">
        <is>
          <t>NEO BỜ</t>
        </is>
      </c>
      <c r="E51" s="38" t="n">
        <v>23.81</v>
      </c>
      <c r="F51" s="38" t="n">
        <v>-62.22</v>
      </c>
      <c r="G51" s="38" t="n">
        <v>40.02</v>
      </c>
      <c r="H51" s="38" t="n">
        <v>-55.97</v>
      </c>
      <c r="I51" s="38" t="n">
        <v>384.5</v>
      </c>
      <c r="J51" s="39">
        <f>SQRT((G51-E51)^2+(H51-F51)^2)</f>
        <v/>
      </c>
      <c r="K51" s="40">
        <f>MOD(DEGREES(ATAN2(G51-E51,H51-F51)),360)</f>
        <v/>
      </c>
    </row>
    <row r="52" ht="15" customHeight="1" s="1">
      <c r="B52" s="37" t="inlineStr">
        <is>
          <t>BÈ 3</t>
        </is>
      </c>
      <c r="C52" s="37" t="inlineStr">
        <is>
          <t>N3-09</t>
        </is>
      </c>
      <c r="D52" s="37" t="inlineStr">
        <is>
          <t>NEO BỜ</t>
        </is>
      </c>
      <c r="E52" s="38" t="n">
        <v>29.63</v>
      </c>
      <c r="F52" s="38" t="n">
        <v>-75.93000000000001</v>
      </c>
      <c r="G52" s="38" t="n">
        <v>45.42</v>
      </c>
      <c r="H52" s="38" t="n">
        <v>-70.66</v>
      </c>
      <c r="I52" s="38" t="n">
        <v>384.5</v>
      </c>
      <c r="J52" s="39">
        <f>SQRT((G52-E52)^2+(H52-F52)^2)</f>
        <v/>
      </c>
      <c r="K52" s="40">
        <f>MOD(DEGREES(ATAN2(G52-E52,H52-F52)),360)</f>
        <v/>
      </c>
    </row>
    <row r="53" ht="15" customHeight="1" s="1">
      <c r="B53" s="37" t="inlineStr">
        <is>
          <t>BÈ 3</t>
        </is>
      </c>
      <c r="C53" s="37" t="inlineStr">
        <is>
          <t>N3-10</t>
        </is>
      </c>
      <c r="D53" s="37" t="inlineStr">
        <is>
          <t>NEO BỜ</t>
        </is>
      </c>
      <c r="E53" s="38" t="n">
        <v>35.45</v>
      </c>
      <c r="F53" s="38" t="n">
        <v>-89.64</v>
      </c>
      <c r="G53" s="38" t="n">
        <v>50.13</v>
      </c>
      <c r="H53" s="38" t="n">
        <v>-84.42</v>
      </c>
      <c r="I53" s="38" t="n">
        <v>384.5</v>
      </c>
      <c r="J53" s="39">
        <f>SQRT((G53-E53)^2+(H53-F53)^2)</f>
        <v/>
      </c>
      <c r="K53" s="40">
        <f>MOD(DEGREES(ATAN2(G53-E53,H53-F53)),360)</f>
        <v/>
      </c>
    </row>
    <row r="54" ht="15" customHeight="1" s="1">
      <c r="B54" s="37" t="inlineStr">
        <is>
          <t>BÈ 3</t>
        </is>
      </c>
      <c r="C54" s="37" t="inlineStr">
        <is>
          <t>N3-11</t>
        </is>
      </c>
      <c r="D54" s="37" t="inlineStr">
        <is>
          <t>NEO ĐÁY</t>
        </is>
      </c>
      <c r="E54" s="38" t="n">
        <v>41.15</v>
      </c>
      <c r="F54" s="38" t="n">
        <v>-103.3</v>
      </c>
      <c r="G54" s="38" t="n">
        <v>48</v>
      </c>
      <c r="H54" s="38" t="n">
        <v>-119.44</v>
      </c>
      <c r="I54" s="38" t="n">
        <v>376.8</v>
      </c>
      <c r="J54" s="39">
        <f>SQRT((G54-E54)^2+(H54-F54)^2)</f>
        <v/>
      </c>
      <c r="K54" s="40">
        <f>MOD(DEGREES(ATAN2(G54-E54,H54-F54)),360)</f>
        <v/>
      </c>
    </row>
    <row r="55" ht="15" customHeight="1" s="1">
      <c r="B55" s="37" t="inlineStr">
        <is>
          <t>BÈ 3</t>
        </is>
      </c>
      <c r="C55" s="37" t="inlineStr">
        <is>
          <t>N3-12</t>
        </is>
      </c>
      <c r="D55" s="37" t="inlineStr">
        <is>
          <t>NEO ĐÁY</t>
        </is>
      </c>
      <c r="E55" s="38" t="n">
        <v>27.45</v>
      </c>
      <c r="F55" s="38" t="n">
        <v>-109.12</v>
      </c>
      <c r="G55" s="38" t="n">
        <v>34.3</v>
      </c>
      <c r="H55" s="38" t="n">
        <v>-125.26</v>
      </c>
      <c r="I55" s="38" t="n">
        <v>376.8</v>
      </c>
      <c r="J55" s="39">
        <f>SQRT((G55-E55)^2+(H55-F55)^2)</f>
        <v/>
      </c>
      <c r="K55" s="40">
        <f>MOD(DEGREES(ATAN2(G55-E55,H55-F55)),360)</f>
        <v/>
      </c>
    </row>
    <row r="56" ht="15" customHeight="1" s="1">
      <c r="B56" s="37" t="inlineStr">
        <is>
          <t>BÈ 3</t>
        </is>
      </c>
      <c r="C56" s="37" t="inlineStr">
        <is>
          <t>N3-13</t>
        </is>
      </c>
      <c r="D56" s="37" t="inlineStr">
        <is>
          <t>NEO ĐÁY</t>
        </is>
      </c>
      <c r="E56" s="38" t="n">
        <v>13.74</v>
      </c>
      <c r="F56" s="38" t="n">
        <v>-114.94</v>
      </c>
      <c r="G56" s="38" t="n">
        <v>18.53</v>
      </c>
      <c r="H56" s="38" t="n">
        <v>-126.24</v>
      </c>
      <c r="I56" s="38" t="n">
        <v>376.8</v>
      </c>
      <c r="J56" s="39">
        <f>SQRT((G56-E56)^2+(H56-F56)^2)</f>
        <v/>
      </c>
      <c r="K56" s="40">
        <f>MOD(DEGREES(ATAN2(G56-E56,H56-F56)),360)</f>
        <v/>
      </c>
    </row>
    <row r="57" ht="15" customHeight="1" s="1">
      <c r="B57" s="37" t="inlineStr">
        <is>
          <t>BÈ 3</t>
        </is>
      </c>
      <c r="C57" s="37" t="inlineStr">
        <is>
          <t>N3-14</t>
        </is>
      </c>
      <c r="D57" s="37" t="inlineStr">
        <is>
          <t>NEO ĐÁY</t>
        </is>
      </c>
      <c r="E57" s="38" t="n">
        <v>0.03</v>
      </c>
      <c r="F57" s="38" t="n">
        <v>-120.75</v>
      </c>
      <c r="G57" s="38" t="n">
        <v>6.88</v>
      </c>
      <c r="H57" s="38" t="n">
        <v>-136.9</v>
      </c>
      <c r="I57" s="38" t="n">
        <v>376.8</v>
      </c>
      <c r="J57" s="39">
        <f>SQRT((G57-E57)^2+(H57-F57)^2)</f>
        <v/>
      </c>
      <c r="K57" s="40">
        <f>MOD(DEGREES(ATAN2(G57-E57,H57-F57)),360)</f>
        <v/>
      </c>
    </row>
    <row r="58" ht="15" customHeight="1" s="1">
      <c r="B58" s="37" t="inlineStr">
        <is>
          <t>BÈ 3</t>
        </is>
      </c>
      <c r="C58" s="37" t="inlineStr">
        <is>
          <t>N3-15</t>
        </is>
      </c>
      <c r="D58" s="37" t="inlineStr">
        <is>
          <t>NEO ĐÁY</t>
        </is>
      </c>
      <c r="E58" s="38" t="n">
        <v>-13.68</v>
      </c>
      <c r="F58" s="38" t="n">
        <v>-126.57</v>
      </c>
      <c r="G58" s="38" t="n">
        <v>-6.82</v>
      </c>
      <c r="H58" s="38" t="n">
        <v>-142.72</v>
      </c>
      <c r="I58" s="38" t="n">
        <v>376.8</v>
      </c>
      <c r="J58" s="39">
        <f>SQRT((G58-E58)^2+(H58-F58)^2)</f>
        <v/>
      </c>
      <c r="K58" s="40">
        <f>MOD(DEGREES(ATAN2(G58-E58,H58-F58)),360)</f>
        <v/>
      </c>
    </row>
    <row r="59" ht="15" customHeight="1" s="1">
      <c r="B59" s="37" t="inlineStr">
        <is>
          <t>BÈ 3</t>
        </is>
      </c>
      <c r="C59" s="37" t="inlineStr">
        <is>
          <t>N3-16</t>
        </is>
      </c>
      <c r="D59" s="37" t="inlineStr">
        <is>
          <t>NEO BỜ</t>
        </is>
      </c>
      <c r="E59" s="38" t="n">
        <v>-19.85</v>
      </c>
      <c r="F59" s="38" t="n">
        <v>-113.74</v>
      </c>
      <c r="G59" s="38" t="n">
        <v>-46.25</v>
      </c>
      <c r="H59" s="38" t="n">
        <v>-122.46</v>
      </c>
      <c r="I59" s="38" t="n">
        <v>384.5</v>
      </c>
      <c r="J59" s="39">
        <f>SQRT((G59-E59)^2+(H59-F59)^2)</f>
        <v/>
      </c>
      <c r="K59" s="40">
        <f>MOD(DEGREES(ATAN2(G59-E59,H59-F59)),360)</f>
        <v/>
      </c>
    </row>
    <row r="60" ht="15" customHeight="1" s="1">
      <c r="B60" s="37" t="inlineStr">
        <is>
          <t>BÈ 3</t>
        </is>
      </c>
      <c r="C60" s="37" t="inlineStr">
        <is>
          <t>N3-17</t>
        </is>
      </c>
      <c r="D60" s="37" t="inlineStr">
        <is>
          <t>NEO BỜ</t>
        </is>
      </c>
      <c r="E60" s="38" t="n">
        <v>-25.67</v>
      </c>
      <c r="F60" s="38" t="n">
        <v>-100.03</v>
      </c>
      <c r="G60" s="38" t="n">
        <v>-54.6</v>
      </c>
      <c r="H60" s="38" t="n">
        <v>-100.83</v>
      </c>
      <c r="I60" s="38" t="n">
        <v>384.5</v>
      </c>
      <c r="J60" s="39">
        <f>SQRT((G60-E60)^2+(H60-F60)^2)</f>
        <v/>
      </c>
      <c r="K60" s="40">
        <f>MOD(DEGREES(ATAN2(G60-E60,H60-F60)),360)</f>
        <v/>
      </c>
    </row>
    <row r="61" ht="15" customHeight="1" s="1">
      <c r="B61" s="37" t="inlineStr">
        <is>
          <t>BÈ 3</t>
        </is>
      </c>
      <c r="C61" s="37" t="inlineStr">
        <is>
          <t>N3-18</t>
        </is>
      </c>
      <c r="D61" s="37" t="inlineStr">
        <is>
          <t>NEO BỜ</t>
        </is>
      </c>
      <c r="E61" s="38" t="n">
        <v>-31.48</v>
      </c>
      <c r="F61" s="38" t="n">
        <v>-86.31999999999999</v>
      </c>
      <c r="G61" s="38" t="n">
        <v>-56.16</v>
      </c>
      <c r="H61" s="38" t="n">
        <v>-93.27</v>
      </c>
      <c r="I61" s="38" t="n">
        <v>384.5</v>
      </c>
      <c r="J61" s="39">
        <f>SQRT((G61-E61)^2+(H61-F61)^2)</f>
        <v/>
      </c>
      <c r="K61" s="40">
        <f>MOD(DEGREES(ATAN2(G61-E61,H61-F61)),360)</f>
        <v/>
      </c>
    </row>
    <row r="62" ht="15" customHeight="1" s="1">
      <c r="B62" s="37" t="inlineStr">
        <is>
          <t>BÈ 3</t>
        </is>
      </c>
      <c r="C62" s="37" t="inlineStr">
        <is>
          <t>N3-19</t>
        </is>
      </c>
      <c r="D62" s="37" t="inlineStr">
        <is>
          <t>NEO BỜ</t>
        </is>
      </c>
      <c r="E62" s="38" t="n">
        <v>-37.3</v>
      </c>
      <c r="F62" s="38" t="n">
        <v>-72.62</v>
      </c>
      <c r="G62" s="38" t="n">
        <v>-59.73</v>
      </c>
      <c r="H62" s="38" t="n">
        <v>-83.89</v>
      </c>
      <c r="I62" s="38" t="n">
        <v>384.5</v>
      </c>
      <c r="J62" s="39">
        <f>SQRT((G62-E62)^2+(H62-F62)^2)</f>
        <v/>
      </c>
      <c r="K62" s="40">
        <f>MOD(DEGREES(ATAN2(G62-E62,H62-F62)),360)</f>
        <v/>
      </c>
    </row>
    <row r="63" ht="15" customHeight="1" s="1">
      <c r="B63" s="37" t="inlineStr">
        <is>
          <t>BÈ 3</t>
        </is>
      </c>
      <c r="C63" s="37" t="inlineStr">
        <is>
          <t>N3-20</t>
        </is>
      </c>
      <c r="D63" s="37" t="inlineStr">
        <is>
          <t>NEO BỜ</t>
        </is>
      </c>
      <c r="E63" s="38" t="n">
        <v>-43.12</v>
      </c>
      <c r="F63" s="38" t="n">
        <v>-58.91</v>
      </c>
      <c r="G63" s="38" t="n">
        <v>-67.33</v>
      </c>
      <c r="H63" s="38" t="n">
        <v>-58.38</v>
      </c>
      <c r="I63" s="38" t="n">
        <v>384.5</v>
      </c>
      <c r="J63" s="39">
        <f>SQRT((G63-E63)^2+(H63-F63)^2)</f>
        <v/>
      </c>
      <c r="K63" s="40">
        <f>MOD(DEGREES(ATAN2(G63-E63,H63-F63)),360)</f>
        <v/>
      </c>
    </row>
    <row r="64" ht="15" customHeight="1" s="1">
      <c r="B64" s="37" t="inlineStr">
        <is>
          <t>BÈ 4</t>
        </is>
      </c>
      <c r="C64" s="37" t="inlineStr">
        <is>
          <t>N4-01</t>
        </is>
      </c>
      <c r="D64" s="37" t="inlineStr">
        <is>
          <t>NEO BỜ</t>
        </is>
      </c>
      <c r="E64" s="38" t="n">
        <v>10.98</v>
      </c>
      <c r="F64" s="38" t="n">
        <v>-190.72</v>
      </c>
      <c r="G64" s="38" t="n">
        <v>-11.5</v>
      </c>
      <c r="H64" s="38" t="n">
        <v>-205.54</v>
      </c>
      <c r="I64" s="38" t="n">
        <v>384.5</v>
      </c>
      <c r="J64" s="39">
        <f>SQRT((G64-E64)^2+(H64-F64)^2)</f>
        <v/>
      </c>
      <c r="K64" s="40">
        <f>MOD(DEGREES(ATAN2(G64-E64,H64-F64)),360)</f>
        <v/>
      </c>
    </row>
    <row r="65" ht="15" customHeight="1" s="1">
      <c r="B65" s="37" t="inlineStr">
        <is>
          <t>BÈ 4</t>
        </is>
      </c>
      <c r="C65" s="37" t="inlineStr">
        <is>
          <t>N4-02</t>
        </is>
      </c>
      <c r="D65" s="37" t="inlineStr">
        <is>
          <t>NEO BỜ</t>
        </is>
      </c>
      <c r="E65" s="38" t="n">
        <v>10.98</v>
      </c>
      <c r="F65" s="38" t="n">
        <v>-176.37</v>
      </c>
      <c r="G65" s="38" t="n">
        <v>-16.15</v>
      </c>
      <c r="H65" s="38" t="n">
        <v>-195.46</v>
      </c>
      <c r="I65" s="38" t="n">
        <v>384.5</v>
      </c>
      <c r="J65" s="39">
        <f>SQRT((G65-E65)^2+(H65-F65)^2)</f>
        <v/>
      </c>
      <c r="K65" s="40">
        <f>MOD(DEGREES(ATAN2(G65-E65,H65-F65)),360)</f>
        <v/>
      </c>
    </row>
    <row r="66" ht="15" customHeight="1" s="1">
      <c r="B66" s="37" t="inlineStr">
        <is>
          <t>BÈ 4</t>
        </is>
      </c>
      <c r="C66" s="37" t="inlineStr">
        <is>
          <t>N4-03</t>
        </is>
      </c>
      <c r="D66" s="37" t="inlineStr">
        <is>
          <t>NEO ĐÁY</t>
        </is>
      </c>
      <c r="E66" s="38" t="n">
        <v>10.98</v>
      </c>
      <c r="F66" s="38" t="n">
        <v>-162.01</v>
      </c>
      <c r="G66" s="38" t="n">
        <v>-6.56</v>
      </c>
      <c r="H66" s="38" t="n">
        <v>-162.01</v>
      </c>
      <c r="I66" s="38" t="n">
        <v>376.8</v>
      </c>
      <c r="J66" s="39">
        <f>SQRT((G66-E66)^2+(H66-F66)^2)</f>
        <v/>
      </c>
      <c r="K66" s="40">
        <f>MOD(DEGREES(ATAN2(G66-E66,H66-F66)),360)</f>
        <v/>
      </c>
    </row>
    <row r="67" ht="15" customHeight="1" s="1">
      <c r="B67" s="37" t="inlineStr">
        <is>
          <t>BÈ 4</t>
        </is>
      </c>
      <c r="C67" s="37" t="inlineStr">
        <is>
          <t>N4-04</t>
        </is>
      </c>
      <c r="D67" s="37" t="inlineStr">
        <is>
          <t>NEO ĐÁY</t>
        </is>
      </c>
      <c r="E67" s="38" t="n">
        <v>10.98</v>
      </c>
      <c r="F67" s="38" t="n">
        <v>-147.65</v>
      </c>
      <c r="G67" s="38" t="n">
        <v>-6.56</v>
      </c>
      <c r="H67" s="38" t="n">
        <v>-147.65</v>
      </c>
      <c r="I67" s="38" t="n">
        <v>376.8</v>
      </c>
      <c r="J67" s="39">
        <f>SQRT((G67-E67)^2+(H67-F67)^2)</f>
        <v/>
      </c>
      <c r="K67" s="40">
        <f>MOD(DEGREES(ATAN2(G67-E67,H67-F67)),360)</f>
        <v/>
      </c>
    </row>
    <row r="68" ht="15" customHeight="1" s="1">
      <c r="B68" s="37" t="inlineStr">
        <is>
          <t>BÈ 4</t>
        </is>
      </c>
      <c r="C68" s="37" t="inlineStr">
        <is>
          <t>N4-05</t>
        </is>
      </c>
      <c r="D68" s="37" t="inlineStr">
        <is>
          <t>NEO ĐÁY</t>
        </is>
      </c>
      <c r="E68" s="38" t="n">
        <v>10.98</v>
      </c>
      <c r="F68" s="38" t="n">
        <v>-133.29</v>
      </c>
      <c r="G68" s="38" t="n">
        <v>-6.56</v>
      </c>
      <c r="H68" s="38" t="n">
        <v>-133.29</v>
      </c>
      <c r="I68" s="38" t="n">
        <v>376.8</v>
      </c>
      <c r="J68" s="39">
        <f>SQRT((G68-E68)^2+(H68-F68)^2)</f>
        <v/>
      </c>
      <c r="K68" s="40">
        <f>MOD(DEGREES(ATAN2(G68-E68,H68-F68)),360)</f>
        <v/>
      </c>
    </row>
    <row r="69" ht="15" customHeight="1" s="1">
      <c r="B69" s="37" t="inlineStr">
        <is>
          <t>BÈ 4</t>
        </is>
      </c>
      <c r="C69" s="37" t="inlineStr">
        <is>
          <t>N4-06</t>
        </is>
      </c>
      <c r="D69" s="37" t="inlineStr">
        <is>
          <t>NEO ĐÁY</t>
        </is>
      </c>
      <c r="E69" s="38" t="n">
        <v>22.59</v>
      </c>
      <c r="F69" s="38" t="n">
        <v>-130.54</v>
      </c>
      <c r="G69" s="38" t="n">
        <v>22.59</v>
      </c>
      <c r="H69" s="38" t="n">
        <v>-113.01</v>
      </c>
      <c r="I69" s="38" t="n">
        <v>376.8</v>
      </c>
      <c r="J69" s="39">
        <f>SQRT((G69-E69)^2+(H69-F69)^2)</f>
        <v/>
      </c>
      <c r="K69" s="40">
        <f>MOD(DEGREES(ATAN2(G69-E69,H69-F69)),360)</f>
        <v/>
      </c>
    </row>
    <row r="70" ht="15" customHeight="1" s="1">
      <c r="B70" s="37" t="inlineStr">
        <is>
          <t>BÈ 4</t>
        </is>
      </c>
      <c r="C70" s="37" t="inlineStr">
        <is>
          <t>N4-07</t>
        </is>
      </c>
      <c r="D70" s="37" t="inlineStr">
        <is>
          <t>NEO ĐÁY</t>
        </is>
      </c>
      <c r="E70" s="38" t="n">
        <v>36.95</v>
      </c>
      <c r="F70" s="38" t="n">
        <v>-130.54</v>
      </c>
      <c r="G70" s="38" t="n">
        <v>36.95</v>
      </c>
      <c r="H70" s="38" t="n">
        <v>-113.01</v>
      </c>
      <c r="I70" s="38" t="n">
        <v>376.8</v>
      </c>
      <c r="J70" s="39">
        <f>SQRT((G70-E70)^2+(H70-F70)^2)</f>
        <v/>
      </c>
      <c r="K70" s="40">
        <f>MOD(DEGREES(ATAN2(G70-E70,H70-F70)),360)</f>
        <v/>
      </c>
    </row>
    <row r="71" ht="15" customHeight="1" s="1">
      <c r="B71" s="37" t="inlineStr">
        <is>
          <t>BÈ 4</t>
        </is>
      </c>
      <c r="C71" s="37" t="inlineStr">
        <is>
          <t>N4-08</t>
        </is>
      </c>
      <c r="D71" s="37" t="inlineStr">
        <is>
          <t>NEO BỜ</t>
        </is>
      </c>
      <c r="E71" s="38" t="n">
        <v>51.3</v>
      </c>
      <c r="F71" s="38" t="n">
        <v>-130.54</v>
      </c>
      <c r="G71" s="38" t="n">
        <v>67.09999999999999</v>
      </c>
      <c r="H71" s="38" t="n">
        <v>-112.47</v>
      </c>
      <c r="I71" s="38" t="n">
        <v>384.5</v>
      </c>
      <c r="J71" s="39">
        <f>SQRT((G71-E71)^2+(H71-F71)^2)</f>
        <v/>
      </c>
      <c r="K71" s="40">
        <f>MOD(DEGREES(ATAN2(G71-E71,H71-F71)),360)</f>
        <v/>
      </c>
    </row>
    <row r="72" ht="15" customHeight="1" s="1">
      <c r="B72" s="37" t="inlineStr">
        <is>
          <t>BÈ 4</t>
        </is>
      </c>
      <c r="C72" s="37" t="inlineStr">
        <is>
          <t>N4-09</t>
        </is>
      </c>
      <c r="D72" s="37" t="inlineStr">
        <is>
          <t>NEO BỜ</t>
        </is>
      </c>
      <c r="E72" s="38" t="n">
        <v>65.66</v>
      </c>
      <c r="F72" s="38" t="n">
        <v>-130.54</v>
      </c>
      <c r="G72" s="38" t="n">
        <v>71.3</v>
      </c>
      <c r="H72" s="38" t="n">
        <v>-113.98</v>
      </c>
      <c r="I72" s="38" t="n">
        <v>384.5</v>
      </c>
      <c r="J72" s="39">
        <f>SQRT((G72-E72)^2+(H72-F72)^2)</f>
        <v/>
      </c>
      <c r="K72" s="40">
        <f>MOD(DEGREES(ATAN2(G72-E72,H72-F72)),360)</f>
        <v/>
      </c>
    </row>
    <row r="73" ht="15" customHeight="1" s="1">
      <c r="B73" s="37" t="inlineStr">
        <is>
          <t>BÈ 4</t>
        </is>
      </c>
      <c r="C73" s="37" t="inlineStr">
        <is>
          <t>N4-10</t>
        </is>
      </c>
      <c r="D73" s="37" t="inlineStr">
        <is>
          <t>NEO ĐÁY</t>
        </is>
      </c>
      <c r="E73" s="38" t="n">
        <v>76.12</v>
      </c>
      <c r="F73" s="38" t="n">
        <v>-134.44</v>
      </c>
      <c r="G73" s="38" t="n">
        <v>93.66</v>
      </c>
      <c r="H73" s="38" t="n">
        <v>-134.44</v>
      </c>
      <c r="I73" s="38" t="n">
        <v>376.8</v>
      </c>
      <c r="J73" s="39">
        <f>SQRT((G73-E73)^2+(H73-F73)^2)</f>
        <v/>
      </c>
      <c r="K73" s="40">
        <f>MOD(DEGREES(ATAN2(G73-E73,H73-F73)),360)</f>
        <v/>
      </c>
    </row>
    <row r="74" ht="15" customHeight="1" s="1">
      <c r="B74" s="37" t="inlineStr">
        <is>
          <t>BÈ 4</t>
        </is>
      </c>
      <c r="C74" s="37" t="inlineStr">
        <is>
          <t>N4-11</t>
        </is>
      </c>
      <c r="D74" s="37" t="inlineStr">
        <is>
          <t>NEO ĐÁY</t>
        </is>
      </c>
      <c r="E74" s="38" t="n">
        <v>76.12</v>
      </c>
      <c r="F74" s="38" t="n">
        <v>-148.79</v>
      </c>
      <c r="G74" s="38" t="n">
        <v>93.66</v>
      </c>
      <c r="H74" s="38" t="n">
        <v>-148.8</v>
      </c>
      <c r="I74" s="38" t="n">
        <v>376.8</v>
      </c>
      <c r="J74" s="39">
        <f>SQRT((G74-E74)^2+(H74-F74)^2)</f>
        <v/>
      </c>
      <c r="K74" s="40">
        <f>MOD(DEGREES(ATAN2(G74-E74,H74-F74)),360)</f>
        <v/>
      </c>
    </row>
    <row r="75" ht="15" customHeight="1" s="1">
      <c r="B75" s="37" t="inlineStr">
        <is>
          <t>BÈ 4</t>
        </is>
      </c>
      <c r="C75" s="37" t="inlineStr">
        <is>
          <t>N4-12</t>
        </is>
      </c>
      <c r="D75" s="37" t="inlineStr">
        <is>
          <t>NEO ĐÁY</t>
        </is>
      </c>
      <c r="E75" s="38" t="n">
        <v>76.11</v>
      </c>
      <c r="F75" s="38" t="n">
        <v>-163.15</v>
      </c>
      <c r="G75" s="38" t="n">
        <v>93.65000000000001</v>
      </c>
      <c r="H75" s="38" t="n">
        <v>-163.16</v>
      </c>
      <c r="I75" s="38" t="n">
        <v>376.8</v>
      </c>
      <c r="J75" s="39">
        <f>SQRT((G75-E75)^2+(H75-F75)^2)</f>
        <v/>
      </c>
      <c r="K75" s="40">
        <f>MOD(DEGREES(ATAN2(G75-E75,H75-F75)),360)</f>
        <v/>
      </c>
    </row>
    <row r="76" ht="15" customHeight="1" s="1">
      <c r="B76" s="37" t="inlineStr">
        <is>
          <t>BÈ 4</t>
        </is>
      </c>
      <c r="C76" s="37" t="inlineStr">
        <is>
          <t>N4-13</t>
        </is>
      </c>
      <c r="D76" s="37" t="inlineStr">
        <is>
          <t>NEO ĐÁY</t>
        </is>
      </c>
      <c r="E76" s="38" t="n">
        <v>76.11</v>
      </c>
      <c r="F76" s="38" t="n">
        <v>-177.51</v>
      </c>
      <c r="G76" s="38" t="n">
        <v>93.64</v>
      </c>
      <c r="H76" s="38" t="n">
        <v>-177.52</v>
      </c>
      <c r="I76" s="38" t="n">
        <v>376.8</v>
      </c>
      <c r="J76" s="39">
        <f>SQRT((G76-E76)^2+(H76-F76)^2)</f>
        <v/>
      </c>
      <c r="K76" s="40">
        <f>MOD(DEGREES(ATAN2(G76-E76,H76-F76)),360)</f>
        <v/>
      </c>
    </row>
    <row r="77" ht="15" customHeight="1" s="1">
      <c r="B77" s="37" t="inlineStr">
        <is>
          <t>BÈ 4</t>
        </is>
      </c>
      <c r="C77" s="37" t="inlineStr">
        <is>
          <t>N4-14</t>
        </is>
      </c>
      <c r="D77" s="37" t="inlineStr">
        <is>
          <t>NEO ĐÁY</t>
        </is>
      </c>
      <c r="E77" s="38" t="n">
        <v>76.09999999999999</v>
      </c>
      <c r="F77" s="38" t="n">
        <v>-191.87</v>
      </c>
      <c r="G77" s="38" t="n">
        <v>93.64</v>
      </c>
      <c r="H77" s="38" t="n">
        <v>-191.88</v>
      </c>
      <c r="I77" s="38" t="n">
        <v>376.8</v>
      </c>
      <c r="J77" s="39">
        <f>SQRT((G77-E77)^2+(H77-F77)^2)</f>
        <v/>
      </c>
      <c r="K77" s="40">
        <f>MOD(DEGREES(ATAN2(G77-E77,H77-F77)),360)</f>
        <v/>
      </c>
    </row>
    <row r="78" ht="15" customHeight="1" s="1">
      <c r="B78" s="37" t="inlineStr">
        <is>
          <t>BÈ 4</t>
        </is>
      </c>
      <c r="C78" s="37" t="inlineStr">
        <is>
          <t>N4-15</t>
        </is>
      </c>
      <c r="D78" s="37" t="inlineStr">
        <is>
          <t>NEO ĐÁY</t>
        </is>
      </c>
      <c r="E78" s="38" t="n">
        <v>76.09999999999999</v>
      </c>
      <c r="F78" s="38" t="n">
        <v>-206.23</v>
      </c>
      <c r="G78" s="38" t="n">
        <v>93.63</v>
      </c>
      <c r="H78" s="38" t="n">
        <v>-206.23</v>
      </c>
      <c r="I78" s="38" t="n">
        <v>376.8</v>
      </c>
      <c r="J78" s="39">
        <f>SQRT((G78-E78)^2+(H78-F78)^2)</f>
        <v/>
      </c>
      <c r="K78" s="40">
        <f>MOD(DEGREES(ATAN2(G78-E78,H78-F78)),360)</f>
        <v/>
      </c>
    </row>
    <row r="79" ht="15" customHeight="1" s="1">
      <c r="B79" s="37" t="inlineStr">
        <is>
          <t>BÈ 4</t>
        </is>
      </c>
      <c r="C79" s="37" t="inlineStr">
        <is>
          <t>N4-16</t>
        </is>
      </c>
      <c r="D79" s="37" t="inlineStr">
        <is>
          <t>NEO ĐÁY</t>
        </is>
      </c>
      <c r="E79" s="38" t="n">
        <v>76.09</v>
      </c>
      <c r="F79" s="38" t="n">
        <v>-220.58</v>
      </c>
      <c r="G79" s="38" t="n">
        <v>93.63</v>
      </c>
      <c r="H79" s="38" t="n">
        <v>-220.59</v>
      </c>
      <c r="I79" s="38" t="n">
        <v>376.8</v>
      </c>
      <c r="J79" s="39">
        <f>SQRT((G79-E79)^2+(H79-F79)^2)</f>
        <v/>
      </c>
      <c r="K79" s="40">
        <f>MOD(DEGREES(ATAN2(G79-E79,H79-F79)),360)</f>
        <v/>
      </c>
    </row>
    <row r="80" ht="15" customHeight="1" s="1">
      <c r="B80" s="37" t="inlineStr">
        <is>
          <t>BÈ 4</t>
        </is>
      </c>
      <c r="C80" s="37" t="inlineStr">
        <is>
          <t>N4-17</t>
        </is>
      </c>
      <c r="D80" s="37" t="inlineStr">
        <is>
          <t>NEO ĐÁY</t>
        </is>
      </c>
      <c r="E80" s="38" t="n">
        <v>71.77</v>
      </c>
      <c r="F80" s="38" t="n">
        <v>-230.62</v>
      </c>
      <c r="G80" s="38" t="n">
        <v>71.77</v>
      </c>
      <c r="H80" s="38" t="n">
        <v>-248.16</v>
      </c>
      <c r="I80" s="38" t="n">
        <v>376.8</v>
      </c>
      <c r="J80" s="39">
        <f>SQRT((G80-E80)^2+(H80-F80)^2)</f>
        <v/>
      </c>
      <c r="K80" s="40">
        <f>MOD(DEGREES(ATAN2(G80-E80,H80-F80)),360)</f>
        <v/>
      </c>
    </row>
    <row r="81" ht="15" customHeight="1" s="1">
      <c r="B81" s="37" t="inlineStr">
        <is>
          <t>BÈ 4</t>
        </is>
      </c>
      <c r="C81" s="37" t="inlineStr">
        <is>
          <t>N4-18</t>
        </is>
      </c>
      <c r="D81" s="37" t="inlineStr">
        <is>
          <t>NEO ĐÁY</t>
        </is>
      </c>
      <c r="E81" s="38" t="n">
        <v>57.41</v>
      </c>
      <c r="F81" s="38" t="n">
        <v>-230.62</v>
      </c>
      <c r="G81" s="38" t="n">
        <v>57.41</v>
      </c>
      <c r="H81" s="38" t="n">
        <v>-248.16</v>
      </c>
      <c r="I81" s="38" t="n">
        <v>376.8</v>
      </c>
      <c r="J81" s="39">
        <f>SQRT((G81-E81)^2+(H81-F81)^2)</f>
        <v/>
      </c>
      <c r="K81" s="40">
        <f>MOD(DEGREES(ATAN2(G81-E81,H81-F81)),360)</f>
        <v/>
      </c>
    </row>
    <row r="82" ht="15" customHeight="1" s="1">
      <c r="B82" s="37" t="inlineStr">
        <is>
          <t>BÈ 4</t>
        </is>
      </c>
      <c r="C82" s="37" t="inlineStr">
        <is>
          <t>N4-19</t>
        </is>
      </c>
      <c r="D82" s="37" t="inlineStr">
        <is>
          <t>NEO BỜ</t>
        </is>
      </c>
      <c r="E82" s="38" t="n">
        <v>51.95</v>
      </c>
      <c r="F82" s="38" t="n">
        <v>-221.7</v>
      </c>
      <c r="G82" s="38" t="n">
        <v>31.09</v>
      </c>
      <c r="H82" s="38" t="n">
        <v>-239.68</v>
      </c>
      <c r="I82" s="38" t="n">
        <v>384.5</v>
      </c>
      <c r="J82" s="39">
        <f>SQRT((G82-E82)^2+(H82-F82)^2)</f>
        <v/>
      </c>
      <c r="K82" s="40">
        <f>MOD(DEGREES(ATAN2(G82-E82,H82-F82)),360)</f>
        <v/>
      </c>
    </row>
    <row r="83" ht="15" customHeight="1" s="1">
      <c r="B83" s="37" t="inlineStr">
        <is>
          <t>BÈ 4</t>
        </is>
      </c>
      <c r="C83" s="37" t="inlineStr">
        <is>
          <t>N4-20</t>
        </is>
      </c>
      <c r="D83" s="37" t="inlineStr">
        <is>
          <t>NEO ĐÁY</t>
        </is>
      </c>
      <c r="E83" s="38" t="n">
        <v>51.9</v>
      </c>
      <c r="F83" s="38" t="n">
        <v>-207.34</v>
      </c>
      <c r="G83" s="38" t="n">
        <v>34.36</v>
      </c>
      <c r="H83" s="38" t="n">
        <v>-207.4</v>
      </c>
      <c r="I83" s="38" t="n">
        <v>376.8</v>
      </c>
      <c r="J83" s="39">
        <f>SQRT((G83-E83)^2+(H83-F83)^2)</f>
        <v/>
      </c>
      <c r="K83" s="40">
        <f>MOD(DEGREES(ATAN2(G83-E83,H83-F83)),360)</f>
        <v/>
      </c>
    </row>
    <row r="84" ht="15" customHeight="1" s="1">
      <c r="B84" s="37" t="inlineStr">
        <is>
          <t>BÈ 4</t>
        </is>
      </c>
      <c r="C84" s="37" t="inlineStr">
        <is>
          <t>N4-21</t>
        </is>
      </c>
      <c r="D84" s="37" t="inlineStr">
        <is>
          <t>NEO ĐÁY</t>
        </is>
      </c>
      <c r="E84" s="38" t="n">
        <v>51.85</v>
      </c>
      <c r="F84" s="38" t="n">
        <v>-192.98</v>
      </c>
      <c r="G84" s="38" t="n">
        <v>34.32</v>
      </c>
      <c r="H84" s="38" t="n">
        <v>-193.04</v>
      </c>
      <c r="I84" s="38" t="n">
        <v>376.8</v>
      </c>
      <c r="J84" s="39">
        <f>SQRT((G84-E84)^2+(H84-F84)^2)</f>
        <v/>
      </c>
      <c r="K84" s="40">
        <f>MOD(DEGREES(ATAN2(G84-E84,H84-F84)),360)</f>
        <v/>
      </c>
    </row>
    <row r="85" ht="15" customHeight="1" s="1">
      <c r="B85" s="37" t="inlineStr">
        <is>
          <t>BÈ 4</t>
        </is>
      </c>
      <c r="C85" s="37" t="inlineStr">
        <is>
          <t>N4-22</t>
        </is>
      </c>
      <c r="D85" s="37" t="inlineStr">
        <is>
          <t>NEO ĐÁY</t>
        </is>
      </c>
      <c r="E85" s="38" t="n">
        <v>39.69</v>
      </c>
      <c r="F85" s="38" t="n">
        <v>-190.76</v>
      </c>
      <c r="G85" s="38" t="n">
        <v>39.67</v>
      </c>
      <c r="H85" s="38" t="n">
        <v>-208.3</v>
      </c>
      <c r="I85" s="38" t="n">
        <v>376.8</v>
      </c>
      <c r="J85" s="39">
        <f>SQRT((G85-E85)^2+(H85-F85)^2)</f>
        <v/>
      </c>
      <c r="K85" s="40">
        <f>MOD(DEGREES(ATAN2(G85-E85,H85-F85)),360)</f>
        <v/>
      </c>
    </row>
    <row r="86" ht="15" customHeight="1" s="1">
      <c r="B86" s="37" t="inlineStr">
        <is>
          <t>BÈ 4</t>
        </is>
      </c>
      <c r="C86" s="37" t="inlineStr">
        <is>
          <t>N4-23</t>
        </is>
      </c>
      <c r="D86" s="37" t="inlineStr">
        <is>
          <t>NEO BỜ</t>
        </is>
      </c>
      <c r="E86" s="38" t="n">
        <v>25.34</v>
      </c>
      <c r="F86" s="38" t="n">
        <v>-190.74</v>
      </c>
      <c r="G86" s="38" t="n">
        <v>-1.29</v>
      </c>
      <c r="H86" s="38" t="n">
        <v>-216.94</v>
      </c>
      <c r="I86" s="38" t="n">
        <v>384.5</v>
      </c>
      <c r="J86" s="39">
        <f>SQRT((G86-E86)^2+(H86-F86)^2)</f>
        <v/>
      </c>
      <c r="K86" s="40">
        <f>MOD(DEGREES(ATAN2(G86-E86,H86-F86)),360)</f>
        <v/>
      </c>
    </row>
    <row r="87" ht="15" customHeight="1" s="1">
      <c r="B87" s="37" t="inlineStr">
        <is>
          <t>BÈ 5</t>
        </is>
      </c>
      <c r="C87" s="37" t="inlineStr">
        <is>
          <t>N5-01</t>
        </is>
      </c>
      <c r="D87" s="37" t="inlineStr">
        <is>
          <t>NEO ĐÁY</t>
        </is>
      </c>
      <c r="E87" s="38" t="n">
        <v>104.48</v>
      </c>
      <c r="F87" s="38" t="n">
        <v>-85.58</v>
      </c>
      <c r="G87" s="38" t="n">
        <v>104.48</v>
      </c>
      <c r="H87" s="38" t="n">
        <v>-68.04000000000001</v>
      </c>
      <c r="I87" s="38" t="n">
        <v>376.8</v>
      </c>
      <c r="J87" s="39">
        <f>SQRT((G87-E87)^2+(H87-F87)^2)</f>
        <v/>
      </c>
      <c r="K87" s="40">
        <f>MOD(DEGREES(ATAN2(G87-E87,H87-F87)),360)</f>
        <v/>
      </c>
    </row>
    <row r="88" ht="15" customHeight="1" s="1">
      <c r="B88" s="37" t="inlineStr">
        <is>
          <t>BÈ 5</t>
        </is>
      </c>
      <c r="C88" s="37" t="inlineStr">
        <is>
          <t>N5-02</t>
        </is>
      </c>
      <c r="D88" s="37" t="inlineStr">
        <is>
          <t>NEO ĐÁY</t>
        </is>
      </c>
      <c r="E88" s="38" t="n">
        <v>115.43</v>
      </c>
      <c r="F88" s="38" t="n">
        <v>-85.58</v>
      </c>
      <c r="G88" s="38" t="n">
        <v>115.43</v>
      </c>
      <c r="H88" s="38" t="n">
        <v>-68.04000000000001</v>
      </c>
      <c r="I88" s="38" t="n">
        <v>376.8</v>
      </c>
      <c r="J88" s="39">
        <f>SQRT((G88-E88)^2+(H88-F88)^2)</f>
        <v/>
      </c>
      <c r="K88" s="40">
        <f>MOD(DEGREES(ATAN2(G88-E88,H88-F88)),360)</f>
        <v/>
      </c>
    </row>
    <row r="89" ht="15" customHeight="1" s="1">
      <c r="B89" s="37" t="inlineStr">
        <is>
          <t>BÈ 5</t>
        </is>
      </c>
      <c r="C89" s="37" t="inlineStr">
        <is>
          <t>N5-03</t>
        </is>
      </c>
      <c r="D89" s="37" t="inlineStr">
        <is>
          <t>NEO ĐÁY</t>
        </is>
      </c>
      <c r="E89" s="38" t="n">
        <v>126.38</v>
      </c>
      <c r="F89" s="38" t="n">
        <v>-85.58</v>
      </c>
      <c r="G89" s="38" t="n">
        <v>126.38</v>
      </c>
      <c r="H89" s="38" t="n">
        <v>-68.04000000000001</v>
      </c>
      <c r="I89" s="38" t="n">
        <v>376.8</v>
      </c>
      <c r="J89" s="39">
        <f>SQRT((G89-E89)^2+(H89-F89)^2)</f>
        <v/>
      </c>
      <c r="K89" s="40">
        <f>MOD(DEGREES(ATAN2(G89-E89,H89-F89)),360)</f>
        <v/>
      </c>
    </row>
    <row r="90" ht="15" customHeight="1" s="1">
      <c r="B90" s="37" t="inlineStr">
        <is>
          <t>BÈ 5</t>
        </is>
      </c>
      <c r="C90" s="37" t="inlineStr">
        <is>
          <t>N5-04</t>
        </is>
      </c>
      <c r="D90" s="37" t="inlineStr">
        <is>
          <t>NEO ĐÁY</t>
        </is>
      </c>
      <c r="E90" s="38" t="n">
        <v>137.33</v>
      </c>
      <c r="F90" s="38" t="n">
        <v>-85.58</v>
      </c>
      <c r="G90" s="38" t="n">
        <v>137.33</v>
      </c>
      <c r="H90" s="38" t="n">
        <v>-68.04000000000001</v>
      </c>
      <c r="I90" s="38" t="n">
        <v>376.8</v>
      </c>
      <c r="J90" s="39">
        <f>SQRT((G90-E90)^2+(H90-F90)^2)</f>
        <v/>
      </c>
      <c r="K90" s="40">
        <f>MOD(DEGREES(ATAN2(G90-E90,H90-F90)),360)</f>
        <v/>
      </c>
    </row>
    <row r="91" ht="15" customHeight="1" s="1">
      <c r="B91" s="37" t="inlineStr">
        <is>
          <t>BÈ 5</t>
        </is>
      </c>
      <c r="C91" s="37" t="inlineStr">
        <is>
          <t>N5-05</t>
        </is>
      </c>
      <c r="D91" s="37" t="inlineStr">
        <is>
          <t>NEO ĐÁY</t>
        </is>
      </c>
      <c r="E91" s="38" t="n">
        <v>148.29</v>
      </c>
      <c r="F91" s="38" t="n">
        <v>-85.58</v>
      </c>
      <c r="G91" s="38" t="n">
        <v>148.29</v>
      </c>
      <c r="H91" s="38" t="n">
        <v>-68.04000000000001</v>
      </c>
      <c r="I91" s="38" t="n">
        <v>376.8</v>
      </c>
      <c r="J91" s="39">
        <f>SQRT((G91-E91)^2+(H91-F91)^2)</f>
        <v/>
      </c>
      <c r="K91" s="40">
        <f>MOD(DEGREES(ATAN2(G91-E91,H91-F91)),360)</f>
        <v/>
      </c>
    </row>
    <row r="92" ht="15" customHeight="1" s="1">
      <c r="B92" s="37" t="inlineStr">
        <is>
          <t>BÈ 5</t>
        </is>
      </c>
      <c r="C92" s="37" t="inlineStr">
        <is>
          <t>N5-06</t>
        </is>
      </c>
      <c r="D92" s="37" t="inlineStr">
        <is>
          <t>NEO ĐÁY</t>
        </is>
      </c>
      <c r="E92" s="38" t="n">
        <v>159.24</v>
      </c>
      <c r="F92" s="38" t="n">
        <v>-85.58</v>
      </c>
      <c r="G92" s="38" t="n">
        <v>159.24</v>
      </c>
      <c r="H92" s="38" t="n">
        <v>-68.04000000000001</v>
      </c>
      <c r="I92" s="38" t="n">
        <v>376.8</v>
      </c>
      <c r="J92" s="39">
        <f>SQRT((G92-E92)^2+(H92-F92)^2)</f>
        <v/>
      </c>
      <c r="K92" s="40">
        <f>MOD(DEGREES(ATAN2(G92-E92,H92-F92)),360)</f>
        <v/>
      </c>
    </row>
    <row r="93" ht="15" customHeight="1" s="1">
      <c r="B93" s="37" t="inlineStr">
        <is>
          <t>BÈ 5</t>
        </is>
      </c>
      <c r="C93" s="37" t="inlineStr">
        <is>
          <t>N5-07</t>
        </is>
      </c>
      <c r="D93" s="37" t="inlineStr">
        <is>
          <t>NEO ĐÁY</t>
        </is>
      </c>
      <c r="E93" s="38" t="n">
        <v>170.19</v>
      </c>
      <c r="F93" s="38" t="n">
        <v>-85.58</v>
      </c>
      <c r="G93" s="38" t="n">
        <v>170.19</v>
      </c>
      <c r="H93" s="38" t="n">
        <v>-68.04000000000001</v>
      </c>
      <c r="I93" s="38" t="n">
        <v>376.8</v>
      </c>
      <c r="J93" s="39">
        <f>SQRT((G93-E93)^2+(H93-F93)^2)</f>
        <v/>
      </c>
      <c r="K93" s="40">
        <f>MOD(DEGREES(ATAN2(G93-E93,H93-F93)),360)</f>
        <v/>
      </c>
    </row>
    <row r="94" ht="15" customHeight="1" s="1">
      <c r="B94" s="37" t="inlineStr">
        <is>
          <t>BÈ 5</t>
        </is>
      </c>
      <c r="C94" s="37" t="inlineStr">
        <is>
          <t>N5-08</t>
        </is>
      </c>
      <c r="D94" s="37" t="inlineStr">
        <is>
          <t>NEO ĐÁY</t>
        </is>
      </c>
      <c r="E94" s="38" t="n">
        <v>181.14</v>
      </c>
      <c r="F94" s="38" t="n">
        <v>-85.56999999999999</v>
      </c>
      <c r="G94" s="38" t="n">
        <v>181.14</v>
      </c>
      <c r="H94" s="38" t="n">
        <v>-68.04000000000001</v>
      </c>
      <c r="I94" s="38" t="n">
        <v>376.8</v>
      </c>
      <c r="J94" s="39">
        <f>SQRT((G94-E94)^2+(H94-F94)^2)</f>
        <v/>
      </c>
      <c r="K94" s="40">
        <f>MOD(DEGREES(ATAN2(G94-E94,H94-F94)),360)</f>
        <v/>
      </c>
    </row>
    <row r="95" ht="15" customHeight="1" s="1">
      <c r="B95" s="37" t="inlineStr">
        <is>
          <t>BÈ 5</t>
        </is>
      </c>
      <c r="C95" s="37" t="inlineStr">
        <is>
          <t>N5-09</t>
        </is>
      </c>
      <c r="D95" s="37" t="inlineStr">
        <is>
          <t>NEO ĐÁY</t>
        </is>
      </c>
      <c r="E95" s="38" t="n">
        <v>192.1</v>
      </c>
      <c r="F95" s="38" t="n">
        <v>-85.56999999999999</v>
      </c>
      <c r="G95" s="38" t="n">
        <v>192.09</v>
      </c>
      <c r="H95" s="38" t="n">
        <v>-68.04000000000001</v>
      </c>
      <c r="I95" s="38" t="n">
        <v>376.8</v>
      </c>
      <c r="J95" s="39">
        <f>SQRT((G95-E95)^2+(H95-F95)^2)</f>
        <v/>
      </c>
      <c r="K95" s="40">
        <f>MOD(DEGREES(ATAN2(G95-E95,H95-F95)),360)</f>
        <v/>
      </c>
    </row>
    <row r="96" ht="15" customHeight="1" s="1">
      <c r="B96" s="37" t="inlineStr">
        <is>
          <t>BÈ 5</t>
        </is>
      </c>
      <c r="C96" s="37" t="inlineStr">
        <is>
          <t>N5-10</t>
        </is>
      </c>
      <c r="D96" s="37" t="inlineStr">
        <is>
          <t>NEO ĐÁY</t>
        </is>
      </c>
      <c r="E96" s="38" t="n">
        <v>203.05</v>
      </c>
      <c r="F96" s="38" t="n">
        <v>-85.56999999999999</v>
      </c>
      <c r="G96" s="38" t="n">
        <v>203.05</v>
      </c>
      <c r="H96" s="38" t="n">
        <v>-68.04000000000001</v>
      </c>
      <c r="I96" s="38" t="n">
        <v>376.8</v>
      </c>
      <c r="J96" s="39">
        <f>SQRT((G96-E96)^2+(H96-F96)^2)</f>
        <v/>
      </c>
      <c r="K96" s="40">
        <f>MOD(DEGREES(ATAN2(G96-E96,H96-F96)),360)</f>
        <v/>
      </c>
    </row>
    <row r="97" ht="15" customHeight="1" s="1">
      <c r="B97" s="37" t="inlineStr">
        <is>
          <t>BÈ 5</t>
        </is>
      </c>
      <c r="C97" s="37" t="inlineStr">
        <is>
          <t>N5-11</t>
        </is>
      </c>
      <c r="D97" s="37" t="inlineStr">
        <is>
          <t>NEO ĐÁY</t>
        </is>
      </c>
      <c r="E97" s="38" t="n">
        <v>214</v>
      </c>
      <c r="F97" s="38" t="n">
        <v>-85.56999999999999</v>
      </c>
      <c r="G97" s="38" t="n">
        <v>214</v>
      </c>
      <c r="H97" s="38" t="n">
        <v>-68.04000000000001</v>
      </c>
      <c r="I97" s="38" t="n">
        <v>376.8</v>
      </c>
      <c r="J97" s="39">
        <f>SQRT((G97-E97)^2+(H97-F97)^2)</f>
        <v/>
      </c>
      <c r="K97" s="40">
        <f>MOD(DEGREES(ATAN2(G97-E97,H97-F97)),360)</f>
        <v/>
      </c>
    </row>
    <row r="98" ht="15" customHeight="1" s="1">
      <c r="B98" s="37" t="inlineStr">
        <is>
          <t>BÈ 5</t>
        </is>
      </c>
      <c r="C98" s="37" t="inlineStr">
        <is>
          <t>N5-12</t>
        </is>
      </c>
      <c r="D98" s="37" t="inlineStr">
        <is>
          <t>NEO ĐÁY</t>
        </is>
      </c>
      <c r="E98" s="38" t="n">
        <v>220.32</v>
      </c>
      <c r="F98" s="38" t="n">
        <v>-90.2</v>
      </c>
      <c r="G98" s="38" t="n">
        <v>237.86</v>
      </c>
      <c r="H98" s="38" t="n">
        <v>-90.2</v>
      </c>
      <c r="I98" s="38" t="n">
        <v>376.8</v>
      </c>
      <c r="J98" s="39">
        <f>SQRT((G98-E98)^2+(H98-F98)^2)</f>
        <v/>
      </c>
      <c r="K98" s="40">
        <f>MOD(DEGREES(ATAN2(G98-E98,H98-F98)),360)</f>
        <v/>
      </c>
    </row>
    <row r="99" ht="15" customHeight="1" s="1">
      <c r="B99" s="37" t="inlineStr">
        <is>
          <t>BÈ 5</t>
        </is>
      </c>
      <c r="C99" s="37" t="inlineStr">
        <is>
          <t>N5-13</t>
        </is>
      </c>
      <c r="D99" s="37" t="inlineStr">
        <is>
          <t>NEO ĐÁY</t>
        </is>
      </c>
      <c r="E99" s="38" t="n">
        <v>220.32</v>
      </c>
      <c r="F99" s="38" t="n">
        <v>-101.16</v>
      </c>
      <c r="G99" s="38" t="n">
        <v>237.86</v>
      </c>
      <c r="H99" s="38" t="n">
        <v>-101.16</v>
      </c>
      <c r="I99" s="38" t="n">
        <v>376.8</v>
      </c>
      <c r="J99" s="39">
        <f>SQRT((G99-E99)^2+(H99-F99)^2)</f>
        <v/>
      </c>
      <c r="K99" s="40">
        <f>MOD(DEGREES(ATAN2(G99-E99,H99-F99)),360)</f>
        <v/>
      </c>
    </row>
    <row r="100" ht="15" customHeight="1" s="1">
      <c r="B100" s="37" t="inlineStr">
        <is>
          <t>BÈ 5</t>
        </is>
      </c>
      <c r="C100" s="37" t="inlineStr">
        <is>
          <t>N5-14</t>
        </is>
      </c>
      <c r="D100" s="37" t="inlineStr">
        <is>
          <t>NEO ĐÁY</t>
        </is>
      </c>
      <c r="E100" s="38" t="n">
        <v>220.32</v>
      </c>
      <c r="F100" s="38" t="n">
        <v>-112.11</v>
      </c>
      <c r="G100" s="38" t="n">
        <v>237.86</v>
      </c>
      <c r="H100" s="38" t="n">
        <v>-112.11</v>
      </c>
      <c r="I100" s="38" t="n">
        <v>376.8</v>
      </c>
      <c r="J100" s="39">
        <f>SQRT((G100-E100)^2+(H100-F100)^2)</f>
        <v/>
      </c>
      <c r="K100" s="40">
        <f>MOD(DEGREES(ATAN2(G100-E100,H100-F100)),360)</f>
        <v/>
      </c>
    </row>
    <row r="101" ht="15" customHeight="1" s="1">
      <c r="B101" s="37" t="inlineStr">
        <is>
          <t>BÈ 5</t>
        </is>
      </c>
      <c r="C101" s="37" t="inlineStr">
        <is>
          <t>N5-15</t>
        </is>
      </c>
      <c r="D101" s="37" t="inlineStr">
        <is>
          <t>NEO ĐÁY</t>
        </is>
      </c>
      <c r="E101" s="38" t="n">
        <v>220.32</v>
      </c>
      <c r="F101" s="38" t="n">
        <v>-123.06</v>
      </c>
      <c r="G101" s="38" t="n">
        <v>237.86</v>
      </c>
      <c r="H101" s="38" t="n">
        <v>-123.06</v>
      </c>
      <c r="I101" s="38" t="n">
        <v>376.8</v>
      </c>
      <c r="J101" s="39">
        <f>SQRT((G101-E101)^2+(H101-F101)^2)</f>
        <v/>
      </c>
      <c r="K101" s="40">
        <f>MOD(DEGREES(ATAN2(G101-E101,H101-F101)),360)</f>
        <v/>
      </c>
    </row>
    <row r="102" ht="15" customHeight="1" s="1">
      <c r="B102" s="37" t="inlineStr">
        <is>
          <t>BÈ 5</t>
        </is>
      </c>
      <c r="C102" s="37" t="inlineStr">
        <is>
          <t>N5-16</t>
        </is>
      </c>
      <c r="D102" s="37" t="inlineStr">
        <is>
          <t>NEO ĐÁY</t>
        </is>
      </c>
      <c r="E102" s="38" t="n">
        <v>220.32</v>
      </c>
      <c r="F102" s="38" t="n">
        <v>-134.01</v>
      </c>
      <c r="G102" s="38" t="n">
        <v>237.86</v>
      </c>
      <c r="H102" s="38" t="n">
        <v>-134.01</v>
      </c>
      <c r="I102" s="38" t="n">
        <v>376.8</v>
      </c>
      <c r="J102" s="39">
        <f>SQRT((G102-E102)^2+(H102-F102)^2)</f>
        <v/>
      </c>
      <c r="K102" s="40">
        <f>MOD(DEGREES(ATAN2(G102-E102,H102-F102)),360)</f>
        <v/>
      </c>
    </row>
    <row r="103" ht="15" customHeight="1" s="1">
      <c r="B103" s="37" t="inlineStr">
        <is>
          <t>BÈ 5</t>
        </is>
      </c>
      <c r="C103" s="37" t="inlineStr">
        <is>
          <t>N5-17</t>
        </is>
      </c>
      <c r="D103" s="37" t="inlineStr">
        <is>
          <t>NEO ĐÁY</t>
        </is>
      </c>
      <c r="E103" s="38" t="n">
        <v>220.32</v>
      </c>
      <c r="F103" s="38" t="n">
        <v>-144.97</v>
      </c>
      <c r="G103" s="38" t="n">
        <v>237.86</v>
      </c>
      <c r="H103" s="38" t="n">
        <v>-144.97</v>
      </c>
      <c r="I103" s="38" t="n">
        <v>376.8</v>
      </c>
      <c r="J103" s="39">
        <f>SQRT((G103-E103)^2+(H103-F103)^2)</f>
        <v/>
      </c>
      <c r="K103" s="40">
        <f>MOD(DEGREES(ATAN2(G103-E103,H103-F103)),360)</f>
        <v/>
      </c>
    </row>
    <row r="104" ht="15" customHeight="1" s="1">
      <c r="B104" s="37" t="inlineStr">
        <is>
          <t>BÈ 5</t>
        </is>
      </c>
      <c r="C104" s="37" t="inlineStr">
        <is>
          <t>N5-18</t>
        </is>
      </c>
      <c r="D104" s="37" t="inlineStr">
        <is>
          <t>NEO ĐÁY</t>
        </is>
      </c>
      <c r="E104" s="38" t="n">
        <v>220.32</v>
      </c>
      <c r="F104" s="38" t="n">
        <v>-155.92</v>
      </c>
      <c r="G104" s="38" t="n">
        <v>237.86</v>
      </c>
      <c r="H104" s="38" t="n">
        <v>-155.92</v>
      </c>
      <c r="I104" s="38" t="n">
        <v>376.8</v>
      </c>
      <c r="J104" s="39">
        <f>SQRT((G104-E104)^2+(H104-F104)^2)</f>
        <v/>
      </c>
      <c r="K104" s="40">
        <f>MOD(DEGREES(ATAN2(G104-E104,H104-F104)),360)</f>
        <v/>
      </c>
    </row>
    <row r="105" ht="15" customHeight="1" s="1">
      <c r="B105" s="37" t="inlineStr">
        <is>
          <t>BÈ 5</t>
        </is>
      </c>
      <c r="C105" s="37" t="inlineStr">
        <is>
          <t>N5-19</t>
        </is>
      </c>
      <c r="D105" s="37" t="inlineStr">
        <is>
          <t>NEO ĐÁY</t>
        </is>
      </c>
      <c r="E105" s="38" t="n">
        <v>220.32</v>
      </c>
      <c r="F105" s="38" t="n">
        <v>-166.87</v>
      </c>
      <c r="G105" s="38" t="n">
        <v>237.86</v>
      </c>
      <c r="H105" s="38" t="n">
        <v>-166.87</v>
      </c>
      <c r="I105" s="38" t="n">
        <v>376.8</v>
      </c>
      <c r="J105" s="39">
        <f>SQRT((G105-E105)^2+(H105-F105)^2)</f>
        <v/>
      </c>
      <c r="K105" s="40">
        <f>MOD(DEGREES(ATAN2(G105-E105,H105-F105)),360)</f>
        <v/>
      </c>
    </row>
    <row r="106" ht="15" customHeight="1" s="1">
      <c r="B106" s="37" t="inlineStr">
        <is>
          <t>BÈ 5</t>
        </is>
      </c>
      <c r="C106" s="37" t="inlineStr">
        <is>
          <t>N5-20</t>
        </is>
      </c>
      <c r="D106" s="37" t="inlineStr">
        <is>
          <t>NEO ĐÁY</t>
        </is>
      </c>
      <c r="E106" s="38" t="n">
        <v>220.32</v>
      </c>
      <c r="F106" s="38" t="n">
        <v>-177.82</v>
      </c>
      <c r="G106" s="38" t="n">
        <v>237.86</v>
      </c>
      <c r="H106" s="38" t="n">
        <v>-177.82</v>
      </c>
      <c r="I106" s="38" t="n">
        <v>376.8</v>
      </c>
      <c r="J106" s="39">
        <f>SQRT((G106-E106)^2+(H106-F106)^2)</f>
        <v/>
      </c>
      <c r="K106" s="40">
        <f>MOD(DEGREES(ATAN2(G106-E106,H106-F106)),360)</f>
        <v/>
      </c>
    </row>
    <row r="107" ht="15" customHeight="1" s="1">
      <c r="B107" s="37" t="inlineStr">
        <is>
          <t>BÈ 5</t>
        </is>
      </c>
      <c r="C107" s="37" t="inlineStr">
        <is>
          <t>N5-21</t>
        </is>
      </c>
      <c r="D107" s="37" t="inlineStr">
        <is>
          <t>NEO ĐÁY</t>
        </is>
      </c>
      <c r="E107" s="38" t="n">
        <v>220.32</v>
      </c>
      <c r="F107" s="38" t="n">
        <v>-188.77</v>
      </c>
      <c r="G107" s="38" t="n">
        <v>237.86</v>
      </c>
      <c r="H107" s="38" t="n">
        <v>-188.77</v>
      </c>
      <c r="I107" s="38" t="n">
        <v>376.8</v>
      </c>
      <c r="J107" s="39">
        <f>SQRT((G107-E107)^2+(H107-F107)^2)</f>
        <v/>
      </c>
      <c r="K107" s="40">
        <f>MOD(DEGREES(ATAN2(G107-E107,H107-F107)),360)</f>
        <v/>
      </c>
    </row>
    <row r="108" ht="15" customHeight="1" s="1">
      <c r="B108" s="37" t="inlineStr">
        <is>
          <t>BÈ 5</t>
        </is>
      </c>
      <c r="C108" s="37" t="inlineStr">
        <is>
          <t>N5-22</t>
        </is>
      </c>
      <c r="D108" s="37" t="inlineStr">
        <is>
          <t>NEO ĐÁY</t>
        </is>
      </c>
      <c r="E108" s="38" t="n">
        <v>221.48</v>
      </c>
      <c r="F108" s="38" t="n">
        <v>-198.84</v>
      </c>
      <c r="G108" s="38" t="n">
        <v>239.01</v>
      </c>
      <c r="H108" s="38" t="n">
        <v>-198.84</v>
      </c>
      <c r="I108" s="38" t="n">
        <v>376.8</v>
      </c>
      <c r="J108" s="39">
        <f>SQRT((G108-E108)^2+(H108-F108)^2)</f>
        <v/>
      </c>
      <c r="K108" s="40">
        <f>MOD(DEGREES(ATAN2(G108-E108,H108-F108)),360)</f>
        <v/>
      </c>
    </row>
    <row r="109" ht="15" customHeight="1" s="1">
      <c r="B109" s="37" t="inlineStr">
        <is>
          <t>BÈ 5</t>
        </is>
      </c>
      <c r="C109" s="37" t="inlineStr">
        <is>
          <t>N5-23</t>
        </is>
      </c>
      <c r="D109" s="37" t="inlineStr">
        <is>
          <t>NEO ĐÁY</t>
        </is>
      </c>
      <c r="E109" s="38" t="n">
        <v>221.48</v>
      </c>
      <c r="F109" s="38" t="n">
        <v>-209.79</v>
      </c>
      <c r="G109" s="38" t="n">
        <v>239.01</v>
      </c>
      <c r="H109" s="38" t="n">
        <v>-209.79</v>
      </c>
      <c r="I109" s="38" t="n">
        <v>376.8</v>
      </c>
      <c r="J109" s="39">
        <f>SQRT((G109-E109)^2+(H109-F109)^2)</f>
        <v/>
      </c>
      <c r="K109" s="40">
        <f>MOD(DEGREES(ATAN2(G109-E109,H109-F109)),360)</f>
        <v/>
      </c>
    </row>
    <row r="110" ht="15" customHeight="1" s="1">
      <c r="B110" s="37" t="inlineStr">
        <is>
          <t>BÈ 5</t>
        </is>
      </c>
      <c r="C110" s="37" t="inlineStr">
        <is>
          <t>N5-24</t>
        </is>
      </c>
      <c r="D110" s="37" t="inlineStr">
        <is>
          <t>NEO ĐÁY</t>
        </is>
      </c>
      <c r="E110" s="38" t="n">
        <v>221.48</v>
      </c>
      <c r="F110" s="38" t="n">
        <v>-220.74</v>
      </c>
      <c r="G110" s="38" t="n">
        <v>239.01</v>
      </c>
      <c r="H110" s="38" t="n">
        <v>-220.74</v>
      </c>
      <c r="I110" s="38" t="n">
        <v>376.8</v>
      </c>
      <c r="J110" s="39">
        <f>SQRT((G110-E110)^2+(H110-F110)^2)</f>
        <v/>
      </c>
      <c r="K110" s="40">
        <f>MOD(DEGREES(ATAN2(G110-E110,H110-F110)),360)</f>
        <v/>
      </c>
    </row>
    <row r="111" ht="15" customHeight="1" s="1">
      <c r="B111" s="37" t="inlineStr">
        <is>
          <t>BÈ 5</t>
        </is>
      </c>
      <c r="C111" s="37" t="inlineStr">
        <is>
          <t>N5-25</t>
        </is>
      </c>
      <c r="D111" s="37" t="inlineStr">
        <is>
          <t>NEO ĐÁY</t>
        </is>
      </c>
      <c r="E111" s="38" t="n">
        <v>221.48</v>
      </c>
      <c r="F111" s="38" t="n">
        <v>-231.69</v>
      </c>
      <c r="G111" s="38" t="n">
        <v>239.01</v>
      </c>
      <c r="H111" s="38" t="n">
        <v>-231.69</v>
      </c>
      <c r="I111" s="38" t="n">
        <v>376.8</v>
      </c>
      <c r="J111" s="39">
        <f>SQRT((G111-E111)^2+(H111-F111)^2)</f>
        <v/>
      </c>
      <c r="K111" s="40">
        <f>MOD(DEGREES(ATAN2(G111-E111,H111-F111)),360)</f>
        <v/>
      </c>
    </row>
    <row r="112" ht="15" customHeight="1" s="1">
      <c r="B112" s="37" t="inlineStr">
        <is>
          <t>BÈ 5</t>
        </is>
      </c>
      <c r="C112" s="37" t="inlineStr">
        <is>
          <t>N5-26</t>
        </is>
      </c>
      <c r="D112" s="37" t="inlineStr">
        <is>
          <t>NEO BỜ</t>
        </is>
      </c>
      <c r="E112" s="38" t="n">
        <v>221.35</v>
      </c>
      <c r="F112" s="38" t="n">
        <v>-242.52</v>
      </c>
      <c r="G112" s="38" t="n">
        <v>219.74</v>
      </c>
      <c r="H112" s="38" t="n">
        <v>-292.14</v>
      </c>
      <c r="I112" s="38" t="n">
        <v>384.5</v>
      </c>
      <c r="J112" s="39">
        <f>SQRT((G112-E112)^2+(H112-F112)^2)</f>
        <v/>
      </c>
      <c r="K112" s="40">
        <f>MOD(DEGREES(ATAN2(G112-E112,H112-F112)),360)</f>
        <v/>
      </c>
    </row>
    <row r="113" ht="15" customHeight="1" s="1">
      <c r="B113" s="37" t="inlineStr">
        <is>
          <t>BÈ 5</t>
        </is>
      </c>
      <c r="C113" s="37" t="inlineStr">
        <is>
          <t>N5-27</t>
        </is>
      </c>
      <c r="D113" s="37" t="inlineStr">
        <is>
          <t>NEO ĐÁY</t>
        </is>
      </c>
      <c r="E113" s="38" t="n">
        <v>210.4</v>
      </c>
      <c r="F113" s="38" t="n">
        <v>-242.52</v>
      </c>
      <c r="G113" s="38" t="n">
        <v>210.4</v>
      </c>
      <c r="H113" s="38" t="n">
        <v>-260.05</v>
      </c>
      <c r="I113" s="38" t="n">
        <v>376.8</v>
      </c>
      <c r="J113" s="39">
        <f>SQRT((G113-E113)^2+(H113-F113)^2)</f>
        <v/>
      </c>
      <c r="K113" s="40">
        <f>MOD(DEGREES(ATAN2(G113-E113,H113-F113)),360)</f>
        <v/>
      </c>
    </row>
    <row r="114" ht="15" customHeight="1" s="1">
      <c r="B114" s="37" t="inlineStr">
        <is>
          <t>BÈ 5</t>
        </is>
      </c>
      <c r="C114" s="37" t="inlineStr">
        <is>
          <t>N5-28</t>
        </is>
      </c>
      <c r="D114" s="37" t="inlineStr">
        <is>
          <t>NEO BỜ</t>
        </is>
      </c>
      <c r="E114" s="38" t="n">
        <v>199.44</v>
      </c>
      <c r="F114" s="38" t="n">
        <v>-242.52</v>
      </c>
      <c r="G114" s="38" t="n">
        <v>197.5</v>
      </c>
      <c r="H114" s="38" t="n">
        <v>-291.25</v>
      </c>
      <c r="I114" s="38" t="n">
        <v>384.5</v>
      </c>
      <c r="J114" s="39">
        <f>SQRT((G114-E114)^2+(H114-F114)^2)</f>
        <v/>
      </c>
      <c r="K114" s="40">
        <f>MOD(DEGREES(ATAN2(G114-E114,H114-F114)),360)</f>
        <v/>
      </c>
    </row>
    <row r="115" ht="15" customHeight="1" s="1">
      <c r="B115" s="37" t="inlineStr">
        <is>
          <t>BÈ 5</t>
        </is>
      </c>
      <c r="C115" s="37" t="inlineStr">
        <is>
          <t>N5-29</t>
        </is>
      </c>
      <c r="D115" s="37" t="inlineStr">
        <is>
          <t>NEO BỜ</t>
        </is>
      </c>
      <c r="E115" s="38" t="n">
        <v>188.49</v>
      </c>
      <c r="F115" s="38" t="n">
        <v>-242.52</v>
      </c>
      <c r="G115" s="38" t="n">
        <v>186.56</v>
      </c>
      <c r="H115" s="38" t="n">
        <v>-290.82</v>
      </c>
      <c r="I115" s="38" t="n">
        <v>384.5</v>
      </c>
      <c r="J115" s="39">
        <f>SQRT((G115-E115)^2+(H115-F115)^2)</f>
        <v/>
      </c>
      <c r="K115" s="40">
        <f>MOD(DEGREES(ATAN2(G115-E115,H115-F115)),360)</f>
        <v/>
      </c>
    </row>
    <row r="116" ht="15" customHeight="1" s="1">
      <c r="B116" s="37" t="inlineStr">
        <is>
          <t>BÈ 5</t>
        </is>
      </c>
      <c r="C116" s="37" t="inlineStr">
        <is>
          <t>N5-30</t>
        </is>
      </c>
      <c r="D116" s="37" t="inlineStr">
        <is>
          <t>NEO BỜ</t>
        </is>
      </c>
      <c r="E116" s="38" t="n">
        <v>177.54</v>
      </c>
      <c r="F116" s="38" t="n">
        <v>-242.52</v>
      </c>
      <c r="G116" s="38" t="n">
        <v>177.85</v>
      </c>
      <c r="H116" s="38" t="n">
        <v>-290.39</v>
      </c>
      <c r="I116" s="38" t="n">
        <v>384.5</v>
      </c>
      <c r="J116" s="39">
        <f>SQRT((G116-E116)^2+(H116-F116)^2)</f>
        <v/>
      </c>
      <c r="K116" s="40">
        <f>MOD(DEGREES(ATAN2(G116-E116,H116-F116)),360)</f>
        <v/>
      </c>
    </row>
    <row r="117" ht="15" customHeight="1" s="1">
      <c r="B117" s="37" t="inlineStr">
        <is>
          <t>BÈ 5</t>
        </is>
      </c>
      <c r="C117" s="37" t="inlineStr">
        <is>
          <t>N5-31</t>
        </is>
      </c>
      <c r="D117" s="37" t="inlineStr">
        <is>
          <t>NEO BỜ</t>
        </is>
      </c>
      <c r="E117" s="38" t="n">
        <v>166.59</v>
      </c>
      <c r="F117" s="38" t="n">
        <v>-242.52</v>
      </c>
      <c r="G117" s="38" t="n">
        <v>164.26</v>
      </c>
      <c r="H117" s="38" t="n">
        <v>-289.8</v>
      </c>
      <c r="I117" s="38" t="n">
        <v>384.5</v>
      </c>
      <c r="J117" s="39">
        <f>SQRT((G117-E117)^2+(H117-F117)^2)</f>
        <v/>
      </c>
      <c r="K117" s="40">
        <f>MOD(DEGREES(ATAN2(G117-E117,H117-F117)),360)</f>
        <v/>
      </c>
    </row>
    <row r="118" ht="15" customHeight="1" s="1">
      <c r="B118" s="37" t="inlineStr">
        <is>
          <t>BÈ 5</t>
        </is>
      </c>
      <c r="C118" s="37" t="inlineStr">
        <is>
          <t>N5-32</t>
        </is>
      </c>
      <c r="D118" s="37" t="inlineStr">
        <is>
          <t>NEO BỜ</t>
        </is>
      </c>
      <c r="E118" s="38" t="n">
        <v>155.63</v>
      </c>
      <c r="F118" s="38" t="n">
        <v>-242.52</v>
      </c>
      <c r="G118" s="38" t="n">
        <v>152.41</v>
      </c>
      <c r="H118" s="38" t="n">
        <v>-289.34</v>
      </c>
      <c r="I118" s="38" t="n">
        <v>384.5</v>
      </c>
      <c r="J118" s="39">
        <f>SQRT((G118-E118)^2+(H118-F118)^2)</f>
        <v/>
      </c>
      <c r="K118" s="40">
        <f>MOD(DEGREES(ATAN2(G118-E118,H118-F118)),360)</f>
        <v/>
      </c>
    </row>
    <row r="119" ht="15" customHeight="1" s="1">
      <c r="B119" s="37" t="inlineStr">
        <is>
          <t>BÈ 5</t>
        </is>
      </c>
      <c r="C119" s="37" t="inlineStr">
        <is>
          <t>N5-33</t>
        </is>
      </c>
      <c r="D119" s="37" t="inlineStr">
        <is>
          <t>NEO BỜ</t>
        </is>
      </c>
      <c r="E119" s="38" t="n">
        <v>144.68</v>
      </c>
      <c r="F119" s="38" t="n">
        <v>-242.52</v>
      </c>
      <c r="G119" s="38" t="n">
        <v>142.42</v>
      </c>
      <c r="H119" s="38" t="n">
        <v>-288.94</v>
      </c>
      <c r="I119" s="38" t="n">
        <v>384.5</v>
      </c>
      <c r="J119" s="39">
        <f>SQRT((G119-E119)^2+(H119-F119)^2)</f>
        <v/>
      </c>
      <c r="K119" s="40">
        <f>MOD(DEGREES(ATAN2(G119-E119,H119-F119)),360)</f>
        <v/>
      </c>
    </row>
    <row r="120" ht="15" customHeight="1" s="1">
      <c r="B120" s="37" t="inlineStr">
        <is>
          <t>BÈ 5</t>
        </is>
      </c>
      <c r="C120" s="37" t="inlineStr">
        <is>
          <t>N5-34</t>
        </is>
      </c>
      <c r="D120" s="37" t="inlineStr">
        <is>
          <t>NEO BỜ</t>
        </is>
      </c>
      <c r="E120" s="38" t="n">
        <v>133.73</v>
      </c>
      <c r="F120" s="38" t="n">
        <v>-242.52</v>
      </c>
      <c r="G120" s="38" t="n">
        <v>132.99</v>
      </c>
      <c r="H120" s="38" t="n">
        <v>-288.76</v>
      </c>
      <c r="I120" s="38" t="n">
        <v>384.5</v>
      </c>
      <c r="J120" s="39">
        <f>SQRT((G120-E120)^2+(H120-F120)^2)</f>
        <v/>
      </c>
      <c r="K120" s="40">
        <f>MOD(DEGREES(ATAN2(G120-E120,H120-F120)),360)</f>
        <v/>
      </c>
    </row>
    <row r="121" ht="15" customHeight="1" s="1">
      <c r="B121" s="37" t="inlineStr">
        <is>
          <t>BÈ 5</t>
        </is>
      </c>
      <c r="C121" s="37" t="inlineStr">
        <is>
          <t>N5-35</t>
        </is>
      </c>
      <c r="D121" s="37" t="inlineStr">
        <is>
          <t>NEO BỜ</t>
        </is>
      </c>
      <c r="E121" s="38" t="n">
        <v>122.78</v>
      </c>
      <c r="F121" s="38" t="n">
        <v>-242.52</v>
      </c>
      <c r="G121" s="38" t="n">
        <v>120.26</v>
      </c>
      <c r="H121" s="38" t="n">
        <v>-287.94</v>
      </c>
      <c r="I121" s="38" t="n">
        <v>384.5</v>
      </c>
      <c r="J121" s="39">
        <f>SQRT((G121-E121)^2+(H121-F121)^2)</f>
        <v/>
      </c>
      <c r="K121" s="40">
        <f>MOD(DEGREES(ATAN2(G121-E121,H121-F121)),360)</f>
        <v/>
      </c>
    </row>
    <row r="122" ht="15" customHeight="1" s="1">
      <c r="B122" s="37" t="inlineStr">
        <is>
          <t>BÈ 5</t>
        </is>
      </c>
      <c r="C122" s="37" t="inlineStr">
        <is>
          <t>N5-36</t>
        </is>
      </c>
      <c r="D122" s="37" t="inlineStr">
        <is>
          <t>NEO BỜ</t>
        </is>
      </c>
      <c r="E122" s="38" t="n">
        <v>111.83</v>
      </c>
      <c r="F122" s="38" t="n">
        <v>-242.52</v>
      </c>
      <c r="G122" s="38" t="n">
        <v>109.27</v>
      </c>
      <c r="H122" s="38" t="n">
        <v>-287.5</v>
      </c>
      <c r="I122" s="38" t="n">
        <v>384.5</v>
      </c>
      <c r="J122" s="39">
        <f>SQRT((G122-E122)^2+(H122-F122)^2)</f>
        <v/>
      </c>
      <c r="K122" s="40">
        <f>MOD(DEGREES(ATAN2(G122-E122,H122-F122)),360)</f>
        <v/>
      </c>
    </row>
    <row r="123" ht="15" customHeight="1" s="1">
      <c r="B123" s="37" t="inlineStr">
        <is>
          <t>BÈ 5</t>
        </is>
      </c>
      <c r="C123" s="37" t="inlineStr">
        <is>
          <t>N5-37</t>
        </is>
      </c>
      <c r="D123" s="37" t="inlineStr">
        <is>
          <t>NEO ĐÁY</t>
        </is>
      </c>
      <c r="E123" s="38" t="n">
        <v>104.48</v>
      </c>
      <c r="F123" s="38" t="n">
        <v>-238.91</v>
      </c>
      <c r="G123" s="38" t="n">
        <v>86.94</v>
      </c>
      <c r="H123" s="38" t="n">
        <v>-238.91</v>
      </c>
      <c r="I123" s="38" t="n">
        <v>376.8</v>
      </c>
      <c r="J123" s="39">
        <f>SQRT((G123-E123)^2+(H123-F123)^2)</f>
        <v/>
      </c>
      <c r="K123" s="40">
        <f>MOD(DEGREES(ATAN2(G123-E123,H123-F123)),360)</f>
        <v/>
      </c>
    </row>
    <row r="124" ht="15" customHeight="1" s="1">
      <c r="B124" s="37" t="inlineStr">
        <is>
          <t>BÈ 5</t>
        </is>
      </c>
      <c r="C124" s="37" t="inlineStr">
        <is>
          <t>N5-38</t>
        </is>
      </c>
      <c r="D124" s="37" t="inlineStr">
        <is>
          <t>NEO ĐÁY</t>
        </is>
      </c>
      <c r="E124" s="38" t="n">
        <v>104.48</v>
      </c>
      <c r="F124" s="38" t="n">
        <v>-227.96</v>
      </c>
      <c r="G124" s="38" t="n">
        <v>86.94</v>
      </c>
      <c r="H124" s="38" t="n">
        <v>-227.96</v>
      </c>
      <c r="I124" s="38" t="n">
        <v>376.8</v>
      </c>
      <c r="J124" s="39">
        <f>SQRT((G124-E124)^2+(H124-F124)^2)</f>
        <v/>
      </c>
      <c r="K124" s="40">
        <f>MOD(DEGREES(ATAN2(G124-E124,H124-F124)),360)</f>
        <v/>
      </c>
    </row>
    <row r="125" ht="15" customHeight="1" s="1">
      <c r="B125" s="37" t="inlineStr">
        <is>
          <t>BÈ 5</t>
        </is>
      </c>
      <c r="C125" s="37" t="inlineStr">
        <is>
          <t>N5-39</t>
        </is>
      </c>
      <c r="D125" s="37" t="inlineStr">
        <is>
          <t>NEO ĐÁY</t>
        </is>
      </c>
      <c r="E125" s="38" t="n">
        <v>104.48</v>
      </c>
      <c r="F125" s="38" t="n">
        <v>-217.01</v>
      </c>
      <c r="G125" s="38" t="n">
        <v>86.94</v>
      </c>
      <c r="H125" s="38" t="n">
        <v>-217.01</v>
      </c>
      <c r="I125" s="38" t="n">
        <v>376.8</v>
      </c>
      <c r="J125" s="39">
        <f>SQRT((G125-E125)^2+(H125-F125)^2)</f>
        <v/>
      </c>
      <c r="K125" s="40">
        <f>MOD(DEGREES(ATAN2(G125-E125,H125-F125)),360)</f>
        <v/>
      </c>
    </row>
    <row r="126" ht="15" customHeight="1" s="1">
      <c r="B126" s="37" t="inlineStr">
        <is>
          <t>BÈ 5</t>
        </is>
      </c>
      <c r="C126" s="37" t="inlineStr">
        <is>
          <t>N5-40</t>
        </is>
      </c>
      <c r="D126" s="37" t="inlineStr">
        <is>
          <t>NEO ĐÁY</t>
        </is>
      </c>
      <c r="E126" s="38" t="n">
        <v>104.48</v>
      </c>
      <c r="F126" s="38" t="n">
        <v>-206.05</v>
      </c>
      <c r="G126" s="38" t="n">
        <v>86.94</v>
      </c>
      <c r="H126" s="38" t="n">
        <v>-206.05</v>
      </c>
      <c r="I126" s="38" t="n">
        <v>376.8</v>
      </c>
      <c r="J126" s="39">
        <f>SQRT((G126-E126)^2+(H126-F126)^2)</f>
        <v/>
      </c>
      <c r="K126" s="40">
        <f>MOD(DEGREES(ATAN2(G126-E126,H126-F126)),360)</f>
        <v/>
      </c>
    </row>
    <row r="127" ht="15" customHeight="1" s="1">
      <c r="B127" s="37" t="inlineStr">
        <is>
          <t>BÈ 5</t>
        </is>
      </c>
      <c r="C127" s="37" t="inlineStr">
        <is>
          <t>N5-41</t>
        </is>
      </c>
      <c r="D127" s="37" t="inlineStr">
        <is>
          <t>NEO ĐÁY</t>
        </is>
      </c>
      <c r="E127" s="38" t="n">
        <v>104.48</v>
      </c>
      <c r="F127" s="38" t="n">
        <v>-195.1</v>
      </c>
      <c r="G127" s="38" t="n">
        <v>86.94</v>
      </c>
      <c r="H127" s="38" t="n">
        <v>-195.1</v>
      </c>
      <c r="I127" s="38" t="n">
        <v>376.8</v>
      </c>
      <c r="J127" s="39">
        <f>SQRT((G127-E127)^2+(H127-F127)^2)</f>
        <v/>
      </c>
      <c r="K127" s="40">
        <f>MOD(DEGREES(ATAN2(G127-E127,H127-F127)),360)</f>
        <v/>
      </c>
    </row>
    <row r="128" ht="15" customHeight="1" s="1">
      <c r="B128" s="37" t="inlineStr">
        <is>
          <t>BÈ 5</t>
        </is>
      </c>
      <c r="C128" s="37" t="inlineStr">
        <is>
          <t>N5-42</t>
        </is>
      </c>
      <c r="D128" s="37" t="inlineStr">
        <is>
          <t>NEO ĐÁY</t>
        </is>
      </c>
      <c r="E128" s="38" t="n">
        <v>104.48</v>
      </c>
      <c r="F128" s="38" t="n">
        <v>-184.15</v>
      </c>
      <c r="G128" s="38" t="n">
        <v>86.94</v>
      </c>
      <c r="H128" s="38" t="n">
        <v>-184.15</v>
      </c>
      <c r="I128" s="38" t="n">
        <v>376.8</v>
      </c>
      <c r="J128" s="39">
        <f>SQRT((G128-E128)^2+(H128-F128)^2)</f>
        <v/>
      </c>
      <c r="K128" s="40">
        <f>MOD(DEGREES(ATAN2(G128-E128,H128-F128)),360)</f>
        <v/>
      </c>
    </row>
    <row r="129" ht="15" customHeight="1" s="1">
      <c r="B129" s="37" t="inlineStr">
        <is>
          <t>BÈ 5</t>
        </is>
      </c>
      <c r="C129" s="37" t="inlineStr">
        <is>
          <t>N5-43</t>
        </is>
      </c>
      <c r="D129" s="37" t="inlineStr">
        <is>
          <t>NEO ĐÁY</t>
        </is>
      </c>
      <c r="E129" s="38" t="n">
        <v>104.48</v>
      </c>
      <c r="F129" s="38" t="n">
        <v>-173.2</v>
      </c>
      <c r="G129" s="38" t="n">
        <v>86.94</v>
      </c>
      <c r="H129" s="38" t="n">
        <v>-173.2</v>
      </c>
      <c r="I129" s="38" t="n">
        <v>376.8</v>
      </c>
      <c r="J129" s="39">
        <f>SQRT((G129-E129)^2+(H129-F129)^2)</f>
        <v/>
      </c>
      <c r="K129" s="40">
        <f>MOD(DEGREES(ATAN2(G129-E129,H129-F129)),360)</f>
        <v/>
      </c>
    </row>
    <row r="130" ht="15" customHeight="1" s="1">
      <c r="B130" s="37" t="inlineStr">
        <is>
          <t>BÈ 5</t>
        </is>
      </c>
      <c r="C130" s="37" t="inlineStr">
        <is>
          <t>N5-44</t>
        </is>
      </c>
      <c r="D130" s="37" t="inlineStr">
        <is>
          <t>NEO ĐÁY</t>
        </is>
      </c>
      <c r="E130" s="38" t="n">
        <v>104.48</v>
      </c>
      <c r="F130" s="38" t="n">
        <v>-162.24</v>
      </c>
      <c r="G130" s="38" t="n">
        <v>86.94</v>
      </c>
      <c r="H130" s="38" t="n">
        <v>-162.24</v>
      </c>
      <c r="I130" s="38" t="n">
        <v>376.8</v>
      </c>
      <c r="J130" s="39">
        <f>SQRT((G130-E130)^2+(H130-F130)^2)</f>
        <v/>
      </c>
      <c r="K130" s="40">
        <f>MOD(DEGREES(ATAN2(G130-E130,H130-F130)),360)</f>
        <v/>
      </c>
    </row>
    <row r="131" ht="15" customHeight="1" s="1">
      <c r="B131" s="37" t="inlineStr">
        <is>
          <t>BÈ 5</t>
        </is>
      </c>
      <c r="C131" s="37" t="inlineStr">
        <is>
          <t>N5-45</t>
        </is>
      </c>
      <c r="D131" s="37" t="inlineStr">
        <is>
          <t>NEO ĐÁY</t>
        </is>
      </c>
      <c r="E131" s="38" t="n">
        <v>104.48</v>
      </c>
      <c r="F131" s="38" t="n">
        <v>-151.29</v>
      </c>
      <c r="G131" s="38" t="n">
        <v>86.94</v>
      </c>
      <c r="H131" s="38" t="n">
        <v>-151.29</v>
      </c>
      <c r="I131" s="38" t="n">
        <v>376.8</v>
      </c>
      <c r="J131" s="39">
        <f>SQRT((G131-E131)^2+(H131-F131)^2)</f>
        <v/>
      </c>
      <c r="K131" s="40">
        <f>MOD(DEGREES(ATAN2(G131-E131,H131-F131)),360)</f>
        <v/>
      </c>
    </row>
    <row r="132" ht="15" customHeight="1" s="1">
      <c r="B132" s="37" t="inlineStr">
        <is>
          <t>BÈ 5</t>
        </is>
      </c>
      <c r="C132" s="37" t="inlineStr">
        <is>
          <t>N5-46</t>
        </is>
      </c>
      <c r="D132" s="37" t="inlineStr">
        <is>
          <t>NEO ĐÁY</t>
        </is>
      </c>
      <c r="E132" s="38" t="n">
        <v>104.48</v>
      </c>
      <c r="F132" s="38" t="n">
        <v>-140.34</v>
      </c>
      <c r="G132" s="38" t="n">
        <v>86.94</v>
      </c>
      <c r="H132" s="38" t="n">
        <v>-140.34</v>
      </c>
      <c r="I132" s="38" t="n">
        <v>376.8</v>
      </c>
      <c r="J132" s="39">
        <f>SQRT((G132-E132)^2+(H132-F132)^2)</f>
        <v/>
      </c>
      <c r="K132" s="40">
        <f>MOD(DEGREES(ATAN2(G132-E132,H132-F132)),360)</f>
        <v/>
      </c>
    </row>
    <row r="133" ht="15" customHeight="1" s="1">
      <c r="B133" s="37" t="inlineStr">
        <is>
          <t>BÈ 5</t>
        </is>
      </c>
      <c r="C133" s="37" t="inlineStr">
        <is>
          <t>N5-47</t>
        </is>
      </c>
      <c r="D133" s="37" t="inlineStr">
        <is>
          <t>NEO ĐÁY</t>
        </is>
      </c>
      <c r="E133" s="38" t="n">
        <v>104.48</v>
      </c>
      <c r="F133" s="38" t="n">
        <v>-129.39</v>
      </c>
      <c r="G133" s="38" t="n">
        <v>86.94</v>
      </c>
      <c r="H133" s="38" t="n">
        <v>-129.39</v>
      </c>
      <c r="I133" s="38" t="n">
        <v>376.8</v>
      </c>
      <c r="J133" s="39">
        <f>SQRT((G133-E133)^2+(H133-F133)^2)</f>
        <v/>
      </c>
      <c r="K133" s="40">
        <f>MOD(DEGREES(ATAN2(G133-E133,H133-F133)),360)</f>
        <v/>
      </c>
    </row>
    <row r="134" ht="15" customHeight="1" s="1">
      <c r="B134" s="37" t="inlineStr">
        <is>
          <t>BÈ 5</t>
        </is>
      </c>
      <c r="C134" s="37" t="inlineStr">
        <is>
          <t>N5-48</t>
        </is>
      </c>
      <c r="D134" s="37" t="inlineStr">
        <is>
          <t>NEO ĐÁY</t>
        </is>
      </c>
      <c r="E134" s="38" t="n">
        <v>104.48</v>
      </c>
      <c r="F134" s="38" t="n">
        <v>-118.44</v>
      </c>
      <c r="G134" s="38" t="n">
        <v>86.94</v>
      </c>
      <c r="H134" s="38" t="n">
        <v>-118.44</v>
      </c>
      <c r="I134" s="38" t="n">
        <v>376.8</v>
      </c>
      <c r="J134" s="39">
        <f>SQRT((G134-E134)^2+(H134-F134)^2)</f>
        <v/>
      </c>
      <c r="K134" s="40">
        <f>MOD(DEGREES(ATAN2(G134-E134,H134-F134)),360)</f>
        <v/>
      </c>
    </row>
    <row r="135" ht="15" customHeight="1" s="1">
      <c r="B135" s="37" t="inlineStr">
        <is>
          <t>BÈ 5</t>
        </is>
      </c>
      <c r="C135" s="37" t="inlineStr">
        <is>
          <t>N5-49</t>
        </is>
      </c>
      <c r="D135" s="37" t="inlineStr">
        <is>
          <t>NEO BỜ</t>
        </is>
      </c>
      <c r="E135" s="38" t="n">
        <v>104.48</v>
      </c>
      <c r="F135" s="38" t="n">
        <v>-107.48</v>
      </c>
      <c r="G135" s="38" t="n">
        <v>82.15000000000001</v>
      </c>
      <c r="H135" s="38" t="n">
        <v>-106.44</v>
      </c>
      <c r="I135" s="38" t="n">
        <v>384.5</v>
      </c>
      <c r="J135" s="39">
        <f>SQRT((G135-E135)^2+(H135-F135)^2)</f>
        <v/>
      </c>
      <c r="K135" s="40">
        <f>MOD(DEGREES(ATAN2(G135-E135,H135-F135)),360)</f>
        <v/>
      </c>
    </row>
    <row r="136" ht="15" customHeight="1" s="1">
      <c r="B136" s="37" t="inlineStr">
        <is>
          <t>BÈ 5</t>
        </is>
      </c>
      <c r="C136" s="37" t="inlineStr">
        <is>
          <t>N5-50</t>
        </is>
      </c>
      <c r="D136" s="37" t="inlineStr">
        <is>
          <t>NEO BỜ</t>
        </is>
      </c>
      <c r="E136" s="38" t="n">
        <v>104.48</v>
      </c>
      <c r="F136" s="38" t="n">
        <v>-96.53</v>
      </c>
      <c r="G136" s="38" t="n">
        <v>82.12</v>
      </c>
      <c r="H136" s="38" t="n">
        <v>-101.35</v>
      </c>
      <c r="I136" s="38" t="n">
        <v>384.5</v>
      </c>
      <c r="J136" s="39">
        <f>SQRT((G136-E136)^2+(H136-F136)^2)</f>
        <v/>
      </c>
      <c r="K136" s="40">
        <f>MOD(DEGREES(ATAN2(G136-E136,H136-F136)),360)</f>
        <v/>
      </c>
    </row>
    <row r="137" ht="15" customHeight="1" s="1">
      <c r="B137" s="37" t="inlineStr">
        <is>
          <t>BÈ 6</t>
        </is>
      </c>
      <c r="C137" s="37" t="inlineStr">
        <is>
          <t>N6-01</t>
        </is>
      </c>
      <c r="D137" s="37" t="inlineStr">
        <is>
          <t>NEO ĐÁY</t>
        </is>
      </c>
      <c r="E137" s="38" t="n">
        <v>256.44</v>
      </c>
      <c r="F137" s="38" t="n">
        <v>-242.52</v>
      </c>
      <c r="G137" s="38" t="n">
        <v>238.9</v>
      </c>
      <c r="H137" s="38" t="n">
        <v>-242.52</v>
      </c>
      <c r="I137" s="38" t="n">
        <v>376.8</v>
      </c>
      <c r="J137" s="39">
        <f>SQRT((G137-E137)^2+(H137-F137)^2)</f>
        <v/>
      </c>
      <c r="K137" s="40">
        <f>MOD(DEGREES(ATAN2(G137-E137,H137-F137)),360)</f>
        <v/>
      </c>
    </row>
    <row r="138" ht="15" customHeight="1" s="1">
      <c r="B138" s="37" t="inlineStr">
        <is>
          <t>BÈ 6</t>
        </is>
      </c>
      <c r="C138" s="37" t="inlineStr">
        <is>
          <t>N6-02</t>
        </is>
      </c>
      <c r="D138" s="37" t="inlineStr">
        <is>
          <t>NEO ĐÁY</t>
        </is>
      </c>
      <c r="E138" s="38" t="n">
        <v>256.44</v>
      </c>
      <c r="F138" s="38" t="n">
        <v>-227.89</v>
      </c>
      <c r="G138" s="38" t="n">
        <v>238.9</v>
      </c>
      <c r="H138" s="38" t="n">
        <v>-227.89</v>
      </c>
      <c r="I138" s="38" t="n">
        <v>376.8</v>
      </c>
      <c r="J138" s="39">
        <f>SQRT((G138-E138)^2+(H138-F138)^2)</f>
        <v/>
      </c>
      <c r="K138" s="40">
        <f>MOD(DEGREES(ATAN2(G138-E138,H138-F138)),360)</f>
        <v/>
      </c>
    </row>
    <row r="139" ht="15" customHeight="1" s="1">
      <c r="B139" s="37" t="inlineStr">
        <is>
          <t>BÈ 6</t>
        </is>
      </c>
      <c r="C139" s="37" t="inlineStr">
        <is>
          <t>N6-03</t>
        </is>
      </c>
      <c r="D139" s="37" t="inlineStr">
        <is>
          <t>NEO ĐÁY</t>
        </is>
      </c>
      <c r="E139" s="38" t="n">
        <v>256.44</v>
      </c>
      <c r="F139" s="38" t="n">
        <v>-213.26</v>
      </c>
      <c r="G139" s="38" t="n">
        <v>238.9</v>
      </c>
      <c r="H139" s="38" t="n">
        <v>-213.27</v>
      </c>
      <c r="I139" s="38" t="n">
        <v>376.8</v>
      </c>
      <c r="J139" s="39">
        <f>SQRT((G139-E139)^2+(H139-F139)^2)</f>
        <v/>
      </c>
      <c r="K139" s="40">
        <f>MOD(DEGREES(ATAN2(G139-E139,H139-F139)),360)</f>
        <v/>
      </c>
    </row>
    <row r="140" ht="15" customHeight="1" s="1">
      <c r="B140" s="37" t="inlineStr">
        <is>
          <t>BÈ 6</t>
        </is>
      </c>
      <c r="C140" s="37" t="inlineStr">
        <is>
          <t>N6-04</t>
        </is>
      </c>
      <c r="D140" s="37" t="inlineStr">
        <is>
          <t>NEO ĐÁY</t>
        </is>
      </c>
      <c r="E140" s="38" t="n">
        <v>256.44</v>
      </c>
      <c r="F140" s="38" t="n">
        <v>-198.64</v>
      </c>
      <c r="G140" s="38" t="n">
        <v>238.9</v>
      </c>
      <c r="H140" s="38" t="n">
        <v>-198.64</v>
      </c>
      <c r="I140" s="38" t="n">
        <v>376.8</v>
      </c>
      <c r="J140" s="39">
        <f>SQRT((G140-E140)^2+(H140-F140)^2)</f>
        <v/>
      </c>
      <c r="K140" s="40">
        <f>MOD(DEGREES(ATAN2(G140-E140,H140-F140)),360)</f>
        <v/>
      </c>
    </row>
    <row r="141" ht="15" customHeight="1" s="1">
      <c r="B141" s="37" t="inlineStr">
        <is>
          <t>BÈ 6</t>
        </is>
      </c>
      <c r="C141" s="37" t="inlineStr">
        <is>
          <t>N6-05</t>
        </is>
      </c>
      <c r="D141" s="37" t="inlineStr">
        <is>
          <t>NEO ĐÁY</t>
        </is>
      </c>
      <c r="E141" s="38" t="n">
        <v>256.44</v>
      </c>
      <c r="F141" s="38" t="n">
        <v>-184.01</v>
      </c>
      <c r="G141" s="38" t="n">
        <v>238.9</v>
      </c>
      <c r="H141" s="38" t="n">
        <v>-184.01</v>
      </c>
      <c r="I141" s="38" t="n">
        <v>376.8</v>
      </c>
      <c r="J141" s="39">
        <f>SQRT((G141-E141)^2+(H141-F141)^2)</f>
        <v/>
      </c>
      <c r="K141" s="40">
        <f>MOD(DEGREES(ATAN2(G141-E141,H141-F141)),360)</f>
        <v/>
      </c>
    </row>
    <row r="142" ht="15" customHeight="1" s="1">
      <c r="B142" s="37" t="inlineStr">
        <is>
          <t>BÈ 6</t>
        </is>
      </c>
      <c r="C142" s="37" t="inlineStr">
        <is>
          <t>N6-06</t>
        </is>
      </c>
      <c r="D142" s="37" t="inlineStr">
        <is>
          <t>NEO ĐÁY</t>
        </is>
      </c>
      <c r="E142" s="38" t="n">
        <v>256.43</v>
      </c>
      <c r="F142" s="38" t="n">
        <v>-169.39</v>
      </c>
      <c r="G142" s="38" t="n">
        <v>238.9</v>
      </c>
      <c r="H142" s="38" t="n">
        <v>-169.39</v>
      </c>
      <c r="I142" s="38" t="n">
        <v>376.8</v>
      </c>
      <c r="J142" s="39">
        <f>SQRT((G142-E142)^2+(H142-F142)^2)</f>
        <v/>
      </c>
      <c r="K142" s="40">
        <f>MOD(DEGREES(ATAN2(G142-E142,H142-F142)),360)</f>
        <v/>
      </c>
    </row>
    <row r="143" ht="15" customHeight="1" s="1">
      <c r="B143" s="37" t="inlineStr">
        <is>
          <t>BÈ 6</t>
        </is>
      </c>
      <c r="C143" s="37" t="inlineStr">
        <is>
          <t>N6-07</t>
        </is>
      </c>
      <c r="D143" s="37" t="inlineStr">
        <is>
          <t>NEO ĐÁY</t>
        </is>
      </c>
      <c r="E143" s="38" t="n">
        <v>256.43</v>
      </c>
      <c r="F143" s="38" t="n">
        <v>-154.76</v>
      </c>
      <c r="G143" s="38" t="n">
        <v>238.9</v>
      </c>
      <c r="H143" s="38" t="n">
        <v>-154.76</v>
      </c>
      <c r="I143" s="38" t="n">
        <v>376.8</v>
      </c>
      <c r="J143" s="39">
        <f>SQRT((G143-E143)^2+(H143-F143)^2)</f>
        <v/>
      </c>
      <c r="K143" s="40">
        <f>MOD(DEGREES(ATAN2(G143-E143,H143-F143)),360)</f>
        <v/>
      </c>
    </row>
    <row r="144" ht="15" customHeight="1" s="1">
      <c r="B144" s="37" t="inlineStr">
        <is>
          <t>BÈ 6</t>
        </is>
      </c>
      <c r="C144" s="37" t="inlineStr">
        <is>
          <t>N6-08</t>
        </is>
      </c>
      <c r="D144" s="37" t="inlineStr">
        <is>
          <t>NEO ĐÁY</t>
        </is>
      </c>
      <c r="E144" s="38" t="n">
        <v>262.53</v>
      </c>
      <c r="F144" s="38" t="n">
        <v>-146.23</v>
      </c>
      <c r="G144" s="38" t="n">
        <v>262.53</v>
      </c>
      <c r="H144" s="38" t="n">
        <v>-128.7</v>
      </c>
      <c r="I144" s="38" t="n">
        <v>376.8</v>
      </c>
      <c r="J144" s="39">
        <f>SQRT((G144-E144)^2+(H144-F144)^2)</f>
        <v/>
      </c>
      <c r="K144" s="40">
        <f>MOD(DEGREES(ATAN2(G144-E144,H144-F144)),360)</f>
        <v/>
      </c>
    </row>
    <row r="145" ht="15" customHeight="1" s="1">
      <c r="B145" s="37" t="inlineStr">
        <is>
          <t>BÈ 6</t>
        </is>
      </c>
      <c r="C145" s="37" t="inlineStr">
        <is>
          <t>N6-09</t>
        </is>
      </c>
      <c r="D145" s="37" t="inlineStr">
        <is>
          <t>NEO ĐÁY</t>
        </is>
      </c>
      <c r="E145" s="38" t="n">
        <v>277.16</v>
      </c>
      <c r="F145" s="38" t="n">
        <v>-146.23</v>
      </c>
      <c r="G145" s="38" t="n">
        <v>277.16</v>
      </c>
      <c r="H145" s="38" t="n">
        <v>-128.7</v>
      </c>
      <c r="I145" s="38" t="n">
        <v>376.8</v>
      </c>
      <c r="J145" s="39">
        <f>SQRT((G145-E145)^2+(H145-F145)^2)</f>
        <v/>
      </c>
      <c r="K145" s="40">
        <f>MOD(DEGREES(ATAN2(G145-E145,H145-F145)),360)</f>
        <v/>
      </c>
    </row>
    <row r="146" ht="15" customHeight="1" s="1">
      <c r="B146" s="37" t="inlineStr">
        <is>
          <t>BÈ 6</t>
        </is>
      </c>
      <c r="C146" s="37" t="inlineStr">
        <is>
          <t>N6-10</t>
        </is>
      </c>
      <c r="D146" s="37" t="inlineStr">
        <is>
          <t>NEO ĐÁY</t>
        </is>
      </c>
      <c r="E146" s="38" t="n">
        <v>291.79</v>
      </c>
      <c r="F146" s="38" t="n">
        <v>-146.23</v>
      </c>
      <c r="G146" s="38" t="n">
        <v>291.79</v>
      </c>
      <c r="H146" s="38" t="n">
        <v>-128.7</v>
      </c>
      <c r="I146" s="38" t="n">
        <v>376.8</v>
      </c>
      <c r="J146" s="39">
        <f>SQRT((G146-E146)^2+(H146-F146)^2)</f>
        <v/>
      </c>
      <c r="K146" s="40">
        <f>MOD(DEGREES(ATAN2(G146-E146,H146-F146)),360)</f>
        <v/>
      </c>
    </row>
    <row r="147" ht="15" customHeight="1" s="1">
      <c r="B147" s="37" t="inlineStr">
        <is>
          <t>BÈ 6</t>
        </is>
      </c>
      <c r="C147" s="37" t="inlineStr">
        <is>
          <t>N6-11</t>
        </is>
      </c>
      <c r="D147" s="37" t="inlineStr">
        <is>
          <t>NEO ĐÁY</t>
        </is>
      </c>
      <c r="E147" s="38" t="n">
        <v>299.9</v>
      </c>
      <c r="F147" s="38" t="n">
        <v>-152.79</v>
      </c>
      <c r="G147" s="38" t="n">
        <v>317.44</v>
      </c>
      <c r="H147" s="38" t="n">
        <v>-152.66</v>
      </c>
      <c r="I147" s="38" t="n">
        <v>376.8</v>
      </c>
      <c r="J147" s="39">
        <f>SQRT((G147-E147)^2+(H147-F147)^2)</f>
        <v/>
      </c>
      <c r="K147" s="40">
        <f>MOD(DEGREES(ATAN2(G147-E147,H147-F147)),360)</f>
        <v/>
      </c>
    </row>
    <row r="148" ht="15" customHeight="1" s="1">
      <c r="B148" s="37" t="inlineStr">
        <is>
          <t>BÈ 6</t>
        </is>
      </c>
      <c r="C148" s="37" t="inlineStr">
        <is>
          <t>N6-12</t>
        </is>
      </c>
      <c r="D148" s="37" t="inlineStr">
        <is>
          <t>NEO ĐÁY</t>
        </is>
      </c>
      <c r="E148" s="38" t="n">
        <v>300.01</v>
      </c>
      <c r="F148" s="38" t="n">
        <v>-167.42</v>
      </c>
      <c r="G148" s="38" t="n">
        <v>317.55</v>
      </c>
      <c r="H148" s="38" t="n">
        <v>-167.29</v>
      </c>
      <c r="I148" s="38" t="n">
        <v>376.8</v>
      </c>
      <c r="J148" s="39">
        <f>SQRT((G148-E148)^2+(H148-F148)^2)</f>
        <v/>
      </c>
      <c r="K148" s="40">
        <f>MOD(DEGREES(ATAN2(G148-E148,H148-F148)),360)</f>
        <v/>
      </c>
    </row>
    <row r="149" ht="15" customHeight="1" s="1">
      <c r="B149" s="37" t="inlineStr">
        <is>
          <t>BÈ 6</t>
        </is>
      </c>
      <c r="C149" s="37" t="inlineStr">
        <is>
          <t>N6-13</t>
        </is>
      </c>
      <c r="D149" s="37" t="inlineStr">
        <is>
          <t>NEO ĐÁY</t>
        </is>
      </c>
      <c r="E149" s="38" t="n">
        <v>307.39</v>
      </c>
      <c r="F149" s="38" t="n">
        <v>-174.72</v>
      </c>
      <c r="G149" s="38" t="n">
        <v>307.39</v>
      </c>
      <c r="H149" s="38" t="n">
        <v>-157.19</v>
      </c>
      <c r="I149" s="38" t="n">
        <v>376.8</v>
      </c>
      <c r="J149" s="39">
        <f>SQRT((G149-E149)^2+(H149-F149)^2)</f>
        <v/>
      </c>
      <c r="K149" s="40">
        <f>MOD(DEGREES(ATAN2(G149-E149,H149-F149)),360)</f>
        <v/>
      </c>
    </row>
    <row r="150" ht="15" customHeight="1" s="1">
      <c r="B150" s="37" t="inlineStr">
        <is>
          <t>BÈ 6</t>
        </is>
      </c>
      <c r="C150" s="37" t="inlineStr">
        <is>
          <t>N6-14</t>
        </is>
      </c>
      <c r="D150" s="37" t="inlineStr">
        <is>
          <t>NEO ĐÁY</t>
        </is>
      </c>
      <c r="E150" s="38" t="n">
        <v>322.02</v>
      </c>
      <c r="F150" s="38" t="n">
        <v>-174.73</v>
      </c>
      <c r="G150" s="38" t="n">
        <v>322.02</v>
      </c>
      <c r="H150" s="38" t="n">
        <v>-157.19</v>
      </c>
      <c r="I150" s="38" t="n">
        <v>376.8</v>
      </c>
      <c r="J150" s="39">
        <f>SQRT((G150-E150)^2+(H150-F150)^2)</f>
        <v/>
      </c>
      <c r="K150" s="40">
        <f>MOD(DEGREES(ATAN2(G150-E150,H150-F150)),360)</f>
        <v/>
      </c>
    </row>
    <row r="151" ht="15" customHeight="1" s="1">
      <c r="B151" s="37" t="inlineStr">
        <is>
          <t>BÈ 6</t>
        </is>
      </c>
      <c r="C151" s="37" t="inlineStr">
        <is>
          <t>N6-15</t>
        </is>
      </c>
      <c r="D151" s="37" t="inlineStr">
        <is>
          <t>NEO ĐÁY</t>
        </is>
      </c>
      <c r="E151" s="38" t="n">
        <v>336.64</v>
      </c>
      <c r="F151" s="38" t="n">
        <v>-174.73</v>
      </c>
      <c r="G151" s="38" t="n">
        <v>336.65</v>
      </c>
      <c r="H151" s="38" t="n">
        <v>-157.19</v>
      </c>
      <c r="I151" s="38" t="n">
        <v>376.8</v>
      </c>
      <c r="J151" s="39">
        <f>SQRT((G151-E151)^2+(H151-F151)^2)</f>
        <v/>
      </c>
      <c r="K151" s="40">
        <f>MOD(DEGREES(ATAN2(G151-E151,H151-F151)),360)</f>
        <v/>
      </c>
    </row>
    <row r="152" ht="15" customHeight="1" s="1">
      <c r="B152" s="37" t="inlineStr">
        <is>
          <t>BÈ 6</t>
        </is>
      </c>
      <c r="C152" s="37" t="inlineStr">
        <is>
          <t>N6-16</t>
        </is>
      </c>
      <c r="D152" s="37" t="inlineStr">
        <is>
          <t>NEO ĐÁY</t>
        </is>
      </c>
      <c r="E152" s="38" t="n">
        <v>351.27</v>
      </c>
      <c r="F152" s="38" t="n">
        <v>-174.73</v>
      </c>
      <c r="G152" s="38" t="n">
        <v>351.27</v>
      </c>
      <c r="H152" s="38" t="n">
        <v>-157.2</v>
      </c>
      <c r="I152" s="38" t="n">
        <v>376.8</v>
      </c>
      <c r="J152" s="39">
        <f>SQRT((G152-E152)^2+(H152-F152)^2)</f>
        <v/>
      </c>
      <c r="K152" s="40">
        <f>MOD(DEGREES(ATAN2(G152-E152,H152-F152)),360)</f>
        <v/>
      </c>
    </row>
    <row r="153" ht="15" customHeight="1" s="1">
      <c r="B153" s="37" t="inlineStr">
        <is>
          <t>BÈ 6</t>
        </is>
      </c>
      <c r="C153" s="37" t="inlineStr">
        <is>
          <t>N6-17</t>
        </is>
      </c>
      <c r="D153" s="37" t="inlineStr">
        <is>
          <t>NEO ĐÁY</t>
        </is>
      </c>
      <c r="E153" s="38" t="n">
        <v>365.03</v>
      </c>
      <c r="F153" s="38" t="n">
        <v>-175.6</v>
      </c>
      <c r="G153" s="38" t="n">
        <v>382.57</v>
      </c>
      <c r="H153" s="38" t="n">
        <v>-175.6</v>
      </c>
      <c r="I153" s="38" t="n">
        <v>376.8</v>
      </c>
      <c r="J153" s="39">
        <f>SQRT((G153-E153)^2+(H153-F153)^2)</f>
        <v/>
      </c>
      <c r="K153" s="40">
        <f>MOD(DEGREES(ATAN2(G153-E153,H153-F153)),360)</f>
        <v/>
      </c>
    </row>
    <row r="154" ht="15" customHeight="1" s="1">
      <c r="B154" s="37" t="inlineStr">
        <is>
          <t>BÈ 6</t>
        </is>
      </c>
      <c r="C154" s="37" t="inlineStr">
        <is>
          <t>N6-18</t>
        </is>
      </c>
      <c r="D154" s="37" t="inlineStr">
        <is>
          <t>NEO ĐÁY</t>
        </is>
      </c>
      <c r="E154" s="38" t="n">
        <v>365.03</v>
      </c>
      <c r="F154" s="38" t="n">
        <v>-190.22</v>
      </c>
      <c r="G154" s="38" t="n">
        <v>382.57</v>
      </c>
      <c r="H154" s="38" t="n">
        <v>-190.22</v>
      </c>
      <c r="I154" s="38" t="n">
        <v>376.8</v>
      </c>
      <c r="J154" s="39">
        <f>SQRT((G154-E154)^2+(H154-F154)^2)</f>
        <v/>
      </c>
      <c r="K154" s="40">
        <f>MOD(DEGREES(ATAN2(G154-E154,H154-F154)),360)</f>
        <v/>
      </c>
    </row>
    <row r="155" ht="15" customHeight="1" s="1">
      <c r="B155" s="37" t="inlineStr">
        <is>
          <t>BÈ 6</t>
        </is>
      </c>
      <c r="C155" s="37" t="inlineStr">
        <is>
          <t>N6-19</t>
        </is>
      </c>
      <c r="D155" s="37" t="inlineStr">
        <is>
          <t>NEO BỜ</t>
        </is>
      </c>
      <c r="E155" s="38" t="n">
        <v>365.03</v>
      </c>
      <c r="F155" s="38" t="n">
        <v>-204.85</v>
      </c>
      <c r="G155" s="38" t="n">
        <v>405.89</v>
      </c>
      <c r="H155" s="38" t="n">
        <v>-230.56</v>
      </c>
      <c r="I155" s="38" t="n">
        <v>384.5</v>
      </c>
      <c r="J155" s="39">
        <f>SQRT((G155-E155)^2+(H155-F155)^2)</f>
        <v/>
      </c>
      <c r="K155" s="40">
        <f>MOD(DEGREES(ATAN2(G155-E155,H155-F155)),360)</f>
        <v/>
      </c>
    </row>
    <row r="156" ht="15" customHeight="1" s="1">
      <c r="B156" s="37" t="inlineStr">
        <is>
          <t>BÈ 6</t>
        </is>
      </c>
      <c r="C156" s="37" t="inlineStr">
        <is>
          <t>N6-20</t>
        </is>
      </c>
      <c r="D156" s="37" t="inlineStr">
        <is>
          <t>NEO BỜ</t>
        </is>
      </c>
      <c r="E156" s="38" t="n">
        <v>365.03</v>
      </c>
      <c r="F156" s="38" t="n">
        <v>-219.47</v>
      </c>
      <c r="G156" s="38" t="n">
        <v>392.37</v>
      </c>
      <c r="H156" s="38" t="n">
        <v>-246.48</v>
      </c>
      <c r="I156" s="38" t="n">
        <v>384.5</v>
      </c>
      <c r="J156" s="39">
        <f>SQRT((G156-E156)^2+(H156-F156)^2)</f>
        <v/>
      </c>
      <c r="K156" s="40">
        <f>MOD(DEGREES(ATAN2(G156-E156,H156-F156)),360)</f>
        <v/>
      </c>
    </row>
    <row r="157" ht="15" customHeight="1" s="1">
      <c r="B157" s="37" t="inlineStr">
        <is>
          <t>BÈ 6</t>
        </is>
      </c>
      <c r="C157" s="37" t="inlineStr">
        <is>
          <t>N6-21</t>
        </is>
      </c>
      <c r="D157" s="37" t="inlineStr">
        <is>
          <t>NEO BỜ</t>
        </is>
      </c>
      <c r="E157" s="38" t="n">
        <v>365.03</v>
      </c>
      <c r="F157" s="38" t="n">
        <v>-234.1</v>
      </c>
      <c r="G157" s="38" t="n">
        <v>385.01</v>
      </c>
      <c r="H157" s="38" t="n">
        <v>-253.64</v>
      </c>
      <c r="I157" s="38" t="n">
        <v>384.5</v>
      </c>
      <c r="J157" s="39">
        <f>SQRT((G157-E157)^2+(H157-F157)^2)</f>
        <v/>
      </c>
      <c r="K157" s="40">
        <f>MOD(DEGREES(ATAN2(G157-E157,H157-F157)),360)</f>
        <v/>
      </c>
    </row>
    <row r="158" ht="15" customHeight="1" s="1">
      <c r="B158" s="37" t="inlineStr">
        <is>
          <t>BÈ 6</t>
        </is>
      </c>
      <c r="C158" s="37" t="inlineStr">
        <is>
          <t>N6-22</t>
        </is>
      </c>
      <c r="D158" s="37" t="inlineStr">
        <is>
          <t>NEO BỜ</t>
        </is>
      </c>
      <c r="E158" s="38" t="n">
        <v>358.82</v>
      </c>
      <c r="F158" s="38" t="n">
        <v>-242.52</v>
      </c>
      <c r="G158" s="38" t="n">
        <v>379.04</v>
      </c>
      <c r="H158" s="38" t="n">
        <v>-259.57</v>
      </c>
      <c r="I158" s="38" t="n">
        <v>384.5</v>
      </c>
      <c r="J158" s="39">
        <f>SQRT((G158-E158)^2+(H158-F158)^2)</f>
        <v/>
      </c>
      <c r="K158" s="40">
        <f>MOD(DEGREES(ATAN2(G158-E158,H158-F158)),360)</f>
        <v/>
      </c>
    </row>
    <row r="159" ht="15" customHeight="1" s="1">
      <c r="B159" s="37" t="inlineStr">
        <is>
          <t>BÈ 6</t>
        </is>
      </c>
      <c r="C159" s="37" t="inlineStr">
        <is>
          <t>N6-23</t>
        </is>
      </c>
      <c r="D159" s="37" t="inlineStr">
        <is>
          <t>NEO ĐÁY</t>
        </is>
      </c>
      <c r="E159" s="38" t="n">
        <v>344.2</v>
      </c>
      <c r="F159" s="38" t="n">
        <v>-242.52</v>
      </c>
      <c r="G159" s="38" t="n">
        <v>344.2</v>
      </c>
      <c r="H159" s="38" t="n">
        <v>-260.05</v>
      </c>
      <c r="I159" s="38" t="n">
        <v>376.8</v>
      </c>
      <c r="J159" s="39">
        <f>SQRT((G159-E159)^2+(H159-F159)^2)</f>
        <v/>
      </c>
      <c r="K159" s="40">
        <f>MOD(DEGREES(ATAN2(G159-E159,H159-F159)),360)</f>
        <v/>
      </c>
    </row>
    <row r="160" ht="15" customHeight="1" s="1">
      <c r="B160" s="37" t="inlineStr">
        <is>
          <t>BÈ 6</t>
        </is>
      </c>
      <c r="C160" s="37" t="inlineStr">
        <is>
          <t>N6-24</t>
        </is>
      </c>
      <c r="D160" s="37" t="inlineStr">
        <is>
          <t>NEO ĐÁY</t>
        </is>
      </c>
      <c r="E160" s="38" t="n">
        <v>329.57</v>
      </c>
      <c r="F160" s="38" t="n">
        <v>-242.52</v>
      </c>
      <c r="G160" s="38" t="n">
        <v>329.57</v>
      </c>
      <c r="H160" s="38" t="n">
        <v>-260.05</v>
      </c>
      <c r="I160" s="38" t="n">
        <v>376.8</v>
      </c>
      <c r="J160" s="39">
        <f>SQRT((G160-E160)^2+(H160-F160)^2)</f>
        <v/>
      </c>
      <c r="K160" s="40">
        <f>MOD(DEGREES(ATAN2(G160-E160,H160-F160)),360)</f>
        <v/>
      </c>
    </row>
    <row r="161" ht="15" customHeight="1" s="1">
      <c r="B161" s="37" t="inlineStr">
        <is>
          <t>BÈ 6</t>
        </is>
      </c>
      <c r="C161" s="37" t="inlineStr">
        <is>
          <t>N6-25</t>
        </is>
      </c>
      <c r="D161" s="37" t="inlineStr">
        <is>
          <t>NEO ĐÁY</t>
        </is>
      </c>
      <c r="E161" s="38" t="n">
        <v>314.94</v>
      </c>
      <c r="F161" s="38" t="n">
        <v>-242.52</v>
      </c>
      <c r="G161" s="38" t="n">
        <v>314.94</v>
      </c>
      <c r="H161" s="38" t="n">
        <v>-260.05</v>
      </c>
      <c r="I161" s="38" t="n">
        <v>376.8</v>
      </c>
      <c r="J161" s="39">
        <f>SQRT((G161-E161)^2+(H161-F161)^2)</f>
        <v/>
      </c>
      <c r="K161" s="40">
        <f>MOD(DEGREES(ATAN2(G161-E161,H161-F161)),360)</f>
        <v/>
      </c>
    </row>
    <row r="162" ht="15" customHeight="1" s="1">
      <c r="B162" s="37" t="inlineStr">
        <is>
          <t>BÈ 6</t>
        </is>
      </c>
      <c r="C162" s="37" t="inlineStr">
        <is>
          <t>N6-26</t>
        </is>
      </c>
      <c r="D162" s="37" t="inlineStr">
        <is>
          <t>NEO ĐÁY</t>
        </is>
      </c>
      <c r="E162" s="38" t="n">
        <v>300.32</v>
      </c>
      <c r="F162" s="38" t="n">
        <v>-242.52</v>
      </c>
      <c r="G162" s="38" t="n">
        <v>300.32</v>
      </c>
      <c r="H162" s="38" t="n">
        <v>-260.05</v>
      </c>
      <c r="I162" s="38" t="n">
        <v>376.8</v>
      </c>
      <c r="J162" s="39">
        <f>SQRT((G162-E162)^2+(H162-F162)^2)</f>
        <v/>
      </c>
      <c r="K162" s="40">
        <f>MOD(DEGREES(ATAN2(G162-E162,H162-F162)),360)</f>
        <v/>
      </c>
    </row>
    <row r="163" ht="15" customHeight="1" s="1">
      <c r="B163" s="37" t="inlineStr">
        <is>
          <t>BÈ 6</t>
        </is>
      </c>
      <c r="C163" s="37" t="inlineStr">
        <is>
          <t>N6-27</t>
        </is>
      </c>
      <c r="D163" s="37" t="inlineStr">
        <is>
          <t>NEO ĐÁY</t>
        </is>
      </c>
      <c r="E163" s="38" t="n">
        <v>285.69</v>
      </c>
      <c r="F163" s="38" t="n">
        <v>-242.52</v>
      </c>
      <c r="G163" s="38" t="n">
        <v>285.69</v>
      </c>
      <c r="H163" s="38" t="n">
        <v>-260.05</v>
      </c>
      <c r="I163" s="38" t="n">
        <v>376.8</v>
      </c>
      <c r="J163" s="39">
        <f>SQRT((G163-E163)^2+(H163-F163)^2)</f>
        <v/>
      </c>
      <c r="K163" s="40">
        <f>MOD(DEGREES(ATAN2(G163-E163,H163-F163)),360)</f>
        <v/>
      </c>
    </row>
    <row r="164" ht="15" customHeight="1" s="1">
      <c r="B164" s="37" t="inlineStr">
        <is>
          <t>BÈ 6</t>
        </is>
      </c>
      <c r="C164" s="37" t="inlineStr">
        <is>
          <t>N6-28</t>
        </is>
      </c>
      <c r="D164" s="37" t="inlineStr">
        <is>
          <t>NEO ĐÁY</t>
        </is>
      </c>
      <c r="E164" s="38" t="n">
        <v>271.07</v>
      </c>
      <c r="F164" s="38" t="n">
        <v>-242.52</v>
      </c>
      <c r="G164" s="38" t="n">
        <v>271.07</v>
      </c>
      <c r="H164" s="38" t="n">
        <v>-260.05</v>
      </c>
      <c r="I164" s="38" t="n">
        <v>376.8</v>
      </c>
      <c r="J164" s="39">
        <f>SQRT((G164-E164)^2+(H164-F164)^2)</f>
        <v/>
      </c>
      <c r="K164" s="40">
        <f>MOD(DEGREES(ATAN2(G164-E164,H164-F164)),360)</f>
        <v/>
      </c>
    </row>
    <row r="165" ht="15" customHeight="1" s="1">
      <c r="B165" s="37" t="inlineStr">
        <is>
          <t>BÈ 7</t>
        </is>
      </c>
      <c r="C165" s="37" t="inlineStr">
        <is>
          <t>N7-01</t>
        </is>
      </c>
      <c r="D165" s="37" t="inlineStr">
        <is>
          <t>NEO ĐÁY</t>
        </is>
      </c>
      <c r="E165" s="38" t="n">
        <v>344.36</v>
      </c>
      <c r="F165" s="38" t="n">
        <v>-143.42</v>
      </c>
      <c r="G165" s="38" t="n">
        <v>326.82</v>
      </c>
      <c r="H165" s="38" t="n">
        <v>-143.42</v>
      </c>
      <c r="I165" s="38" t="n">
        <v>376.8</v>
      </c>
      <c r="J165" s="39">
        <f>SQRT((G165-E165)^2+(H165-F165)^2)</f>
        <v/>
      </c>
      <c r="K165" s="40">
        <f>MOD(DEGREES(ATAN2(G165-E165,H165-F165)),360)</f>
        <v/>
      </c>
    </row>
    <row r="166" ht="15" customHeight="1" s="1">
      <c r="B166" s="37" t="inlineStr">
        <is>
          <t>BÈ 7</t>
        </is>
      </c>
      <c r="C166" s="37" t="inlineStr">
        <is>
          <t>N7-02</t>
        </is>
      </c>
      <c r="D166" s="37" t="inlineStr">
        <is>
          <t>NEO ĐÁY</t>
        </is>
      </c>
      <c r="E166" s="38" t="n">
        <v>344.36</v>
      </c>
      <c r="F166" s="38" t="n">
        <v>-129.03</v>
      </c>
      <c r="G166" s="38" t="n">
        <v>326.82</v>
      </c>
      <c r="H166" s="38" t="n">
        <v>-129.03</v>
      </c>
      <c r="I166" s="38" t="n">
        <v>376.8</v>
      </c>
      <c r="J166" s="39">
        <f>SQRT((G166-E166)^2+(H166-F166)^2)</f>
        <v/>
      </c>
      <c r="K166" s="40">
        <f>MOD(DEGREES(ATAN2(G166-E166,H166-F166)),360)</f>
        <v/>
      </c>
    </row>
    <row r="167" ht="15" customHeight="1" s="1">
      <c r="B167" s="37" t="inlineStr">
        <is>
          <t>BÈ 7</t>
        </is>
      </c>
      <c r="C167" s="37" t="inlineStr">
        <is>
          <t>N7-03</t>
        </is>
      </c>
      <c r="D167" s="37" t="inlineStr">
        <is>
          <t>NEO ĐÁY</t>
        </is>
      </c>
      <c r="E167" s="38" t="n">
        <v>344.36</v>
      </c>
      <c r="F167" s="38" t="n">
        <v>-114.64</v>
      </c>
      <c r="G167" s="38" t="n">
        <v>326.82</v>
      </c>
      <c r="H167" s="38" t="n">
        <v>-114.64</v>
      </c>
      <c r="I167" s="38" t="n">
        <v>376.8</v>
      </c>
      <c r="J167" s="39">
        <f>SQRT((G167-E167)^2+(H167-F167)^2)</f>
        <v/>
      </c>
      <c r="K167" s="40">
        <f>MOD(DEGREES(ATAN2(G167-E167,H167-F167)),360)</f>
        <v/>
      </c>
    </row>
    <row r="168" ht="15" customHeight="1" s="1">
      <c r="B168" s="37" t="inlineStr">
        <is>
          <t>BÈ 7</t>
        </is>
      </c>
      <c r="C168" s="37" t="inlineStr">
        <is>
          <t>N7-04</t>
        </is>
      </c>
      <c r="D168" s="37" t="inlineStr">
        <is>
          <t>NEO ĐÁY</t>
        </is>
      </c>
      <c r="E168" s="38" t="n">
        <v>355.84</v>
      </c>
      <c r="F168" s="38" t="n">
        <v>-111.74</v>
      </c>
      <c r="G168" s="38" t="n">
        <v>355.84</v>
      </c>
      <c r="H168" s="38" t="n">
        <v>-94.2</v>
      </c>
      <c r="I168" s="38" t="n">
        <v>376.8</v>
      </c>
      <c r="J168" s="39">
        <f>SQRT((G168-E168)^2+(H168-F168)^2)</f>
        <v/>
      </c>
      <c r="K168" s="40">
        <f>MOD(DEGREES(ATAN2(G168-E168,H168-F168)),360)</f>
        <v/>
      </c>
    </row>
    <row r="169" ht="15" customHeight="1" s="1">
      <c r="B169" s="37" t="inlineStr">
        <is>
          <t>BÈ 7</t>
        </is>
      </c>
      <c r="C169" s="37" t="inlineStr">
        <is>
          <t>N7-05</t>
        </is>
      </c>
      <c r="D169" s="37" t="inlineStr">
        <is>
          <t>NEO ĐÁY</t>
        </is>
      </c>
      <c r="E169" s="38" t="n">
        <v>370.23</v>
      </c>
      <c r="F169" s="38" t="n">
        <v>-111.74</v>
      </c>
      <c r="G169" s="38" t="n">
        <v>370.23</v>
      </c>
      <c r="H169" s="38" t="n">
        <v>-94.2</v>
      </c>
      <c r="I169" s="38" t="n">
        <v>376.8</v>
      </c>
      <c r="J169" s="39">
        <f>SQRT((G169-E169)^2+(H169-F169)^2)</f>
        <v/>
      </c>
      <c r="K169" s="40">
        <f>MOD(DEGREES(ATAN2(G169-E169,H169-F169)),360)</f>
        <v/>
      </c>
    </row>
    <row r="170" ht="15" customHeight="1" s="1">
      <c r="B170" s="37" t="inlineStr">
        <is>
          <t>BÈ 7</t>
        </is>
      </c>
      <c r="C170" s="37" t="inlineStr">
        <is>
          <t>N7-06</t>
        </is>
      </c>
      <c r="D170" s="37" t="inlineStr">
        <is>
          <t>NEO ĐÁY</t>
        </is>
      </c>
      <c r="E170" s="38" t="n">
        <v>384.62</v>
      </c>
      <c r="F170" s="38" t="n">
        <v>-111.74</v>
      </c>
      <c r="G170" s="38" t="n">
        <v>384.62</v>
      </c>
      <c r="H170" s="38" t="n">
        <v>-94.2</v>
      </c>
      <c r="I170" s="38" t="n">
        <v>376.8</v>
      </c>
      <c r="J170" s="39">
        <f>SQRT((G170-E170)^2+(H170-F170)^2)</f>
        <v/>
      </c>
      <c r="K170" s="40">
        <f>MOD(DEGREES(ATAN2(G170-E170,H170-F170)),360)</f>
        <v/>
      </c>
    </row>
    <row r="171" ht="15" customHeight="1" s="1">
      <c r="B171" s="37" t="inlineStr">
        <is>
          <t>BÈ 7</t>
        </is>
      </c>
      <c r="C171" s="37" t="inlineStr">
        <is>
          <t>N7-07</t>
        </is>
      </c>
      <c r="D171" s="37" t="inlineStr">
        <is>
          <t>NEO BỜ</t>
        </is>
      </c>
      <c r="E171" s="38" t="n">
        <v>395.07</v>
      </c>
      <c r="F171" s="38" t="n">
        <v>-115.73</v>
      </c>
      <c r="G171" s="38" t="n">
        <v>419.64</v>
      </c>
      <c r="H171" s="38" t="n">
        <v>-119</v>
      </c>
      <c r="I171" s="38" t="n">
        <v>384.5</v>
      </c>
      <c r="J171" s="39">
        <f>SQRT((G171-E171)^2+(H171-F171)^2)</f>
        <v/>
      </c>
      <c r="K171" s="40">
        <f>MOD(DEGREES(ATAN2(G171-E171,H171-F171)),360)</f>
        <v/>
      </c>
    </row>
    <row r="172" ht="15" customHeight="1" s="1">
      <c r="B172" s="37" t="inlineStr">
        <is>
          <t>BÈ 7</t>
        </is>
      </c>
      <c r="C172" s="37" t="inlineStr">
        <is>
          <t>N7-08</t>
        </is>
      </c>
      <c r="D172" s="37" t="inlineStr">
        <is>
          <t>NEO ĐÁY</t>
        </is>
      </c>
      <c r="E172" s="38" t="n">
        <v>404.08</v>
      </c>
      <c r="F172" s="38" t="n">
        <v>-121.22</v>
      </c>
      <c r="G172" s="38" t="n">
        <v>404.18</v>
      </c>
      <c r="H172" s="38" t="n">
        <v>-103.69</v>
      </c>
      <c r="I172" s="38" t="n">
        <v>376.8</v>
      </c>
      <c r="J172" s="39">
        <f>SQRT((G172-E172)^2+(H172-F172)^2)</f>
        <v/>
      </c>
      <c r="K172" s="40">
        <f>MOD(DEGREES(ATAN2(G172-E172,H172-F172)),360)</f>
        <v/>
      </c>
    </row>
    <row r="173" ht="15" customHeight="1" s="1">
      <c r="B173" s="37" t="inlineStr">
        <is>
          <t>BÈ 7</t>
        </is>
      </c>
      <c r="C173" s="37" t="inlineStr">
        <is>
          <t>N7-09</t>
        </is>
      </c>
      <c r="D173" s="37" t="inlineStr">
        <is>
          <t>NEO BỜ</t>
        </is>
      </c>
      <c r="E173" s="38" t="n">
        <v>407.09</v>
      </c>
      <c r="F173" s="38" t="n">
        <v>-132.62</v>
      </c>
      <c r="G173" s="38" t="n">
        <v>421.97</v>
      </c>
      <c r="H173" s="38" t="n">
        <v>-132.72</v>
      </c>
      <c r="I173" s="38" t="n">
        <v>384.5</v>
      </c>
      <c r="J173" s="39">
        <f>SQRT((G173-E173)^2+(H173-F173)^2)</f>
        <v/>
      </c>
      <c r="K173" s="40">
        <f>MOD(DEGREES(ATAN2(G173-E173,H173-F173)),360)</f>
        <v/>
      </c>
    </row>
    <row r="174" ht="15" customHeight="1" s="1">
      <c r="B174" s="37" t="inlineStr">
        <is>
          <t>BÈ 7</t>
        </is>
      </c>
      <c r="C174" s="37" t="inlineStr">
        <is>
          <t>N7-10</t>
        </is>
      </c>
      <c r="D174" s="37" t="inlineStr">
        <is>
          <t>NEO BỜ</t>
        </is>
      </c>
      <c r="E174" s="38" t="n">
        <v>407.09</v>
      </c>
      <c r="F174" s="38" t="n">
        <v>-147.01</v>
      </c>
      <c r="G174" s="38" t="n">
        <v>419.97</v>
      </c>
      <c r="H174" s="38" t="n">
        <v>-145.88</v>
      </c>
      <c r="I174" s="38" t="n">
        <v>384.5</v>
      </c>
      <c r="J174" s="39">
        <f>SQRT((G174-E174)^2+(H174-F174)^2)</f>
        <v/>
      </c>
      <c r="K174" s="40">
        <f>MOD(DEGREES(ATAN2(G174-E174,H174-F174)),360)</f>
        <v/>
      </c>
    </row>
    <row r="175" ht="15" customHeight="1" s="1">
      <c r="B175" s="37" t="inlineStr">
        <is>
          <t>BÈ 7</t>
        </is>
      </c>
      <c r="C175" s="37" t="inlineStr">
        <is>
          <t>N7-11</t>
        </is>
      </c>
      <c r="D175" s="37" t="inlineStr">
        <is>
          <t>NEO BỜ</t>
        </is>
      </c>
      <c r="E175" s="38" t="n">
        <v>407.09</v>
      </c>
      <c r="F175" s="38" t="n">
        <v>-161.39</v>
      </c>
      <c r="G175" s="38" t="n">
        <v>417.4</v>
      </c>
      <c r="H175" s="38" t="n">
        <v>-166.67</v>
      </c>
      <c r="I175" s="38" t="n">
        <v>384.5</v>
      </c>
      <c r="J175" s="39">
        <f>SQRT((G175-E175)^2+(H175-F175)^2)</f>
        <v/>
      </c>
      <c r="K175" s="40">
        <f>MOD(DEGREES(ATAN2(G175-E175,H175-F175)),360)</f>
        <v/>
      </c>
    </row>
    <row r="176" ht="15" customHeight="1" s="1">
      <c r="B176" s="37" t="inlineStr">
        <is>
          <t>BÈ 7</t>
        </is>
      </c>
      <c r="C176" s="37" t="inlineStr">
        <is>
          <t>N7-12</t>
        </is>
      </c>
      <c r="D176" s="37" t="inlineStr">
        <is>
          <t>NEO ĐÁY</t>
        </is>
      </c>
      <c r="E176" s="38" t="n">
        <v>395.63</v>
      </c>
      <c r="F176" s="38" t="n">
        <v>-164.32</v>
      </c>
      <c r="G176" s="38" t="n">
        <v>395.63</v>
      </c>
      <c r="H176" s="38" t="n">
        <v>-181.86</v>
      </c>
      <c r="I176" s="38" t="n">
        <v>376.8</v>
      </c>
      <c r="J176" s="39">
        <f>SQRT((G176-E176)^2+(H176-F176)^2)</f>
        <v/>
      </c>
      <c r="K176" s="40">
        <f>MOD(DEGREES(ATAN2(G176-E176,H176-F176)),360)</f>
        <v/>
      </c>
    </row>
    <row r="177" ht="15" customHeight="1" s="1">
      <c r="B177" s="37" t="inlineStr">
        <is>
          <t>BÈ 7</t>
        </is>
      </c>
      <c r="C177" s="37" t="inlineStr">
        <is>
          <t>N7-13</t>
        </is>
      </c>
      <c r="D177" s="37" t="inlineStr">
        <is>
          <t>NEO ĐÁY</t>
        </is>
      </c>
      <c r="E177" s="38" t="n">
        <v>381.24</v>
      </c>
      <c r="F177" s="38" t="n">
        <v>-164.32</v>
      </c>
      <c r="G177" s="38" t="n">
        <v>381.24</v>
      </c>
      <c r="H177" s="38" t="n">
        <v>-181.86</v>
      </c>
      <c r="I177" s="38" t="n">
        <v>376.8</v>
      </c>
      <c r="J177" s="39">
        <f>SQRT((G177-E177)^2+(H177-F177)^2)</f>
        <v/>
      </c>
      <c r="K177" s="40">
        <f>MOD(DEGREES(ATAN2(G177-E177,H177-F177)),360)</f>
        <v/>
      </c>
    </row>
    <row r="178" ht="15" customHeight="1" s="1">
      <c r="B178" s="37" t="inlineStr">
        <is>
          <t>BÈ 7</t>
        </is>
      </c>
      <c r="C178" s="37" t="inlineStr">
        <is>
          <t>N7-14</t>
        </is>
      </c>
      <c r="D178" s="37" t="inlineStr">
        <is>
          <t>NEO ĐÁY</t>
        </is>
      </c>
      <c r="E178" s="38" t="n">
        <v>378.04</v>
      </c>
      <c r="F178" s="38" t="n">
        <v>-153.02</v>
      </c>
      <c r="G178" s="38" t="n">
        <v>360.5</v>
      </c>
      <c r="H178" s="38" t="n">
        <v>-153.2</v>
      </c>
      <c r="I178" s="38" t="n">
        <v>376.8</v>
      </c>
      <c r="J178" s="39">
        <f>SQRT((G178-E178)^2+(H178-F178)^2)</f>
        <v/>
      </c>
      <c r="K178" s="40">
        <f>MOD(DEGREES(ATAN2(G178-E178,H178-F178)),360)</f>
        <v/>
      </c>
    </row>
    <row r="179" ht="15" customHeight="1" s="1">
      <c r="B179" s="37" t="inlineStr">
        <is>
          <t>BÈ 7</t>
        </is>
      </c>
      <c r="C179" s="37" t="inlineStr">
        <is>
          <t>N7-15</t>
        </is>
      </c>
      <c r="D179" s="37" t="inlineStr">
        <is>
          <t>NEO ĐÁY</t>
        </is>
      </c>
      <c r="E179" s="38" t="n">
        <v>373.13</v>
      </c>
      <c r="F179" s="38" t="n">
        <v>-143.43</v>
      </c>
      <c r="G179" s="38" t="n">
        <v>373.13</v>
      </c>
      <c r="H179" s="38" t="n">
        <v>-160.97</v>
      </c>
      <c r="I179" s="38" t="n">
        <v>376.8</v>
      </c>
      <c r="J179" s="39">
        <f>SQRT((G179-E179)^2+(H179-F179)^2)</f>
        <v/>
      </c>
      <c r="K179" s="40">
        <f>MOD(DEGREES(ATAN2(G179-E179,H179-F179)),360)</f>
        <v/>
      </c>
    </row>
    <row r="180" ht="15" customHeight="1" s="1">
      <c r="B180" s="37" t="inlineStr">
        <is>
          <t>BÈ 7</t>
        </is>
      </c>
      <c r="C180" s="37" t="inlineStr">
        <is>
          <t>N7-16</t>
        </is>
      </c>
      <c r="D180" s="37" t="inlineStr">
        <is>
          <t>NEO ĐÁY</t>
        </is>
      </c>
      <c r="E180" s="38" t="n">
        <v>358.74</v>
      </c>
      <c r="F180" s="38" t="n">
        <v>-143.43</v>
      </c>
      <c r="G180" s="38" t="n">
        <v>358.74</v>
      </c>
      <c r="H180" s="38" t="n">
        <v>-160.96</v>
      </c>
      <c r="I180" s="38" t="n">
        <v>376.8</v>
      </c>
      <c r="J180" s="39">
        <f>SQRT((G180-E180)^2+(H180-F180)^2)</f>
        <v/>
      </c>
      <c r="K180" s="40">
        <f>MOD(DEGREES(ATAN2(G180-E180,H180-F180)),360)</f>
        <v/>
      </c>
    </row>
    <row r="181" ht="15" customHeight="1" s="1">
      <c r="B181" s="37" t="inlineStr">
        <is>
          <t>BÈ 8</t>
        </is>
      </c>
      <c r="C181" s="37" t="inlineStr">
        <is>
          <t>N8-01</t>
        </is>
      </c>
      <c r="D181" s="37" t="inlineStr">
        <is>
          <t>NEO ĐÁY</t>
        </is>
      </c>
      <c r="E181" s="38" t="n">
        <v>392.94</v>
      </c>
      <c r="F181" s="38" t="n">
        <v>-1.6</v>
      </c>
      <c r="G181" s="38" t="n">
        <v>397.77</v>
      </c>
      <c r="H181" s="38" t="n">
        <v>-18.46</v>
      </c>
      <c r="I181" s="38" t="n">
        <v>376.8</v>
      </c>
      <c r="J181" s="39">
        <f>SQRT((G181-E181)^2+(H181-F181)^2)</f>
        <v/>
      </c>
      <c r="K181" s="40">
        <f>MOD(DEGREES(ATAN2(G181-E181,H181-F181)),360)</f>
        <v/>
      </c>
    </row>
    <row r="182" ht="15" customHeight="1" s="1">
      <c r="B182" s="37" t="inlineStr">
        <is>
          <t>BÈ 8</t>
        </is>
      </c>
      <c r="C182" s="37" t="inlineStr">
        <is>
          <t>N8-02</t>
        </is>
      </c>
      <c r="D182" s="37" t="inlineStr">
        <is>
          <t>NEO ĐÁY</t>
        </is>
      </c>
      <c r="E182" s="38" t="n">
        <v>406.44</v>
      </c>
      <c r="F182" s="38" t="n">
        <v>2.27</v>
      </c>
      <c r="G182" s="38" t="n">
        <v>401.61</v>
      </c>
      <c r="H182" s="38" t="n">
        <v>19.13</v>
      </c>
      <c r="I182" s="38" t="n">
        <v>376.8</v>
      </c>
      <c r="J182" s="39">
        <f>SQRT((G182-E182)^2+(H182-F182)^2)</f>
        <v/>
      </c>
      <c r="K182" s="40">
        <f>MOD(DEGREES(ATAN2(G182-E182,H182-F182)),360)</f>
        <v/>
      </c>
    </row>
    <row r="183" ht="15" customHeight="1" s="1">
      <c r="B183" s="37" t="inlineStr">
        <is>
          <t>BÈ 8</t>
        </is>
      </c>
      <c r="C183" s="37" t="inlineStr">
        <is>
          <t>N8-03</t>
        </is>
      </c>
      <c r="D183" s="37" t="inlineStr">
        <is>
          <t>NEO ĐÁY</t>
        </is>
      </c>
      <c r="E183" s="38" t="n">
        <v>419.95</v>
      </c>
      <c r="F183" s="38" t="n">
        <v>6.14</v>
      </c>
      <c r="G183" s="38" t="n">
        <v>415.12</v>
      </c>
      <c r="H183" s="38" t="n">
        <v>23</v>
      </c>
      <c r="I183" s="38" t="n">
        <v>376.8</v>
      </c>
      <c r="J183" s="39">
        <f>SQRT((G183-E183)^2+(H183-F183)^2)</f>
        <v/>
      </c>
      <c r="K183" s="40">
        <f>MOD(DEGREES(ATAN2(G183-E183,H183-F183)),360)</f>
        <v/>
      </c>
    </row>
    <row r="184" ht="15" customHeight="1" s="1">
      <c r="B184" s="37" t="inlineStr">
        <is>
          <t>BÈ 8</t>
        </is>
      </c>
      <c r="C184" s="37" t="inlineStr">
        <is>
          <t>N8-04</t>
        </is>
      </c>
      <c r="D184" s="37" t="inlineStr">
        <is>
          <t>NEO BỜ</t>
        </is>
      </c>
      <c r="E184" s="38" t="n">
        <v>433.46</v>
      </c>
      <c r="F184" s="38" t="n">
        <v>10.01</v>
      </c>
      <c r="G184" s="38" t="n">
        <v>446.63</v>
      </c>
      <c r="H184" s="38" t="n">
        <v>24.6</v>
      </c>
      <c r="I184" s="38" t="n">
        <v>384.5</v>
      </c>
      <c r="J184" s="39">
        <f>SQRT((G184-E184)^2+(H184-F184)^2)</f>
        <v/>
      </c>
      <c r="K184" s="40">
        <f>MOD(DEGREES(ATAN2(G184-E184,H184-F184)),360)</f>
        <v/>
      </c>
    </row>
    <row r="185" ht="15" customHeight="1" s="1">
      <c r="B185" s="37" t="inlineStr">
        <is>
          <t>BÈ 8</t>
        </is>
      </c>
      <c r="C185" s="37" t="inlineStr">
        <is>
          <t>N8-05</t>
        </is>
      </c>
      <c r="D185" s="37" t="inlineStr">
        <is>
          <t>NEO BỜ</t>
        </is>
      </c>
      <c r="E185" s="38" t="n">
        <v>441.51</v>
      </c>
      <c r="F185" s="38" t="n">
        <v>4.05</v>
      </c>
      <c r="G185" s="38" t="n">
        <v>449.22</v>
      </c>
      <c r="H185" s="38" t="n">
        <v>23.27</v>
      </c>
      <c r="I185" s="38" t="n">
        <v>384.5</v>
      </c>
      <c r="J185" s="39">
        <f>SQRT((G185-E185)^2+(H185-F185)^2)</f>
        <v/>
      </c>
      <c r="K185" s="40">
        <f>MOD(DEGREES(ATAN2(G185-E185,H185-F185)),360)</f>
        <v/>
      </c>
    </row>
    <row r="186" ht="15" customHeight="1" s="1">
      <c r="B186" s="37" t="inlineStr">
        <is>
          <t>BÈ 8</t>
        </is>
      </c>
      <c r="C186" s="37" t="inlineStr">
        <is>
          <t>N8-06</t>
        </is>
      </c>
      <c r="D186" s="37" t="inlineStr">
        <is>
          <t>NEO BỜ</t>
        </is>
      </c>
      <c r="E186" s="38" t="n">
        <v>445.38</v>
      </c>
      <c r="F186" s="38" t="n">
        <v>-9.460000000000001</v>
      </c>
      <c r="G186" s="38" t="n">
        <v>462.26</v>
      </c>
      <c r="H186" s="38" t="n">
        <v>-9.699999999999999</v>
      </c>
      <c r="I186" s="38" t="n">
        <v>384.5</v>
      </c>
      <c r="J186" s="39">
        <f>SQRT((G186-E186)^2+(H186-F186)^2)</f>
        <v/>
      </c>
      <c r="K186" s="40">
        <f>MOD(DEGREES(ATAN2(G186-E186,H186-F186)),360)</f>
        <v/>
      </c>
    </row>
    <row r="187" ht="15" customHeight="1" s="1">
      <c r="B187" s="37" t="inlineStr">
        <is>
          <t>BÈ 8</t>
        </is>
      </c>
      <c r="C187" s="37" t="inlineStr">
        <is>
          <t>N8-07</t>
        </is>
      </c>
      <c r="D187" s="37" t="inlineStr">
        <is>
          <t>NEO BỜ</t>
        </is>
      </c>
      <c r="E187" s="38" t="n">
        <v>449.25</v>
      </c>
      <c r="F187" s="38" t="n">
        <v>-22.96</v>
      </c>
      <c r="G187" s="38" t="n">
        <v>462.77</v>
      </c>
      <c r="H187" s="38" t="n">
        <v>-25.58</v>
      </c>
      <c r="I187" s="38" t="n">
        <v>384.5</v>
      </c>
      <c r="J187" s="39">
        <f>SQRT((G187-E187)^2+(H187-F187)^2)</f>
        <v/>
      </c>
      <c r="K187" s="40">
        <f>MOD(DEGREES(ATAN2(G187-E187,H187-F187)),360)</f>
        <v/>
      </c>
    </row>
    <row r="188" ht="15" customHeight="1" s="1">
      <c r="B188" s="37" t="inlineStr">
        <is>
          <t>BÈ 8</t>
        </is>
      </c>
      <c r="C188" s="37" t="inlineStr">
        <is>
          <t>N8-08</t>
        </is>
      </c>
      <c r="D188" s="37" t="inlineStr">
        <is>
          <t>NEO BỜ</t>
        </is>
      </c>
      <c r="E188" s="38" t="n">
        <v>444.44</v>
      </c>
      <c r="F188" s="38" t="n">
        <v>-31.65</v>
      </c>
      <c r="G188" s="38" t="n">
        <v>453.96</v>
      </c>
      <c r="H188" s="38" t="n">
        <v>-39.87</v>
      </c>
      <c r="I188" s="38" t="n">
        <v>384.5</v>
      </c>
      <c r="J188" s="39">
        <f>SQRT((G188-E188)^2+(H188-F188)^2)</f>
        <v/>
      </c>
      <c r="K188" s="40">
        <f>MOD(DEGREES(ATAN2(G188-E188,H188-F188)),360)</f>
        <v/>
      </c>
    </row>
    <row r="189" ht="15" customHeight="1" s="1">
      <c r="B189" s="37" t="inlineStr">
        <is>
          <t>BÈ 8</t>
        </is>
      </c>
      <c r="C189" s="37" t="inlineStr">
        <is>
          <t>N8-09</t>
        </is>
      </c>
      <c r="D189" s="37" t="inlineStr">
        <is>
          <t>NEO BỜ</t>
        </is>
      </c>
      <c r="E189" s="38" t="n">
        <v>430.93</v>
      </c>
      <c r="F189" s="38" t="n">
        <v>-35.53</v>
      </c>
      <c r="G189" s="38" t="n">
        <v>445.56</v>
      </c>
      <c r="H189" s="38" t="n">
        <v>-49.66</v>
      </c>
      <c r="I189" s="38" t="n">
        <v>384.5</v>
      </c>
      <c r="J189" s="39">
        <f>SQRT((G189-E189)^2+(H189-F189)^2)</f>
        <v/>
      </c>
      <c r="K189" s="40">
        <f>MOD(DEGREES(ATAN2(G189-E189,H189-F189)),360)</f>
        <v/>
      </c>
    </row>
    <row r="190" ht="15" customHeight="1" s="1">
      <c r="B190" s="37" t="inlineStr">
        <is>
          <t>BÈ 8</t>
        </is>
      </c>
      <c r="C190" s="37" t="inlineStr">
        <is>
          <t>N8-10</t>
        </is>
      </c>
      <c r="D190" s="37" t="inlineStr">
        <is>
          <t>NEO BỜ</t>
        </is>
      </c>
      <c r="E190" s="38" t="n">
        <v>417.43</v>
      </c>
      <c r="F190" s="38" t="n">
        <v>-39.4</v>
      </c>
      <c r="G190" s="38" t="n">
        <v>430.99</v>
      </c>
      <c r="H190" s="38" t="n">
        <v>-60.94</v>
      </c>
      <c r="I190" s="38" t="n">
        <v>384.5</v>
      </c>
      <c r="J190" s="39">
        <f>SQRT((G190-E190)^2+(H190-F190)^2)</f>
        <v/>
      </c>
      <c r="K190" s="40">
        <f>MOD(DEGREES(ATAN2(G190-E190,H190-F190)),360)</f>
        <v/>
      </c>
    </row>
    <row r="191" ht="15" customHeight="1" s="1">
      <c r="B191" s="37" t="inlineStr">
        <is>
          <t>BÈ 8</t>
        </is>
      </c>
      <c r="C191" s="37" t="inlineStr">
        <is>
          <t>N8-11</t>
        </is>
      </c>
      <c r="D191" s="37" t="inlineStr">
        <is>
          <t>NEO ĐÁY</t>
        </is>
      </c>
      <c r="E191" s="38" t="n">
        <v>404.56</v>
      </c>
      <c r="F191" s="38" t="n">
        <v>-42.12</v>
      </c>
      <c r="G191" s="38" t="n">
        <v>387.7</v>
      </c>
      <c r="H191" s="38" t="n">
        <v>-46.96</v>
      </c>
      <c r="I191" s="38" t="n">
        <v>376.8</v>
      </c>
      <c r="J191" s="39">
        <f>SQRT((G191-E191)^2+(H191-F191)^2)</f>
        <v/>
      </c>
      <c r="K191" s="40">
        <f>MOD(DEGREES(ATAN2(G191-E191,H191-F191)),360)</f>
        <v/>
      </c>
    </row>
    <row r="192" ht="15" customHeight="1" s="1">
      <c r="B192" s="37" t="inlineStr">
        <is>
          <t>BÈ 8</t>
        </is>
      </c>
      <c r="C192" s="37" t="inlineStr">
        <is>
          <t>N8-12</t>
        </is>
      </c>
      <c r="D192" s="37" t="inlineStr">
        <is>
          <t>NEO ĐÁY</t>
        </is>
      </c>
      <c r="E192" s="38" t="n">
        <v>400.68</v>
      </c>
      <c r="F192" s="38" t="n">
        <v>-28.62</v>
      </c>
      <c r="G192" s="38" t="n">
        <v>383.83</v>
      </c>
      <c r="H192" s="38" t="n">
        <v>-33.45</v>
      </c>
      <c r="I192" s="38" t="n">
        <v>376.8</v>
      </c>
      <c r="J192" s="39">
        <f>SQRT((G192-E192)^2+(H192-F192)^2)</f>
        <v/>
      </c>
      <c r="K192" s="40">
        <f>MOD(DEGREES(ATAN2(G192-E192,H192-F192)),360)</f>
        <v/>
      </c>
    </row>
    <row r="193" ht="15" customHeight="1" s="1">
      <c r="B193" s="37" t="inlineStr">
        <is>
          <t>BÈ 8</t>
        </is>
      </c>
      <c r="C193" s="37" t="inlineStr">
        <is>
          <t>N8-13</t>
        </is>
      </c>
      <c r="D193" s="37" t="inlineStr">
        <is>
          <t>NEO ĐÁY</t>
        </is>
      </c>
      <c r="E193" s="38" t="n">
        <v>396.81</v>
      </c>
      <c r="F193" s="38" t="n">
        <v>-15.11</v>
      </c>
      <c r="G193" s="38" t="n">
        <v>379.95</v>
      </c>
      <c r="H193" s="38" t="n">
        <v>-19.94</v>
      </c>
      <c r="I193" s="38" t="n">
        <v>376.8</v>
      </c>
      <c r="J193" s="39">
        <f>SQRT((G193-E193)^2+(H193-F193)^2)</f>
        <v/>
      </c>
      <c r="K193" s="40">
        <f>MOD(DEGREES(ATAN2(G193-E193,H193-F193)),360)</f>
        <v/>
      </c>
    </row>
    <row r="194" ht="15" customHeight="1" s="1">
      <c r="B194" s="37" t="inlineStr">
        <is>
          <t>BÈ 9</t>
        </is>
      </c>
      <c r="C194" s="37" t="inlineStr">
        <is>
          <t>N9-01</t>
        </is>
      </c>
      <c r="D194" s="37" t="inlineStr">
        <is>
          <t>NEO ĐÁY</t>
        </is>
      </c>
      <c r="E194" s="38" t="n">
        <v>330.3</v>
      </c>
      <c r="F194" s="38" t="n">
        <v>48.54</v>
      </c>
      <c r="G194" s="38" t="n">
        <v>335.13</v>
      </c>
      <c r="H194" s="38" t="n">
        <v>31.68</v>
      </c>
      <c r="I194" s="38" t="n">
        <v>376.8</v>
      </c>
      <c r="J194" s="39">
        <f>SQRT((G194-E194)^2+(H194-F194)^2)</f>
        <v/>
      </c>
      <c r="K194" s="40">
        <f>MOD(DEGREES(ATAN2(G194-E194,H194-F194)),360)</f>
        <v/>
      </c>
    </row>
    <row r="195" ht="15" customHeight="1" s="1">
      <c r="B195" s="37" t="inlineStr">
        <is>
          <t>BÈ 9</t>
        </is>
      </c>
      <c r="C195" s="37" t="inlineStr">
        <is>
          <t>N9-02</t>
        </is>
      </c>
      <c r="D195" s="37" t="inlineStr">
        <is>
          <t>NEO BỜ</t>
        </is>
      </c>
      <c r="E195" s="38" t="n">
        <v>344.09</v>
      </c>
      <c r="F195" s="38" t="n">
        <v>52.49</v>
      </c>
      <c r="G195" s="38" t="n">
        <v>346.78</v>
      </c>
      <c r="H195" s="38" t="n">
        <v>77.8</v>
      </c>
      <c r="I195" s="38" t="n">
        <v>384.5</v>
      </c>
      <c r="J195" s="39">
        <f>SQRT((G195-E195)^2+(H195-F195)^2)</f>
        <v/>
      </c>
      <c r="K195" s="40">
        <f>MOD(DEGREES(ATAN2(G195-E195,H195-F195)),360)</f>
        <v/>
      </c>
    </row>
    <row r="196" ht="15" customHeight="1" s="1">
      <c r="B196" s="37" t="inlineStr">
        <is>
          <t>BÈ 9</t>
        </is>
      </c>
      <c r="C196" s="37" t="inlineStr">
        <is>
          <t>N9-03</t>
        </is>
      </c>
      <c r="D196" s="37" t="inlineStr">
        <is>
          <t>NEO BỜ</t>
        </is>
      </c>
      <c r="E196" s="38" t="n">
        <v>357.88</v>
      </c>
      <c r="F196" s="38" t="n">
        <v>56.45</v>
      </c>
      <c r="G196" s="38" t="n">
        <v>361.96</v>
      </c>
      <c r="H196" s="38" t="n">
        <v>76.91</v>
      </c>
      <c r="I196" s="38" t="n">
        <v>384.5</v>
      </c>
      <c r="J196" s="39">
        <f>SQRT((G196-E196)^2+(H196-F196)^2)</f>
        <v/>
      </c>
      <c r="K196" s="40">
        <f>MOD(DEGREES(ATAN2(G196-E196,H196-F196)),360)</f>
        <v/>
      </c>
    </row>
    <row r="197" ht="15" customHeight="1" s="1">
      <c r="B197" s="37" t="inlineStr">
        <is>
          <t>BÈ 9</t>
        </is>
      </c>
      <c r="C197" s="37" t="inlineStr">
        <is>
          <t>N9-04</t>
        </is>
      </c>
      <c r="D197" s="37" t="inlineStr">
        <is>
          <t>NEO BỜ</t>
        </is>
      </c>
      <c r="E197" s="38" t="n">
        <v>371.68</v>
      </c>
      <c r="F197" s="38" t="n">
        <v>60.4</v>
      </c>
      <c r="G197" s="38" t="n">
        <v>366.78</v>
      </c>
      <c r="H197" s="38" t="n">
        <v>76.56</v>
      </c>
      <c r="I197" s="38" t="n">
        <v>384.5</v>
      </c>
      <c r="J197" s="39">
        <f>SQRT((G197-E197)^2+(H197-F197)^2)</f>
        <v/>
      </c>
      <c r="K197" s="40">
        <f>MOD(DEGREES(ATAN2(G197-E197,H197-F197)),360)</f>
        <v/>
      </c>
    </row>
    <row r="198" ht="15" customHeight="1" s="1">
      <c r="B198" s="37" t="inlineStr">
        <is>
          <t>BÈ 9</t>
        </is>
      </c>
      <c r="C198" s="37" t="inlineStr">
        <is>
          <t>N9-05</t>
        </is>
      </c>
      <c r="D198" s="37" t="inlineStr">
        <is>
          <t>NEO BỜ</t>
        </is>
      </c>
      <c r="E198" s="38" t="n">
        <v>385.47</v>
      </c>
      <c r="F198" s="38" t="n">
        <v>64.36</v>
      </c>
      <c r="G198" s="38" t="n">
        <v>382.71</v>
      </c>
      <c r="H198" s="38" t="n">
        <v>78.03</v>
      </c>
      <c r="I198" s="38" t="n">
        <v>384.5</v>
      </c>
      <c r="J198" s="39">
        <f>SQRT((G198-E198)^2+(H198-F198)^2)</f>
        <v/>
      </c>
      <c r="K198" s="40">
        <f>MOD(DEGREES(ATAN2(G198-E198,H198-F198)),360)</f>
        <v/>
      </c>
    </row>
    <row r="199" ht="15" customHeight="1" s="1">
      <c r="B199" s="37" t="inlineStr">
        <is>
          <t>BÈ 9</t>
        </is>
      </c>
      <c r="C199" s="37" t="inlineStr">
        <is>
          <t>N9-06</t>
        </is>
      </c>
      <c r="D199" s="37" t="inlineStr">
        <is>
          <t>NEO BỜ</t>
        </is>
      </c>
      <c r="E199" s="38" t="n">
        <v>393.08</v>
      </c>
      <c r="F199" s="38" t="n">
        <v>57.16</v>
      </c>
      <c r="G199" s="38" t="n">
        <v>409.94</v>
      </c>
      <c r="H199" s="38" t="n">
        <v>60.97</v>
      </c>
      <c r="I199" s="38" t="n">
        <v>384.5</v>
      </c>
      <c r="J199" s="39">
        <f>SQRT((G199-E199)^2+(H199-F199)^2)</f>
        <v/>
      </c>
      <c r="K199" s="40">
        <f>MOD(DEGREES(ATAN2(G199-E199,H199-F199)),360)</f>
        <v/>
      </c>
    </row>
    <row r="200" ht="15" customHeight="1" s="1">
      <c r="B200" s="37" t="inlineStr">
        <is>
          <t>BÈ 9</t>
        </is>
      </c>
      <c r="C200" s="37" t="inlineStr">
        <is>
          <t>N9-07</t>
        </is>
      </c>
      <c r="D200" s="37" t="inlineStr">
        <is>
          <t>NEO BỜ</t>
        </is>
      </c>
      <c r="E200" s="38" t="n">
        <v>397.04</v>
      </c>
      <c r="F200" s="38" t="n">
        <v>43.37</v>
      </c>
      <c r="G200" s="38" t="n">
        <v>410.55</v>
      </c>
      <c r="H200" s="38" t="n">
        <v>48.58</v>
      </c>
      <c r="I200" s="38" t="n">
        <v>384.5</v>
      </c>
      <c r="J200" s="39">
        <f>SQRT((G200-E200)^2+(H200-F200)^2)</f>
        <v/>
      </c>
      <c r="K200" s="40">
        <f>MOD(DEGREES(ATAN2(G200-E200,H200-F200)),360)</f>
        <v/>
      </c>
    </row>
    <row r="201" ht="15" customHeight="1" s="1">
      <c r="B201" s="37" t="inlineStr">
        <is>
          <t>BÈ 9</t>
        </is>
      </c>
      <c r="C201" s="37" t="inlineStr">
        <is>
          <t>N9-08</t>
        </is>
      </c>
      <c r="D201" s="37" t="inlineStr">
        <is>
          <t>NEO ĐÁY</t>
        </is>
      </c>
      <c r="E201" s="38" t="n">
        <v>395.88</v>
      </c>
      <c r="F201" s="38" t="n">
        <v>32.39</v>
      </c>
      <c r="G201" s="38" t="n">
        <v>400.8</v>
      </c>
      <c r="H201" s="38" t="n">
        <v>15.56</v>
      </c>
      <c r="I201" s="38" t="n">
        <v>376.8</v>
      </c>
      <c r="J201" s="39">
        <f>SQRT((G201-E201)^2+(H201-F201)^2)</f>
        <v/>
      </c>
      <c r="K201" s="40">
        <f>MOD(DEGREES(ATAN2(G201-E201,H201-F201)),360)</f>
        <v/>
      </c>
    </row>
    <row r="202" ht="15" customHeight="1" s="1">
      <c r="B202" s="37" t="inlineStr">
        <is>
          <t>BÈ 9</t>
        </is>
      </c>
      <c r="C202" s="37" t="inlineStr">
        <is>
          <t>N9-09</t>
        </is>
      </c>
      <c r="D202" s="37" t="inlineStr">
        <is>
          <t>NEO ĐÁY</t>
        </is>
      </c>
      <c r="E202" s="38" t="n">
        <v>387.15</v>
      </c>
      <c r="F202" s="38" t="n">
        <v>25.56</v>
      </c>
      <c r="G202" s="38" t="n">
        <v>404.05</v>
      </c>
      <c r="H202" s="38" t="n">
        <v>30.23</v>
      </c>
      <c r="I202" s="38" t="n">
        <v>376.8</v>
      </c>
      <c r="J202" s="39">
        <f>SQRT((G202-E202)^2+(H202-F202)^2)</f>
        <v/>
      </c>
      <c r="K202" s="40">
        <f>MOD(DEGREES(ATAN2(G202-E202,H202-F202)),360)</f>
        <v/>
      </c>
    </row>
    <row r="203" ht="15" customHeight="1" s="1">
      <c r="B203" s="37" t="inlineStr">
        <is>
          <t>BÈ 9</t>
        </is>
      </c>
      <c r="C203" s="37" t="inlineStr">
        <is>
          <t>N9-10</t>
        </is>
      </c>
      <c r="D203" s="37" t="inlineStr">
        <is>
          <t>NEO ĐÁY</t>
        </is>
      </c>
      <c r="E203" s="38" t="n">
        <v>382.22</v>
      </c>
      <c r="F203" s="38" t="n">
        <v>16.63</v>
      </c>
      <c r="G203" s="38" t="n">
        <v>387.05</v>
      </c>
      <c r="H203" s="38" t="n">
        <v>-0.22</v>
      </c>
      <c r="I203" s="38" t="n">
        <v>376.8</v>
      </c>
      <c r="J203" s="39">
        <f>SQRT((G203-E203)^2+(H203-F203)^2)</f>
        <v/>
      </c>
      <c r="K203" s="40">
        <f>MOD(DEGREES(ATAN2(G203-E203,H203-F203)),360)</f>
        <v/>
      </c>
    </row>
    <row r="204" ht="15" customHeight="1" s="1">
      <c r="B204" s="37" t="inlineStr">
        <is>
          <t>BÈ 9</t>
        </is>
      </c>
      <c r="C204" s="37" t="inlineStr">
        <is>
          <t>N9-11</t>
        </is>
      </c>
      <c r="D204" s="37" t="inlineStr">
        <is>
          <t>NEO ĐÁY</t>
        </is>
      </c>
      <c r="E204" s="38" t="n">
        <v>368.43</v>
      </c>
      <c r="F204" s="38" t="n">
        <v>12.68</v>
      </c>
      <c r="G204" s="38" t="n">
        <v>373.26</v>
      </c>
      <c r="H204" s="38" t="n">
        <v>-4.18</v>
      </c>
      <c r="I204" s="38" t="n">
        <v>376.8</v>
      </c>
      <c r="J204" s="39">
        <f>SQRT((G204-E204)^2+(H204-F204)^2)</f>
        <v/>
      </c>
      <c r="K204" s="40">
        <f>MOD(DEGREES(ATAN2(G204-E204,H204-F204)),360)</f>
        <v/>
      </c>
    </row>
    <row r="205" ht="15" customHeight="1" s="1">
      <c r="B205" s="37" t="inlineStr">
        <is>
          <t>BÈ 9</t>
        </is>
      </c>
      <c r="C205" s="37" t="inlineStr">
        <is>
          <t>N9-12</t>
        </is>
      </c>
      <c r="D205" s="37" t="inlineStr">
        <is>
          <t>NEO ĐÁY</t>
        </is>
      </c>
      <c r="E205" s="38" t="n">
        <v>354.63</v>
      </c>
      <c r="F205" s="38" t="n">
        <v>8.720000000000001</v>
      </c>
      <c r="G205" s="38" t="n">
        <v>359.47</v>
      </c>
      <c r="H205" s="38" t="n">
        <v>-8.140000000000001</v>
      </c>
      <c r="I205" s="38" t="n">
        <v>376.8</v>
      </c>
      <c r="J205" s="39">
        <f>SQRT((G205-E205)^2+(H205-F205)^2)</f>
        <v/>
      </c>
      <c r="K205" s="40">
        <f>MOD(DEGREES(ATAN2(G205-E205,H205-F205)),360)</f>
        <v/>
      </c>
    </row>
    <row r="206" ht="15" customHeight="1" s="1">
      <c r="B206" s="37" t="inlineStr">
        <is>
          <t>BÈ 9</t>
        </is>
      </c>
      <c r="C206" s="37" t="inlineStr">
        <is>
          <t>N9-13</t>
        </is>
      </c>
      <c r="D206" s="37" t="inlineStr">
        <is>
          <t>NEO BỜ</t>
        </is>
      </c>
      <c r="E206" s="38" t="n">
        <v>342.16</v>
      </c>
      <c r="F206" s="38" t="n">
        <v>7.15</v>
      </c>
      <c r="G206" s="38" t="n">
        <v>325.22</v>
      </c>
      <c r="H206" s="38" t="n">
        <v>10.06</v>
      </c>
      <c r="I206" s="38" t="n">
        <v>384.5</v>
      </c>
      <c r="J206" s="39">
        <f>SQRT((G206-E206)^2+(H206-F206)^2)</f>
        <v/>
      </c>
      <c r="K206" s="40">
        <f>MOD(DEGREES(ATAN2(G206-E206,H206-F206)),360)</f>
        <v/>
      </c>
    </row>
    <row r="207" ht="15" customHeight="1" s="1">
      <c r="B207" s="37" t="inlineStr">
        <is>
          <t>BÈ 9</t>
        </is>
      </c>
      <c r="C207" s="37" t="inlineStr">
        <is>
          <t>N9-14</t>
        </is>
      </c>
      <c r="D207" s="37" t="inlineStr">
        <is>
          <t>NEO BỜ</t>
        </is>
      </c>
      <c r="E207" s="38" t="n">
        <v>338.21</v>
      </c>
      <c r="F207" s="38" t="n">
        <v>20.95</v>
      </c>
      <c r="G207" s="38" t="n">
        <v>325.58</v>
      </c>
      <c r="H207" s="38" t="n">
        <v>20.84</v>
      </c>
      <c r="I207" s="38" t="n">
        <v>384.5</v>
      </c>
      <c r="J207" s="39">
        <f>SQRT((G207-E207)^2+(H207-F207)^2)</f>
        <v/>
      </c>
      <c r="K207" s="40">
        <f>MOD(DEGREES(ATAN2(G207-E207,H207-F207)),360)</f>
        <v/>
      </c>
    </row>
    <row r="208" ht="15" customHeight="1" s="1">
      <c r="B208" s="37" t="inlineStr">
        <is>
          <t>BÈ 9</t>
        </is>
      </c>
      <c r="C208" s="37" t="inlineStr">
        <is>
          <t>N9-15</t>
        </is>
      </c>
      <c r="D208" s="37" t="inlineStr">
        <is>
          <t>NEO BỜ</t>
        </is>
      </c>
      <c r="E208" s="38" t="n">
        <v>334.25</v>
      </c>
      <c r="F208" s="38" t="n">
        <v>34.74</v>
      </c>
      <c r="G208" s="38" t="n">
        <v>321.97</v>
      </c>
      <c r="H208" s="38" t="n">
        <v>33.99</v>
      </c>
      <c r="I208" s="38" t="n">
        <v>384.5</v>
      </c>
      <c r="J208" s="39">
        <f>SQRT((G208-E208)^2+(H208-F208)^2)</f>
        <v/>
      </c>
      <c r="K208" s="40">
        <f>MOD(DEGREES(ATAN2(G208-E208,H208-F208)),360)</f>
        <v/>
      </c>
    </row>
    <row r="209" ht="15" customHeight="1" s="1">
      <c r="B209" s="37" t="inlineStr">
        <is>
          <t>BÈ 10</t>
        </is>
      </c>
      <c r="C209" s="37" t="inlineStr">
        <is>
          <t>N10-01</t>
        </is>
      </c>
      <c r="D209" s="37" t="inlineStr">
        <is>
          <t>NEO BỜ</t>
        </is>
      </c>
      <c r="E209" s="38" t="n">
        <v>86.68000000000001</v>
      </c>
      <c r="F209" s="38" t="n">
        <v>-64.02</v>
      </c>
      <c r="G209" s="38" t="n">
        <v>73.39</v>
      </c>
      <c r="H209" s="38" t="n">
        <v>-67.7</v>
      </c>
      <c r="I209" s="38" t="n">
        <v>384.5</v>
      </c>
      <c r="J209" s="39">
        <f>SQRT((G209-E209)^2+(H209-F209)^2)</f>
        <v/>
      </c>
      <c r="K209" s="40">
        <f>MOD(DEGREES(ATAN2(G209-E209,H209-F209)),360)</f>
        <v/>
      </c>
    </row>
    <row r="210" ht="15" customHeight="1" s="1">
      <c r="B210" s="37" t="inlineStr">
        <is>
          <t>BÈ 10</t>
        </is>
      </c>
      <c r="C210" s="37" t="inlineStr">
        <is>
          <t>N10-02</t>
        </is>
      </c>
      <c r="D210" s="37" t="inlineStr">
        <is>
          <t>NEO BỜ</t>
        </is>
      </c>
      <c r="E210" s="38" t="n">
        <v>86.68000000000001</v>
      </c>
      <c r="F210" s="38" t="n">
        <v>-49.35</v>
      </c>
      <c r="G210" s="38" t="n">
        <v>69.88</v>
      </c>
      <c r="H210" s="38" t="n">
        <v>-53.98</v>
      </c>
      <c r="I210" s="38" t="n">
        <v>384.5</v>
      </c>
      <c r="J210" s="39">
        <f>SQRT((G210-E210)^2+(H210-F210)^2)</f>
        <v/>
      </c>
      <c r="K210" s="40">
        <f>MOD(DEGREES(ATAN2(G210-E210,H210-F210)),360)</f>
        <v/>
      </c>
    </row>
    <row r="211" ht="15" customHeight="1" s="1">
      <c r="B211" s="37" t="inlineStr">
        <is>
          <t>BÈ 10</t>
        </is>
      </c>
      <c r="C211" s="37" t="inlineStr">
        <is>
          <t>N10-03</t>
        </is>
      </c>
      <c r="D211" s="37" t="inlineStr">
        <is>
          <t>NEO BỜ</t>
        </is>
      </c>
      <c r="E211" s="38" t="n">
        <v>86.68000000000001</v>
      </c>
      <c r="F211" s="38" t="n">
        <v>-34.69</v>
      </c>
      <c r="G211" s="38" t="n">
        <v>66.20999999999999</v>
      </c>
      <c r="H211" s="38" t="n">
        <v>-38.89</v>
      </c>
      <c r="I211" s="38" t="n">
        <v>384.5</v>
      </c>
      <c r="J211" s="39">
        <f>SQRT((G211-E211)^2+(H211-F211)^2)</f>
        <v/>
      </c>
      <c r="K211" s="40">
        <f>MOD(DEGREES(ATAN2(G211-E211,H211-F211)),360)</f>
        <v/>
      </c>
    </row>
    <row r="212" ht="15" customHeight="1" s="1">
      <c r="B212" s="37" t="inlineStr">
        <is>
          <t>BÈ 10</t>
        </is>
      </c>
      <c r="C212" s="37" t="inlineStr">
        <is>
          <t>N10-04</t>
        </is>
      </c>
      <c r="D212" s="37" t="inlineStr">
        <is>
          <t>NEO BỜ</t>
        </is>
      </c>
      <c r="E212" s="38" t="n">
        <v>86.68000000000001</v>
      </c>
      <c r="F212" s="38" t="n">
        <v>-20.03</v>
      </c>
      <c r="G212" s="38" t="n">
        <v>65.17</v>
      </c>
      <c r="H212" s="38" t="n">
        <v>-17.76</v>
      </c>
      <c r="I212" s="38" t="n">
        <v>384.5</v>
      </c>
      <c r="J212" s="39">
        <f>SQRT((G212-E212)^2+(H212-F212)^2)</f>
        <v/>
      </c>
      <c r="K212" s="40">
        <f>MOD(DEGREES(ATAN2(G212-E212,H212-F212)),360)</f>
        <v/>
      </c>
    </row>
    <row r="213" ht="15" customHeight="1" s="1">
      <c r="B213" s="37" t="inlineStr">
        <is>
          <t>BÈ 10</t>
        </is>
      </c>
      <c r="C213" s="37" t="inlineStr">
        <is>
          <t>N10-05</t>
        </is>
      </c>
      <c r="D213" s="37" t="inlineStr">
        <is>
          <t>NEO BỜ</t>
        </is>
      </c>
      <c r="E213" s="38" t="n">
        <v>86.68000000000001</v>
      </c>
      <c r="F213" s="38" t="n">
        <v>-5.37</v>
      </c>
      <c r="G213" s="38" t="n">
        <v>63.67</v>
      </c>
      <c r="H213" s="38" t="n">
        <v>-9.27</v>
      </c>
      <c r="I213" s="38" t="n">
        <v>384.5</v>
      </c>
      <c r="J213" s="39">
        <f>SQRT((G213-E213)^2+(H213-F213)^2)</f>
        <v/>
      </c>
      <c r="K213" s="40">
        <f>MOD(DEGREES(ATAN2(G213-E213,H213-F213)),360)</f>
        <v/>
      </c>
    </row>
    <row r="214" ht="15" customHeight="1" s="1">
      <c r="B214" s="37" t="inlineStr">
        <is>
          <t>BÈ 10</t>
        </is>
      </c>
      <c r="C214" s="37" t="inlineStr">
        <is>
          <t>N10-06</t>
        </is>
      </c>
      <c r="D214" s="37" t="inlineStr">
        <is>
          <t>NEO BỜ</t>
        </is>
      </c>
      <c r="E214" s="38" t="n">
        <v>86.68000000000001</v>
      </c>
      <c r="F214" s="38" t="n">
        <v>9.289999999999999</v>
      </c>
      <c r="G214" s="38" t="n">
        <v>60.4</v>
      </c>
      <c r="H214" s="38" t="n">
        <v>-0.42</v>
      </c>
      <c r="I214" s="38" t="n">
        <v>384.5</v>
      </c>
      <c r="J214" s="39">
        <f>SQRT((G214-E214)^2+(H214-F214)^2)</f>
        <v/>
      </c>
      <c r="K214" s="40">
        <f>MOD(DEGREES(ATAN2(G214-E214,H214-F214)),360)</f>
        <v/>
      </c>
    </row>
    <row r="215" ht="15" customHeight="1" s="1">
      <c r="B215" s="37" t="inlineStr">
        <is>
          <t>BÈ 10</t>
        </is>
      </c>
      <c r="C215" s="37" t="inlineStr">
        <is>
          <t>N10-07</t>
        </is>
      </c>
      <c r="D215" s="37" t="inlineStr">
        <is>
          <t>NEO BỜ</t>
        </is>
      </c>
      <c r="E215" s="38" t="n">
        <v>86.68000000000001</v>
      </c>
      <c r="F215" s="38" t="n">
        <v>23.95</v>
      </c>
      <c r="G215" s="38" t="n">
        <v>59.97</v>
      </c>
      <c r="H215" s="38" t="n">
        <v>29.37</v>
      </c>
      <c r="I215" s="38" t="n">
        <v>384.5</v>
      </c>
      <c r="J215" s="39">
        <f>SQRT((G215-E215)^2+(H215-F215)^2)</f>
        <v/>
      </c>
      <c r="K215" s="40">
        <f>MOD(DEGREES(ATAN2(G215-E215,H215-F215)),360)</f>
        <v/>
      </c>
    </row>
    <row r="216" ht="15" customHeight="1" s="1">
      <c r="B216" s="37" t="inlineStr">
        <is>
          <t>BÈ 10</t>
        </is>
      </c>
      <c r="C216" s="37" t="inlineStr">
        <is>
          <t>N10-08</t>
        </is>
      </c>
      <c r="D216" s="37" t="inlineStr">
        <is>
          <t>NEO BỜ</t>
        </is>
      </c>
      <c r="E216" s="38" t="n">
        <v>86.68000000000001</v>
      </c>
      <c r="F216" s="38" t="n">
        <v>38.62</v>
      </c>
      <c r="G216" s="38" t="n">
        <v>59.95</v>
      </c>
      <c r="H216" s="38" t="n">
        <v>37.88</v>
      </c>
      <c r="I216" s="38" t="n">
        <v>384.5</v>
      </c>
      <c r="J216" s="39">
        <f>SQRT((G216-E216)^2+(H216-F216)^2)</f>
        <v/>
      </c>
      <c r="K216" s="40">
        <f>MOD(DEGREES(ATAN2(G216-E216,H216-F216)),360)</f>
        <v/>
      </c>
    </row>
    <row r="217" ht="15" customHeight="1" s="1">
      <c r="B217" s="37" t="inlineStr">
        <is>
          <t>BÈ 10</t>
        </is>
      </c>
      <c r="C217" s="37" t="inlineStr">
        <is>
          <t>N10-09</t>
        </is>
      </c>
      <c r="D217" s="37" t="inlineStr">
        <is>
          <t>NEO BỜ</t>
        </is>
      </c>
      <c r="E217" s="38" t="n">
        <v>86.68000000000001</v>
      </c>
      <c r="F217" s="38" t="n">
        <v>53.28</v>
      </c>
      <c r="G217" s="38" t="n">
        <v>59.95</v>
      </c>
      <c r="H217" s="38" t="n">
        <v>37.96</v>
      </c>
      <c r="I217" s="38" t="n">
        <v>384.5</v>
      </c>
      <c r="J217" s="39">
        <f>SQRT((G217-E217)^2+(H217-F217)^2)</f>
        <v/>
      </c>
      <c r="K217" s="40">
        <f>MOD(DEGREES(ATAN2(G217-E217,H217-F217)),360)</f>
        <v/>
      </c>
    </row>
    <row r="218" ht="15" customHeight="1" s="1">
      <c r="B218" s="37" t="inlineStr">
        <is>
          <t>BÈ 10</t>
        </is>
      </c>
      <c r="C218" s="37" t="inlineStr">
        <is>
          <t>N10-10</t>
        </is>
      </c>
      <c r="D218" s="37" t="inlineStr">
        <is>
          <t>NEO BỜ</t>
        </is>
      </c>
      <c r="E218" s="38" t="n">
        <v>86.68000000000001</v>
      </c>
      <c r="F218" s="38" t="n">
        <v>67.94</v>
      </c>
      <c r="G218" s="38" t="n">
        <v>49</v>
      </c>
      <c r="H218" s="38" t="n">
        <v>55.35</v>
      </c>
      <c r="I218" s="38" t="n">
        <v>384.5</v>
      </c>
      <c r="J218" s="39">
        <f>SQRT((G218-E218)^2+(H218-F218)^2)</f>
        <v/>
      </c>
      <c r="K218" s="40">
        <f>MOD(DEGREES(ATAN2(G218-E218,H218-F218)),360)</f>
        <v/>
      </c>
    </row>
    <row r="219" ht="15" customHeight="1" s="1">
      <c r="B219" s="37" t="inlineStr">
        <is>
          <t>BÈ 10</t>
        </is>
      </c>
      <c r="C219" s="37" t="inlineStr">
        <is>
          <t>N10-11</t>
        </is>
      </c>
      <c r="D219" s="37" t="inlineStr">
        <is>
          <t>NEO ĐÁY</t>
        </is>
      </c>
      <c r="E219" s="38" t="n">
        <v>87.75</v>
      </c>
      <c r="F219" s="38" t="n">
        <v>81.53</v>
      </c>
      <c r="G219" s="38" t="n">
        <v>87.75</v>
      </c>
      <c r="H219" s="38" t="n">
        <v>99.06</v>
      </c>
      <c r="I219" s="38" t="n">
        <v>376.8</v>
      </c>
      <c r="J219" s="39">
        <f>SQRT((G219-E219)^2+(H219-F219)^2)</f>
        <v/>
      </c>
      <c r="K219" s="40">
        <f>MOD(DEGREES(ATAN2(G219-E219,H219-F219)),360)</f>
        <v/>
      </c>
    </row>
    <row r="220" ht="15" customHeight="1" s="1">
      <c r="B220" s="37" t="inlineStr">
        <is>
          <t>BÈ 10</t>
        </is>
      </c>
      <c r="C220" s="37" t="inlineStr">
        <is>
          <t>N10-12</t>
        </is>
      </c>
      <c r="D220" s="37" t="inlineStr">
        <is>
          <t>NEO ĐÁY</t>
        </is>
      </c>
      <c r="E220" s="38" t="n">
        <v>102.41</v>
      </c>
      <c r="F220" s="38" t="n">
        <v>81.53</v>
      </c>
      <c r="G220" s="38" t="n">
        <v>102.41</v>
      </c>
      <c r="H220" s="38" t="n">
        <v>99.06</v>
      </c>
      <c r="I220" s="38" t="n">
        <v>376.8</v>
      </c>
      <c r="J220" s="39">
        <f>SQRT((G220-E220)^2+(H220-F220)^2)</f>
        <v/>
      </c>
      <c r="K220" s="40">
        <f>MOD(DEGREES(ATAN2(G220-E220,H220-F220)),360)</f>
        <v/>
      </c>
    </row>
    <row r="221" ht="15" customHeight="1" s="1">
      <c r="B221" s="37" t="inlineStr">
        <is>
          <t>BÈ 10</t>
        </is>
      </c>
      <c r="C221" s="37" t="inlineStr">
        <is>
          <t>N10-13</t>
        </is>
      </c>
      <c r="D221" s="37" t="inlineStr">
        <is>
          <t>NEO ĐÁY</t>
        </is>
      </c>
      <c r="E221" s="38" t="n">
        <v>117.07</v>
      </c>
      <c r="F221" s="38" t="n">
        <v>81.53</v>
      </c>
      <c r="G221" s="38" t="n">
        <v>117.07</v>
      </c>
      <c r="H221" s="38" t="n">
        <v>99.06</v>
      </c>
      <c r="I221" s="38" t="n">
        <v>376.8</v>
      </c>
      <c r="J221" s="39">
        <f>SQRT((G221-E221)^2+(H221-F221)^2)</f>
        <v/>
      </c>
      <c r="K221" s="40">
        <f>MOD(DEGREES(ATAN2(G221-E221,H221-F221)),360)</f>
        <v/>
      </c>
    </row>
    <row r="222" ht="15" customHeight="1" s="1">
      <c r="B222" s="37" t="inlineStr">
        <is>
          <t>BÈ 10</t>
        </is>
      </c>
      <c r="C222" s="37" t="inlineStr">
        <is>
          <t>N10-14</t>
        </is>
      </c>
      <c r="D222" s="37" t="inlineStr">
        <is>
          <t>NEO ĐÁY</t>
        </is>
      </c>
      <c r="E222" s="38" t="n">
        <v>131.74</v>
      </c>
      <c r="F222" s="38" t="n">
        <v>81.53</v>
      </c>
      <c r="G222" s="38" t="n">
        <v>131.74</v>
      </c>
      <c r="H222" s="38" t="n">
        <v>99.06</v>
      </c>
      <c r="I222" s="38" t="n">
        <v>376.8</v>
      </c>
      <c r="J222" s="39">
        <f>SQRT((G222-E222)^2+(H222-F222)^2)</f>
        <v/>
      </c>
      <c r="K222" s="40">
        <f>MOD(DEGREES(ATAN2(G222-E222,H222-F222)),360)</f>
        <v/>
      </c>
    </row>
    <row r="223" ht="15" customHeight="1" s="1">
      <c r="B223" s="37" t="inlineStr">
        <is>
          <t>BÈ 10</t>
        </is>
      </c>
      <c r="C223" s="37" t="inlineStr">
        <is>
          <t>N10-15</t>
        </is>
      </c>
      <c r="D223" s="37" t="inlineStr">
        <is>
          <t>NEO ĐÁY</t>
        </is>
      </c>
      <c r="E223" s="38" t="n">
        <v>146.4</v>
      </c>
      <c r="F223" s="38" t="n">
        <v>81.53</v>
      </c>
      <c r="G223" s="38" t="n">
        <v>146.4</v>
      </c>
      <c r="H223" s="38" t="n">
        <v>99.06</v>
      </c>
      <c r="I223" s="38" t="n">
        <v>376.8</v>
      </c>
      <c r="J223" s="39">
        <f>SQRT((G223-E223)^2+(H223-F223)^2)</f>
        <v/>
      </c>
      <c r="K223" s="40">
        <f>MOD(DEGREES(ATAN2(G223-E223,H223-F223)),360)</f>
        <v/>
      </c>
    </row>
    <row r="224" ht="15" customHeight="1" s="1">
      <c r="B224" s="37" t="inlineStr">
        <is>
          <t>BÈ 10</t>
        </is>
      </c>
      <c r="C224" s="37" t="inlineStr">
        <is>
          <t>N10-16</t>
        </is>
      </c>
      <c r="D224" s="37" t="inlineStr">
        <is>
          <t>NEO BỜ</t>
        </is>
      </c>
      <c r="E224" s="38" t="n">
        <v>156.65</v>
      </c>
      <c r="F224" s="38" t="n">
        <v>77.12</v>
      </c>
      <c r="G224" s="38" t="n">
        <v>187.02</v>
      </c>
      <c r="H224" s="38" t="n">
        <v>74.62</v>
      </c>
      <c r="I224" s="38" t="n">
        <v>384.5</v>
      </c>
      <c r="J224" s="39">
        <f>SQRT((G224-E224)^2+(H224-F224)^2)</f>
        <v/>
      </c>
      <c r="K224" s="40">
        <f>MOD(DEGREES(ATAN2(G224-E224,H224-F224)),360)</f>
        <v/>
      </c>
    </row>
    <row r="225" ht="15" customHeight="1" s="1">
      <c r="B225" s="37" t="inlineStr">
        <is>
          <t>BÈ 10</t>
        </is>
      </c>
      <c r="C225" s="37" t="inlineStr">
        <is>
          <t>N10-17</t>
        </is>
      </c>
      <c r="D225" s="37" t="inlineStr">
        <is>
          <t>NEO BỜ</t>
        </is>
      </c>
      <c r="E225" s="38" t="n">
        <v>156.66</v>
      </c>
      <c r="F225" s="38" t="n">
        <v>62.46</v>
      </c>
      <c r="G225" s="38" t="n">
        <v>185.32</v>
      </c>
      <c r="H225" s="38" t="n">
        <v>58.42</v>
      </c>
      <c r="I225" s="38" t="n">
        <v>384.5</v>
      </c>
      <c r="J225" s="39">
        <f>SQRT((G225-E225)^2+(H225-F225)^2)</f>
        <v/>
      </c>
      <c r="K225" s="40">
        <f>MOD(DEGREES(ATAN2(G225-E225,H225-F225)),360)</f>
        <v/>
      </c>
    </row>
    <row r="226" ht="15" customHeight="1" s="1">
      <c r="B226" s="37" t="inlineStr">
        <is>
          <t>BÈ 10</t>
        </is>
      </c>
      <c r="C226" s="37" t="inlineStr">
        <is>
          <t>N10-18</t>
        </is>
      </c>
      <c r="D226" s="37" t="inlineStr">
        <is>
          <t>NEO BỜ</t>
        </is>
      </c>
      <c r="E226" s="38" t="n">
        <v>156.66</v>
      </c>
      <c r="F226" s="38" t="n">
        <v>47.8</v>
      </c>
      <c r="G226" s="38" t="n">
        <v>185.37</v>
      </c>
      <c r="H226" s="38" t="n">
        <v>48.63</v>
      </c>
      <c r="I226" s="38" t="n">
        <v>384.5</v>
      </c>
      <c r="J226" s="39">
        <f>SQRT((G226-E226)^2+(H226-F226)^2)</f>
        <v/>
      </c>
      <c r="K226" s="40">
        <f>MOD(DEGREES(ATAN2(G226-E226,H226-F226)),360)</f>
        <v/>
      </c>
    </row>
    <row r="227" ht="15" customHeight="1" s="1">
      <c r="B227" s="37" t="inlineStr">
        <is>
          <t>BÈ 10</t>
        </is>
      </c>
      <c r="C227" s="37" t="inlineStr">
        <is>
          <t>N10-19</t>
        </is>
      </c>
      <c r="D227" s="37" t="inlineStr">
        <is>
          <t>NEO BỜ</t>
        </is>
      </c>
      <c r="E227" s="38" t="n">
        <v>163.9</v>
      </c>
      <c r="F227" s="38" t="n">
        <v>40.14</v>
      </c>
      <c r="G227" s="38" t="n">
        <v>186.22</v>
      </c>
      <c r="H227" s="38" t="n">
        <v>40.23</v>
      </c>
      <c r="I227" s="38" t="n">
        <v>384.5</v>
      </c>
      <c r="J227" s="39">
        <f>SQRT((G227-E227)^2+(H227-F227)^2)</f>
        <v/>
      </c>
      <c r="K227" s="40">
        <f>MOD(DEGREES(ATAN2(G227-E227,H227-F227)),360)</f>
        <v/>
      </c>
    </row>
    <row r="228" ht="15" customHeight="1" s="1">
      <c r="B228" s="37" t="inlineStr">
        <is>
          <t>BÈ 10</t>
        </is>
      </c>
      <c r="C228" s="37" t="inlineStr">
        <is>
          <t>N10-20</t>
        </is>
      </c>
      <c r="D228" s="37" t="inlineStr">
        <is>
          <t>NEO BỜ</t>
        </is>
      </c>
      <c r="E228" s="38" t="n">
        <v>163.9</v>
      </c>
      <c r="F228" s="38" t="n">
        <v>25.47</v>
      </c>
      <c r="G228" s="38" t="n">
        <v>186.66</v>
      </c>
      <c r="H228" s="38" t="n">
        <v>36.14</v>
      </c>
      <c r="I228" s="38" t="n">
        <v>384.5</v>
      </c>
      <c r="J228" s="39">
        <f>SQRT((G228-E228)^2+(H228-F228)^2)</f>
        <v/>
      </c>
      <c r="K228" s="40">
        <f>MOD(DEGREES(ATAN2(G228-E228,H228-F228)),360)</f>
        <v/>
      </c>
    </row>
    <row r="229" ht="15" customHeight="1" s="1">
      <c r="B229" s="37" t="inlineStr">
        <is>
          <t>BÈ 10</t>
        </is>
      </c>
      <c r="C229" s="37" t="inlineStr">
        <is>
          <t>N10-21</t>
        </is>
      </c>
      <c r="D229" s="37" t="inlineStr">
        <is>
          <t>NEO BỜ</t>
        </is>
      </c>
      <c r="E229" s="38" t="n">
        <v>163.9</v>
      </c>
      <c r="F229" s="38" t="n">
        <v>10.81</v>
      </c>
      <c r="G229" s="38" t="n">
        <v>193.88</v>
      </c>
      <c r="H229" s="38" t="n">
        <v>17.89</v>
      </c>
      <c r="I229" s="38" t="n">
        <v>384.5</v>
      </c>
      <c r="J229" s="39">
        <f>SQRT((G229-E229)^2+(H229-F229)^2)</f>
        <v/>
      </c>
      <c r="K229" s="40">
        <f>MOD(DEGREES(ATAN2(G229-E229,H229-F229)),360)</f>
        <v/>
      </c>
    </row>
    <row r="230" ht="15" customHeight="1" s="1">
      <c r="B230" s="37" t="inlineStr">
        <is>
          <t>BÈ 10</t>
        </is>
      </c>
      <c r="C230" s="37" t="inlineStr">
        <is>
          <t>N10-22</t>
        </is>
      </c>
      <c r="D230" s="37" t="inlineStr">
        <is>
          <t>NEO ĐÁY</t>
        </is>
      </c>
      <c r="E230" s="38" t="n">
        <v>163.9</v>
      </c>
      <c r="F230" s="38" t="n">
        <v>-3.85</v>
      </c>
      <c r="G230" s="38" t="n">
        <v>181.44</v>
      </c>
      <c r="H230" s="38" t="n">
        <v>-3.85</v>
      </c>
      <c r="I230" s="38" t="n">
        <v>376.8</v>
      </c>
      <c r="J230" s="39">
        <f>SQRT((G230-E230)^2+(H230-F230)^2)</f>
        <v/>
      </c>
      <c r="K230" s="40">
        <f>MOD(DEGREES(ATAN2(G230-E230,H230-F230)),360)</f>
        <v/>
      </c>
    </row>
    <row r="231" ht="15" customHeight="1" s="1">
      <c r="B231" s="37" t="inlineStr">
        <is>
          <t>BÈ 10</t>
        </is>
      </c>
      <c r="C231" s="37" t="inlineStr">
        <is>
          <t>N10-23</t>
        </is>
      </c>
      <c r="D231" s="37" t="inlineStr">
        <is>
          <t>NEO ĐÁY</t>
        </is>
      </c>
      <c r="E231" s="38" t="n">
        <v>167.42</v>
      </c>
      <c r="F231" s="38" t="n">
        <v>-15.06</v>
      </c>
      <c r="G231" s="38" t="n">
        <v>167.77</v>
      </c>
      <c r="H231" s="38" t="n">
        <v>2.47</v>
      </c>
      <c r="I231" s="38" t="n">
        <v>376.8</v>
      </c>
      <c r="J231" s="39">
        <f>SQRT((G231-E231)^2+(H231-F231)^2)</f>
        <v/>
      </c>
      <c r="K231" s="40">
        <f>MOD(DEGREES(ATAN2(G231-E231,H231-F231)),360)</f>
        <v/>
      </c>
    </row>
    <row r="232" ht="15" customHeight="1" s="1">
      <c r="B232" s="37" t="inlineStr">
        <is>
          <t>BÈ 10</t>
        </is>
      </c>
      <c r="C232" s="37" t="inlineStr">
        <is>
          <t>N10-24</t>
        </is>
      </c>
      <c r="D232" s="37" t="inlineStr">
        <is>
          <t>NEO BỜ</t>
        </is>
      </c>
      <c r="E232" s="38" t="n">
        <v>175.97</v>
      </c>
      <c r="F232" s="38" t="n">
        <v>-21.35</v>
      </c>
      <c r="G232" s="38" t="n">
        <v>194.79</v>
      </c>
      <c r="H232" s="38" t="n">
        <v>14.05</v>
      </c>
      <c r="I232" s="38" t="n">
        <v>384.5</v>
      </c>
      <c r="J232" s="39">
        <f>SQRT((G232-E232)^2+(H232-F232)^2)</f>
        <v/>
      </c>
      <c r="K232" s="40">
        <f>MOD(DEGREES(ATAN2(G232-E232,H232-F232)),360)</f>
        <v/>
      </c>
    </row>
    <row r="233" ht="15" customHeight="1" s="1">
      <c r="B233" s="37" t="inlineStr">
        <is>
          <t>BÈ 10</t>
        </is>
      </c>
      <c r="C233" s="37" t="inlineStr">
        <is>
          <t>N10-25</t>
        </is>
      </c>
      <c r="D233" s="37" t="inlineStr">
        <is>
          <t>NEO BỜ</t>
        </is>
      </c>
      <c r="E233" s="38" t="n">
        <v>175.97</v>
      </c>
      <c r="F233" s="38" t="n">
        <v>-36.01</v>
      </c>
      <c r="G233" s="38" t="n">
        <v>216.14</v>
      </c>
      <c r="H233" s="38" t="n">
        <v>-40.06</v>
      </c>
      <c r="I233" s="38" t="n">
        <v>384.5</v>
      </c>
      <c r="J233" s="39">
        <f>SQRT((G233-E233)^2+(H233-F233)^2)</f>
        <v/>
      </c>
      <c r="K233" s="40">
        <f>MOD(DEGREES(ATAN2(G233-E233,H233-F233)),360)</f>
        <v/>
      </c>
    </row>
    <row r="234" ht="15" customHeight="1" s="1">
      <c r="B234" s="37" t="inlineStr">
        <is>
          <t>BÈ 10</t>
        </is>
      </c>
      <c r="C234" s="37" t="inlineStr">
        <is>
          <t>N10-26</t>
        </is>
      </c>
      <c r="D234" s="37" t="inlineStr">
        <is>
          <t>NEO ĐÁY</t>
        </is>
      </c>
      <c r="E234" s="38" t="n">
        <v>175.97</v>
      </c>
      <c r="F234" s="38" t="n">
        <v>-50.67</v>
      </c>
      <c r="G234" s="38" t="n">
        <v>193.5</v>
      </c>
      <c r="H234" s="38" t="n">
        <v>-50.67</v>
      </c>
      <c r="I234" s="38" t="n">
        <v>376.8</v>
      </c>
      <c r="J234" s="39">
        <f>SQRT((G234-E234)^2+(H234-F234)^2)</f>
        <v/>
      </c>
      <c r="K234" s="40">
        <f>MOD(DEGREES(ATAN2(G234-E234,H234-F234)),360)</f>
        <v/>
      </c>
    </row>
    <row r="235" ht="15" customHeight="1" s="1">
      <c r="B235" s="37" t="inlineStr">
        <is>
          <t>BÈ 10</t>
        </is>
      </c>
      <c r="C235" s="37" t="inlineStr">
        <is>
          <t>N10-27</t>
        </is>
      </c>
      <c r="D235" s="37" t="inlineStr">
        <is>
          <t>NEO ĐÁY</t>
        </is>
      </c>
      <c r="E235" s="38" t="n">
        <v>174.65</v>
      </c>
      <c r="F235" s="38" t="n">
        <v>-64.02</v>
      </c>
      <c r="G235" s="38" t="n">
        <v>174.65</v>
      </c>
      <c r="H235" s="38" t="n">
        <v>-81.55</v>
      </c>
      <c r="I235" s="38" t="n">
        <v>376.8</v>
      </c>
      <c r="J235" s="39">
        <f>SQRT((G235-E235)^2+(H235-F235)^2)</f>
        <v/>
      </c>
      <c r="K235" s="40">
        <f>MOD(DEGREES(ATAN2(G235-E235,H235-F235)),360)</f>
        <v/>
      </c>
    </row>
    <row r="236" ht="15" customHeight="1" s="1">
      <c r="B236" s="37" t="inlineStr">
        <is>
          <t>BÈ 10</t>
        </is>
      </c>
      <c r="C236" s="37" t="inlineStr">
        <is>
          <t>N10-28</t>
        </is>
      </c>
      <c r="D236" s="37" t="inlineStr">
        <is>
          <t>NEO ĐÁY</t>
        </is>
      </c>
      <c r="E236" s="38" t="n">
        <v>159.99</v>
      </c>
      <c r="F236" s="38" t="n">
        <v>-64.02</v>
      </c>
      <c r="G236" s="38" t="n">
        <v>159.99</v>
      </c>
      <c r="H236" s="38" t="n">
        <v>-81.55</v>
      </c>
      <c r="I236" s="38" t="n">
        <v>376.8</v>
      </c>
      <c r="J236" s="39">
        <f>SQRT((G236-E236)^2+(H236-F236)^2)</f>
        <v/>
      </c>
      <c r="K236" s="40">
        <f>MOD(DEGREES(ATAN2(G236-E236,H236-F236)),360)</f>
        <v/>
      </c>
    </row>
    <row r="237" ht="15" customHeight="1" s="1">
      <c r="B237" s="37" t="inlineStr">
        <is>
          <t>BÈ 10</t>
        </is>
      </c>
      <c r="C237" s="37" t="inlineStr">
        <is>
          <t>N10-29</t>
        </is>
      </c>
      <c r="D237" s="37" t="inlineStr">
        <is>
          <t>NEO ĐÁY</t>
        </is>
      </c>
      <c r="E237" s="38" t="n">
        <v>145.33</v>
      </c>
      <c r="F237" s="38" t="n">
        <v>-64.02</v>
      </c>
      <c r="G237" s="38" t="n">
        <v>145.33</v>
      </c>
      <c r="H237" s="38" t="n">
        <v>-81.55</v>
      </c>
      <c r="I237" s="38" t="n">
        <v>376.8</v>
      </c>
      <c r="J237" s="39">
        <f>SQRT((G237-E237)^2+(H237-F237)^2)</f>
        <v/>
      </c>
      <c r="K237" s="40">
        <f>MOD(DEGREES(ATAN2(G237-E237,H237-F237)),360)</f>
        <v/>
      </c>
    </row>
    <row r="238" ht="15" customHeight="1" s="1">
      <c r="B238" s="37" t="inlineStr">
        <is>
          <t>BÈ 10</t>
        </is>
      </c>
      <c r="C238" s="37" t="inlineStr">
        <is>
          <t>N10-30</t>
        </is>
      </c>
      <c r="D238" s="37" t="inlineStr">
        <is>
          <t>NEO ĐÁY</t>
        </is>
      </c>
      <c r="E238" s="38" t="n">
        <v>130.66</v>
      </c>
      <c r="F238" s="38" t="n">
        <v>-64.02</v>
      </c>
      <c r="G238" s="38" t="n">
        <v>130.66</v>
      </c>
      <c r="H238" s="38" t="n">
        <v>-81.55</v>
      </c>
      <c r="I238" s="38" t="n">
        <v>376.8</v>
      </c>
      <c r="J238" s="39">
        <f>SQRT((G238-E238)^2+(H238-F238)^2)</f>
        <v/>
      </c>
      <c r="K238" s="40">
        <f>MOD(DEGREES(ATAN2(G238-E238,H238-F238)),360)</f>
        <v/>
      </c>
    </row>
    <row r="239" ht="15" customHeight="1" s="1">
      <c r="B239" s="37" t="inlineStr">
        <is>
          <t>BÈ 10</t>
        </is>
      </c>
      <c r="C239" s="37" t="inlineStr">
        <is>
          <t>N10-31</t>
        </is>
      </c>
      <c r="D239" s="37" t="inlineStr">
        <is>
          <t>NEO ĐÁY</t>
        </is>
      </c>
      <c r="E239" s="38" t="n">
        <v>116</v>
      </c>
      <c r="F239" s="38" t="n">
        <v>-64.02</v>
      </c>
      <c r="G239" s="38" t="n">
        <v>116</v>
      </c>
      <c r="H239" s="38" t="n">
        <v>-81.55</v>
      </c>
      <c r="I239" s="38" t="n">
        <v>376.8</v>
      </c>
      <c r="J239" s="39">
        <f>SQRT((G239-E239)^2+(H239-F239)^2)</f>
        <v/>
      </c>
      <c r="K239" s="40">
        <f>MOD(DEGREES(ATAN2(G239-E239,H239-F239)),360)</f>
        <v/>
      </c>
    </row>
    <row r="240" ht="15" customHeight="1" s="1">
      <c r="B240" s="37" t="inlineStr">
        <is>
          <t>BÈ 10</t>
        </is>
      </c>
      <c r="C240" s="37" t="inlineStr">
        <is>
          <t>N10-32</t>
        </is>
      </c>
      <c r="D240" s="37" t="inlineStr">
        <is>
          <t>NEO ĐÁY</t>
        </is>
      </c>
      <c r="E240" s="38" t="n">
        <v>101.34</v>
      </c>
      <c r="F240" s="38" t="n">
        <v>-64.02</v>
      </c>
      <c r="G240" s="38" t="n">
        <v>101.34</v>
      </c>
      <c r="H240" s="38" t="n">
        <v>-81.55</v>
      </c>
      <c r="I240" s="38" t="n">
        <v>376.8</v>
      </c>
      <c r="J240" s="39">
        <f>SQRT((G240-E240)^2+(H240-F240)^2)</f>
        <v/>
      </c>
      <c r="K240" s="40">
        <f>MOD(DEGREES(ATAN2(G240-E240,H240-F240)),360)</f>
        <v/>
      </c>
    </row>
    <row r="241" ht="15" customHeight="1" s="1">
      <c r="B241" s="37" t="inlineStr">
        <is>
          <t>BÈ 11</t>
        </is>
      </c>
      <c r="C241" s="37" t="inlineStr">
        <is>
          <t>N11-01</t>
        </is>
      </c>
      <c r="D241" s="37" t="inlineStr">
        <is>
          <t>NEO BỜ</t>
        </is>
      </c>
      <c r="E241" s="38" t="n">
        <v>68.89</v>
      </c>
      <c r="F241" s="38" t="n">
        <v>101.25</v>
      </c>
      <c r="G241" s="38" t="n">
        <v>38.52</v>
      </c>
      <c r="H241" s="38" t="n">
        <v>111.31</v>
      </c>
      <c r="I241" s="38" t="n">
        <v>384.5</v>
      </c>
      <c r="J241" s="39">
        <f>SQRT((G241-E241)^2+(H241-F241)^2)</f>
        <v/>
      </c>
      <c r="K241" s="40">
        <f>MOD(DEGREES(ATAN2(G241-E241,H241-F241)),360)</f>
        <v/>
      </c>
    </row>
    <row r="242" ht="15" customHeight="1" s="1">
      <c r="B242" s="37" t="inlineStr">
        <is>
          <t>BÈ 11</t>
        </is>
      </c>
      <c r="C242" s="37" t="inlineStr">
        <is>
          <t>N11-02</t>
        </is>
      </c>
      <c r="D242" s="37" t="inlineStr">
        <is>
          <t>NEO BỜ</t>
        </is>
      </c>
      <c r="E242" s="38" t="n">
        <v>68.88</v>
      </c>
      <c r="F242" s="38" t="n">
        <v>116.1</v>
      </c>
      <c r="G242" s="38" t="n">
        <v>38.52</v>
      </c>
      <c r="H242" s="38" t="n">
        <v>111.56</v>
      </c>
      <c r="I242" s="38" t="n">
        <v>384.5</v>
      </c>
      <c r="J242" s="39">
        <f>SQRT((G242-E242)^2+(H242-F242)^2)</f>
        <v/>
      </c>
      <c r="K242" s="40">
        <f>MOD(DEGREES(ATAN2(G242-E242,H242-F242)),360)</f>
        <v/>
      </c>
    </row>
    <row r="243" ht="15" customHeight="1" s="1">
      <c r="B243" s="37" t="inlineStr">
        <is>
          <t>BÈ 11</t>
        </is>
      </c>
      <c r="C243" s="37" t="inlineStr">
        <is>
          <t>N11-03</t>
        </is>
      </c>
      <c r="D243" s="37" t="inlineStr">
        <is>
          <t>NEO BỜ</t>
        </is>
      </c>
      <c r="E243" s="38" t="n">
        <v>68.88</v>
      </c>
      <c r="F243" s="38" t="n">
        <v>130.96</v>
      </c>
      <c r="G243" s="38" t="n">
        <v>37.02</v>
      </c>
      <c r="H243" s="38" t="n">
        <v>135.54</v>
      </c>
      <c r="I243" s="38" t="n">
        <v>384.5</v>
      </c>
      <c r="J243" s="39">
        <f>SQRT((G243-E243)^2+(H243-F243)^2)</f>
        <v/>
      </c>
      <c r="K243" s="40">
        <f>MOD(DEGREES(ATAN2(G243-E243,H243-F243)),360)</f>
        <v/>
      </c>
    </row>
    <row r="244" ht="15" customHeight="1" s="1">
      <c r="B244" s="37" t="inlineStr">
        <is>
          <t>BÈ 11</t>
        </is>
      </c>
      <c r="C244" s="37" t="inlineStr">
        <is>
          <t>N11-04</t>
        </is>
      </c>
      <c r="D244" s="37" t="inlineStr">
        <is>
          <t>NEO BỜ</t>
        </is>
      </c>
      <c r="E244" s="38" t="n">
        <v>68.88</v>
      </c>
      <c r="F244" s="38" t="n">
        <v>145.81</v>
      </c>
      <c r="G244" s="38" t="n">
        <v>37.72</v>
      </c>
      <c r="H244" s="38" t="n">
        <v>148.99</v>
      </c>
      <c r="I244" s="38" t="n">
        <v>384.5</v>
      </c>
      <c r="J244" s="39">
        <f>SQRT((G244-E244)^2+(H244-F244)^2)</f>
        <v/>
      </c>
      <c r="K244" s="40">
        <f>MOD(DEGREES(ATAN2(G244-E244,H244-F244)),360)</f>
        <v/>
      </c>
    </row>
    <row r="245" ht="15" customHeight="1" s="1">
      <c r="B245" s="37" t="inlineStr">
        <is>
          <t>BÈ 11</t>
        </is>
      </c>
      <c r="C245" s="37" t="inlineStr">
        <is>
          <t>N11-05</t>
        </is>
      </c>
      <c r="D245" s="37" t="inlineStr">
        <is>
          <t>NEO BỜ</t>
        </is>
      </c>
      <c r="E245" s="38" t="n">
        <v>68.88</v>
      </c>
      <c r="F245" s="38" t="n">
        <v>160.67</v>
      </c>
      <c r="G245" s="38" t="n">
        <v>38.63</v>
      </c>
      <c r="H245" s="38" t="n">
        <v>162.4</v>
      </c>
      <c r="I245" s="38" t="n">
        <v>384.5</v>
      </c>
      <c r="J245" s="39">
        <f>SQRT((G245-E245)^2+(H245-F245)^2)</f>
        <v/>
      </c>
      <c r="K245" s="40">
        <f>MOD(DEGREES(ATAN2(G245-E245,H245-F245)),360)</f>
        <v/>
      </c>
    </row>
    <row r="246" ht="15" customHeight="1" s="1">
      <c r="B246" s="37" t="inlineStr">
        <is>
          <t>BÈ 11</t>
        </is>
      </c>
      <c r="C246" s="37" t="inlineStr">
        <is>
          <t>N11-06</t>
        </is>
      </c>
      <c r="D246" s="37" t="inlineStr">
        <is>
          <t>NEO BỜ</t>
        </is>
      </c>
      <c r="E246" s="38" t="n">
        <v>68.88</v>
      </c>
      <c r="F246" s="38" t="n">
        <v>175.52</v>
      </c>
      <c r="G246" s="38" t="n">
        <v>43.03</v>
      </c>
      <c r="H246" s="38" t="n">
        <v>184.71</v>
      </c>
      <c r="I246" s="38" t="n">
        <v>384.5</v>
      </c>
      <c r="J246" s="39">
        <f>SQRT((G246-E246)^2+(H246-F246)^2)</f>
        <v/>
      </c>
      <c r="K246" s="40">
        <f>MOD(DEGREES(ATAN2(G246-E246,H246-F246)),360)</f>
        <v/>
      </c>
    </row>
    <row r="247" ht="15" customHeight="1" s="1">
      <c r="B247" s="37" t="inlineStr">
        <is>
          <t>BÈ 11</t>
        </is>
      </c>
      <c r="C247" s="37" t="inlineStr">
        <is>
          <t>N11-07</t>
        </is>
      </c>
      <c r="D247" s="37" t="inlineStr">
        <is>
          <t>NEO BỜ</t>
        </is>
      </c>
      <c r="E247" s="38" t="n">
        <v>68.88</v>
      </c>
      <c r="F247" s="38" t="n">
        <v>190.38</v>
      </c>
      <c r="G247" s="38" t="n">
        <v>43.71</v>
      </c>
      <c r="H247" s="38" t="n">
        <v>192.12</v>
      </c>
      <c r="I247" s="38" t="n">
        <v>384.5</v>
      </c>
      <c r="J247" s="39">
        <f>SQRT((G247-E247)^2+(H247-F247)^2)</f>
        <v/>
      </c>
      <c r="K247" s="40">
        <f>MOD(DEGREES(ATAN2(G247-E247,H247-F247)),360)</f>
        <v/>
      </c>
    </row>
    <row r="248" ht="15" customHeight="1" s="1">
      <c r="B248" s="37" t="inlineStr">
        <is>
          <t>BÈ 11</t>
        </is>
      </c>
      <c r="C248" s="37" t="inlineStr">
        <is>
          <t>N11-08</t>
        </is>
      </c>
      <c r="D248" s="37" t="inlineStr">
        <is>
          <t>NEO ĐÁY</t>
        </is>
      </c>
      <c r="E248" s="38" t="n">
        <v>81.40000000000001</v>
      </c>
      <c r="F248" s="38" t="n">
        <v>192.72</v>
      </c>
      <c r="G248" s="38" t="n">
        <v>81.38</v>
      </c>
      <c r="H248" s="38" t="n">
        <v>210.26</v>
      </c>
      <c r="I248" s="38" t="n">
        <v>376.8</v>
      </c>
      <c r="J248" s="39">
        <f>SQRT((G248-E248)^2+(H248-F248)^2)</f>
        <v/>
      </c>
      <c r="K248" s="40">
        <f>MOD(DEGREES(ATAN2(G248-E248,H248-F248)),360)</f>
        <v/>
      </c>
    </row>
    <row r="249" ht="15" customHeight="1" s="1">
      <c r="B249" s="37" t="inlineStr">
        <is>
          <t>BÈ 11</t>
        </is>
      </c>
      <c r="C249" s="37" t="inlineStr">
        <is>
          <t>N11-09</t>
        </is>
      </c>
      <c r="D249" s="37" t="inlineStr">
        <is>
          <t>NEO ĐÁY</t>
        </is>
      </c>
      <c r="E249" s="38" t="n">
        <v>96.26000000000001</v>
      </c>
      <c r="F249" s="38" t="n">
        <v>192.74</v>
      </c>
      <c r="G249" s="38" t="n">
        <v>96.23</v>
      </c>
      <c r="H249" s="38" t="n">
        <v>210.28</v>
      </c>
      <c r="I249" s="38" t="n">
        <v>376.8</v>
      </c>
      <c r="J249" s="39">
        <f>SQRT((G249-E249)^2+(H249-F249)^2)</f>
        <v/>
      </c>
      <c r="K249" s="40">
        <f>MOD(DEGREES(ATAN2(G249-E249,H249-F249)),360)</f>
        <v/>
      </c>
    </row>
    <row r="250" ht="15" customHeight="1" s="1">
      <c r="B250" s="37" t="inlineStr">
        <is>
          <t>BÈ 11</t>
        </is>
      </c>
      <c r="C250" s="37" t="inlineStr">
        <is>
          <t>N11-10</t>
        </is>
      </c>
      <c r="D250" s="37" t="inlineStr">
        <is>
          <t>NEO ĐÁY</t>
        </is>
      </c>
      <c r="E250" s="38" t="n">
        <v>97.83</v>
      </c>
      <c r="F250" s="38" t="n">
        <v>206.17</v>
      </c>
      <c r="G250" s="38" t="n">
        <v>80.29000000000001</v>
      </c>
      <c r="H250" s="38" t="n">
        <v>206.35</v>
      </c>
      <c r="I250" s="38" t="n">
        <v>376.8</v>
      </c>
      <c r="J250" s="39">
        <f>SQRT((G250-E250)^2+(H250-F250)^2)</f>
        <v/>
      </c>
      <c r="K250" s="40">
        <f>MOD(DEGREES(ATAN2(G250-E250,H250-F250)),360)</f>
        <v/>
      </c>
    </row>
    <row r="251" ht="15" customHeight="1" s="1">
      <c r="B251" s="37" t="inlineStr">
        <is>
          <t>BÈ 11</t>
        </is>
      </c>
      <c r="C251" s="37" t="inlineStr">
        <is>
          <t>N11-11</t>
        </is>
      </c>
      <c r="D251" s="37" t="inlineStr">
        <is>
          <t>NEO ĐÁY</t>
        </is>
      </c>
      <c r="E251" s="38" t="n">
        <v>110.96</v>
      </c>
      <c r="F251" s="38" t="n">
        <v>207.91</v>
      </c>
      <c r="G251" s="38" t="n">
        <v>110.96</v>
      </c>
      <c r="H251" s="38" t="n">
        <v>225.45</v>
      </c>
      <c r="I251" s="38" t="n">
        <v>376.8</v>
      </c>
      <c r="J251" s="39">
        <f>SQRT((G251-E251)^2+(H251-F251)^2)</f>
        <v/>
      </c>
      <c r="K251" s="40">
        <f>MOD(DEGREES(ATAN2(G251-E251,H251-F251)),360)</f>
        <v/>
      </c>
    </row>
    <row r="252" ht="15" customHeight="1" s="1">
      <c r="B252" s="37" t="inlineStr">
        <is>
          <t>BÈ 11</t>
        </is>
      </c>
      <c r="C252" s="37" t="inlineStr">
        <is>
          <t>N11-12</t>
        </is>
      </c>
      <c r="D252" s="37" t="inlineStr">
        <is>
          <t>NEO ĐÁY</t>
        </is>
      </c>
      <c r="E252" s="38" t="n">
        <v>125.81</v>
      </c>
      <c r="F252" s="38" t="n">
        <v>207.91</v>
      </c>
      <c r="G252" s="38" t="n">
        <v>125.81</v>
      </c>
      <c r="H252" s="38" t="n">
        <v>225.45</v>
      </c>
      <c r="I252" s="38" t="n">
        <v>376.8</v>
      </c>
      <c r="J252" s="39">
        <f>SQRT((G252-E252)^2+(H252-F252)^2)</f>
        <v/>
      </c>
      <c r="K252" s="40">
        <f>MOD(DEGREES(ATAN2(G252-E252,H252-F252)),360)</f>
        <v/>
      </c>
    </row>
    <row r="253" ht="15" customHeight="1" s="1">
      <c r="B253" s="37" t="inlineStr">
        <is>
          <t>BÈ 11</t>
        </is>
      </c>
      <c r="C253" s="37" t="inlineStr">
        <is>
          <t>N11-13</t>
        </is>
      </c>
      <c r="D253" s="37" t="inlineStr">
        <is>
          <t>NEO ĐÁY</t>
        </is>
      </c>
      <c r="E253" s="38" t="n">
        <v>140.67</v>
      </c>
      <c r="F253" s="38" t="n">
        <v>207.91</v>
      </c>
      <c r="G253" s="38" t="n">
        <v>140.67</v>
      </c>
      <c r="H253" s="38" t="n">
        <v>225.45</v>
      </c>
      <c r="I253" s="38" t="n">
        <v>376.8</v>
      </c>
      <c r="J253" s="39">
        <f>SQRT((G253-E253)^2+(H253-F253)^2)</f>
        <v/>
      </c>
      <c r="K253" s="40">
        <f>MOD(DEGREES(ATAN2(G253-E253,H253-F253)),360)</f>
        <v/>
      </c>
    </row>
    <row r="254" ht="15" customHeight="1" s="1">
      <c r="B254" s="37" t="inlineStr">
        <is>
          <t>BÈ 11</t>
        </is>
      </c>
      <c r="C254" s="37" t="inlineStr">
        <is>
          <t>N11-14</t>
        </is>
      </c>
      <c r="D254" s="37" t="inlineStr">
        <is>
          <t>NEO ĐÁY</t>
        </is>
      </c>
      <c r="E254" s="38" t="n">
        <v>155.52</v>
      </c>
      <c r="F254" s="38" t="n">
        <v>207.91</v>
      </c>
      <c r="G254" s="38" t="n">
        <v>155.52</v>
      </c>
      <c r="H254" s="38" t="n">
        <v>225.45</v>
      </c>
      <c r="I254" s="38" t="n">
        <v>376.8</v>
      </c>
      <c r="J254" s="39">
        <f>SQRT((G254-E254)^2+(H254-F254)^2)</f>
        <v/>
      </c>
      <c r="K254" s="40">
        <f>MOD(DEGREES(ATAN2(G254-E254,H254-F254)),360)</f>
        <v/>
      </c>
    </row>
    <row r="255" ht="15" customHeight="1" s="1">
      <c r="B255" s="37" t="inlineStr">
        <is>
          <t>BÈ 11</t>
        </is>
      </c>
      <c r="C255" s="37" t="inlineStr">
        <is>
          <t>N11-15</t>
        </is>
      </c>
      <c r="D255" s="37" t="inlineStr">
        <is>
          <t>NEO ĐÁY</t>
        </is>
      </c>
      <c r="E255" s="38" t="n">
        <v>162.99</v>
      </c>
      <c r="F255" s="38" t="n">
        <v>200.52</v>
      </c>
      <c r="G255" s="38" t="n">
        <v>180.53</v>
      </c>
      <c r="H255" s="38" t="n">
        <v>200.52</v>
      </c>
      <c r="I255" s="38" t="n">
        <v>376.8</v>
      </c>
      <c r="J255" s="39">
        <f>SQRT((G255-E255)^2+(H255-F255)^2)</f>
        <v/>
      </c>
      <c r="K255" s="40">
        <f>MOD(DEGREES(ATAN2(G255-E255,H255-F255)),360)</f>
        <v/>
      </c>
    </row>
    <row r="256" ht="15" customHeight="1" s="1">
      <c r="B256" s="37" t="inlineStr">
        <is>
          <t>BÈ 11</t>
        </is>
      </c>
      <c r="C256" s="37" t="inlineStr">
        <is>
          <t>N11-16</t>
        </is>
      </c>
      <c r="D256" s="37" t="inlineStr">
        <is>
          <t>NEO ĐÁY</t>
        </is>
      </c>
      <c r="E256" s="38" t="n">
        <v>162.99</v>
      </c>
      <c r="F256" s="38" t="n">
        <v>185.67</v>
      </c>
      <c r="G256" s="38" t="n">
        <v>180.53</v>
      </c>
      <c r="H256" s="38" t="n">
        <v>185.67</v>
      </c>
      <c r="I256" s="38" t="n">
        <v>376.8</v>
      </c>
      <c r="J256" s="39">
        <f>SQRT((G256-E256)^2+(H256-F256)^2)</f>
        <v/>
      </c>
      <c r="K256" s="40">
        <f>MOD(DEGREES(ATAN2(G256-E256,H256-F256)),360)</f>
        <v/>
      </c>
    </row>
    <row r="257" ht="15" customHeight="1" s="1">
      <c r="B257" s="37" t="inlineStr">
        <is>
          <t>BÈ 11</t>
        </is>
      </c>
      <c r="C257" s="37" t="inlineStr">
        <is>
          <t>N11-17</t>
        </is>
      </c>
      <c r="D257" s="37" t="inlineStr">
        <is>
          <t>NEO ĐÁY</t>
        </is>
      </c>
      <c r="E257" s="38" t="n">
        <v>162.99</v>
      </c>
      <c r="F257" s="38" t="n">
        <v>170.81</v>
      </c>
      <c r="G257" s="38" t="n">
        <v>180.53</v>
      </c>
      <c r="H257" s="38" t="n">
        <v>170.81</v>
      </c>
      <c r="I257" s="38" t="n">
        <v>376.8</v>
      </c>
      <c r="J257" s="39">
        <f>SQRT((G257-E257)^2+(H257-F257)^2)</f>
        <v/>
      </c>
      <c r="K257" s="40">
        <f>MOD(DEGREES(ATAN2(G257-E257,H257-F257)),360)</f>
        <v/>
      </c>
    </row>
    <row r="258" ht="15" customHeight="1" s="1">
      <c r="B258" s="37" t="inlineStr">
        <is>
          <t>BÈ 11</t>
        </is>
      </c>
      <c r="C258" s="37" t="inlineStr">
        <is>
          <t>N11-18</t>
        </is>
      </c>
      <c r="D258" s="37" t="inlineStr">
        <is>
          <t>NEO ĐÁY</t>
        </is>
      </c>
      <c r="E258" s="38" t="n">
        <v>159.82</v>
      </c>
      <c r="F258" s="38" t="n">
        <v>159.07</v>
      </c>
      <c r="G258" s="38" t="n">
        <v>160.15</v>
      </c>
      <c r="H258" s="38" t="n">
        <v>141.54</v>
      </c>
      <c r="I258" s="38" t="n">
        <v>376.8</v>
      </c>
      <c r="J258" s="39">
        <f>SQRT((G258-E258)^2+(H258-F258)^2)</f>
        <v/>
      </c>
      <c r="K258" s="40">
        <f>MOD(DEGREES(ATAN2(G258-E258,H258-F258)),360)</f>
        <v/>
      </c>
    </row>
    <row r="259" ht="15" customHeight="1" s="1">
      <c r="B259" s="37" t="inlineStr">
        <is>
          <t>BÈ 11</t>
        </is>
      </c>
      <c r="C259" s="37" t="inlineStr">
        <is>
          <t>N11-19</t>
        </is>
      </c>
      <c r="D259" s="37" t="inlineStr">
        <is>
          <t>NEO BỜ</t>
        </is>
      </c>
      <c r="E259" s="38" t="n">
        <v>148.51</v>
      </c>
      <c r="F259" s="38" t="n">
        <v>155.32</v>
      </c>
      <c r="G259" s="38" t="n">
        <v>179.81</v>
      </c>
      <c r="H259" s="38" t="n">
        <v>141.58</v>
      </c>
      <c r="I259" s="38" t="n">
        <v>384.5</v>
      </c>
      <c r="J259" s="39">
        <f>SQRT((G259-E259)^2+(H259-F259)^2)</f>
        <v/>
      </c>
      <c r="K259" s="40">
        <f>MOD(DEGREES(ATAN2(G259-E259,H259-F259)),360)</f>
        <v/>
      </c>
    </row>
    <row r="260" ht="15" customHeight="1" s="1">
      <c r="B260" s="37" t="inlineStr">
        <is>
          <t>BÈ 11</t>
        </is>
      </c>
      <c r="C260" s="37" t="inlineStr">
        <is>
          <t>N11-20</t>
        </is>
      </c>
      <c r="D260" s="37" t="inlineStr">
        <is>
          <t>NEO BỜ</t>
        </is>
      </c>
      <c r="E260" s="38" t="n">
        <v>148.51</v>
      </c>
      <c r="F260" s="38" t="n">
        <v>140.46</v>
      </c>
      <c r="G260" s="38" t="n">
        <v>177</v>
      </c>
      <c r="H260" s="38" t="n">
        <v>134.34</v>
      </c>
      <c r="I260" s="38" t="n">
        <v>384.5</v>
      </c>
      <c r="J260" s="39">
        <f>SQRT((G260-E260)^2+(H260-F260)^2)</f>
        <v/>
      </c>
      <c r="K260" s="40">
        <f>MOD(DEGREES(ATAN2(G260-E260,H260-F260)),360)</f>
        <v/>
      </c>
    </row>
    <row r="261" ht="15" customHeight="1" s="1">
      <c r="B261" s="37" t="inlineStr">
        <is>
          <t>BÈ 11</t>
        </is>
      </c>
      <c r="C261" s="37" t="inlineStr">
        <is>
          <t>N11-21</t>
        </is>
      </c>
      <c r="D261" s="37" t="inlineStr">
        <is>
          <t>NEO BỜ</t>
        </is>
      </c>
      <c r="E261" s="38" t="n">
        <v>148.51</v>
      </c>
      <c r="F261" s="38" t="n">
        <v>125.61</v>
      </c>
      <c r="G261" s="38" t="n">
        <v>176.1</v>
      </c>
      <c r="H261" s="38" t="n">
        <v>130.11</v>
      </c>
      <c r="I261" s="38" t="n">
        <v>384.5</v>
      </c>
      <c r="J261" s="39">
        <f>SQRT((G261-E261)^2+(H261-F261)^2)</f>
        <v/>
      </c>
      <c r="K261" s="40">
        <f>MOD(DEGREES(ATAN2(G261-E261,H261-F261)),360)</f>
        <v/>
      </c>
    </row>
    <row r="262" ht="15" customHeight="1" s="1">
      <c r="B262" s="37" t="inlineStr">
        <is>
          <t>BÈ 11</t>
        </is>
      </c>
      <c r="C262" s="37" t="inlineStr">
        <is>
          <t>N11-22</t>
        </is>
      </c>
      <c r="D262" s="37" t="inlineStr">
        <is>
          <t>NEO BỜ</t>
        </is>
      </c>
      <c r="E262" s="38" t="n">
        <v>148.51</v>
      </c>
      <c r="F262" s="38" t="n">
        <v>110.75</v>
      </c>
      <c r="G262" s="38" t="n">
        <v>178.74</v>
      </c>
      <c r="H262" s="38" t="n">
        <v>123.28</v>
      </c>
      <c r="I262" s="38" t="n">
        <v>384.5</v>
      </c>
      <c r="J262" s="39">
        <f>SQRT((G262-E262)^2+(H262-F262)^2)</f>
        <v/>
      </c>
      <c r="K262" s="40">
        <f>MOD(DEGREES(ATAN2(G262-E262,H262-F262)),360)</f>
        <v/>
      </c>
    </row>
    <row r="263" ht="15" customHeight="1" s="1">
      <c r="B263" s="37" t="inlineStr">
        <is>
          <t>BÈ 11</t>
        </is>
      </c>
      <c r="C263" s="37" t="inlineStr">
        <is>
          <t>N11-23</t>
        </is>
      </c>
      <c r="D263" s="37" t="inlineStr">
        <is>
          <t>NEO ĐÁY</t>
        </is>
      </c>
      <c r="E263" s="38" t="n">
        <v>143.16</v>
      </c>
      <c r="F263" s="38" t="n">
        <v>101.25</v>
      </c>
      <c r="G263" s="38" t="n">
        <v>143.16</v>
      </c>
      <c r="H263" s="38" t="n">
        <v>83.70999999999999</v>
      </c>
      <c r="I263" s="38" t="n">
        <v>376.8</v>
      </c>
      <c r="J263" s="39">
        <f>SQRT((G263-E263)^2+(H263-F263)^2)</f>
        <v/>
      </c>
      <c r="K263" s="40">
        <f>MOD(DEGREES(ATAN2(G263-E263,H263-F263)),360)</f>
        <v/>
      </c>
    </row>
    <row r="264" ht="15" customHeight="1" s="1">
      <c r="B264" s="37" t="inlineStr">
        <is>
          <t>BÈ 11</t>
        </is>
      </c>
      <c r="C264" s="37" t="inlineStr">
        <is>
          <t>N11-24</t>
        </is>
      </c>
      <c r="D264" s="37" t="inlineStr">
        <is>
          <t>NEO ĐÁY</t>
        </is>
      </c>
      <c r="E264" s="38" t="n">
        <v>128.31</v>
      </c>
      <c r="F264" s="38" t="n">
        <v>101.25</v>
      </c>
      <c r="G264" s="38" t="n">
        <v>128.31</v>
      </c>
      <c r="H264" s="38" t="n">
        <v>83.70999999999999</v>
      </c>
      <c r="I264" s="38" t="n">
        <v>376.8</v>
      </c>
      <c r="J264" s="39">
        <f>SQRT((G264-E264)^2+(H264-F264)^2)</f>
        <v/>
      </c>
      <c r="K264" s="40">
        <f>MOD(DEGREES(ATAN2(G264-E264,H264-F264)),360)</f>
        <v/>
      </c>
    </row>
    <row r="265" ht="15" customHeight="1" s="1">
      <c r="B265" s="37" t="inlineStr">
        <is>
          <t>BÈ 11</t>
        </is>
      </c>
      <c r="C265" s="37" t="inlineStr">
        <is>
          <t>N11-25</t>
        </is>
      </c>
      <c r="D265" s="37" t="inlineStr">
        <is>
          <t>NEO ĐÁY</t>
        </is>
      </c>
      <c r="E265" s="38" t="n">
        <v>113.45</v>
      </c>
      <c r="F265" s="38" t="n">
        <v>101.25</v>
      </c>
      <c r="G265" s="38" t="n">
        <v>113.45</v>
      </c>
      <c r="H265" s="38" t="n">
        <v>83.70999999999999</v>
      </c>
      <c r="I265" s="38" t="n">
        <v>376.8</v>
      </c>
      <c r="J265" s="39">
        <f>SQRT((G265-E265)^2+(H265-F265)^2)</f>
        <v/>
      </c>
      <c r="K265" s="40">
        <f>MOD(DEGREES(ATAN2(G265-E265,H265-F265)),360)</f>
        <v/>
      </c>
    </row>
    <row r="266" ht="15" customHeight="1" s="1">
      <c r="B266" s="37" t="inlineStr">
        <is>
          <t>BÈ 11</t>
        </is>
      </c>
      <c r="C266" s="37" t="inlineStr">
        <is>
          <t>N11-26</t>
        </is>
      </c>
      <c r="D266" s="37" t="inlineStr">
        <is>
          <t>NEO ĐÁY</t>
        </is>
      </c>
      <c r="E266" s="38" t="n">
        <v>98.59999999999999</v>
      </c>
      <c r="F266" s="38" t="n">
        <v>101.25</v>
      </c>
      <c r="G266" s="38" t="n">
        <v>98.59999999999999</v>
      </c>
      <c r="H266" s="38" t="n">
        <v>83.70999999999999</v>
      </c>
      <c r="I266" s="38" t="n">
        <v>376.8</v>
      </c>
      <c r="J266" s="39">
        <f>SQRT((G266-E266)^2+(H266-F266)^2)</f>
        <v/>
      </c>
      <c r="K266" s="40">
        <f>MOD(DEGREES(ATAN2(G266-E266,H266-F266)),360)</f>
        <v/>
      </c>
    </row>
    <row r="267" ht="15" customHeight="1" s="1">
      <c r="B267" s="37" t="inlineStr">
        <is>
          <t>BÈ 11</t>
        </is>
      </c>
      <c r="C267" s="37" t="inlineStr">
        <is>
          <t>N11-27</t>
        </is>
      </c>
      <c r="D267" s="37" t="inlineStr">
        <is>
          <t>NEO ĐÁY</t>
        </is>
      </c>
      <c r="E267" s="38" t="n">
        <v>83.73999999999999</v>
      </c>
      <c r="F267" s="38" t="n">
        <v>101.25</v>
      </c>
      <c r="G267" s="38" t="n">
        <v>83.73999999999999</v>
      </c>
      <c r="H267" s="38" t="n">
        <v>83.70999999999999</v>
      </c>
      <c r="I267" s="38" t="n">
        <v>376.8</v>
      </c>
      <c r="J267" s="39">
        <f>SQRT((G267-E267)^2+(H267-F267)^2)</f>
        <v/>
      </c>
      <c r="K267" s="40">
        <f>MOD(DEGREES(ATAN2(G267-E267,H267-F267)),360)</f>
        <v/>
      </c>
    </row>
    <row r="268" ht="15" customHeight="1" s="1">
      <c r="B268" s="37" t="inlineStr">
        <is>
          <t>BÈ 12</t>
        </is>
      </c>
      <c r="C268" s="37" t="inlineStr">
        <is>
          <t>N12-01</t>
        </is>
      </c>
      <c r="D268" s="37" t="inlineStr">
        <is>
          <t>NEO ĐÁY</t>
        </is>
      </c>
      <c r="E268" s="38" t="n">
        <v>60.98</v>
      </c>
      <c r="F268" s="38" t="n">
        <v>226.56</v>
      </c>
      <c r="G268" s="38" t="n">
        <v>78.51000000000001</v>
      </c>
      <c r="H268" s="38" t="n">
        <v>226.56</v>
      </c>
      <c r="I268" s="38" t="n">
        <v>376.8</v>
      </c>
      <c r="J268" s="39">
        <f>SQRT((G268-E268)^2+(H268-F268)^2)</f>
        <v/>
      </c>
      <c r="K268" s="40">
        <f>MOD(DEGREES(ATAN2(G268-E268,H268-F268)),360)</f>
        <v/>
      </c>
    </row>
    <row r="269" ht="15" customHeight="1" s="1">
      <c r="B269" s="37" t="inlineStr">
        <is>
          <t>BÈ 12</t>
        </is>
      </c>
      <c r="C269" s="37" t="inlineStr">
        <is>
          <t>N12-02</t>
        </is>
      </c>
      <c r="D269" s="37" t="inlineStr">
        <is>
          <t>NEO BỜ</t>
        </is>
      </c>
      <c r="E269" s="38" t="n">
        <v>60.98</v>
      </c>
      <c r="F269" s="38" t="n">
        <v>240.81</v>
      </c>
      <c r="G269" s="38" t="n">
        <v>36.05</v>
      </c>
      <c r="H269" s="38" t="n">
        <v>238.18</v>
      </c>
      <c r="I269" s="38" t="n">
        <v>384.5</v>
      </c>
      <c r="J269" s="39">
        <f>SQRT((G269-E269)^2+(H269-F269)^2)</f>
        <v/>
      </c>
      <c r="K269" s="40">
        <f>MOD(DEGREES(ATAN2(G269-E269,H269-F269)),360)</f>
        <v/>
      </c>
    </row>
    <row r="270" ht="15" customHeight="1" s="1">
      <c r="B270" s="37" t="inlineStr">
        <is>
          <t>BÈ 12</t>
        </is>
      </c>
      <c r="C270" s="37" t="inlineStr">
        <is>
          <t>N12-03</t>
        </is>
      </c>
      <c r="D270" s="37" t="inlineStr">
        <is>
          <t>NEO BỜ</t>
        </is>
      </c>
      <c r="E270" s="38" t="n">
        <v>60.98</v>
      </c>
      <c r="F270" s="38" t="n">
        <v>255.06</v>
      </c>
      <c r="G270" s="38" t="n">
        <v>35.3</v>
      </c>
      <c r="H270" s="38" t="n">
        <v>256.25</v>
      </c>
      <c r="I270" s="38" t="n">
        <v>384.5</v>
      </c>
      <c r="J270" s="39">
        <f>SQRT((G270-E270)^2+(H270-F270)^2)</f>
        <v/>
      </c>
      <c r="K270" s="40">
        <f>MOD(DEGREES(ATAN2(G270-E270,H270-F270)),360)</f>
        <v/>
      </c>
    </row>
    <row r="271" ht="15" customHeight="1" s="1">
      <c r="B271" s="37" t="inlineStr">
        <is>
          <t>BÈ 12</t>
        </is>
      </c>
      <c r="C271" s="37" t="inlineStr">
        <is>
          <t>N12-04</t>
        </is>
      </c>
      <c r="D271" s="37" t="inlineStr">
        <is>
          <t>NEO BỜ</t>
        </is>
      </c>
      <c r="E271" s="38" t="n">
        <v>60.98</v>
      </c>
      <c r="F271" s="38" t="n">
        <v>269.31</v>
      </c>
      <c r="G271" s="38" t="n">
        <v>51.82</v>
      </c>
      <c r="H271" s="38" t="n">
        <v>292.73</v>
      </c>
      <c r="I271" s="38" t="n">
        <v>384.5</v>
      </c>
      <c r="J271" s="39">
        <f>SQRT((G271-E271)^2+(H271-F271)^2)</f>
        <v/>
      </c>
      <c r="K271" s="40">
        <f>MOD(DEGREES(ATAN2(G271-E271,H271-F271)),360)</f>
        <v/>
      </c>
    </row>
    <row r="272" ht="15" customHeight="1" s="1">
      <c r="B272" s="37" t="inlineStr">
        <is>
          <t>BÈ 12</t>
        </is>
      </c>
      <c r="C272" s="37" t="inlineStr">
        <is>
          <t>N12-05</t>
        </is>
      </c>
      <c r="D272" s="37" t="inlineStr">
        <is>
          <t>NEO BỜ</t>
        </is>
      </c>
      <c r="E272" s="38" t="n">
        <v>60.98</v>
      </c>
      <c r="F272" s="38" t="n">
        <v>283.56</v>
      </c>
      <c r="G272" s="38" t="n">
        <v>51.82</v>
      </c>
      <c r="H272" s="38" t="n">
        <v>292.73</v>
      </c>
      <c r="I272" s="38" t="n">
        <v>384.5</v>
      </c>
      <c r="J272" s="39">
        <f>SQRT((G272-E272)^2+(H272-F272)^2)</f>
        <v/>
      </c>
      <c r="K272" s="40">
        <f>MOD(DEGREES(ATAN2(G272-E272,H272-F272)),360)</f>
        <v/>
      </c>
    </row>
    <row r="273" ht="15" customHeight="1" s="1">
      <c r="B273" s="37" t="inlineStr">
        <is>
          <t>BÈ 12</t>
        </is>
      </c>
      <c r="C273" s="37" t="inlineStr">
        <is>
          <t>N12-06</t>
        </is>
      </c>
      <c r="D273" s="37" t="inlineStr">
        <is>
          <t>NEO BỜ</t>
        </is>
      </c>
      <c r="E273" s="38" t="n">
        <v>73.95</v>
      </c>
      <c r="F273" s="38" t="n">
        <v>284.84</v>
      </c>
      <c r="G273" s="38" t="n">
        <v>59.49</v>
      </c>
      <c r="H273" s="38" t="n">
        <v>300.62</v>
      </c>
      <c r="I273" s="38" t="n">
        <v>384.5</v>
      </c>
      <c r="J273" s="39">
        <f>SQRT((G273-E273)^2+(H273-F273)^2)</f>
        <v/>
      </c>
      <c r="K273" s="40">
        <f>MOD(DEGREES(ATAN2(G273-E273,H273-F273)),360)</f>
        <v/>
      </c>
    </row>
    <row r="274" ht="15" customHeight="1" s="1">
      <c r="B274" s="37" t="inlineStr">
        <is>
          <t>BÈ 12</t>
        </is>
      </c>
      <c r="C274" s="37" t="inlineStr">
        <is>
          <t>N12-07</t>
        </is>
      </c>
      <c r="D274" s="37" t="inlineStr">
        <is>
          <t>NEO BỜ</t>
        </is>
      </c>
      <c r="E274" s="38" t="n">
        <v>88.2</v>
      </c>
      <c r="F274" s="38" t="n">
        <v>284.84</v>
      </c>
      <c r="G274" s="38" t="n">
        <v>62.02</v>
      </c>
      <c r="H274" s="38" t="n">
        <v>302.94</v>
      </c>
      <c r="I274" s="38" t="n">
        <v>384.5</v>
      </c>
      <c r="J274" s="39">
        <f>SQRT((G274-E274)^2+(H274-F274)^2)</f>
        <v/>
      </c>
      <c r="K274" s="40">
        <f>MOD(DEGREES(ATAN2(G274-E274,H274-F274)),360)</f>
        <v/>
      </c>
    </row>
    <row r="275" ht="15" customHeight="1" s="1">
      <c r="B275" s="37" t="inlineStr">
        <is>
          <t>BÈ 12</t>
        </is>
      </c>
      <c r="C275" s="37" t="inlineStr">
        <is>
          <t>N12-08</t>
        </is>
      </c>
      <c r="D275" s="37" t="inlineStr">
        <is>
          <t>NEO ĐÁY</t>
        </is>
      </c>
      <c r="E275" s="38" t="n">
        <v>102.45</v>
      </c>
      <c r="F275" s="38" t="n">
        <v>284.84</v>
      </c>
      <c r="G275" s="38" t="n">
        <v>102.45</v>
      </c>
      <c r="H275" s="38" t="n">
        <v>302.37</v>
      </c>
      <c r="I275" s="38" t="n">
        <v>376.8</v>
      </c>
      <c r="J275" s="39">
        <f>SQRT((G275-E275)^2+(H275-F275)^2)</f>
        <v/>
      </c>
      <c r="K275" s="40">
        <f>MOD(DEGREES(ATAN2(G275-E275,H275-F275)),360)</f>
        <v/>
      </c>
    </row>
    <row r="276" ht="15" customHeight="1" s="1">
      <c r="B276" s="37" t="inlineStr">
        <is>
          <t>BÈ 12</t>
        </is>
      </c>
      <c r="C276" s="37" t="inlineStr">
        <is>
          <t>N12-09</t>
        </is>
      </c>
      <c r="D276" s="37" t="inlineStr">
        <is>
          <t>NEO ĐÁY</t>
        </is>
      </c>
      <c r="E276" s="38" t="n">
        <v>116.7</v>
      </c>
      <c r="F276" s="38" t="n">
        <v>284.84</v>
      </c>
      <c r="G276" s="38" t="n">
        <v>116.7</v>
      </c>
      <c r="H276" s="38" t="n">
        <v>302.37</v>
      </c>
      <c r="I276" s="38" t="n">
        <v>376.8</v>
      </c>
      <c r="J276" s="39">
        <f>SQRT((G276-E276)^2+(H276-F276)^2)</f>
        <v/>
      </c>
      <c r="K276" s="40">
        <f>MOD(DEGREES(ATAN2(G276-E276,H276-F276)),360)</f>
        <v/>
      </c>
    </row>
    <row r="277" ht="15" customHeight="1" s="1">
      <c r="B277" s="37" t="inlineStr">
        <is>
          <t>BÈ 12</t>
        </is>
      </c>
      <c r="C277" s="37" t="inlineStr">
        <is>
          <t>N12-10</t>
        </is>
      </c>
      <c r="D277" s="37" t="inlineStr">
        <is>
          <t>NEO ĐÁY</t>
        </is>
      </c>
      <c r="E277" s="38" t="n">
        <v>130.95</v>
      </c>
      <c r="F277" s="38" t="n">
        <v>284.84</v>
      </c>
      <c r="G277" s="38" t="n">
        <v>113.42</v>
      </c>
      <c r="H277" s="38" t="n">
        <v>284.84</v>
      </c>
      <c r="I277" s="38" t="n">
        <v>376.8</v>
      </c>
      <c r="J277" s="39">
        <f>SQRT((G277-E277)^2+(H277-F277)^2)</f>
        <v/>
      </c>
      <c r="K277" s="40">
        <f>MOD(DEGREES(ATAN2(G277-E277,H277-F277)),360)</f>
        <v/>
      </c>
    </row>
    <row r="278" ht="15" customHeight="1" s="1">
      <c r="B278" s="37" t="inlineStr">
        <is>
          <t>BÈ 12</t>
        </is>
      </c>
      <c r="C278" s="37" t="inlineStr">
        <is>
          <t>N12-11</t>
        </is>
      </c>
      <c r="D278" s="37" t="inlineStr">
        <is>
          <t>NEO BỜ</t>
        </is>
      </c>
      <c r="E278" s="38" t="n">
        <v>130.95</v>
      </c>
      <c r="F278" s="38" t="n">
        <v>270.59</v>
      </c>
      <c r="G278" s="38" t="n">
        <v>149.97</v>
      </c>
      <c r="H278" s="38" t="n">
        <v>284.17</v>
      </c>
      <c r="I278" s="38" t="n">
        <v>384.5</v>
      </c>
      <c r="J278" s="39">
        <f>SQRT((G278-E278)^2+(H278-F278)^2)</f>
        <v/>
      </c>
      <c r="K278" s="40">
        <f>MOD(DEGREES(ATAN2(G278-E278,H278-F278)),360)</f>
        <v/>
      </c>
    </row>
    <row r="279" ht="15" customHeight="1" s="1">
      <c r="B279" s="37" t="inlineStr">
        <is>
          <t>BÈ 12</t>
        </is>
      </c>
      <c r="C279" s="37" t="inlineStr">
        <is>
          <t>N12-12</t>
        </is>
      </c>
      <c r="D279" s="37" t="inlineStr">
        <is>
          <t>NEO BỜ</t>
        </is>
      </c>
      <c r="E279" s="38" t="n">
        <v>130.95</v>
      </c>
      <c r="F279" s="38" t="n">
        <v>256.34</v>
      </c>
      <c r="G279" s="38" t="n">
        <v>157.94</v>
      </c>
      <c r="H279" s="38" t="n">
        <v>269.34</v>
      </c>
      <c r="I279" s="38" t="n">
        <v>384.5</v>
      </c>
      <c r="J279" s="39">
        <f>SQRT((G279-E279)^2+(H279-F279)^2)</f>
        <v/>
      </c>
      <c r="K279" s="40">
        <f>MOD(DEGREES(ATAN2(G279-E279,H279-F279)),360)</f>
        <v/>
      </c>
    </row>
    <row r="280" ht="15" customHeight="1" s="1">
      <c r="B280" s="37" t="inlineStr">
        <is>
          <t>BÈ 12</t>
        </is>
      </c>
      <c r="C280" s="37" t="inlineStr">
        <is>
          <t>N12-13</t>
        </is>
      </c>
      <c r="D280" s="37" t="inlineStr">
        <is>
          <t>NEO BỜ</t>
        </is>
      </c>
      <c r="E280" s="38" t="n">
        <v>130.95</v>
      </c>
      <c r="F280" s="38" t="n">
        <v>242.09</v>
      </c>
      <c r="G280" s="38" t="n">
        <v>161.85</v>
      </c>
      <c r="H280" s="38" t="n">
        <v>246.16</v>
      </c>
      <c r="I280" s="38" t="n">
        <v>384.5</v>
      </c>
      <c r="J280" s="39">
        <f>SQRT((G280-E280)^2+(H280-F280)^2)</f>
        <v/>
      </c>
      <c r="K280" s="40">
        <f>MOD(DEGREES(ATAN2(G280-E280,H280-F280)),360)</f>
        <v/>
      </c>
    </row>
    <row r="281" ht="15" customHeight="1" s="1">
      <c r="B281" s="37" t="inlineStr">
        <is>
          <t>BÈ 12</t>
        </is>
      </c>
      <c r="C281" s="37" t="inlineStr">
        <is>
          <t>N12-14</t>
        </is>
      </c>
      <c r="D281" s="37" t="inlineStr">
        <is>
          <t>NEO ĐÁY</t>
        </is>
      </c>
      <c r="E281" s="38" t="n">
        <v>130.95</v>
      </c>
      <c r="F281" s="38" t="n">
        <v>227.83</v>
      </c>
      <c r="G281" s="38" t="n">
        <v>148.49</v>
      </c>
      <c r="H281" s="38" t="n">
        <v>227.83</v>
      </c>
      <c r="I281" s="38" t="n">
        <v>376.8</v>
      </c>
      <c r="J281" s="39">
        <f>SQRT((G281-E281)^2+(H281-F281)^2)</f>
        <v/>
      </c>
      <c r="K281" s="40">
        <f>MOD(DEGREES(ATAN2(G281-E281,H281-F281)),360)</f>
        <v/>
      </c>
    </row>
    <row r="282" ht="15" customHeight="1" s="1">
      <c r="B282" s="37" t="inlineStr">
        <is>
          <t>BÈ 12</t>
        </is>
      </c>
      <c r="C282" s="37" t="inlineStr">
        <is>
          <t>N12-15</t>
        </is>
      </c>
      <c r="D282" s="37" t="inlineStr">
        <is>
          <t>NEO ĐÁY</t>
        </is>
      </c>
      <c r="E282" s="38" t="n">
        <v>117.98</v>
      </c>
      <c r="F282" s="38" t="n">
        <v>226.56</v>
      </c>
      <c r="G282" s="38" t="n">
        <v>117.98</v>
      </c>
      <c r="H282" s="38" t="n">
        <v>209.02</v>
      </c>
      <c r="I282" s="38" t="n">
        <v>376.8</v>
      </c>
      <c r="J282" s="39">
        <f>SQRT((G282-E282)^2+(H282-F282)^2)</f>
        <v/>
      </c>
      <c r="K282" s="40">
        <f>MOD(DEGREES(ATAN2(G282-E282,H282-F282)),360)</f>
        <v/>
      </c>
    </row>
    <row r="283" ht="15" customHeight="1" s="1">
      <c r="B283" s="37" t="inlineStr">
        <is>
          <t>BÈ 12</t>
        </is>
      </c>
      <c r="C283" s="37" t="inlineStr">
        <is>
          <t>N12-16</t>
        </is>
      </c>
      <c r="D283" s="37" t="inlineStr">
        <is>
          <t>NEO ĐÁY</t>
        </is>
      </c>
      <c r="E283" s="38" t="n">
        <v>103.73</v>
      </c>
      <c r="F283" s="38" t="n">
        <v>226.56</v>
      </c>
      <c r="G283" s="38" t="n">
        <v>103.73</v>
      </c>
      <c r="H283" s="38" t="n">
        <v>209.02</v>
      </c>
      <c r="I283" s="38" t="n">
        <v>376.8</v>
      </c>
      <c r="J283" s="39">
        <f>SQRT((G283-E283)^2+(H283-F283)^2)</f>
        <v/>
      </c>
      <c r="K283" s="40">
        <f>MOD(DEGREES(ATAN2(G283-E283,H283-F283)),360)</f>
        <v/>
      </c>
    </row>
    <row r="284" ht="15" customHeight="1" s="1">
      <c r="B284" s="37" t="inlineStr">
        <is>
          <t>BÈ 12</t>
        </is>
      </c>
      <c r="C284" s="37" t="inlineStr">
        <is>
          <t>N12-17</t>
        </is>
      </c>
      <c r="D284" s="37" t="inlineStr">
        <is>
          <t>NEO ĐÁY</t>
        </is>
      </c>
      <c r="E284" s="38" t="n">
        <v>89.48</v>
      </c>
      <c r="F284" s="38" t="n">
        <v>226.56</v>
      </c>
      <c r="G284" s="38" t="n">
        <v>89.48</v>
      </c>
      <c r="H284" s="38" t="n">
        <v>209.02</v>
      </c>
      <c r="I284" s="38" t="n">
        <v>376.8</v>
      </c>
      <c r="J284" s="39">
        <f>SQRT((G284-E284)^2+(H284-F284)^2)</f>
        <v/>
      </c>
      <c r="K284" s="40">
        <f>MOD(DEGREES(ATAN2(G284-E284,H284-F284)),360)</f>
        <v/>
      </c>
    </row>
    <row r="285" ht="15" customHeight="1" s="1">
      <c r="B285" s="37" t="inlineStr">
        <is>
          <t>BÈ 12</t>
        </is>
      </c>
      <c r="C285" s="37" t="inlineStr">
        <is>
          <t>N12-18</t>
        </is>
      </c>
      <c r="D285" s="37" t="inlineStr">
        <is>
          <t>NEO ĐÁY</t>
        </is>
      </c>
      <c r="E285" s="38" t="n">
        <v>75.23</v>
      </c>
      <c r="F285" s="38" t="n">
        <v>226.56</v>
      </c>
      <c r="G285" s="38" t="n">
        <v>75.23</v>
      </c>
      <c r="H285" s="38" t="n">
        <v>209.02</v>
      </c>
      <c r="I285" s="38" t="n">
        <v>376.8</v>
      </c>
      <c r="J285" s="39">
        <f>SQRT((G285-E285)^2+(H285-F285)^2)</f>
        <v/>
      </c>
      <c r="K285" s="40">
        <f>MOD(DEGREES(ATAN2(G285-E285,H285-F285)),360)</f>
        <v/>
      </c>
    </row>
    <row r="286" ht="15" customHeight="1" s="1">
      <c r="B286" s="37" t="inlineStr">
        <is>
          <t>BÈ 13</t>
        </is>
      </c>
      <c r="C286" s="37" t="inlineStr">
        <is>
          <t>N13-01</t>
        </is>
      </c>
      <c r="D286" s="37" t="inlineStr">
        <is>
          <t>NEO BỜ</t>
        </is>
      </c>
      <c r="E286" s="38" t="n">
        <v>107.73</v>
      </c>
      <c r="F286" s="38" t="n">
        <v>313.19</v>
      </c>
      <c r="G286" s="38" t="n">
        <v>84.31</v>
      </c>
      <c r="H286" s="38" t="n">
        <v>324.22</v>
      </c>
      <c r="I286" s="38" t="n">
        <v>384.5</v>
      </c>
      <c r="J286" s="39">
        <f>SQRT((G286-E286)^2+(H286-F286)^2)</f>
        <v/>
      </c>
      <c r="K286" s="40">
        <f>MOD(DEGREES(ATAN2(G286-E286,H286-F286)),360)</f>
        <v/>
      </c>
    </row>
    <row r="287" ht="15" customHeight="1" s="1">
      <c r="B287" s="37" t="inlineStr">
        <is>
          <t>BÈ 13</t>
        </is>
      </c>
      <c r="C287" s="37" t="inlineStr">
        <is>
          <t>N13-02</t>
        </is>
      </c>
      <c r="D287" s="37" t="inlineStr">
        <is>
          <t>NEO BỜ</t>
        </is>
      </c>
      <c r="E287" s="38" t="n">
        <v>114.02</v>
      </c>
      <c r="F287" s="38" t="n">
        <v>326.08</v>
      </c>
      <c r="G287" s="38" t="n">
        <v>94.13</v>
      </c>
      <c r="H287" s="38" t="n">
        <v>337.48</v>
      </c>
      <c r="I287" s="38" t="n">
        <v>384.5</v>
      </c>
      <c r="J287" s="39">
        <f>SQRT((G287-E287)^2+(H287-F287)^2)</f>
        <v/>
      </c>
      <c r="K287" s="40">
        <f>MOD(DEGREES(ATAN2(G287-E287,H287-F287)),360)</f>
        <v/>
      </c>
    </row>
    <row r="288" ht="15" customHeight="1" s="1">
      <c r="B288" s="37" t="inlineStr">
        <is>
          <t>BÈ 13</t>
        </is>
      </c>
      <c r="C288" s="37" t="inlineStr">
        <is>
          <t>N13-03</t>
        </is>
      </c>
      <c r="D288" s="37" t="inlineStr">
        <is>
          <t>NEO BỜ</t>
        </is>
      </c>
      <c r="E288" s="38" t="n">
        <v>120.31</v>
      </c>
      <c r="F288" s="38" t="n">
        <v>338.97</v>
      </c>
      <c r="G288" s="38" t="n">
        <v>97.02</v>
      </c>
      <c r="H288" s="38" t="n">
        <v>345.33</v>
      </c>
      <c r="I288" s="38" t="n">
        <v>384.5</v>
      </c>
      <c r="J288" s="39">
        <f>SQRT((G288-E288)^2+(H288-F288)^2)</f>
        <v/>
      </c>
      <c r="K288" s="40">
        <f>MOD(DEGREES(ATAN2(G288-E288,H288-F288)),360)</f>
        <v/>
      </c>
    </row>
    <row r="289" ht="15" customHeight="1" s="1">
      <c r="B289" s="37" t="inlineStr">
        <is>
          <t>BÈ 13</t>
        </is>
      </c>
      <c r="C289" s="37" t="inlineStr">
        <is>
          <t>N13-04</t>
        </is>
      </c>
      <c r="D289" s="37" t="inlineStr">
        <is>
          <t>NEO BỜ</t>
        </is>
      </c>
      <c r="E289" s="38" t="n">
        <v>126.6</v>
      </c>
      <c r="F289" s="38" t="n">
        <v>351.86</v>
      </c>
      <c r="G289" s="38" t="n">
        <v>101.46</v>
      </c>
      <c r="H289" s="38" t="n">
        <v>358.5</v>
      </c>
      <c r="I289" s="38" t="n">
        <v>384.5</v>
      </c>
      <c r="J289" s="39">
        <f>SQRT((G289-E289)^2+(H289-F289)^2)</f>
        <v/>
      </c>
      <c r="K289" s="40">
        <f>MOD(DEGREES(ATAN2(G289-E289,H289-F289)),360)</f>
        <v/>
      </c>
    </row>
    <row r="290" ht="15" customHeight="1" s="1">
      <c r="B290" s="37" t="inlineStr">
        <is>
          <t>BÈ 13</t>
        </is>
      </c>
      <c r="C290" s="37" t="inlineStr">
        <is>
          <t>N13-05</t>
        </is>
      </c>
      <c r="D290" s="37" t="inlineStr">
        <is>
          <t>NEO BỜ</t>
        </is>
      </c>
      <c r="E290" s="38" t="n">
        <v>132.89</v>
      </c>
      <c r="F290" s="38" t="n">
        <v>364.75</v>
      </c>
      <c r="G290" s="38" t="n">
        <v>119.2</v>
      </c>
      <c r="H290" s="38" t="n">
        <v>382.99</v>
      </c>
      <c r="I290" s="38" t="n">
        <v>384.5</v>
      </c>
      <c r="J290" s="39">
        <f>SQRT((G290-E290)^2+(H290-F290)^2)</f>
        <v/>
      </c>
      <c r="K290" s="40">
        <f>MOD(DEGREES(ATAN2(G290-E290,H290-F290)),360)</f>
        <v/>
      </c>
    </row>
    <row r="291" ht="15" customHeight="1" s="1">
      <c r="B291" s="37" t="inlineStr">
        <is>
          <t>BÈ 13</t>
        </is>
      </c>
      <c r="C291" s="37" t="inlineStr">
        <is>
          <t>N13-06</t>
        </is>
      </c>
      <c r="D291" s="37" t="inlineStr">
        <is>
          <t>NEO BỜ</t>
        </is>
      </c>
      <c r="E291" s="38" t="n">
        <v>139.17</v>
      </c>
      <c r="F291" s="38" t="n">
        <v>377.64</v>
      </c>
      <c r="G291" s="38" t="n">
        <v>119.2</v>
      </c>
      <c r="H291" s="38" t="n">
        <v>382.99</v>
      </c>
      <c r="I291" s="38" t="n">
        <v>384.5</v>
      </c>
      <c r="J291" s="39">
        <f>SQRT((G291-E291)^2+(H291-F291)^2)</f>
        <v/>
      </c>
      <c r="K291" s="40">
        <f>MOD(DEGREES(ATAN2(G291-E291,H291-F291)),360)</f>
        <v/>
      </c>
    </row>
    <row r="292" ht="15" customHeight="1" s="1">
      <c r="B292" s="37" t="inlineStr">
        <is>
          <t>BÈ 13</t>
        </is>
      </c>
      <c r="C292" s="37" t="inlineStr">
        <is>
          <t>N13-07</t>
        </is>
      </c>
      <c r="D292" s="37" t="inlineStr">
        <is>
          <t>NEO BỜ</t>
        </is>
      </c>
      <c r="E292" s="38" t="n">
        <v>145.46</v>
      </c>
      <c r="F292" s="38" t="n">
        <v>390.54</v>
      </c>
      <c r="G292" s="38" t="n">
        <v>135.11</v>
      </c>
      <c r="H292" s="38" t="n">
        <v>400.65</v>
      </c>
      <c r="I292" s="38" t="n">
        <v>384.5</v>
      </c>
      <c r="J292" s="39">
        <f>SQRT((G292-E292)^2+(H292-F292)^2)</f>
        <v/>
      </c>
      <c r="K292" s="40">
        <f>MOD(DEGREES(ATAN2(G292-E292,H292-F292)),360)</f>
        <v/>
      </c>
    </row>
    <row r="293" ht="15" customHeight="1" s="1">
      <c r="B293" s="37" t="inlineStr">
        <is>
          <t>BÈ 13</t>
        </is>
      </c>
      <c r="C293" s="37" t="inlineStr">
        <is>
          <t>N13-08</t>
        </is>
      </c>
      <c r="D293" s="37" t="inlineStr">
        <is>
          <t>NEO ĐÁY</t>
        </is>
      </c>
      <c r="E293" s="38" t="n">
        <v>151.9</v>
      </c>
      <c r="F293" s="38" t="n">
        <v>403</v>
      </c>
      <c r="G293" s="38" t="n">
        <v>159.58</v>
      </c>
      <c r="H293" s="38" t="n">
        <v>418.76</v>
      </c>
      <c r="I293" s="38" t="n">
        <v>376.8</v>
      </c>
      <c r="J293" s="39">
        <f>SQRT((G293-E293)^2+(H293-F293)^2)</f>
        <v/>
      </c>
      <c r="K293" s="40">
        <f>MOD(DEGREES(ATAN2(G293-E293,H293-F293)),360)</f>
        <v/>
      </c>
    </row>
    <row r="294" ht="15" customHeight="1" s="1">
      <c r="B294" s="37" t="inlineStr">
        <is>
          <t>BÈ 13</t>
        </is>
      </c>
      <c r="C294" s="37" t="inlineStr">
        <is>
          <t>N13-09</t>
        </is>
      </c>
      <c r="D294" s="37" t="inlineStr">
        <is>
          <t>NEO ĐÁY</t>
        </is>
      </c>
      <c r="E294" s="38" t="n">
        <v>164.79</v>
      </c>
      <c r="F294" s="38" t="n">
        <v>396.71</v>
      </c>
      <c r="G294" s="38" t="n">
        <v>172.48</v>
      </c>
      <c r="H294" s="38" t="n">
        <v>412.47</v>
      </c>
      <c r="I294" s="38" t="n">
        <v>376.8</v>
      </c>
      <c r="J294" s="39">
        <f>SQRT((G294-E294)^2+(H294-F294)^2)</f>
        <v/>
      </c>
      <c r="K294" s="40">
        <f>MOD(DEGREES(ATAN2(G294-E294,H294-F294)),360)</f>
        <v/>
      </c>
    </row>
    <row r="295" ht="15" customHeight="1" s="1">
      <c r="B295" s="37" t="inlineStr">
        <is>
          <t>BÈ 13</t>
        </is>
      </c>
      <c r="C295" s="37" t="inlineStr">
        <is>
          <t>N13-10</t>
        </is>
      </c>
      <c r="D295" s="37" t="inlineStr">
        <is>
          <t>NEO ĐÁY</t>
        </is>
      </c>
      <c r="E295" s="38" t="n">
        <v>177.68</v>
      </c>
      <c r="F295" s="38" t="n">
        <v>390.42</v>
      </c>
      <c r="G295" s="38" t="n">
        <v>185.37</v>
      </c>
      <c r="H295" s="38" t="n">
        <v>406.18</v>
      </c>
      <c r="I295" s="38" t="n">
        <v>376.8</v>
      </c>
      <c r="J295" s="39">
        <f>SQRT((G295-E295)^2+(H295-F295)^2)</f>
        <v/>
      </c>
      <c r="K295" s="40">
        <f>MOD(DEGREES(ATAN2(G295-E295,H295-F295)),360)</f>
        <v/>
      </c>
    </row>
    <row r="296" ht="15" customHeight="1" s="1">
      <c r="B296" s="37" t="inlineStr">
        <is>
          <t>BÈ 13</t>
        </is>
      </c>
      <c r="C296" s="37" t="inlineStr">
        <is>
          <t>N13-11</t>
        </is>
      </c>
      <c r="D296" s="37" t="inlineStr">
        <is>
          <t>NEO BỜ</t>
        </is>
      </c>
      <c r="E296" s="38" t="n">
        <v>180.98</v>
      </c>
      <c r="F296" s="38" t="n">
        <v>380.83</v>
      </c>
      <c r="G296" s="38" t="n">
        <v>193.87</v>
      </c>
      <c r="H296" s="38" t="n">
        <v>373.92</v>
      </c>
      <c r="I296" s="38" t="n">
        <v>384.5</v>
      </c>
      <c r="J296" s="39">
        <f>SQRT((G296-E296)^2+(H296-F296)^2)</f>
        <v/>
      </c>
      <c r="K296" s="40">
        <f>MOD(DEGREES(ATAN2(G296-E296,H296-F296)),360)</f>
        <v/>
      </c>
    </row>
    <row r="297" ht="15" customHeight="1" s="1">
      <c r="B297" s="37" t="inlineStr">
        <is>
          <t>BÈ 13</t>
        </is>
      </c>
      <c r="C297" s="37" t="inlineStr">
        <is>
          <t>N13-12</t>
        </is>
      </c>
      <c r="D297" s="37" t="inlineStr">
        <is>
          <t>NEO BỜ</t>
        </is>
      </c>
      <c r="E297" s="38" t="n">
        <v>174.69</v>
      </c>
      <c r="F297" s="38" t="n">
        <v>367.94</v>
      </c>
      <c r="G297" s="38" t="n">
        <v>189.63</v>
      </c>
      <c r="H297" s="38" t="n">
        <v>364.57</v>
      </c>
      <c r="I297" s="38" t="n">
        <v>384.5</v>
      </c>
      <c r="J297" s="39">
        <f>SQRT((G297-E297)^2+(H297-F297)^2)</f>
        <v/>
      </c>
      <c r="K297" s="40">
        <f>MOD(DEGREES(ATAN2(G297-E297,H297-F297)),360)</f>
        <v/>
      </c>
    </row>
    <row r="298" ht="15" customHeight="1" s="1">
      <c r="B298" s="37" t="inlineStr">
        <is>
          <t>BÈ 13</t>
        </is>
      </c>
      <c r="C298" s="37" t="inlineStr">
        <is>
          <t>N13-13</t>
        </is>
      </c>
      <c r="D298" s="37" t="inlineStr">
        <is>
          <t>NEO BỜ</t>
        </is>
      </c>
      <c r="E298" s="38" t="n">
        <v>168.41</v>
      </c>
      <c r="F298" s="38" t="n">
        <v>355.05</v>
      </c>
      <c r="G298" s="38" t="n">
        <v>183.01</v>
      </c>
      <c r="H298" s="38" t="n">
        <v>352.13</v>
      </c>
      <c r="I298" s="38" t="n">
        <v>384.5</v>
      </c>
      <c r="J298" s="39">
        <f>SQRT((G298-E298)^2+(H298-F298)^2)</f>
        <v/>
      </c>
      <c r="K298" s="40">
        <f>MOD(DEGREES(ATAN2(G298-E298,H298-F298)),360)</f>
        <v/>
      </c>
    </row>
    <row r="299" ht="15" customHeight="1" s="1">
      <c r="B299" s="37" t="inlineStr">
        <is>
          <t>BÈ 13</t>
        </is>
      </c>
      <c r="C299" s="37" t="inlineStr">
        <is>
          <t>N13-14</t>
        </is>
      </c>
      <c r="D299" s="37" t="inlineStr">
        <is>
          <t>NEO BỜ</t>
        </is>
      </c>
      <c r="E299" s="38" t="n">
        <v>162.12</v>
      </c>
      <c r="F299" s="38" t="n">
        <v>342.16</v>
      </c>
      <c r="G299" s="38" t="n">
        <v>177.51</v>
      </c>
      <c r="H299" s="38" t="n">
        <v>337.51</v>
      </c>
      <c r="I299" s="38" t="n">
        <v>384.5</v>
      </c>
      <c r="J299" s="39">
        <f>SQRT((G299-E299)^2+(H299-F299)^2)</f>
        <v/>
      </c>
      <c r="K299" s="40">
        <f>MOD(DEGREES(ATAN2(G299-E299,H299-F299)),360)</f>
        <v/>
      </c>
    </row>
    <row r="300" ht="15" customHeight="1" s="1">
      <c r="B300" s="37" t="inlineStr">
        <is>
          <t>BÈ 13</t>
        </is>
      </c>
      <c r="C300" s="37" t="inlineStr">
        <is>
          <t>N13-15</t>
        </is>
      </c>
      <c r="D300" s="37" t="inlineStr">
        <is>
          <t>NEO BỜ</t>
        </is>
      </c>
      <c r="E300" s="38" t="n">
        <v>155.83</v>
      </c>
      <c r="F300" s="38" t="n">
        <v>329.27</v>
      </c>
      <c r="G300" s="38" t="n">
        <v>172.67</v>
      </c>
      <c r="H300" s="38" t="n">
        <v>319.13</v>
      </c>
      <c r="I300" s="38" t="n">
        <v>384.5</v>
      </c>
      <c r="J300" s="39">
        <f>SQRT((G300-E300)^2+(H300-F300)^2)</f>
        <v/>
      </c>
      <c r="K300" s="40">
        <f>MOD(DEGREES(ATAN2(G300-E300,H300-F300)),360)</f>
        <v/>
      </c>
    </row>
    <row r="301" ht="15" customHeight="1" s="1">
      <c r="B301" s="37" t="inlineStr">
        <is>
          <t>BÈ 13</t>
        </is>
      </c>
      <c r="C301" s="37" t="inlineStr">
        <is>
          <t>N13-16</t>
        </is>
      </c>
      <c r="D301" s="37" t="inlineStr">
        <is>
          <t>NEO BỜ</t>
        </is>
      </c>
      <c r="E301" s="38" t="n">
        <v>149.54</v>
      </c>
      <c r="F301" s="38" t="n">
        <v>316.38</v>
      </c>
      <c r="G301" s="38" t="n">
        <v>163.82</v>
      </c>
      <c r="H301" s="38" t="n">
        <v>305.4</v>
      </c>
      <c r="I301" s="38" t="n">
        <v>384.5</v>
      </c>
      <c r="J301" s="39">
        <f>SQRT((G301-E301)^2+(H301-F301)^2)</f>
        <v/>
      </c>
      <c r="K301" s="40">
        <f>MOD(DEGREES(ATAN2(G301-E301,H301-F301)),360)</f>
        <v/>
      </c>
    </row>
    <row r="302" ht="15" customHeight="1" s="1">
      <c r="B302" s="37" t="inlineStr">
        <is>
          <t>BÈ 13</t>
        </is>
      </c>
      <c r="C302" s="37" t="inlineStr">
        <is>
          <t>N13-17</t>
        </is>
      </c>
      <c r="D302" s="37" t="inlineStr">
        <is>
          <t>NEO BỜ</t>
        </is>
      </c>
      <c r="E302" s="38" t="n">
        <v>143.26</v>
      </c>
      <c r="F302" s="38" t="n">
        <v>303.48</v>
      </c>
      <c r="G302" s="38" t="n">
        <v>154.76</v>
      </c>
      <c r="H302" s="38" t="n">
        <v>294.59</v>
      </c>
      <c r="I302" s="38" t="n">
        <v>384.5</v>
      </c>
      <c r="J302" s="39">
        <f>SQRT((G302-E302)^2+(H302-F302)^2)</f>
        <v/>
      </c>
      <c r="K302" s="40">
        <f>MOD(DEGREES(ATAN2(G302-E302,H302-F302)),360)</f>
        <v/>
      </c>
    </row>
    <row r="303" ht="15" customHeight="1" s="1">
      <c r="B303" s="37" t="inlineStr">
        <is>
          <t>BÈ 13</t>
        </is>
      </c>
      <c r="C303" s="37" t="inlineStr">
        <is>
          <t>N13-18</t>
        </is>
      </c>
      <c r="D303" s="37" t="inlineStr">
        <is>
          <t>NEO ĐÁY</t>
        </is>
      </c>
      <c r="E303" s="38" t="n">
        <v>133.52</v>
      </c>
      <c r="F303" s="38" t="n">
        <v>300.61</v>
      </c>
      <c r="G303" s="38" t="n">
        <v>125.83</v>
      </c>
      <c r="H303" s="38" t="n">
        <v>284.85</v>
      </c>
      <c r="I303" s="38" t="n">
        <v>376.8</v>
      </c>
      <c r="J303" s="39">
        <f>SQRT((G303-E303)^2+(H303-F303)^2)</f>
        <v/>
      </c>
      <c r="K303" s="40">
        <f>MOD(DEGREES(ATAN2(G303-E303,H303-F303)),360)</f>
        <v/>
      </c>
    </row>
    <row r="304" ht="15" customHeight="1" s="1">
      <c r="B304" s="37" t="inlineStr">
        <is>
          <t>BÈ 13</t>
        </is>
      </c>
      <c r="C304" s="37" t="inlineStr">
        <is>
          <t>N13-19</t>
        </is>
      </c>
      <c r="D304" s="37" t="inlineStr">
        <is>
          <t>NEO ĐÁY</t>
        </is>
      </c>
      <c r="E304" s="38" t="n">
        <v>120.63</v>
      </c>
      <c r="F304" s="38" t="n">
        <v>306.9</v>
      </c>
      <c r="G304" s="38" t="n">
        <v>112.94</v>
      </c>
      <c r="H304" s="38" t="n">
        <v>291.14</v>
      </c>
      <c r="I304" s="38" t="n">
        <v>376.8</v>
      </c>
      <c r="J304" s="39">
        <f>SQRT((G304-E304)^2+(H304-F304)^2)</f>
        <v/>
      </c>
      <c r="K304" s="40">
        <f>MOD(DEGREES(ATAN2(G304-E304,H304-F304)),360)</f>
        <v/>
      </c>
    </row>
    <row r="306" ht="15" customHeight="1" s="1">
      <c r="C306" s="5" t="inlineStr">
        <is>
          <t>TỔNG</t>
        </is>
      </c>
      <c r="D306" s="5">
        <f>COUNTA(C6:C304)</f>
        <v/>
      </c>
    </row>
    <row r="307" ht="15" customHeight="1" s="1">
      <c r="C307" s="4" t="inlineStr">
        <is>
          <t>NEO BỜ</t>
        </is>
      </c>
      <c r="D307">
        <f>COUNTIF(D6:D304,"NEO BỜ")</f>
        <v/>
      </c>
    </row>
    <row r="308" ht="15" customHeight="1" s="1">
      <c r="C308" s="4" t="inlineStr">
        <is>
          <t>NEO ĐÁY</t>
        </is>
      </c>
      <c r="D308">
        <f>COUNTIF(D6:D304,"NEO ĐÁY")</f>
        <v/>
      </c>
    </row>
  </sheetData>
  <autoFilter ref="B5:K304"/>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sheetPr>
    <outlinePr summaryBelow="1" summaryRight="1"/>
    <pageSetUpPr/>
  </sheetPr>
  <dimension ref="B2:H131"/>
  <sheetViews>
    <sheetView zoomScaleNormal="100" workbookViewId="0">
      <pane xSplit="1" ySplit="5" topLeftCell="B6" activePane="bottomRight" state="frozen"/>
      <selection pane="bottomLeft" activeCell="A6" sqref="A6"/>
      <selection pane="topRight" activeCell="B1" sqref="B1"/>
      <selection pane="bottomRight" activeCell="A1" sqref="A1"/>
    </sheetView>
  </sheetViews>
  <sheetFormatPr baseColWidth="8" defaultColWidth="8.7421875" defaultRowHeight="15"/>
  <cols>
    <col width="46.00390625" customWidth="1" style="1" min="2" max="2"/>
    <col width="13.98828125" customWidth="1" style="1" min="3" max="3"/>
    <col width="9.953125" customWidth="1" style="1" min="4" max="4"/>
    <col width="59.99609375" customWidth="1" style="1" min="5" max="5"/>
    <col width="13.98828125" customWidth="1" style="1" min="6" max="6"/>
  </cols>
  <sheetData>
    <row r="2" ht="17.25" customHeight="1" s="1">
      <c r="B2" s="2" t="inlineStr">
        <is>
          <t>BÈ 01 — TÍNH THEO BẢN VẼ CHI TIẾT CT-BP01</t>
        </is>
      </c>
    </row>
    <row r="3" ht="15" customHeight="1" s="1">
      <c r="B3" s="3" t="inlineStr">
        <is>
          <t>Số liệu đo trực tiếp từ mặt cắt trên bản vẽ, thay cho số suy từ mặt bằng tổng thể.</t>
        </is>
      </c>
    </row>
    <row r="5" ht="15" customHeight="1" s="1">
      <c r="B5" s="7" t="inlineStr">
        <is>
          <t>A. HÌNH HỌC (đo từ bản vẽ)</t>
        </is>
      </c>
      <c r="C5" s="7" t="n"/>
      <c r="D5" s="7" t="n"/>
      <c r="E5" s="7" t="n"/>
      <c r="F5" s="7" t="n"/>
      <c r="H5" s="5" t="inlineStr">
        <is>
          <t>HÌNH A — MẶT BẰNG HỆ NEO BÈ 01</t>
        </is>
      </c>
    </row>
    <row r="6" ht="15" customHeight="1" s="1">
      <c r="B6" s="4" t="inlineStr">
        <is>
          <t>Chiều dài L</t>
        </is>
      </c>
      <c r="C6" s="8" t="n">
        <v>90</v>
      </c>
      <c r="D6" s="4" t="inlineStr">
        <is>
          <t>m</t>
        </is>
      </c>
      <c r="E6" s="9" t="inlineStr">
        <is>
          <t>Bản vẽ CT-BP01</t>
        </is>
      </c>
    </row>
    <row r="7" ht="15" customHeight="1" s="1">
      <c r="B7" s="4" t="inlineStr">
        <is>
          <t>Chiều rộng W</t>
        </is>
      </c>
      <c r="C7" s="8" t="n">
        <v>41</v>
      </c>
      <c r="D7" s="4" t="inlineStr">
        <is>
          <t>m</t>
        </is>
      </c>
      <c r="E7" s="9" t="inlineStr">
        <is>
          <t>Bản vẽ CT-BP01</t>
        </is>
      </c>
    </row>
    <row r="8" ht="15" customHeight="1" s="1">
      <c r="B8" s="4" t="inlineStr">
        <is>
          <t>Diện tích</t>
        </is>
      </c>
      <c r="C8" s="26">
        <f>C6*C7</f>
        <v/>
      </c>
      <c r="D8" s="4" t="inlineStr">
        <is>
          <t>m2</t>
        </is>
      </c>
      <c r="E8" s="9" t="inlineStr">
        <is>
          <t>→ ô C6 (chiều dài l) x ô C7 (chiều rộng w) — đọc từ bản vẽ CT-BP01</t>
        </is>
      </c>
    </row>
    <row r="9" ht="15" customHeight="1" s="1">
      <c r="B9" s="4" t="inlineStr">
        <is>
          <t>Chu vi</t>
        </is>
      </c>
      <c r="C9" s="29">
        <f>2*(C6+C7)</f>
        <v/>
      </c>
      <c r="D9" s="4" t="inlineStr">
        <is>
          <t>m</t>
        </is>
      </c>
      <c r="E9" s="9" t="inlineStr">
        <is>
          <t>→ 2 x (ô C6 + ô C7) — chu vi hình chữ nhật</t>
        </is>
      </c>
    </row>
    <row r="10" ht="15" customHeight="1" s="1">
      <c r="B10" s="4" t="inlineStr">
        <is>
          <t>Số tấm pin</t>
        </is>
      </c>
      <c r="C10" s="15" t="n">
        <v>790</v>
      </c>
      <c r="D10" s="4" t="inlineStr">
        <is>
          <t>tấm</t>
        </is>
      </c>
      <c r="E10" s="9" t="inlineStr">
        <is>
          <t>Đọc từ bảng kê số lượng tấm pin trên bản vẽ CT-BP01</t>
        </is>
      </c>
    </row>
    <row r="11" ht="15" customHeight="1" s="1">
      <c r="B11" s="4" t="inlineStr">
        <is>
          <t>Độ sâu nước dưới bè</t>
        </is>
      </c>
      <c r="C11" s="8" t="n">
        <v>6</v>
      </c>
      <c r="D11" s="4" t="inlineStr">
        <is>
          <t>m</t>
        </is>
      </c>
      <c r="E11" s="9" t="inlineStr">
        <is>
          <t>Mặt cắt 1 và 2</t>
        </is>
      </c>
    </row>
    <row r="12" ht="15" customHeight="1" s="1">
      <c r="B12" s="4" t="inlineStr">
        <is>
          <t>Cao trình đáy tại bè</t>
        </is>
      </c>
      <c r="C12" s="11">
        <f>'2.THONG_SO'!C5-C11</f>
        <v/>
      </c>
      <c r="D12" s="4" t="inlineStr">
        <is>
          <t>m</t>
        </is>
      </c>
      <c r="E12" s="9" t="inlineStr">
        <is>
          <t>→ 2.thong_so ô C5 (mndbt) − Ô C11 (độ sâu nước tại bè)</t>
        </is>
      </c>
    </row>
    <row r="13" ht="15" customHeight="1" s="1">
      <c r="B13" s="4" t="inlineStr">
        <is>
          <t>MN thấp nhất cho bè này</t>
        </is>
      </c>
      <c r="C13" s="11">
        <f>C12+'2.THONG_SO'!C9</f>
        <v/>
      </c>
      <c r="D13" s="4" t="inlineStr">
        <is>
          <t>m</t>
        </is>
      </c>
      <c r="E13" s="9" t="inlineStr">
        <is>
          <t>Đáy + độ sâu tối thiểu</t>
        </is>
      </c>
    </row>
    <row r="15" ht="15" customHeight="1" s="1">
      <c r="B15" s="7" t="inlineStr">
        <is>
          <t>B. BỐN CẠNH — ĐỐI TƯỢNG VÀ KHOẢNG CÁCH</t>
        </is>
      </c>
      <c r="C15" s="7" t="n"/>
      <c r="D15" s="7" t="n"/>
      <c r="E15" s="7" t="n"/>
      <c r="F15" s="7" t="n"/>
    </row>
    <row r="16" ht="15" customHeight="1" s="1">
      <c r="B16" s="4" t="inlineStr">
        <is>
          <t>Cạnh dài Nam (90 m)</t>
        </is>
      </c>
      <c r="C16" s="25" t="n">
        <v>17.1</v>
      </c>
      <c r="D16" s="4" t="inlineStr">
        <is>
          <t>m</t>
        </is>
      </c>
      <c r="E16" s="30" t="inlineStr">
        <is>
          <t>BỜ</t>
        </is>
      </c>
      <c r="F16" s="14">
        <f>IF(E16="BỜ",IF(C16&lt;=50,"NEO BỜ","NEO ĐÁY"),"NEO ĐÁY")</f>
        <v/>
      </c>
    </row>
    <row r="17" ht="15" customHeight="1" s="1">
      <c r="B17" s="4" t="inlineStr">
        <is>
          <t>Cạnh dài Bắc (90 m)</t>
        </is>
      </c>
      <c r="C17" s="25" t="n">
        <v>33.2</v>
      </c>
      <c r="D17" s="4" t="inlineStr">
        <is>
          <t>m</t>
        </is>
      </c>
      <c r="E17" s="30" t="inlineStr">
        <is>
          <t>BỜ</t>
        </is>
      </c>
      <c r="F17" s="14">
        <f>IF(E17="BỜ",IF(C17&lt;=50,"NEO BỜ","NEO ĐÁY"),"NEO ĐÁY")</f>
        <v/>
      </c>
    </row>
    <row r="18" ht="15" customHeight="1" s="1">
      <c r="B18" s="4" t="inlineStr">
        <is>
          <t>Cạnh ngắn Đông (41 m)</t>
        </is>
      </c>
      <c r="C18" s="25" t="n">
        <v>44.2</v>
      </c>
      <c r="D18" s="4" t="inlineStr">
        <is>
          <t>m</t>
        </is>
      </c>
      <c r="E18" s="30" t="inlineStr">
        <is>
          <t>BỜ</t>
        </is>
      </c>
      <c r="F18" s="14">
        <f>IF(E18="BỜ",IF(C18&lt;=50,"NEO BỜ","NEO ĐÁY"),"NEO ĐÁY")</f>
        <v/>
      </c>
    </row>
    <row r="19" ht="15" customHeight="1" s="1">
      <c r="B19" s="4" t="inlineStr">
        <is>
          <t>Cạnh ngắn Tây (41 m)</t>
        </is>
      </c>
      <c r="C19" s="25" t="n">
        <v>27</v>
      </c>
      <c r="D19" s="4" t="inlineStr">
        <is>
          <t>m</t>
        </is>
      </c>
      <c r="E19" s="30" t="inlineStr">
        <is>
          <t>BÈ 02</t>
        </is>
      </c>
      <c r="F19" s="14">
        <f>IF(E19="BỜ",IF(C19&lt;=50,"NEO BỜ","NEO ĐÁY"),"NEO ĐÁY")</f>
        <v/>
      </c>
    </row>
    <row r="21" ht="15" customHeight="1" s="1">
      <c r="B21" s="7" t="inlineStr">
        <is>
          <t>C. SỐ DÂY VÀ CÁP</t>
        </is>
      </c>
      <c r="C21" s="7" t="n"/>
      <c r="D21" s="7" t="n"/>
      <c r="E21" s="7" t="n"/>
      <c r="F21" s="7" t="n"/>
    </row>
    <row r="22" ht="15" customHeight="1" s="1">
      <c r="B22" s="4" t="inlineStr">
        <is>
          <t>Số dây mỗi cạnh dài</t>
        </is>
      </c>
      <c r="C22" s="8" t="n">
        <v>6</v>
      </c>
      <c r="D22" s="4" t="inlineStr">
        <is>
          <t>dây</t>
        </is>
      </c>
      <c r="E22" s="9" t="inlineStr">
        <is>
          <t>NHẬP theo kết quả dò tối ưu (không phải công thức Excel). Đã thử 4-2, 5-3, 6-3, 6-4, 7-4, 8-4 dây/cạnh, tính T max qua 24 hướng gió cho từng phương án: 4-2 dây→T=114 kN cần PES-36; 5-3→T=77 kN cần PES-28; 6-4→T=59 kN, PES-28 vừa đủ, thêm dây nữa (7-4, 8-4) T không giảm thêm. Chọn 6-4 vì ít dây nhất mà vẫn dùng PES-28.</t>
        </is>
      </c>
    </row>
    <row r="23" ht="15" customHeight="1" s="1">
      <c r="B23" s="4" t="inlineStr">
        <is>
          <t>Số dây mỗi cạnh ngắn</t>
        </is>
      </c>
      <c r="C23" s="8" t="n">
        <v>4</v>
      </c>
      <c r="D23" s="4" t="inlineStr">
        <is>
          <t>dây</t>
        </is>
      </c>
      <c r="E23" s="9" t="inlineStr">
        <is>
          <t>NHẬP theo kết quả dò tối ưu (không phải công thức Excel). Đã thử 4-2, 5-3, 6-3, 6-4, 7-4, 8-4 dây/cạnh, tính T max qua 24 hướng gió cho từng phương án: 4-2 dây→T=114 kN cần PES-36; 5-3→T=77 kN cần PES-28; 6-4→T=59 kN, PES-28 vừa đủ, thêm dây nữa (7-4, 8-4) T không giảm thêm. Chọn 6-4 vì ít dây nhất mà vẫn dùng PES-28.</t>
        </is>
      </c>
    </row>
    <row r="24" ht="15" customHeight="1" s="1">
      <c r="B24" s="4" t="inlineStr">
        <is>
          <t>Tổng số dây</t>
        </is>
      </c>
      <c r="C24" s="29">
        <f>2*C22+2*C23</f>
        <v/>
      </c>
      <c r="D24" s="4" t="inlineStr">
        <is>
          <t>dây</t>
        </is>
      </c>
      <c r="E24" s="9" t="inlineStr">
        <is>
          <t>→ 2 x ô C22 (dây/cạnh dài) + 2 x ô C23 (dây/cạnh ngắn)</t>
        </is>
      </c>
    </row>
    <row r="25" ht="15" customHeight="1" s="1">
      <c r="B25" s="4" t="inlineStr">
        <is>
          <t>Số dây NEO BỜ</t>
        </is>
      </c>
      <c r="C25" s="29">
        <f>2*C22+C23</f>
        <v/>
      </c>
      <c r="D25" s="4" t="inlineStr">
        <is>
          <t>dây</t>
        </is>
      </c>
      <c r="E25" s="9" t="inlineStr">
        <is>
          <t>3 cạnh neo bờ: 2 cạnh dài + 1 cạnh ngắn Đông = 2xC22 + C23</t>
        </is>
      </c>
    </row>
    <row r="26" ht="15" customHeight="1" s="1">
      <c r="B26" s="4" t="inlineStr">
        <is>
          <t>Số dây NEO ĐÁY</t>
        </is>
      </c>
      <c r="C26" s="29">
        <f>C23</f>
        <v/>
      </c>
      <c r="D26" s="4" t="inlineStr">
        <is>
          <t>dây</t>
        </is>
      </c>
      <c r="E26" s="9" t="inlineStr">
        <is>
          <t>Cạnh ngắn Tây (giáp bè 02) toàn bộ là neo đáy = Ô C23</t>
        </is>
      </c>
    </row>
    <row r="27" ht="15" customHeight="1" s="1">
      <c r="B27" s="4" t="inlineStr">
        <is>
          <t>Lực môi trường lớn nhất</t>
        </is>
      </c>
      <c r="C27" s="25" t="n">
        <v>196.7</v>
      </c>
      <c r="D27" s="4" t="inlineStr">
        <is>
          <t>kN</t>
        </is>
      </c>
      <c r="E27" s="9" t="inlineStr">
        <is>
          <t>Tính qua 24 hướng</t>
        </is>
      </c>
    </row>
    <row r="28" ht="15" customHeight="1" s="1">
      <c r="B28" s="4" t="inlineStr">
        <is>
          <t>Hệ số tập trung lực</t>
        </is>
      </c>
      <c r="C28" s="20" t="n">
        <v>0.276</v>
      </c>
      <c r="D28" s="4" t="inlineStr">
        <is>
          <t>-</t>
        </is>
      </c>
      <c r="E28" s="9" t="inlineStr">
        <is>
          <t>T max / F, từ mô hình phân bố</t>
        </is>
      </c>
    </row>
    <row r="29" ht="15" customHeight="1" s="1">
      <c r="B29" s="4" t="inlineStr">
        <is>
          <t>T max</t>
        </is>
      </c>
      <c r="C29" s="13">
        <f>C27*C28+'2.THONG_SO'!C32</f>
        <v/>
      </c>
      <c r="D29" s="4" t="inlineStr">
        <is>
          <t>kN</t>
        </is>
      </c>
      <c r="E29" s="9" t="inlineStr">
        <is>
          <t>→ ô C27 (lực môi trường max) x ô C28 (hệ số tập trung) + 2.thong_so ô C32 (lực căng trước t0)</t>
        </is>
      </c>
    </row>
    <row r="30" ht="15" customHeight="1" s="1">
      <c r="B30" s="4" t="inlineStr">
        <is>
          <t>MBL yêu cầu</t>
        </is>
      </c>
      <c r="C30" s="29">
        <f>C29*'2.THONG_SO'!C31</f>
        <v/>
      </c>
      <c r="D30" s="4" t="inlineStr">
        <is>
          <t>kN</t>
        </is>
      </c>
      <c r="E30" s="9" t="inlineStr">
        <is>
          <t>→ ô C29 (t max) x 2.thong_so ô C31 (hệ số an toàn cáp fs=3,0)</t>
        </is>
      </c>
    </row>
    <row r="31" ht="15" customHeight="1" s="1">
      <c r="B31" s="4" t="inlineStr">
        <is>
          <t>Cáp chọn</t>
        </is>
      </c>
      <c r="C31" s="8" t="inlineStr">
        <is>
          <t>PES-28</t>
        </is>
      </c>
      <c r="D31" s="4" t="inlineStr">
        <is>
          <t>-</t>
        </is>
      </c>
      <c r="E31" s="9" t="inlineStr">
        <is>
          <t>MBL 235 kN</t>
        </is>
      </c>
    </row>
    <row r="32" ht="15" customHeight="1" s="1">
      <c r="B32" s="4" t="inlineStr">
        <is>
          <t>MBL cáp</t>
        </is>
      </c>
      <c r="C32" s="28" t="n">
        <v>235</v>
      </c>
      <c r="D32" s="4" t="inlineStr">
        <is>
          <t>kN</t>
        </is>
      </c>
      <c r="E32" s="9" t="inlineStr">
        <is>
          <t>Tra theo mã cáp đã chọn ở ô C31 (PES-28 → MBL 235 kN), không phải công thức tự động</t>
        </is>
      </c>
    </row>
    <row r="33" ht="15" customHeight="1" s="1">
      <c r="B33" s="4" t="inlineStr">
        <is>
          <t>Hệ số sử dụng cáp</t>
        </is>
      </c>
      <c r="C33" s="11">
        <f>C30/C32</f>
        <v/>
      </c>
      <c r="D33" s="4" t="inlineStr">
        <is>
          <t>-</t>
        </is>
      </c>
      <c r="E33" s="9" t="inlineStr">
        <is>
          <t>→ ô C30 (mbl yêu cầu) chia ô C32 (mbl cáp đã chọn)</t>
        </is>
      </c>
    </row>
    <row r="34" ht="15" customHeight="1" s="1">
      <c r="B34" s="4" t="inlineStr">
        <is>
          <t>KIỂM TRA CÁP</t>
        </is>
      </c>
      <c r="C34" s="14">
        <f>IF(C33&lt;=1,"ĐẠT","KHÔNG ĐẠT")</f>
        <v/>
      </c>
      <c r="D34" s="4" t="n"/>
      <c r="E34" s="9" t="inlineStr">
        <is>
          <t>ĐẠT khi Ô C33 (hệ số sử dụng cáp) ≤ 1</t>
        </is>
      </c>
    </row>
    <row r="35" ht="15" customHeight="1" s="1">
      <c r="B35" s="4" t="inlineStr">
        <is>
          <t>Chuyển vị bè</t>
        </is>
      </c>
      <c r="C35" s="20" t="n">
        <v>0.254</v>
      </c>
      <c r="D35" s="4" t="inlineStr">
        <is>
          <t>m</t>
        </is>
      </c>
      <c r="E35" s="9" t="inlineStr">
        <is>
          <t>NHẬP — cùng nguồn với ô C28 (Hệ số tập trung lực), từ mô hình phân bố lực chi tiết ngoài Excel (20 dây, 24 hướng gió). Công thức gốc: u = F_bất_lợi / SUM(ki x cosi^2), voi ki = EA/Li (do cung tung day, A tiet dien day, Li chieu dai day), cosi = hinh chieu goc day so voi huong gio bat loi. Sheet rut gon nay KHONG liet ke tung day nen KHONG tinh lai duoc bang cong thuc Excel — phai chay lai mo hinh (Python hoac ky su) neu doi so day/vi tri.</t>
        </is>
      </c>
    </row>
    <row r="37" ht="15" customHeight="1" s="1">
      <c r="B37" s="7" t="inlineStr">
        <is>
          <t>D. CỌC NEO BỜ</t>
        </is>
      </c>
      <c r="C37" s="7" t="n"/>
      <c r="D37" s="7" t="n"/>
      <c r="E37" s="7" t="n"/>
      <c r="F37" s="7" t="n"/>
    </row>
    <row r="38" ht="15" customHeight="1" s="1">
      <c r="B38" s="4" t="inlineStr">
        <is>
          <t>Cao trình đỉnh cọc</t>
        </is>
      </c>
      <c r="C38" s="11">
        <f>'2.THONG_SO'!C6+0.5</f>
        <v/>
      </c>
      <c r="D38" s="4" t="inlineStr">
        <is>
          <t>m</t>
        </is>
      </c>
      <c r="E38" s="9" t="inlineStr">
        <is>
          <t>MNCN + 0,5 m</t>
        </is>
      </c>
    </row>
    <row r="39" ht="15" customHeight="1" s="1">
      <c r="B39" s="4" t="inlineStr">
        <is>
          <t>Cọc lùi vào bờ so với mép MNDBT</t>
        </is>
      </c>
      <c r="C39" s="13">
        <f>('2.THONG_SO'!C6+0.5-'2.THONG_SO'!C5)*'2.THONG_SO'!C12</f>
        <v/>
      </c>
      <c r="D39" s="4" t="inlineStr">
        <is>
          <t>m</t>
        </is>
      </c>
      <c r="E39" s="9" t="inlineStr">
        <is>
          <t>→ (cao trình đỉnh cọc − MNDBT) x độ dốc bờ — cả hai lấy từ 2.THONG_SO))</t>
        </is>
      </c>
    </row>
    <row r="40" ht="15" customHeight="1" s="1">
      <c r="B40" s="4" t="inlineStr">
        <is>
          <t>Tay đòn e</t>
        </is>
      </c>
      <c r="C40" s="8" t="n">
        <v>0.5</v>
      </c>
      <c r="D40" s="4" t="inlineStr">
        <is>
          <t>m</t>
        </is>
      </c>
      <c r="E40" s="9" t="inlineStr">
        <is>
          <t>Cáp buộc sát mặt đất</t>
        </is>
      </c>
    </row>
    <row r="41" ht="15" customHeight="1" s="1">
      <c r="B41" s="4" t="inlineStr">
        <is>
          <t>Lực ngang mỗi cọc H</t>
        </is>
      </c>
      <c r="C41" s="13">
        <f>C29</f>
        <v/>
      </c>
      <c r="D41" s="4" t="inlineStr">
        <is>
          <t>kN</t>
        </is>
      </c>
      <c r="E41" s="9" t="inlineStr">
        <is>
          <t>Cáp gần như nằm ngang</t>
        </is>
      </c>
    </row>
    <row r="42" ht="15" customHeight="1" s="1">
      <c r="B42" s="4" t="inlineStr">
        <is>
          <t>Cạnh cọc D</t>
        </is>
      </c>
      <c r="C42" s="8" t="n">
        <v>0.45</v>
      </c>
      <c r="D42" s="4" t="inlineStr">
        <is>
          <t>m</t>
        </is>
      </c>
      <c r="E42" s="9" t="n"/>
    </row>
    <row r="43" ht="15" customHeight="1" s="1">
      <c r="B43" s="4" t="inlineStr">
        <is>
          <t>Chiều sâu ngàm L</t>
        </is>
      </c>
      <c r="C43" s="8" t="n">
        <v>6.5</v>
      </c>
      <c r="D43" s="4" t="inlineStr">
        <is>
          <t>m</t>
        </is>
      </c>
      <c r="E43" s="9" t="n"/>
    </row>
    <row r="44" ht="15" customHeight="1" s="1">
      <c r="B44" s="4" t="inlineStr">
        <is>
          <t>g = L − 1,5D</t>
        </is>
      </c>
      <c r="C44" s="34">
        <f>C43-1.5*C42</f>
        <v/>
      </c>
      <c r="D44" s="4" t="inlineStr">
        <is>
          <t>m</t>
        </is>
      </c>
      <c r="E44" s="9" t="inlineStr">
        <is>
          <t>→ ô C43 (ngàm l) − 1,5 x Ô C42 (cạnh D) — biến trung gian Broms</t>
        </is>
      </c>
    </row>
    <row r="45" ht="15" customHeight="1" s="1">
      <c r="B45" s="4" t="inlineStr">
        <is>
          <t>A</t>
        </is>
      </c>
      <c r="C45" s="35">
        <f>0.02778/('2.THONG_SO'!C41*C42)</f>
        <v/>
      </c>
      <c r="D45" s="4" t="inlineStr">
        <is>
          <t>-</t>
        </is>
      </c>
      <c r="E45" s="19" t="inlineStr">
        <is>
          <t>SỬA: trước dùng nhầm cu đáy hồ (C36). Nay dùng cu ĐẤT BỜ (2.THONG_SO ô C41 = 40 kPa)</t>
        </is>
      </c>
      <c r="H45" s="5" t="inlineStr">
        <is>
          <t>HÌNH B — HAI CÁCH ĐẶT ĐỈNH CỌC LÒNG HỒ</t>
        </is>
      </c>
    </row>
    <row r="46" ht="15" customHeight="1" s="1">
      <c r="B46" s="4" t="inlineStr">
        <is>
          <t>B</t>
        </is>
      </c>
      <c r="C46" s="34">
        <f>C40+1.5*C42+0.5*C44</f>
        <v/>
      </c>
      <c r="D46" s="4" t="inlineStr">
        <is>
          <t>-</t>
        </is>
      </c>
      <c r="E46" s="9" t="inlineStr">
        <is>
          <t>Hệ số B Broms = e (Ô C40) + 1,5D + 0,5g</t>
        </is>
      </c>
    </row>
    <row r="47" ht="15" customHeight="1" s="1">
      <c r="B47" s="4" t="inlineStr">
        <is>
          <t>C</t>
        </is>
      </c>
      <c r="C47" s="13">
        <f>-2.25*C42*'2.THONG_SO'!C41*C44^2</f>
        <v/>
      </c>
      <c r="D47" s="4" t="inlineStr">
        <is>
          <t>-</t>
        </is>
      </c>
      <c r="E47" s="19" t="inlineStr">
        <is>
          <t>SỬA: dùng cu ĐẤT BỜ (2.THONG_SO ô C41), không phải cu đáy hồ</t>
        </is>
      </c>
    </row>
    <row r="48" ht="15" customHeight="1" s="1">
      <c r="B48" s="4" t="inlineStr">
        <is>
          <t>Hu</t>
        </is>
      </c>
      <c r="C48" s="13">
        <f>(-C46+SQRT(C46^2-4*C45*C47))/(2*C45)</f>
        <v/>
      </c>
      <c r="D48" s="4" t="inlineStr">
        <is>
          <t>kN</t>
        </is>
      </c>
      <c r="E48" s="9" t="inlineStr">
        <is>
          <t>Nghiệm dương phương trình bậc hai Broms A.Hu2+B.Hu+C=0</t>
        </is>
      </c>
    </row>
    <row r="49" ht="15" customHeight="1" s="1">
      <c r="B49" s="4" t="inlineStr">
        <is>
          <t>Sức chịu cho phép</t>
        </is>
      </c>
      <c r="C49" s="13">
        <f>C48/'2.THONG_SO'!C37</f>
        <v/>
      </c>
      <c r="D49" s="4" t="inlineStr">
        <is>
          <t>kN</t>
        </is>
      </c>
      <c r="E49" s="9" t="inlineStr">
        <is>
          <t>→ ô C48 (hu) chia 2.thong_so ô C37 (hệ số an toàn)</t>
        </is>
      </c>
    </row>
    <row r="50" ht="15" customHeight="1" s="1">
      <c r="B50" s="4" t="inlineStr">
        <is>
          <t>Hệ số sử dụng</t>
        </is>
      </c>
      <c r="C50" s="11">
        <f>C41/C49</f>
        <v/>
      </c>
      <c r="D50" s="4" t="inlineStr">
        <is>
          <t>-</t>
        </is>
      </c>
      <c r="E50" s="9" t="inlineStr">
        <is>
          <t>→ ô C41 (h) chia ô C49 (sức chịu cho phép)</t>
        </is>
      </c>
    </row>
    <row r="51" ht="15" customHeight="1" s="1">
      <c r="B51" s="4" t="inlineStr">
        <is>
          <t>KIỂM TRA CỌC</t>
        </is>
      </c>
      <c r="C51" s="14">
        <f>IF(C50&lt;=1,"ĐẠT","KHÔNG ĐẠT — tăng L hoặc D")</f>
        <v/>
      </c>
      <c r="D51" s="4" t="n"/>
      <c r="E51" s="9" t="inlineStr">
        <is>
          <t>ĐẠT khi Ô C50 ≤ 1 — đây là cọc NEO BỜ, đóng trên đất bờ</t>
        </is>
      </c>
    </row>
    <row r="52" ht="15" customHeight="1" s="1">
      <c r="B52" s="4" t="inlineStr">
        <is>
          <t>Mômen lớn nhất</t>
        </is>
      </c>
      <c r="C52" s="13">
        <f>C41*(C40+1.5*C42+0.5*C41/(9*'2.THONG_SO'!C41*C42))</f>
        <v/>
      </c>
      <c r="D52" s="4" t="inlineStr">
        <is>
          <t>kNm</t>
        </is>
      </c>
      <c r="E52" s="19" t="inlineStr">
        <is>
          <t>SỬA: dùng cu ĐẤT BỜ (2.THONG_SO ô C41)</t>
        </is>
      </c>
    </row>
    <row r="53" ht="15" customHeight="1" s="1">
      <c r="B53" s="4" t="inlineStr">
        <is>
          <t>Kiểm tra tiết diện</t>
        </is>
      </c>
      <c r="C53" s="11">
        <f>C52/(0.9*14500*C42^3/6)</f>
        <v/>
      </c>
      <c r="D53" s="4" t="inlineStr">
        <is>
          <t>-</t>
        </is>
      </c>
      <c r="E53" s="9" t="inlineStr">
        <is>
          <t>→ mmax (ô C52) chia (0,9 x rb x D3/6), rb=14.5 kpa (bê tông B25)</t>
        </is>
      </c>
    </row>
    <row r="54" ht="15" customHeight="1" s="1">
      <c r="B54" s="4" t="inlineStr">
        <is>
          <t>Chiều dài cọc đặt hàng</t>
        </is>
      </c>
      <c r="C54" s="11">
        <f>C43+1.5</f>
        <v/>
      </c>
      <c r="D54" s="4" t="inlineStr">
        <is>
          <t>m</t>
        </is>
      </c>
      <c r="E54" s="9" t="inlineStr">
        <is>
          <t>→ ô C43 (ngàm) + 1,5 m (đoạn nhô + dự phòng)</t>
        </is>
      </c>
    </row>
    <row r="56" ht="15" customHeight="1" s="1">
      <c r="B56" s="7" t="inlineStr">
        <is>
          <t>E. CỌC ĐÓNG LÒNG HỒ — DÙNG CHUNG VỚI BÈ 02</t>
        </is>
      </c>
      <c r="C56" s="7" t="n"/>
      <c r="D56" s="7" t="n"/>
      <c r="E56" s="7" t="n"/>
      <c r="F56" s="7" t="n"/>
    </row>
    <row r="57" ht="15" customHeight="1" s="1">
      <c r="B57" s="19" t="inlineStr">
        <is>
          <t>Toàn bộ hệ neo dùng CỌC ĐÓNG. Trên bờ đóng vào đất bờ, giữa hồ đóng vào lòng hồ.</t>
        </is>
      </c>
      <c r="C57" s="41" t="n"/>
      <c r="D57" s="4" t="n"/>
      <c r="E57" s="9" t="n"/>
    </row>
    <row r="58" ht="15" customHeight="1" s="1">
      <c r="B58" s="4" t="inlineStr">
        <is>
          <t>Khe giữa hai bè</t>
        </is>
      </c>
      <c r="C58" s="8" t="n">
        <v>27</v>
      </c>
      <c r="D58" s="4" t="inlineStr">
        <is>
          <t>m</t>
        </is>
      </c>
      <c r="E58" s="9" t="inlineStr">
        <is>
          <t>Bè 1 ghi 27,1 · Bè 2 ghi 26,8</t>
        </is>
      </c>
    </row>
    <row r="59" ht="15" customHeight="1" s="1">
      <c r="B59" s="4" t="inlineStr">
        <is>
          <t>Cọc đặt giữa khe, cách mỗi bè</t>
        </is>
      </c>
      <c r="C59" s="11">
        <f>C58/2</f>
        <v/>
      </c>
      <c r="D59" s="4" t="inlineStr">
        <is>
          <t>m</t>
        </is>
      </c>
      <c r="E59" s="9" t="inlineStr">
        <is>
          <t>Một cọc phục vụ hai bè</t>
        </is>
      </c>
    </row>
    <row r="60" ht="15" customHeight="1" s="1">
      <c r="B60" s="4" t="inlineStr">
        <is>
          <t>Góc dây tại đỉnh cọc</t>
        </is>
      </c>
      <c r="C60" s="13">
        <f>DEGREES(ATAN(C11/C59))</f>
        <v/>
      </c>
      <c r="D60" s="4" t="inlineStr">
        <is>
          <t>độ</t>
        </is>
      </c>
      <c r="E60" s="9" t="inlineStr">
        <is>
          <t>→ arctan(ô C11 (độ sâu) / ô C59 (khoảng cách ngang)) — góc dây tại đỉnh cọc lòng hồ</t>
        </is>
      </c>
    </row>
    <row r="61" ht="15" customHeight="1" s="1">
      <c r="B61" s="4" t="inlineStr">
        <is>
          <t>Lực dây T</t>
        </is>
      </c>
      <c r="C61" s="13">
        <f>C29</f>
        <v/>
      </c>
      <c r="D61" s="4" t="inlineStr">
        <is>
          <t>kN</t>
        </is>
      </c>
      <c r="E61" s="9" t="inlineStr">
        <is>
          <t>→ ô C29 (t max của bè, lấy từ mô hình phân bố lực 20 dây)</t>
        </is>
      </c>
    </row>
    <row r="62" ht="15" customHeight="1" s="1">
      <c r="B62" s="4" t="inlineStr">
        <is>
          <t>Thành phần NGANG  Th</t>
        </is>
      </c>
      <c r="C62" s="13">
        <f>C61*COS(RADIANS(C60))</f>
        <v/>
      </c>
      <c r="D62" s="4" t="inlineStr">
        <is>
          <t>kN</t>
        </is>
      </c>
      <c r="E62" s="9" t="inlineStr">
        <is>
          <t>→ ô C61 (t) x COS(ô C60 góc dây) — thành phần kéo ngang</t>
        </is>
      </c>
    </row>
    <row r="63" ht="15" customHeight="1" s="1">
      <c r="B63" s="4" t="inlineStr">
        <is>
          <t>Thành phần NHỔ  Tv</t>
        </is>
      </c>
      <c r="C63" s="13">
        <f>C61*SIN(RADIANS(C60))</f>
        <v/>
      </c>
      <c r="D63" s="4" t="inlineStr">
        <is>
          <t>kN</t>
        </is>
      </c>
      <c r="E63" s="9" t="inlineStr">
        <is>
          <t>→ ô C61 (t) x SIN(ô C60 góc dây) — thành phần kéo thẳng đứng (nhổ)</t>
        </is>
      </c>
    </row>
    <row r="64" ht="15" customHeight="1" s="1">
      <c r="B64" s="4" t="inlineStr">
        <is>
          <t>Số cọc lòng hồ (dùng chung)</t>
        </is>
      </c>
      <c r="C64" s="29">
        <f>C26</f>
        <v/>
      </c>
      <c r="D64" s="4" t="inlineStr">
        <is>
          <t>cọc</t>
        </is>
      </c>
      <c r="E64" s="9" t="inlineStr">
        <is>
          <t>Bằng số dây neo đáy</t>
        </is>
      </c>
    </row>
    <row r="65" ht="15" customHeight="1" s="1">
      <c r="B65" s="4" t="n"/>
      <c r="C65" s="4" t="n"/>
      <c r="D65" s="4" t="n"/>
      <c r="E65" s="9" t="n"/>
    </row>
    <row r="66" ht="15" customHeight="1" s="1">
      <c r="B66" s="7" t="inlineStr">
        <is>
          <t>E1. CÁCH 1 — ĐỈNH CỌC NGANG ĐÁY HỒ  (khuyến nghị)</t>
        </is>
      </c>
      <c r="C66" s="7" t="n"/>
      <c r="D66" s="7" t="n"/>
      <c r="E66" s="7" t="n"/>
      <c r="F66" s="7" t="n"/>
    </row>
    <row r="67" ht="15" customHeight="1" s="1">
      <c r="B67" s="4" t="inlineStr">
        <is>
          <t>Cạnh cọc D</t>
        </is>
      </c>
      <c r="C67" s="8" t="n">
        <v>0.35</v>
      </c>
      <c r="D67" s="4" t="inlineStr">
        <is>
          <t>m</t>
        </is>
      </c>
      <c r="E67" s="9" t="n"/>
      <c r="F67" s="42" t="n"/>
    </row>
    <row r="68" ht="15" customHeight="1" s="1">
      <c r="B68" s="4" t="inlineStr">
        <is>
          <t>Chiều sâu ngàm L</t>
        </is>
      </c>
      <c r="C68" s="8" t="n">
        <v>8</v>
      </c>
      <c r="D68" s="4" t="inlineStr">
        <is>
          <t>m</t>
        </is>
      </c>
      <c r="E68" s="9" t="n"/>
    </row>
    <row r="69" ht="15" customHeight="1" s="1">
      <c r="B69" s="4" t="inlineStr">
        <is>
          <t>Chiều dài cọc (nhô 1,0 m trên đáy)</t>
        </is>
      </c>
      <c r="C69" s="11">
        <f>C68+1</f>
        <v/>
      </c>
      <c r="D69" s="4" t="inlineStr">
        <is>
          <t>m</t>
        </is>
      </c>
      <c r="E69" s="9" t="inlineStr">
        <is>
          <t>→ ô C68 (ngàm) + 1,0 m nhô trên đáy hồ để nối cáp</t>
        </is>
      </c>
    </row>
    <row r="70" ht="15" customHeight="1" s="1">
      <c r="B70" s="4" t="inlineStr">
        <is>
          <t>Tay đòn e</t>
        </is>
      </c>
      <c r="C70" s="8" t="n">
        <v>0</v>
      </c>
      <c r="D70" s="4" t="inlineStr">
        <is>
          <t>m</t>
        </is>
      </c>
      <c r="E70" s="9" t="inlineStr">
        <is>
          <t>Cáp nối ngay đỉnh cọc</t>
        </is>
      </c>
    </row>
    <row r="71" ht="15" customHeight="1" s="1">
      <c r="B71" s="4" t="inlineStr">
        <is>
          <t>g = L − 1,5D</t>
        </is>
      </c>
      <c r="C71" s="34">
        <f>C68-1.5*C67</f>
        <v/>
      </c>
      <c r="D71" s="4" t="inlineStr">
        <is>
          <t>m</t>
        </is>
      </c>
      <c r="E71" s="9" t="inlineStr">
        <is>
          <t>→ ô C68 (ngàm l) − 1,5 x Ô C67 (D) — biến trung gian Broms</t>
        </is>
      </c>
    </row>
    <row r="72" ht="15" customHeight="1" s="1">
      <c r="B72" s="4" t="inlineStr">
        <is>
          <t>A</t>
        </is>
      </c>
      <c r="C72" s="35">
        <f>0.02778/('2.THONG_SO'!C36*C67)</f>
        <v/>
      </c>
      <c r="D72" s="4" t="inlineStr">
        <is>
          <t>-</t>
        </is>
      </c>
      <c r="E72" s="9" t="inlineStr">
        <is>
          <t>Hệ số A Broms, dùng cu BÙN ĐÁY tại 2.THONG_SO ô C36 (=20 kPa)</t>
        </is>
      </c>
    </row>
    <row r="73" ht="15" customHeight="1" s="1">
      <c r="B73" s="4" t="inlineStr">
        <is>
          <t>B</t>
        </is>
      </c>
      <c r="C73" s="34">
        <f>C70+1.5*C67+0.5*C71</f>
        <v/>
      </c>
      <c r="D73" s="4" t="inlineStr">
        <is>
          <t>-</t>
        </is>
      </c>
      <c r="E73" s="9" t="inlineStr">
        <is>
          <t>Hệ số B Broms; Ô C70 = tay đòn e = 0 (cáp nối ngay đỉnh cọc)</t>
        </is>
      </c>
    </row>
    <row r="74" ht="15" customHeight="1" s="1">
      <c r="B74" s="4" t="inlineStr">
        <is>
          <t>C</t>
        </is>
      </c>
      <c r="C74" s="13">
        <f>-2.25*C67*'2.THONG_SO'!C36*C71^2</f>
        <v/>
      </c>
      <c r="D74" s="4" t="inlineStr">
        <is>
          <t>-</t>
        </is>
      </c>
      <c r="E74" s="9" t="inlineStr">
        <is>
          <t>Hệ số C Broms, dùng cu BÙN ĐÁY tại 2.THONG_SO ô C36</t>
        </is>
      </c>
    </row>
    <row r="75" ht="15" customHeight="1" s="1">
      <c r="B75" s="4" t="inlineStr">
        <is>
          <t>Sức chịu NGANG cho phép</t>
        </is>
      </c>
      <c r="C75" s="13">
        <f>(-C73+SQRT(C73^2-4*C72*C74))/(2*C72)/'2.THONG_SO'!C37</f>
        <v/>
      </c>
      <c r="D75" s="4" t="inlineStr">
        <is>
          <t>kN</t>
        </is>
      </c>
      <c r="E75" s="9" t="inlineStr">
        <is>
          <t>→ nghiệm broms chia 2.thong_so ô C37 — SỨC CHỊU NGANG của cọc lòng hồ</t>
        </is>
      </c>
    </row>
    <row r="76" ht="15" customHeight="1" s="1">
      <c r="B76" s="4" t="inlineStr">
        <is>
          <t>Sức chịu NHỔ cho phép</t>
        </is>
      </c>
      <c r="C76" s="13">
        <f>0.7*'2.THONG_SO'!C36*4*C67*C68/2</f>
        <v/>
      </c>
      <c r="D76" s="4" t="inlineStr">
        <is>
          <t>kN</t>
        </is>
      </c>
      <c r="E76" s="9" t="inlineStr">
        <is>
          <t>Ma sát thân cọc, FS 2,0</t>
        </is>
      </c>
    </row>
    <row r="77" ht="15" customHeight="1" s="1">
      <c r="B77" s="4" t="inlineStr">
        <is>
          <t>HS ngang</t>
        </is>
      </c>
      <c r="C77" s="11">
        <f>C62/C75</f>
        <v/>
      </c>
      <c r="D77" s="4" t="inlineStr">
        <is>
          <t>-</t>
        </is>
      </c>
      <c r="E77" s="9" t="inlineStr">
        <is>
          <t>→ ô C62 (th, lực ngang) chia ô C75 (sức chịu ngang cho phép)</t>
        </is>
      </c>
    </row>
    <row r="78" ht="15" customHeight="1" s="1">
      <c r="B78" s="4" t="inlineStr">
        <is>
          <t>HS nhổ</t>
        </is>
      </c>
      <c r="C78" s="11">
        <f>C63/C76</f>
        <v/>
      </c>
      <c r="D78" s="4" t="inlineStr">
        <is>
          <t>-</t>
        </is>
      </c>
      <c r="E78" s="9" t="inlineStr">
        <is>
          <t>→ ô C63 (tv, lực nhổ) chia ô C76 (sức chịu nhổ cho phép, ma sát thân cọc)</t>
        </is>
      </c>
    </row>
    <row r="79" ht="15" customHeight="1" s="1">
      <c r="B79" s="4" t="inlineStr">
        <is>
          <t>Mômen lớn nhất</t>
        </is>
      </c>
      <c r="C79" s="13">
        <f>C62*(C70+1.5*C67+0.5*C62/(9*'2.THONG_SO'!C36*C67))</f>
        <v/>
      </c>
      <c r="D79" s="4" t="inlineStr">
        <is>
          <t>kNm</t>
        </is>
      </c>
      <c r="E79" s="9" t="inlineStr">
        <is>
          <t>Mmax = Thx(e + 1,5D + 0,5f) — dùng thành phần NGANG Th, không dùng T</t>
        </is>
      </c>
    </row>
    <row r="80" ht="15" customHeight="1" s="1">
      <c r="B80" s="4" t="inlineStr">
        <is>
          <t>Kiểm tra tiết diện</t>
        </is>
      </c>
      <c r="C80" s="11">
        <f>C79/(0.9*14500*C67^3/6)</f>
        <v/>
      </c>
      <c r="D80" s="4" t="inlineStr">
        <is>
          <t>-</t>
        </is>
      </c>
      <c r="E80" s="9" t="inlineStr">
        <is>
          <t>→ mmax (ô C79) chia (0,9 x 14.5 x D3/6) — kiểm tra tiết diện BTCT</t>
        </is>
      </c>
    </row>
    <row r="81" ht="15" customHeight="1" s="1">
      <c r="B81" s="4" t="inlineStr">
        <is>
          <t>KIỂM TRA CÁCH 1</t>
        </is>
      </c>
      <c r="C81" s="14">
        <f>IF(AND(C77&lt;=1,C78&lt;=1,C80&lt;=1),"ĐẠT","KHÔNG ĐẠT — tăng D hoặc L")</f>
        <v/>
      </c>
      <c r="D81" s="4" t="n"/>
      <c r="E81" s="9" t="inlineStr">
        <is>
          <t>ĐẠT khi CẢ BA: HS ngang (C77), HS nhổ (C78), HS tiết diện (C80) đều ≤ 1</t>
        </is>
      </c>
    </row>
    <row r="82" ht="15" customHeight="1" s="1">
      <c r="B82" s="4" t="inlineStr">
        <is>
          <t>Bê tông một cọc</t>
        </is>
      </c>
      <c r="C82" s="11">
        <f>C67^2*C69</f>
        <v/>
      </c>
      <c r="D82" s="4" t="inlineStr">
        <is>
          <t>m3</t>
        </is>
      </c>
      <c r="E82" s="9" t="inlineStr">
        <is>
          <t>→ ô C67 binh phuong (tiết diện) x ô C69 (chiều dài) — thể tích bê tông 1 cọc</t>
        </is>
      </c>
    </row>
    <row r="83" ht="15" customHeight="1" s="1">
      <c r="B83" s="4" t="n"/>
      <c r="C83" s="22" t="n"/>
      <c r="D83" s="4" t="n"/>
      <c r="E83" s="4" t="n"/>
      <c r="F83" s="4" t="n"/>
      <c r="G83" s="4" t="n"/>
      <c r="H83" s="4" t="n"/>
    </row>
    <row r="84" ht="15" customHeight="1" s="1">
      <c r="B84" s="4" t="n"/>
      <c r="C84" s="22" t="n"/>
      <c r="D84" s="4" t="n"/>
      <c r="E84" s="4" t="n"/>
      <c r="F84" s="4" t="n"/>
      <c r="G84" s="4" t="n"/>
      <c r="H84" s="4" t="n"/>
    </row>
    <row r="85" ht="15" customHeight="1" s="1">
      <c r="B85" s="4" t="n"/>
      <c r="C85" s="22" t="n"/>
      <c r="D85" s="4" t="n"/>
      <c r="E85" s="4" t="n"/>
      <c r="F85" s="4" t="n"/>
      <c r="G85" s="4" t="n"/>
      <c r="H85" s="4" t="n"/>
    </row>
    <row r="86" ht="15" customHeight="1" s="1">
      <c r="B86" s="4" t="n"/>
      <c r="C86" s="22" t="n"/>
      <c r="D86" s="4" t="n"/>
      <c r="E86" s="4" t="n"/>
      <c r="F86" s="4" t="n"/>
      <c r="G86" s="4" t="n"/>
      <c r="H86" s="4" t="n"/>
    </row>
    <row r="87" ht="15" customHeight="1" s="1">
      <c r="B87" s="4" t="n"/>
      <c r="C87" s="22" t="n"/>
      <c r="D87" s="4" t="n"/>
      <c r="E87" s="4" t="n"/>
      <c r="F87" s="4" t="n"/>
      <c r="G87" s="4" t="n"/>
      <c r="H87" s="4" t="n"/>
    </row>
    <row r="88" ht="15" customHeight="1" s="1">
      <c r="B88" s="4" t="n"/>
      <c r="C88" s="22" t="n"/>
      <c r="D88" s="4" t="n"/>
      <c r="E88" s="4" t="n"/>
      <c r="F88" s="4" t="n"/>
      <c r="G88" s="4" t="n"/>
      <c r="H88" s="4" t="n"/>
    </row>
    <row r="89" ht="15" customHeight="1" s="1">
      <c r="B89" s="4" t="n"/>
      <c r="C89" s="43" t="n"/>
      <c r="D89" s="4" t="n"/>
      <c r="E89" s="9" t="n"/>
    </row>
    <row r="90" ht="15" customHeight="1" s="1">
      <c r="B90" s="7" t="inlineStr">
        <is>
          <t>E2. CÁCH 2 — ĐỈNH CỌC TRÊN MNCN, CÁP QUA VÒNG TRƯỢT</t>
        </is>
      </c>
      <c r="C90" s="44" t="n"/>
      <c r="D90" s="7" t="n"/>
      <c r="E90" s="7" t="n"/>
      <c r="F90" s="7" t="n"/>
    </row>
    <row r="91" ht="15" customHeight="1" s="1">
      <c r="B91" s="4" t="inlineStr">
        <is>
          <t>Cao trình đỉnh cọc</t>
        </is>
      </c>
      <c r="C91" s="11">
        <f>'2.THONG_SO'!C6+0.8</f>
        <v/>
      </c>
      <c r="D91" s="4" t="inlineStr">
        <is>
          <t>m</t>
        </is>
      </c>
      <c r="E91" s="9" t="inlineStr">
        <is>
          <t>MNCN + 0,8 m</t>
        </is>
      </c>
    </row>
    <row r="92" ht="15" customHeight="1" s="1">
      <c r="B92" s="4" t="inlineStr">
        <is>
          <t>Tay đòn e</t>
        </is>
      </c>
      <c r="C92" s="11">
        <f>C91-C12</f>
        <v/>
      </c>
      <c r="D92" s="4" t="inlineStr">
        <is>
          <t>m</t>
        </is>
      </c>
      <c r="E92" s="9" t="inlineStr">
        <is>
          <t>Đỉnh cọc − đáy hồ</t>
        </is>
      </c>
    </row>
    <row r="93" ht="15" customHeight="1" s="1">
      <c r="B93" s="4" t="inlineStr">
        <is>
          <t>Cạnh cọc D</t>
        </is>
      </c>
      <c r="C93" s="8" t="n">
        <v>0.7</v>
      </c>
      <c r="D93" s="4" t="inlineStr">
        <is>
          <t>m</t>
        </is>
      </c>
      <c r="E93" s="9" t="n"/>
    </row>
    <row r="94" ht="15" customHeight="1" s="1">
      <c r="B94" s="4" t="inlineStr">
        <is>
          <t>Chiều sâu ngàm L</t>
        </is>
      </c>
      <c r="C94" s="8" t="n">
        <v>9</v>
      </c>
      <c r="D94" s="4" t="inlineStr">
        <is>
          <t>m</t>
        </is>
      </c>
      <c r="E94" s="9" t="inlineStr">
        <is>
          <t>Đủ theo Broms — không cần 14 m</t>
        </is>
      </c>
    </row>
    <row r="95" ht="15" customHeight="1" s="1">
      <c r="B95" s="4" t="inlineStr">
        <is>
          <t>Chiều dài cọc</t>
        </is>
      </c>
      <c r="C95" s="11">
        <f>C94+C92+0.5</f>
        <v/>
      </c>
      <c r="D95" s="4" t="inlineStr">
        <is>
          <t>m</t>
        </is>
      </c>
      <c r="E95" s="9" t="inlineStr">
        <is>
          <t>→ ô C94 (ngàm) + ô C92 (tay đòn e) + 0,5 m — Cách 2: đỉnh cọc trên MNCN</t>
        </is>
      </c>
    </row>
    <row r="96" ht="15" customHeight="1" s="1">
      <c r="B96" s="4" t="inlineStr">
        <is>
          <t>g = L − 1,5D</t>
        </is>
      </c>
      <c r="C96" s="34">
        <f>C94-1.5*C93</f>
        <v/>
      </c>
      <c r="D96" s="4" t="inlineStr">
        <is>
          <t>m</t>
        </is>
      </c>
      <c r="E96" s="9" t="inlineStr">
        <is>
          <t>→ ô C94 (ngàm l) − 1,5 x Ô C93 (D)</t>
        </is>
      </c>
    </row>
    <row r="97" ht="15" customHeight="1" s="1">
      <c r="B97" s="4" t="inlineStr">
        <is>
          <t>A</t>
        </is>
      </c>
      <c r="C97" s="35">
        <f>0.02778/('2.THONG_SO'!C36*C93)</f>
        <v/>
      </c>
      <c r="D97" s="4" t="inlineStr">
        <is>
          <t>-</t>
        </is>
      </c>
      <c r="E97" s="9" t="inlineStr">
        <is>
          <t>Hệ số A Broms, dùng cu BÙN ĐÁY tại 2.THONG_SO ô C36</t>
        </is>
      </c>
    </row>
    <row r="98" ht="15" customHeight="1" s="1">
      <c r="B98" s="4" t="inlineStr">
        <is>
          <t>B</t>
        </is>
      </c>
      <c r="C98" s="34">
        <f>C92+1.5*C93+0.5*C96</f>
        <v/>
      </c>
      <c r="D98" s="4" t="inlineStr">
        <is>
          <t>-</t>
        </is>
      </c>
      <c r="E98" s="9" t="inlineStr">
        <is>
          <t>Hệ số B Broms — Ô C92 (tay đòn e=7,8 m, LỚN vì đỉnh cọc trên mặt nước)</t>
        </is>
      </c>
    </row>
    <row r="99" ht="15" customHeight="1" s="1">
      <c r="B99" s="4" t="inlineStr">
        <is>
          <t>C</t>
        </is>
      </c>
      <c r="C99" s="13">
        <f>-2.25*C93*'2.THONG_SO'!C36*C96^2</f>
        <v/>
      </c>
      <c r="D99" s="4" t="inlineStr">
        <is>
          <t>-</t>
        </is>
      </c>
      <c r="E99" s="9" t="inlineStr">
        <is>
          <t>Hệ số C Broms, dùng cu BÙN ĐÁY tại 2.THONG_SO ô C36</t>
        </is>
      </c>
    </row>
    <row r="100" ht="15" customHeight="1" s="1">
      <c r="B100" s="4" t="inlineStr">
        <is>
          <t>Sức chịu NGANG cho phép</t>
        </is>
      </c>
      <c r="C100" s="13">
        <f>(-C98+SQRT(C98^2-4*C97*C99))/(2*C97)/'2.THONG_SO'!C37</f>
        <v/>
      </c>
      <c r="D100" s="4" t="inlineStr">
        <is>
          <t>kN</t>
        </is>
      </c>
      <c r="E100" s="9" t="inlineStr">
        <is>
          <t>→ nghiệm broms chia 2.thong_so ô C37</t>
        </is>
      </c>
    </row>
    <row r="101" ht="15" customHeight="1" s="1">
      <c r="B101" s="4" t="inlineStr">
        <is>
          <t>HS ngang</t>
        </is>
      </c>
      <c r="C101" s="11">
        <f>C61/C100</f>
        <v/>
      </c>
      <c r="D101" s="4" t="inlineStr">
        <is>
          <t>-</t>
        </is>
      </c>
      <c r="E101" s="9" t="inlineStr">
        <is>
          <t>Cáp nằm ngang → không có lực nhổ</t>
        </is>
      </c>
    </row>
    <row r="102" ht="15" customHeight="1" s="1">
      <c r="B102" s="4" t="inlineStr">
        <is>
          <t>Mômen lớn nhất</t>
        </is>
      </c>
      <c r="C102" s="13">
        <f>C61*(C92+1.5*C93+0.5*C61/(9*'2.THONG_SO'!C36*C93))</f>
        <v/>
      </c>
      <c r="D102" s="4" t="inlineStr">
        <is>
          <t>kNm</t>
        </is>
      </c>
      <c r="E102" s="9" t="inlineStr">
        <is>
          <t>Mmax dùng lực T đầy đủ (Ô C61) vì cáp nằm ngang, không tách Th/Tv</t>
        </is>
      </c>
    </row>
    <row r="103" ht="15" customHeight="1" s="1">
      <c r="B103" s="4" t="inlineStr">
        <is>
          <t>Kiểm tra tiết diện</t>
        </is>
      </c>
      <c r="C103" s="11">
        <f>C102/(0.9*14500*C93^3/6)</f>
        <v/>
      </c>
      <c r="D103" s="4" t="inlineStr">
        <is>
          <t>-</t>
        </is>
      </c>
      <c r="E103" s="9" t="inlineStr">
        <is>
          <t>→ mmax (ô C102) chia (0,9 x 14.5 x D3/6)</t>
        </is>
      </c>
    </row>
    <row r="104" ht="15" customHeight="1" s="1">
      <c r="B104" s="4" t="inlineStr">
        <is>
          <t>KIỂM TRA CÁCH 2</t>
        </is>
      </c>
      <c r="C104" s="14">
        <f>IF(AND(C101&lt;=1,C103&lt;=1),"ĐẠT","KHÔNG ĐẠT — tăng D hoặc L")</f>
        <v/>
      </c>
      <c r="D104" s="4" t="n"/>
      <c r="E104" s="9" t="inlineStr">
        <is>
          <t>ĐẠT khi HS ngang (C101) và HS tiết diện (C103) đều ≤ 1</t>
        </is>
      </c>
      <c r="F104" s="42" t="n"/>
    </row>
    <row r="105" ht="15" customHeight="1" s="1">
      <c r="B105" s="4" t="inlineStr">
        <is>
          <t>Bê tông một cọc</t>
        </is>
      </c>
      <c r="C105" s="11">
        <f>C93^2*C95</f>
        <v/>
      </c>
      <c r="D105" s="4" t="inlineStr">
        <is>
          <t>m3</t>
        </is>
      </c>
      <c r="E105" s="9" t="inlineStr">
        <is>
          <t>→ ô C93 binh phuong (tiết diện) x ô C95 (chiều dài) — thể tích bê tông 1 cọc</t>
        </is>
      </c>
    </row>
    <row r="106" ht="15" customHeight="1" s="1">
      <c r="B106" s="4" t="n"/>
      <c r="C106" s="22" t="n"/>
      <c r="D106" s="4" t="n"/>
      <c r="E106" s="4" t="n"/>
      <c r="F106" s="4" t="n"/>
      <c r="G106" s="4" t="n"/>
      <c r="H106" s="4" t="n"/>
    </row>
    <row r="107" ht="15" customHeight="1" s="1">
      <c r="B107" s="4" t="n"/>
      <c r="C107" s="22" t="n"/>
      <c r="D107" s="4" t="n"/>
      <c r="E107" s="4" t="n"/>
      <c r="F107" s="4" t="n"/>
      <c r="G107" s="4" t="n"/>
      <c r="H107" s="4" t="n"/>
    </row>
    <row r="108" ht="15" customHeight="1" s="1">
      <c r="B108" s="4" t="n"/>
      <c r="C108" s="22" t="n"/>
      <c r="D108" s="4" t="n"/>
      <c r="E108" s="4" t="n"/>
      <c r="F108" s="4" t="n"/>
      <c r="G108" s="4" t="n"/>
      <c r="H108" s="4" t="n"/>
    </row>
    <row r="109" ht="15" customHeight="1" s="1">
      <c r="B109" s="4" t="n"/>
      <c r="C109" s="22" t="n"/>
      <c r="D109" s="4" t="n"/>
      <c r="E109" s="4" t="n"/>
      <c r="F109" s="4" t="n"/>
      <c r="G109" s="4" t="n"/>
      <c r="H109" s="4" t="n"/>
    </row>
    <row r="110" ht="15" customHeight="1" s="1">
      <c r="B110" s="4" t="n"/>
      <c r="C110" s="22" t="n"/>
      <c r="D110" s="4" t="n"/>
      <c r="E110" s="9" t="n"/>
    </row>
    <row r="111" ht="15" customHeight="1" s="1">
      <c r="B111" s="7" t="inlineStr">
        <is>
          <t>E3. CHỌN CÁCH ĐẶT ĐỈNH CỌC</t>
        </is>
      </c>
      <c r="C111" s="7" t="n"/>
      <c r="D111" s="7" t="n"/>
      <c r="E111" s="7" t="n"/>
      <c r="F111" s="7" t="n"/>
    </row>
    <row r="112" ht="15" customHeight="1" s="1">
      <c r="B112" s="5" t="inlineStr">
        <is>
          <t>CHỌN</t>
        </is>
      </c>
      <c r="C112" s="45" t="inlineStr">
        <is>
          <t>Cách 1 — đỉnh ở đáy hồ</t>
        </is>
      </c>
      <c r="E112" s="9" t="inlineStr">
        <is>
          <t>Chọn ở đây, phần F tự cập nhật</t>
        </is>
      </c>
    </row>
    <row r="113" ht="15" customHeight="1" s="1">
      <c r="B113" s="4" t="inlineStr">
        <is>
          <t>Kết quả kiểm tra</t>
        </is>
      </c>
      <c r="C113" s="14">
        <f>IF(C112="Cách 1 — đỉnh ở đáy hồ",C81,C104)</f>
        <v/>
      </c>
      <c r="D113" s="4" t="n"/>
      <c r="E113" s="9" t="inlineStr">
        <is>
          <t>Lấy kết quả kiểm tra tương ứng: Ô C81 (Cách 1) hoặc Ô C104 (Cách 2), theo Ô C112</t>
        </is>
      </c>
      <c r="F113" s="42" t="n"/>
    </row>
    <row r="114" ht="15" customHeight="1" s="1">
      <c r="B114" s="4" t="inlineStr">
        <is>
          <t>Tiết diện cọc lòng hồ</t>
        </is>
      </c>
      <c r="C114" s="11">
        <f>IF(C112="Cách 1 — đỉnh ở đáy hồ",C67,C93)</f>
        <v/>
      </c>
      <c r="D114" s="4" t="inlineStr">
        <is>
          <t>m</t>
        </is>
      </c>
      <c r="E114" s="9" t="inlineStr">
        <is>
          <t>Lấy Ô C67 (Cách 1) hoặc Ô C93 (Cách 2), theo lựa chọn ở Ô C112</t>
        </is>
      </c>
    </row>
    <row r="115" ht="15" customHeight="1" s="1">
      <c r="B115" s="4" t="inlineStr">
        <is>
          <t>Chiều dài cọc lòng hồ</t>
        </is>
      </c>
      <c r="C115" s="11">
        <f>IF(C112="Cách 1 — đỉnh ở đáy hồ",C69,C95)</f>
        <v/>
      </c>
      <c r="D115" s="4" t="inlineStr">
        <is>
          <t>m</t>
        </is>
      </c>
      <c r="E115" s="9" t="inlineStr">
        <is>
          <t>Lấy Ô C69 (Cách 1) hoặc Ô C95 (Cách 2), theo lựa chọn ở Ô C112</t>
        </is>
      </c>
    </row>
    <row r="116" ht="15" customHeight="1" s="1">
      <c r="B116" s="4" t="n"/>
      <c r="C116" s="22" t="n"/>
      <c r="D116" s="4" t="n"/>
      <c r="E116" s="4" t="n"/>
      <c r="F116" s="4" t="n"/>
      <c r="G116" s="4" t="n"/>
      <c r="H116" s="4" t="n"/>
    </row>
    <row r="117" ht="15" customHeight="1" s="1">
      <c r="B117" s="4" t="n"/>
      <c r="C117" s="22" t="n"/>
      <c r="D117" s="4" t="n"/>
      <c r="E117" s="4" t="n"/>
      <c r="F117" s="4" t="n"/>
      <c r="G117" s="4" t="n"/>
      <c r="H117" s="4" t="n"/>
    </row>
    <row r="118" ht="15" customHeight="1" s="1">
      <c r="B118" s="4" t="n"/>
      <c r="C118" s="22" t="n"/>
      <c r="D118" s="4" t="n"/>
      <c r="E118" s="4" t="n"/>
      <c r="F118" s="4" t="n"/>
      <c r="G118" s="4" t="n"/>
      <c r="H118" s="4" t="n"/>
    </row>
    <row r="119" ht="15" customHeight="1" s="1">
      <c r="B119" s="4" t="n"/>
      <c r="C119" s="4" t="n"/>
      <c r="D119" s="4" t="n"/>
      <c r="E119" s="4" t="n"/>
      <c r="F119" s="4" t="n"/>
      <c r="G119" s="4" t="n"/>
      <c r="H119" s="4" t="n"/>
    </row>
    <row r="120" ht="15" customHeight="1" s="1">
      <c r="B120" s="4" t="n"/>
      <c r="C120" s="16" t="n"/>
      <c r="D120" s="4" t="n"/>
      <c r="E120" s="9" t="n"/>
    </row>
    <row r="121" ht="15" customHeight="1" s="1">
      <c r="B121" s="7" t="inlineStr">
        <is>
          <t>F. KHỐI LƯỢNG BÈ 01</t>
        </is>
      </c>
      <c r="C121" s="46" t="n"/>
      <c r="D121" s="7" t="n"/>
      <c r="E121" s="7" t="n"/>
      <c r="F121" s="7" t="n"/>
    </row>
    <row r="122" ht="15" customHeight="1" s="1">
      <c r="B122" s="4" t="inlineStr">
        <is>
          <t>Tổng cáp đặt hàng</t>
        </is>
      </c>
      <c r="C122" s="28" t="n">
        <v>656</v>
      </c>
      <c r="D122" s="4" t="inlineStr">
        <is>
          <t>m</t>
        </is>
      </c>
      <c r="E122" s="9" t="inlineStr">
        <is>
          <t>NHẬP — tổng chiều dài 20 dây cộng lại, từ mô hình phân bố lực chi tiết (cùng nguồn với ô C28, C35)</t>
        </is>
      </c>
    </row>
    <row r="123" ht="15" customHeight="1" s="1">
      <c r="B123" s="4" t="inlineStr">
        <is>
          <t>Cọc neo BỜ — số lượng</t>
        </is>
      </c>
      <c r="C123" s="29">
        <f>C25</f>
        <v/>
      </c>
      <c r="D123" s="4" t="inlineStr">
        <is>
          <t>cọc</t>
        </is>
      </c>
      <c r="E123" s="9" t="inlineStr">
        <is>
          <t>→ ô C25 (số dây neo bờ đã tính ở mục c)</t>
        </is>
      </c>
    </row>
    <row r="124" ht="15" customHeight="1" s="1">
      <c r="B124" s="4" t="inlineStr">
        <is>
          <t>Cọc neo BỜ — tiết diện</t>
        </is>
      </c>
      <c r="C124" s="11">
        <f>C42</f>
        <v/>
      </c>
      <c r="D124" s="4" t="inlineStr">
        <is>
          <t>m</t>
        </is>
      </c>
      <c r="E124" s="9" t="inlineStr">
        <is>
          <t>→ ô C42 (cạnh cọc neo bờ, mục d)</t>
        </is>
      </c>
    </row>
    <row r="125" ht="15" customHeight="1" s="1">
      <c r="B125" s="4" t="inlineStr">
        <is>
          <t>Cọc neo BỜ — chiều dài</t>
        </is>
      </c>
      <c r="C125" s="11">
        <f>C54</f>
        <v/>
      </c>
      <c r="D125" s="4" t="inlineStr">
        <is>
          <t>m</t>
        </is>
      </c>
      <c r="E125" s="9" t="inlineStr">
        <is>
          <t>→ ô C54 (chiều dài cọc neo bờ, mục d)</t>
        </is>
      </c>
    </row>
    <row r="126" ht="15" customHeight="1" s="1">
      <c r="B126" s="4" t="inlineStr">
        <is>
          <t>Cọc neo BỜ — bê tông</t>
        </is>
      </c>
      <c r="C126" s="13">
        <f>C123*C124^2*C125</f>
        <v/>
      </c>
      <c r="D126" s="4" t="inlineStr">
        <is>
          <t>m3</t>
        </is>
      </c>
      <c r="E126" s="9" t="inlineStr">
        <is>
          <t>→ ô C123 x ô C124 binh phuong x ô C125 — thể tích bê tông toàn bộ cọc neo bờ</t>
        </is>
      </c>
    </row>
    <row r="127" ht="15" customHeight="1" s="1">
      <c r="B127" s="4" t="inlineStr">
        <is>
          <t>Cọc neo LÒNG HỒ — số lượng</t>
        </is>
      </c>
      <c r="C127" s="29">
        <f>C64</f>
        <v/>
      </c>
      <c r="D127" s="4" t="inlineStr">
        <is>
          <t>cọc</t>
        </is>
      </c>
      <c r="E127" s="9" t="inlineStr">
        <is>
          <t>→ ô C64 (số cọc lòng hồ dùng chung, mục e)</t>
        </is>
      </c>
      <c r="H127" s="5" t="inlineStr">
        <is>
          <t>HÌNH E — HAI KIỂU ĐÓNG CỌC: NEO BỜ VÀ NEO LÒNG HỒ</t>
        </is>
      </c>
    </row>
    <row r="128" ht="15" customHeight="1" s="1">
      <c r="B128" s="4" t="inlineStr">
        <is>
          <t>Cọc neo LÒNG HỒ — bê tông</t>
        </is>
      </c>
      <c r="C128" s="13">
        <f>C127*C114^2*C115</f>
        <v/>
      </c>
      <c r="D128" s="4" t="inlineStr">
        <is>
          <t>m3</t>
        </is>
      </c>
      <c r="E128" s="9" t="inlineStr">
        <is>
          <t>→ ô C127 x ô C114 binh phuong x ô C115 (theo phương án đã chọn ở mục E3)</t>
        </is>
      </c>
    </row>
    <row r="129" ht="15" customHeight="1" s="1">
      <c r="B129" s="4" t="inlineStr">
        <is>
          <t>TỔNG bê tông cọc</t>
        </is>
      </c>
      <c r="C129" s="13">
        <f>C126+C128</f>
        <v/>
      </c>
      <c r="D129" s="4" t="inlineStr">
        <is>
          <t>m3</t>
        </is>
      </c>
      <c r="E129" s="9" t="inlineStr">
        <is>
          <t>→ ô C126 (bê tông cọc bờ) + ô C128 (bê tông cọc lòng hồ)</t>
        </is>
      </c>
    </row>
    <row r="130" ht="15" customHeight="1" s="1">
      <c r="B130" s="4" t="inlineStr">
        <is>
          <t>Tăng đơ hành trình 1,5 m</t>
        </is>
      </c>
      <c r="C130" s="29">
        <f>C24</f>
        <v/>
      </c>
      <c r="D130" s="4" t="inlineStr">
        <is>
          <t>bộ</t>
        </is>
      </c>
      <c r="E130" s="9" t="inlineStr">
        <is>
          <t>→ ô C24 (tổng số dây) — mỗi dây một bộ tăng đơ</t>
        </is>
      </c>
    </row>
    <row r="131" ht="15" customHeight="1" s="1">
      <c r="B131" s="4" t="n"/>
      <c r="C131" s="22" t="n"/>
      <c r="D131" s="4" t="n"/>
      <c r="E131" s="4" t="n"/>
      <c r="F131" s="4" t="n"/>
      <c r="G131" s="4" t="n"/>
      <c r="H131" s="4" t="n"/>
    </row>
  </sheetData>
  <conditionalFormatting sqref="C34">
    <cfRule type="cellIs" priority="2" operator="equal" dxfId="1">
      <formula>"ĐẠT"</formula>
    </cfRule>
    <cfRule type="cellIs" priority="3" operator="notEqual" dxfId="0">
      <formula>"ĐẠT"</formula>
    </cfRule>
  </conditionalFormatting>
  <conditionalFormatting sqref="C51">
    <cfRule type="cellIs" priority="4" operator="equal" dxfId="1">
      <formula>"ĐẠT"</formula>
    </cfRule>
    <cfRule type="cellIs" priority="5" operator="notEqual" dxfId="0">
      <formula>"ĐẠT"</formula>
    </cfRule>
  </conditionalFormatting>
  <conditionalFormatting sqref="C65">
    <cfRule type="cellIs" priority="6" operator="equal" dxfId="1">
      <formula>"ĐẠT"</formula>
    </cfRule>
    <cfRule type="cellIs" priority="7" operator="notEqual" dxfId="0">
      <formula>"ĐẠT"</formula>
    </cfRule>
  </conditionalFormatting>
  <conditionalFormatting sqref="C78">
    <cfRule type="cellIs" priority="8" operator="equal" dxfId="1">
      <formula>"ĐẠT"</formula>
    </cfRule>
    <cfRule type="cellIs" priority="9" operator="notEqual" dxfId="0">
      <formula>"ĐẠT"</formula>
    </cfRule>
  </conditionalFormatting>
  <conditionalFormatting sqref="C81">
    <cfRule type="cellIs" priority="14" operator="equal" dxfId="1">
      <formula>"ĐẠT"</formula>
    </cfRule>
    <cfRule type="cellIs" priority="15" operator="notEqual" dxfId="0">
      <formula>"ĐẠT"</formula>
    </cfRule>
  </conditionalFormatting>
  <conditionalFormatting sqref="C96">
    <cfRule type="cellIs" priority="10" operator="equal" dxfId="1">
      <formula>"ĐẠT"</formula>
    </cfRule>
    <cfRule type="cellIs" priority="11" operator="notEqual" dxfId="0">
      <formula>"ĐẠT"</formula>
    </cfRule>
  </conditionalFormatting>
  <conditionalFormatting sqref="C104">
    <cfRule type="cellIs" priority="16" operator="equal" dxfId="1">
      <formula>"ĐẠT"</formula>
    </cfRule>
    <cfRule type="cellIs" priority="17" operator="notEqual" dxfId="0">
      <formula>"ĐẠT"</formula>
    </cfRule>
  </conditionalFormatting>
  <conditionalFormatting sqref="C107">
    <cfRule type="cellIs" priority="12" operator="equal" dxfId="1">
      <formula>"ĐẠT"</formula>
    </cfRule>
    <cfRule type="cellIs" priority="13" operator="notEqual" dxfId="0">
      <formula>"ĐẠT"</formula>
    </cfRule>
  </conditionalFormatting>
  <conditionalFormatting sqref="C113">
    <cfRule type="cellIs" priority="18" operator="equal" dxfId="1">
      <formula>"ĐẠT"</formula>
    </cfRule>
    <cfRule type="cellIs" priority="19" operator="notEqual" dxfId="0">
      <formula>"ĐẠT"</formula>
    </cfRule>
  </conditionalFormatting>
  <dataValidations count="2">
    <dataValidation sqref="C105" showDropDown="0" showInputMessage="0" showErrorMessage="0" allowBlank="0" type="list">
      <formula1>"Cọc đóng BTCT,Neo xoắn nghiêng"</formula1>
      <formula2>0</formula2>
    </dataValidation>
    <dataValidation sqref="C112" showDropDown="0" showInputMessage="0" showErrorMessage="0" allowBlank="0" type="list">
      <formula1>"Cách 1 — đỉnh ở đáy hồ,Cách 2 — đỉnh trên MNCN"</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2026-08-07T00:27:59Z</dcterms:created>
  <dcterms:modified xmlns:dcterms="http://purl.org/dc/terms/" xmlns:xsi="http://www.w3.org/2001/XMLSchema-instance" xsi:type="dcterms:W3CDTF">2026-08-19T00:19:51Z</dcterms:modified>
  <cp:revision>0</cp:revision>
</cp:coreProperties>
</file>