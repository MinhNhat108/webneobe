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C:\Users\nhatm\AppData\Local\Temp\claude\E--Out-Job-Chu-Giap-Web-t-nh-neo-b-\6aeb2207-6b11-48a0-9210-732f1cccfe43\scratchpad\bmkc\"/>
    </mc:Choice>
  </mc:AlternateContent>
  <xr:revisionPtr revIDLastSave="0" documentId="8_{A09F797D-5295-492E-B663-F81F7812C90A}" xr6:coauthVersionLast="47" xr6:coauthVersionMax="47" xr10:uidLastSave="{00000000-0000-0000-0000-000000000000}"/>
  <bookViews>
    <workbookView xWindow="3120" yWindow="2890" windowWidth="19200" windowHeight="11170" xr2:uid="{00000000-000D-0000-FFFF-FFFF00000000}"/>
  </bookViews>
  <sheets>
    <sheet name="TongHop" sheetId="1" r:id="rId1"/>
    <sheet name="DuLieuBanVe" sheetId="2" r:id="rId2"/>
    <sheet name="GiaCuong_TaiNeo" sheetId="3" r:id="rId3"/>
    <sheet name="C52_TungThanh" sheetId="4" r:id="rId4"/>
    <sheet name="Hop40x60_TungThanh" sheetId="5" r:id="rId5"/>
    <sheet name="DoiChieu_KhungThep" sheetId="6" r:id="rId6"/>
    <sheet name="DoiChieu_MatBang" sheetId="7" r:id="rId7"/>
    <sheet name="GiaDinh" sheetId="8" r:id="rId8"/>
    <sheet name="GhiChu" sheetId="9" r:id="rId9"/>
  </sheets>
  <calcPr calcId="181029"/>
</workbook>
</file>

<file path=xl/calcChain.xml><?xml version="1.0" encoding="utf-8"?>
<calcChain xmlns="http://schemas.openxmlformats.org/spreadsheetml/2006/main">
  <c r="K10" i="7" l="1"/>
  <c r="J10" i="7"/>
  <c r="E10" i="7"/>
  <c r="C10" i="7"/>
  <c r="B10" i="7"/>
  <c r="D10" i="7" s="1"/>
  <c r="G9" i="7"/>
  <c r="F9" i="7"/>
  <c r="D9" i="7"/>
  <c r="G8" i="7"/>
  <c r="F8" i="7"/>
  <c r="D8" i="7"/>
  <c r="G7" i="7"/>
  <c r="F7" i="7"/>
  <c r="D7" i="7"/>
  <c r="G6" i="7"/>
  <c r="F6" i="7"/>
  <c r="D6" i="7"/>
  <c r="G5" i="7"/>
  <c r="F5" i="7"/>
  <c r="D5" i="7"/>
  <c r="G4" i="7"/>
  <c r="F4" i="7"/>
  <c r="D4" i="7"/>
  <c r="G15" i="6"/>
  <c r="F15" i="6"/>
  <c r="D15" i="6"/>
  <c r="C15" i="6"/>
  <c r="G14" i="6"/>
  <c r="F14" i="6"/>
  <c r="D14" i="6"/>
  <c r="E14" i="6" s="1"/>
  <c r="C14" i="6"/>
  <c r="H13" i="6"/>
  <c r="G13" i="6"/>
  <c r="F13" i="6"/>
  <c r="D13" i="6"/>
  <c r="C13" i="6"/>
  <c r="G12" i="6"/>
  <c r="F12" i="6"/>
  <c r="D12" i="6"/>
  <c r="C12" i="6"/>
  <c r="E12" i="6" s="1"/>
  <c r="G11" i="6"/>
  <c r="F11" i="6"/>
  <c r="D11" i="6"/>
  <c r="E11" i="6" s="1"/>
  <c r="C11" i="6"/>
  <c r="G10" i="6"/>
  <c r="F10" i="6"/>
  <c r="H10" i="6" s="1"/>
  <c r="D10" i="6"/>
  <c r="C10" i="6"/>
  <c r="G9" i="6"/>
  <c r="F9" i="6"/>
  <c r="D9" i="6"/>
  <c r="C9" i="6"/>
  <c r="G8" i="6"/>
  <c r="H8" i="6" s="1"/>
  <c r="F8" i="6"/>
  <c r="D8" i="6"/>
  <c r="E8" i="6" s="1"/>
  <c r="C8" i="6"/>
  <c r="G7" i="6"/>
  <c r="H7" i="6" s="1"/>
  <c r="F7" i="6"/>
  <c r="D7" i="6"/>
  <c r="E7" i="6" s="1"/>
  <c r="C7" i="6"/>
  <c r="G6" i="6"/>
  <c r="H6" i="6" s="1"/>
  <c r="F6" i="6"/>
  <c r="D6" i="6"/>
  <c r="E6" i="6" s="1"/>
  <c r="I6" i="6" s="1"/>
  <c r="C6" i="6"/>
  <c r="G5" i="6"/>
  <c r="H5" i="6" s="1"/>
  <c r="F5" i="6"/>
  <c r="D5" i="6"/>
  <c r="C5" i="6"/>
  <c r="E5" i="6" s="1"/>
  <c r="G4" i="6"/>
  <c r="F4" i="6"/>
  <c r="D4" i="6"/>
  <c r="E4" i="6" s="1"/>
  <c r="C4" i="6"/>
  <c r="D154" i="5"/>
  <c r="E154" i="5" s="1"/>
  <c r="D153" i="5"/>
  <c r="E153" i="5" s="1"/>
  <c r="D152" i="5"/>
  <c r="E152" i="5" s="1"/>
  <c r="D151" i="5"/>
  <c r="E151" i="5" s="1"/>
  <c r="D150" i="5"/>
  <c r="E150" i="5" s="1"/>
  <c r="D149" i="5"/>
  <c r="E149" i="5" s="1"/>
  <c r="D148" i="5"/>
  <c r="E148" i="5" s="1"/>
  <c r="D147" i="5"/>
  <c r="E147" i="5" s="1"/>
  <c r="D146" i="5"/>
  <c r="E146" i="5" s="1"/>
  <c r="D145" i="5"/>
  <c r="E145" i="5" s="1"/>
  <c r="D144" i="5"/>
  <c r="E144" i="5" s="1"/>
  <c r="D143" i="5"/>
  <c r="E143" i="5" s="1"/>
  <c r="D142" i="5"/>
  <c r="E142" i="5" s="1"/>
  <c r="D141" i="5"/>
  <c r="E141" i="5" s="1"/>
  <c r="D140" i="5"/>
  <c r="E140" i="5" s="1"/>
  <c r="D139" i="5"/>
  <c r="E139" i="5" s="1"/>
  <c r="D138" i="5"/>
  <c r="E138" i="5" s="1"/>
  <c r="D137" i="5"/>
  <c r="E137" i="5" s="1"/>
  <c r="D136" i="5"/>
  <c r="E136" i="5" s="1"/>
  <c r="D135" i="5"/>
  <c r="E135" i="5" s="1"/>
  <c r="D134" i="5"/>
  <c r="E134" i="5" s="1"/>
  <c r="D133" i="5"/>
  <c r="E133" i="5" s="1"/>
  <c r="D132" i="5"/>
  <c r="E132" i="5" s="1"/>
  <c r="D131" i="5"/>
  <c r="E131" i="5" s="1"/>
  <c r="D130" i="5"/>
  <c r="E130" i="5" s="1"/>
  <c r="D129" i="5"/>
  <c r="E129" i="5" s="1"/>
  <c r="D128" i="5"/>
  <c r="E128" i="5" s="1"/>
  <c r="D127" i="5"/>
  <c r="E127" i="5" s="1"/>
  <c r="D126" i="5"/>
  <c r="E126" i="5" s="1"/>
  <c r="D125" i="5"/>
  <c r="E125" i="5" s="1"/>
  <c r="D124" i="5"/>
  <c r="E124" i="5" s="1"/>
  <c r="D123" i="5"/>
  <c r="E123" i="5" s="1"/>
  <c r="D122" i="5"/>
  <c r="E122" i="5" s="1"/>
  <c r="D121" i="5"/>
  <c r="E121" i="5" s="1"/>
  <c r="D120" i="5"/>
  <c r="E120" i="5" s="1"/>
  <c r="D119" i="5"/>
  <c r="E119" i="5" s="1"/>
  <c r="D118" i="5"/>
  <c r="E118" i="5" s="1"/>
  <c r="D117" i="5"/>
  <c r="E117" i="5" s="1"/>
  <c r="D116" i="5"/>
  <c r="E116" i="5" s="1"/>
  <c r="D115" i="5"/>
  <c r="E115" i="5" s="1"/>
  <c r="D114" i="5"/>
  <c r="E114" i="5" s="1"/>
  <c r="D113" i="5"/>
  <c r="E113" i="5" s="1"/>
  <c r="D112" i="5"/>
  <c r="E112" i="5" s="1"/>
  <c r="D111" i="5"/>
  <c r="E111" i="5" s="1"/>
  <c r="D110" i="5"/>
  <c r="E110" i="5" s="1"/>
  <c r="D109" i="5"/>
  <c r="E109" i="5" s="1"/>
  <c r="D108" i="5"/>
  <c r="E108" i="5" s="1"/>
  <c r="D107" i="5"/>
  <c r="E107" i="5" s="1"/>
  <c r="D106" i="5"/>
  <c r="E106" i="5" s="1"/>
  <c r="D105" i="5"/>
  <c r="E105" i="5" s="1"/>
  <c r="D104" i="5"/>
  <c r="E104" i="5" s="1"/>
  <c r="D103" i="5"/>
  <c r="E103" i="5" s="1"/>
  <c r="D102" i="5"/>
  <c r="E102" i="5" s="1"/>
  <c r="D101" i="5"/>
  <c r="E101" i="5" s="1"/>
  <c r="D100" i="5"/>
  <c r="E100" i="5" s="1"/>
  <c r="D99" i="5"/>
  <c r="E99" i="5" s="1"/>
  <c r="D98" i="5"/>
  <c r="E98" i="5" s="1"/>
  <c r="D97" i="5"/>
  <c r="E97" i="5" s="1"/>
  <c r="D96" i="5"/>
  <c r="E96" i="5" s="1"/>
  <c r="D95" i="5"/>
  <c r="E95" i="5" s="1"/>
  <c r="D94" i="5"/>
  <c r="E94" i="5" s="1"/>
  <c r="D93" i="5"/>
  <c r="E93" i="5" s="1"/>
  <c r="D92" i="5"/>
  <c r="E92" i="5" s="1"/>
  <c r="D91" i="5"/>
  <c r="E91" i="5" s="1"/>
  <c r="D90" i="5"/>
  <c r="E90" i="5" s="1"/>
  <c r="D89" i="5"/>
  <c r="E89" i="5" s="1"/>
  <c r="D88" i="5"/>
  <c r="E88" i="5" s="1"/>
  <c r="D87" i="5"/>
  <c r="E87" i="5" s="1"/>
  <c r="D86" i="5"/>
  <c r="E86" i="5" s="1"/>
  <c r="D85" i="5"/>
  <c r="E85" i="5" s="1"/>
  <c r="D84" i="5"/>
  <c r="E84" i="5" s="1"/>
  <c r="D83" i="5"/>
  <c r="E83" i="5" s="1"/>
  <c r="D82" i="5"/>
  <c r="E82" i="5" s="1"/>
  <c r="D81" i="5"/>
  <c r="E81" i="5" s="1"/>
  <c r="D80" i="5"/>
  <c r="E80" i="5" s="1"/>
  <c r="D79" i="5"/>
  <c r="E79" i="5" s="1"/>
  <c r="D78" i="5"/>
  <c r="E78" i="5" s="1"/>
  <c r="D77" i="5"/>
  <c r="E77" i="5" s="1"/>
  <c r="D76" i="5"/>
  <c r="E76" i="5" s="1"/>
  <c r="D75" i="5"/>
  <c r="E75" i="5" s="1"/>
  <c r="D74" i="5"/>
  <c r="E74" i="5" s="1"/>
  <c r="G24" i="1" s="1"/>
  <c r="D73" i="5"/>
  <c r="E73" i="5" s="1"/>
  <c r="D72" i="5"/>
  <c r="E72" i="5" s="1"/>
  <c r="D71" i="5"/>
  <c r="E71" i="5" s="1"/>
  <c r="D70" i="5"/>
  <c r="E70" i="5" s="1"/>
  <c r="D69" i="5"/>
  <c r="E69" i="5" s="1"/>
  <c r="D68" i="5"/>
  <c r="E68" i="5" s="1"/>
  <c r="D67" i="5"/>
  <c r="E67" i="5" s="1"/>
  <c r="D66" i="5"/>
  <c r="E66" i="5" s="1"/>
  <c r="D65" i="5"/>
  <c r="E65" i="5" s="1"/>
  <c r="D64" i="5"/>
  <c r="E64" i="5" s="1"/>
  <c r="D63" i="5"/>
  <c r="E63" i="5" s="1"/>
  <c r="D62" i="5"/>
  <c r="E62" i="5" s="1"/>
  <c r="D61" i="5"/>
  <c r="E61" i="5" s="1"/>
  <c r="D60" i="5"/>
  <c r="E60" i="5" s="1"/>
  <c r="D59" i="5"/>
  <c r="E59" i="5" s="1"/>
  <c r="D58" i="5"/>
  <c r="E58" i="5" s="1"/>
  <c r="D57" i="5"/>
  <c r="E57" i="5" s="1"/>
  <c r="D56" i="5"/>
  <c r="E56" i="5" s="1"/>
  <c r="D55" i="5"/>
  <c r="E55" i="5" s="1"/>
  <c r="D54" i="5"/>
  <c r="E54" i="5" s="1"/>
  <c r="D53" i="5"/>
  <c r="E53" i="5" s="1"/>
  <c r="D52" i="5"/>
  <c r="E52" i="5" s="1"/>
  <c r="D51" i="5"/>
  <c r="E51" i="5" s="1"/>
  <c r="D50" i="5"/>
  <c r="E50" i="5" s="1"/>
  <c r="D49" i="5"/>
  <c r="E49" i="5" s="1"/>
  <c r="D48" i="5"/>
  <c r="E48" i="5" s="1"/>
  <c r="D47" i="5"/>
  <c r="E47" i="5" s="1"/>
  <c r="D46" i="5"/>
  <c r="E46" i="5" s="1"/>
  <c r="D45" i="5"/>
  <c r="E45" i="5" s="1"/>
  <c r="D44" i="5"/>
  <c r="E44" i="5" s="1"/>
  <c r="D43" i="5"/>
  <c r="E43" i="5" s="1"/>
  <c r="D42" i="5"/>
  <c r="E42" i="5" s="1"/>
  <c r="F24" i="1" s="1"/>
  <c r="D41" i="5"/>
  <c r="E41" i="5" s="1"/>
  <c r="D40" i="5"/>
  <c r="E40" i="5" s="1"/>
  <c r="D39" i="5"/>
  <c r="E39" i="5" s="1"/>
  <c r="D38" i="5"/>
  <c r="E38" i="5" s="1"/>
  <c r="D37" i="5"/>
  <c r="E37" i="5" s="1"/>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E24" i="1" s="1"/>
  <c r="K24" i="1" s="1"/>
  <c r="L24" i="1" s="1"/>
  <c r="D9" i="5"/>
  <c r="E9" i="5" s="1"/>
  <c r="D8" i="5"/>
  <c r="E8" i="5" s="1"/>
  <c r="D7" i="5"/>
  <c r="E7" i="5" s="1"/>
  <c r="D6" i="5"/>
  <c r="E6" i="5" s="1"/>
  <c r="D5" i="5"/>
  <c r="E5" i="5" s="1"/>
  <c r="D4" i="5"/>
  <c r="E4" i="5" s="1"/>
  <c r="D767" i="4"/>
  <c r="E767" i="4" s="1"/>
  <c r="D766" i="4"/>
  <c r="E766" i="4" s="1"/>
  <c r="D765" i="4"/>
  <c r="E765" i="4" s="1"/>
  <c r="D764" i="4"/>
  <c r="E764" i="4" s="1"/>
  <c r="D763" i="4"/>
  <c r="E763" i="4" s="1"/>
  <c r="D762" i="4"/>
  <c r="E762" i="4" s="1"/>
  <c r="D761" i="4"/>
  <c r="E761" i="4" s="1"/>
  <c r="D760" i="4"/>
  <c r="E760" i="4" s="1"/>
  <c r="D759" i="4"/>
  <c r="E759" i="4" s="1"/>
  <c r="D758" i="4"/>
  <c r="E758" i="4" s="1"/>
  <c r="D757" i="4"/>
  <c r="E757" i="4" s="1"/>
  <c r="D756" i="4"/>
  <c r="E756" i="4" s="1"/>
  <c r="D755" i="4"/>
  <c r="E755" i="4" s="1"/>
  <c r="D754" i="4"/>
  <c r="E754" i="4" s="1"/>
  <c r="D753" i="4"/>
  <c r="E753" i="4" s="1"/>
  <c r="D752" i="4"/>
  <c r="E752" i="4" s="1"/>
  <c r="D751" i="4"/>
  <c r="E751" i="4" s="1"/>
  <c r="D750" i="4"/>
  <c r="E750" i="4" s="1"/>
  <c r="D749" i="4"/>
  <c r="E749" i="4" s="1"/>
  <c r="D748" i="4"/>
  <c r="E748" i="4" s="1"/>
  <c r="D747" i="4"/>
  <c r="E747" i="4" s="1"/>
  <c r="D746" i="4"/>
  <c r="E746" i="4" s="1"/>
  <c r="D745" i="4"/>
  <c r="E745" i="4" s="1"/>
  <c r="D744" i="4"/>
  <c r="E744" i="4" s="1"/>
  <c r="D743" i="4"/>
  <c r="E743" i="4" s="1"/>
  <c r="D742" i="4"/>
  <c r="E742" i="4" s="1"/>
  <c r="D741" i="4"/>
  <c r="E741" i="4" s="1"/>
  <c r="D740" i="4"/>
  <c r="E740" i="4" s="1"/>
  <c r="D739" i="4"/>
  <c r="E739" i="4" s="1"/>
  <c r="D738" i="4"/>
  <c r="E738" i="4" s="1"/>
  <c r="D737" i="4"/>
  <c r="E737" i="4" s="1"/>
  <c r="D736" i="4"/>
  <c r="E736" i="4" s="1"/>
  <c r="D735" i="4"/>
  <c r="E735" i="4" s="1"/>
  <c r="D734" i="4"/>
  <c r="E734" i="4" s="1"/>
  <c r="D733" i="4"/>
  <c r="E733" i="4" s="1"/>
  <c r="D732" i="4"/>
  <c r="E732" i="4" s="1"/>
  <c r="D731" i="4"/>
  <c r="E731" i="4" s="1"/>
  <c r="D730" i="4"/>
  <c r="E730" i="4" s="1"/>
  <c r="D729" i="4"/>
  <c r="E729" i="4" s="1"/>
  <c r="D728" i="4"/>
  <c r="E728" i="4" s="1"/>
  <c r="D727" i="4"/>
  <c r="E727" i="4" s="1"/>
  <c r="D726" i="4"/>
  <c r="E726" i="4" s="1"/>
  <c r="D725" i="4"/>
  <c r="E725" i="4" s="1"/>
  <c r="D724" i="4"/>
  <c r="E724" i="4" s="1"/>
  <c r="D723" i="4"/>
  <c r="E723" i="4" s="1"/>
  <c r="D722" i="4"/>
  <c r="E722" i="4" s="1"/>
  <c r="D721" i="4"/>
  <c r="E721" i="4" s="1"/>
  <c r="D720" i="4"/>
  <c r="E720" i="4" s="1"/>
  <c r="D719" i="4"/>
  <c r="E719" i="4" s="1"/>
  <c r="D718" i="4"/>
  <c r="E718" i="4" s="1"/>
  <c r="D717" i="4"/>
  <c r="E717" i="4" s="1"/>
  <c r="D716" i="4"/>
  <c r="E716" i="4" s="1"/>
  <c r="D715" i="4"/>
  <c r="E715" i="4" s="1"/>
  <c r="D714" i="4"/>
  <c r="E714" i="4" s="1"/>
  <c r="D713" i="4"/>
  <c r="E713" i="4" s="1"/>
  <c r="D712" i="4"/>
  <c r="E712" i="4" s="1"/>
  <c r="D711" i="4"/>
  <c r="E711" i="4" s="1"/>
  <c r="D710" i="4"/>
  <c r="E710" i="4" s="1"/>
  <c r="D709" i="4"/>
  <c r="E709" i="4" s="1"/>
  <c r="D708" i="4"/>
  <c r="E708" i="4" s="1"/>
  <c r="D707" i="4"/>
  <c r="E707" i="4" s="1"/>
  <c r="D706" i="4"/>
  <c r="E706" i="4" s="1"/>
  <c r="D705" i="4"/>
  <c r="E705" i="4" s="1"/>
  <c r="D704" i="4"/>
  <c r="E704" i="4" s="1"/>
  <c r="D703" i="4"/>
  <c r="E703" i="4" s="1"/>
  <c r="D702" i="4"/>
  <c r="E702" i="4" s="1"/>
  <c r="D701" i="4"/>
  <c r="E701" i="4" s="1"/>
  <c r="D700" i="4"/>
  <c r="E700" i="4" s="1"/>
  <c r="D699" i="4"/>
  <c r="E699" i="4" s="1"/>
  <c r="D698" i="4"/>
  <c r="E698" i="4" s="1"/>
  <c r="D697" i="4"/>
  <c r="E697" i="4" s="1"/>
  <c r="D696" i="4"/>
  <c r="E696" i="4" s="1"/>
  <c r="D695" i="4"/>
  <c r="E695" i="4" s="1"/>
  <c r="D694" i="4"/>
  <c r="E694" i="4" s="1"/>
  <c r="D693" i="4"/>
  <c r="E693" i="4" s="1"/>
  <c r="D692" i="4"/>
  <c r="E692" i="4" s="1"/>
  <c r="D691" i="4"/>
  <c r="E691" i="4" s="1"/>
  <c r="D690" i="4"/>
  <c r="E690" i="4" s="1"/>
  <c r="D689" i="4"/>
  <c r="E689" i="4" s="1"/>
  <c r="D688" i="4"/>
  <c r="E688" i="4" s="1"/>
  <c r="D687" i="4"/>
  <c r="E687" i="4" s="1"/>
  <c r="D686" i="4"/>
  <c r="E686" i="4" s="1"/>
  <c r="D685" i="4"/>
  <c r="E685" i="4" s="1"/>
  <c r="D684" i="4"/>
  <c r="E684" i="4" s="1"/>
  <c r="D683" i="4"/>
  <c r="E683" i="4" s="1"/>
  <c r="D682" i="4"/>
  <c r="E682" i="4" s="1"/>
  <c r="D681" i="4"/>
  <c r="E681" i="4" s="1"/>
  <c r="D680" i="4"/>
  <c r="E680" i="4" s="1"/>
  <c r="D679" i="4"/>
  <c r="E679" i="4" s="1"/>
  <c r="D678" i="4"/>
  <c r="E678" i="4" s="1"/>
  <c r="D677" i="4"/>
  <c r="E677" i="4" s="1"/>
  <c r="D676" i="4"/>
  <c r="E676" i="4" s="1"/>
  <c r="D675" i="4"/>
  <c r="E675" i="4" s="1"/>
  <c r="D674" i="4"/>
  <c r="E674" i="4" s="1"/>
  <c r="D673" i="4"/>
  <c r="E673" i="4" s="1"/>
  <c r="D672" i="4"/>
  <c r="E672" i="4" s="1"/>
  <c r="D671" i="4"/>
  <c r="E671" i="4" s="1"/>
  <c r="D670" i="4"/>
  <c r="E670" i="4" s="1"/>
  <c r="D669" i="4"/>
  <c r="E669" i="4" s="1"/>
  <c r="D668" i="4"/>
  <c r="E668" i="4" s="1"/>
  <c r="D667" i="4"/>
  <c r="E667" i="4" s="1"/>
  <c r="D666" i="4"/>
  <c r="E666" i="4" s="1"/>
  <c r="D665" i="4"/>
  <c r="E665" i="4" s="1"/>
  <c r="D664" i="4"/>
  <c r="E664" i="4" s="1"/>
  <c r="D663" i="4"/>
  <c r="E663" i="4" s="1"/>
  <c r="D662" i="4"/>
  <c r="E662" i="4" s="1"/>
  <c r="D661" i="4"/>
  <c r="E661" i="4" s="1"/>
  <c r="D660" i="4"/>
  <c r="E660" i="4" s="1"/>
  <c r="D659" i="4"/>
  <c r="E659" i="4" s="1"/>
  <c r="D658" i="4"/>
  <c r="E658" i="4" s="1"/>
  <c r="D657" i="4"/>
  <c r="E657" i="4" s="1"/>
  <c r="D656" i="4"/>
  <c r="E656" i="4" s="1"/>
  <c r="D655" i="4"/>
  <c r="E655" i="4" s="1"/>
  <c r="D654" i="4"/>
  <c r="E654" i="4" s="1"/>
  <c r="D653" i="4"/>
  <c r="E653" i="4" s="1"/>
  <c r="D652" i="4"/>
  <c r="E652" i="4" s="1"/>
  <c r="D651" i="4"/>
  <c r="E651" i="4" s="1"/>
  <c r="D650" i="4"/>
  <c r="E650" i="4" s="1"/>
  <c r="D649" i="4"/>
  <c r="E649" i="4" s="1"/>
  <c r="D648" i="4"/>
  <c r="E648" i="4" s="1"/>
  <c r="D647" i="4"/>
  <c r="E647" i="4" s="1"/>
  <c r="D646" i="4"/>
  <c r="E646" i="4" s="1"/>
  <c r="D645" i="4"/>
  <c r="E645" i="4" s="1"/>
  <c r="D644" i="4"/>
  <c r="E644" i="4" s="1"/>
  <c r="D643" i="4"/>
  <c r="E643" i="4" s="1"/>
  <c r="D642" i="4"/>
  <c r="E642" i="4" s="1"/>
  <c r="D641" i="4"/>
  <c r="E641" i="4" s="1"/>
  <c r="D640" i="4"/>
  <c r="E640" i="4" s="1"/>
  <c r="D639" i="4"/>
  <c r="E639" i="4" s="1"/>
  <c r="D638" i="4"/>
  <c r="E638" i="4" s="1"/>
  <c r="D637" i="4"/>
  <c r="E637" i="4" s="1"/>
  <c r="D636" i="4"/>
  <c r="E636" i="4" s="1"/>
  <c r="D635" i="4"/>
  <c r="E635" i="4" s="1"/>
  <c r="D634" i="4"/>
  <c r="E634" i="4" s="1"/>
  <c r="D633" i="4"/>
  <c r="E633" i="4" s="1"/>
  <c r="D632" i="4"/>
  <c r="E632" i="4" s="1"/>
  <c r="D631" i="4"/>
  <c r="E631" i="4" s="1"/>
  <c r="D630" i="4"/>
  <c r="E630" i="4" s="1"/>
  <c r="D629" i="4"/>
  <c r="E629" i="4" s="1"/>
  <c r="D628" i="4"/>
  <c r="E628" i="4" s="1"/>
  <c r="D627" i="4"/>
  <c r="E627" i="4" s="1"/>
  <c r="D626" i="4"/>
  <c r="E626" i="4" s="1"/>
  <c r="D625" i="4"/>
  <c r="E625" i="4" s="1"/>
  <c r="D624" i="4"/>
  <c r="E624" i="4" s="1"/>
  <c r="D623" i="4"/>
  <c r="E623" i="4" s="1"/>
  <c r="D622" i="4"/>
  <c r="E622" i="4" s="1"/>
  <c r="D621" i="4"/>
  <c r="E621" i="4" s="1"/>
  <c r="D620" i="4"/>
  <c r="E620" i="4" s="1"/>
  <c r="D619" i="4"/>
  <c r="E619" i="4" s="1"/>
  <c r="D618" i="4"/>
  <c r="E618" i="4" s="1"/>
  <c r="D617" i="4"/>
  <c r="E617" i="4" s="1"/>
  <c r="D616" i="4"/>
  <c r="E616" i="4" s="1"/>
  <c r="D615" i="4"/>
  <c r="E615" i="4" s="1"/>
  <c r="D614" i="4"/>
  <c r="E614" i="4" s="1"/>
  <c r="D613" i="4"/>
  <c r="E613" i="4" s="1"/>
  <c r="D612" i="4"/>
  <c r="E612" i="4" s="1"/>
  <c r="D611" i="4"/>
  <c r="E611" i="4" s="1"/>
  <c r="D610" i="4"/>
  <c r="E610" i="4" s="1"/>
  <c r="D609" i="4"/>
  <c r="E609" i="4" s="1"/>
  <c r="D608" i="4"/>
  <c r="E608" i="4" s="1"/>
  <c r="D607" i="4"/>
  <c r="E607" i="4" s="1"/>
  <c r="D606" i="4"/>
  <c r="E606" i="4" s="1"/>
  <c r="D605" i="4"/>
  <c r="E605" i="4" s="1"/>
  <c r="D604" i="4"/>
  <c r="E604" i="4" s="1"/>
  <c r="D603" i="4"/>
  <c r="E603" i="4" s="1"/>
  <c r="D602" i="4"/>
  <c r="E602" i="4" s="1"/>
  <c r="D601" i="4"/>
  <c r="E601" i="4" s="1"/>
  <c r="D600" i="4"/>
  <c r="E600" i="4" s="1"/>
  <c r="D599" i="4"/>
  <c r="E599" i="4" s="1"/>
  <c r="D598" i="4"/>
  <c r="E598" i="4" s="1"/>
  <c r="D597" i="4"/>
  <c r="E597" i="4" s="1"/>
  <c r="D596" i="4"/>
  <c r="E596" i="4" s="1"/>
  <c r="D595" i="4"/>
  <c r="E595" i="4" s="1"/>
  <c r="D594" i="4"/>
  <c r="E594" i="4" s="1"/>
  <c r="D593" i="4"/>
  <c r="E593" i="4" s="1"/>
  <c r="D592" i="4"/>
  <c r="E592" i="4" s="1"/>
  <c r="D591" i="4"/>
  <c r="E591" i="4" s="1"/>
  <c r="D590" i="4"/>
  <c r="E590" i="4" s="1"/>
  <c r="D589" i="4"/>
  <c r="E589" i="4" s="1"/>
  <c r="D588" i="4"/>
  <c r="E588" i="4" s="1"/>
  <c r="D587" i="4"/>
  <c r="E587" i="4" s="1"/>
  <c r="D586" i="4"/>
  <c r="E586" i="4" s="1"/>
  <c r="D585" i="4"/>
  <c r="E585" i="4" s="1"/>
  <c r="D584" i="4"/>
  <c r="E584" i="4" s="1"/>
  <c r="D583" i="4"/>
  <c r="E583" i="4" s="1"/>
  <c r="D582" i="4"/>
  <c r="E582" i="4" s="1"/>
  <c r="D581" i="4"/>
  <c r="E581" i="4" s="1"/>
  <c r="D580" i="4"/>
  <c r="E580" i="4" s="1"/>
  <c r="D579" i="4"/>
  <c r="E579" i="4" s="1"/>
  <c r="D578" i="4"/>
  <c r="E578" i="4" s="1"/>
  <c r="D577" i="4"/>
  <c r="E577" i="4" s="1"/>
  <c r="D576" i="4"/>
  <c r="E576" i="4" s="1"/>
  <c r="D575" i="4"/>
  <c r="E575" i="4" s="1"/>
  <c r="D574" i="4"/>
  <c r="E574" i="4" s="1"/>
  <c r="D573" i="4"/>
  <c r="E573" i="4" s="1"/>
  <c r="D572" i="4"/>
  <c r="E572" i="4" s="1"/>
  <c r="D571" i="4"/>
  <c r="E571" i="4" s="1"/>
  <c r="D570" i="4"/>
  <c r="E570" i="4" s="1"/>
  <c r="D569" i="4"/>
  <c r="E569" i="4" s="1"/>
  <c r="D568" i="4"/>
  <c r="E568" i="4" s="1"/>
  <c r="D567" i="4"/>
  <c r="E567" i="4" s="1"/>
  <c r="D566" i="4"/>
  <c r="E566" i="4" s="1"/>
  <c r="D565" i="4"/>
  <c r="E565" i="4" s="1"/>
  <c r="D564" i="4"/>
  <c r="E564" i="4" s="1"/>
  <c r="D563" i="4"/>
  <c r="E563" i="4" s="1"/>
  <c r="D562" i="4"/>
  <c r="E562" i="4" s="1"/>
  <c r="D561" i="4"/>
  <c r="E561" i="4" s="1"/>
  <c r="D560" i="4"/>
  <c r="E560" i="4" s="1"/>
  <c r="D559" i="4"/>
  <c r="E559" i="4" s="1"/>
  <c r="D558" i="4"/>
  <c r="E558" i="4" s="1"/>
  <c r="D557" i="4"/>
  <c r="E557" i="4" s="1"/>
  <c r="D556" i="4"/>
  <c r="E556" i="4" s="1"/>
  <c r="D555" i="4"/>
  <c r="E555" i="4" s="1"/>
  <c r="D554" i="4"/>
  <c r="E554" i="4" s="1"/>
  <c r="D553" i="4"/>
  <c r="E553" i="4" s="1"/>
  <c r="D552" i="4"/>
  <c r="E552" i="4" s="1"/>
  <c r="D551" i="4"/>
  <c r="E551" i="4" s="1"/>
  <c r="D550" i="4"/>
  <c r="E550" i="4" s="1"/>
  <c r="D549" i="4"/>
  <c r="E549" i="4" s="1"/>
  <c r="D548" i="4"/>
  <c r="E548" i="4" s="1"/>
  <c r="D547" i="4"/>
  <c r="E547" i="4" s="1"/>
  <c r="D546" i="4"/>
  <c r="E546" i="4" s="1"/>
  <c r="D545" i="4"/>
  <c r="E545" i="4" s="1"/>
  <c r="D544" i="4"/>
  <c r="E544" i="4" s="1"/>
  <c r="D543" i="4"/>
  <c r="E543" i="4" s="1"/>
  <c r="D542" i="4"/>
  <c r="E542" i="4" s="1"/>
  <c r="D541" i="4"/>
  <c r="E541" i="4" s="1"/>
  <c r="D540" i="4"/>
  <c r="E540" i="4" s="1"/>
  <c r="D539" i="4"/>
  <c r="E539" i="4" s="1"/>
  <c r="D538" i="4"/>
  <c r="E538" i="4" s="1"/>
  <c r="D537" i="4"/>
  <c r="E537" i="4" s="1"/>
  <c r="J17" i="1" s="1"/>
  <c r="D536" i="4"/>
  <c r="E536" i="4" s="1"/>
  <c r="D535" i="4"/>
  <c r="E535" i="4" s="1"/>
  <c r="D534" i="4"/>
  <c r="E534" i="4" s="1"/>
  <c r="D533" i="4"/>
  <c r="E533" i="4" s="1"/>
  <c r="D532" i="4"/>
  <c r="E532" i="4" s="1"/>
  <c r="D531" i="4"/>
  <c r="E531" i="4" s="1"/>
  <c r="D530" i="4"/>
  <c r="E530" i="4" s="1"/>
  <c r="D529" i="4"/>
  <c r="E529" i="4" s="1"/>
  <c r="D528" i="4"/>
  <c r="E528" i="4" s="1"/>
  <c r="D527" i="4"/>
  <c r="E527" i="4" s="1"/>
  <c r="D526" i="4"/>
  <c r="E526" i="4" s="1"/>
  <c r="D525" i="4"/>
  <c r="E525" i="4" s="1"/>
  <c r="D524" i="4"/>
  <c r="E524" i="4" s="1"/>
  <c r="D523" i="4"/>
  <c r="E523" i="4" s="1"/>
  <c r="D522" i="4"/>
  <c r="E522" i="4" s="1"/>
  <c r="D521" i="4"/>
  <c r="E521" i="4" s="1"/>
  <c r="D520" i="4"/>
  <c r="E520" i="4" s="1"/>
  <c r="D519" i="4"/>
  <c r="E519" i="4" s="1"/>
  <c r="D518" i="4"/>
  <c r="E518" i="4" s="1"/>
  <c r="D517" i="4"/>
  <c r="E517" i="4" s="1"/>
  <c r="D516" i="4"/>
  <c r="E516" i="4" s="1"/>
  <c r="D515" i="4"/>
  <c r="E515" i="4" s="1"/>
  <c r="D514" i="4"/>
  <c r="E514" i="4" s="1"/>
  <c r="D513" i="4"/>
  <c r="E513" i="4" s="1"/>
  <c r="D512" i="4"/>
  <c r="E512" i="4" s="1"/>
  <c r="D511" i="4"/>
  <c r="E511" i="4" s="1"/>
  <c r="D510" i="4"/>
  <c r="E510" i="4" s="1"/>
  <c r="D509" i="4"/>
  <c r="E509" i="4" s="1"/>
  <c r="D508" i="4"/>
  <c r="E508" i="4" s="1"/>
  <c r="D507" i="4"/>
  <c r="E507" i="4" s="1"/>
  <c r="D506" i="4"/>
  <c r="E506" i="4" s="1"/>
  <c r="D505" i="4"/>
  <c r="E505" i="4" s="1"/>
  <c r="D504" i="4"/>
  <c r="E504" i="4" s="1"/>
  <c r="D503" i="4"/>
  <c r="E503" i="4" s="1"/>
  <c r="D502" i="4"/>
  <c r="E502" i="4" s="1"/>
  <c r="D501" i="4"/>
  <c r="E501" i="4" s="1"/>
  <c r="D500" i="4"/>
  <c r="E500" i="4" s="1"/>
  <c r="D499" i="4"/>
  <c r="E499" i="4" s="1"/>
  <c r="D498" i="4"/>
  <c r="E498" i="4" s="1"/>
  <c r="D497" i="4"/>
  <c r="E497" i="4" s="1"/>
  <c r="D496" i="4"/>
  <c r="E496" i="4" s="1"/>
  <c r="D495" i="4"/>
  <c r="E495" i="4" s="1"/>
  <c r="D494" i="4"/>
  <c r="E494" i="4" s="1"/>
  <c r="D493" i="4"/>
  <c r="E493" i="4" s="1"/>
  <c r="D492" i="4"/>
  <c r="E492" i="4" s="1"/>
  <c r="D491" i="4"/>
  <c r="E491" i="4" s="1"/>
  <c r="D490" i="4"/>
  <c r="E490" i="4" s="1"/>
  <c r="D489" i="4"/>
  <c r="E489" i="4" s="1"/>
  <c r="D488" i="4"/>
  <c r="E488" i="4" s="1"/>
  <c r="D487" i="4"/>
  <c r="E487" i="4" s="1"/>
  <c r="D486" i="4"/>
  <c r="E486" i="4" s="1"/>
  <c r="D485" i="4"/>
  <c r="E485" i="4" s="1"/>
  <c r="D484" i="4"/>
  <c r="E484" i="4" s="1"/>
  <c r="D483" i="4"/>
  <c r="E483" i="4" s="1"/>
  <c r="D482" i="4"/>
  <c r="E482" i="4" s="1"/>
  <c r="D481" i="4"/>
  <c r="E481" i="4" s="1"/>
  <c r="D480" i="4"/>
  <c r="E480" i="4" s="1"/>
  <c r="D479" i="4"/>
  <c r="E479" i="4" s="1"/>
  <c r="D478" i="4"/>
  <c r="E478" i="4" s="1"/>
  <c r="D477" i="4"/>
  <c r="E477" i="4" s="1"/>
  <c r="D476" i="4"/>
  <c r="E476" i="4" s="1"/>
  <c r="D475" i="4"/>
  <c r="E475" i="4" s="1"/>
  <c r="D474" i="4"/>
  <c r="E474" i="4" s="1"/>
  <c r="D473" i="4"/>
  <c r="E473" i="4" s="1"/>
  <c r="D472" i="4"/>
  <c r="E472" i="4" s="1"/>
  <c r="D471" i="4"/>
  <c r="E471" i="4" s="1"/>
  <c r="D470" i="4"/>
  <c r="E470" i="4" s="1"/>
  <c r="D469" i="4"/>
  <c r="E469" i="4" s="1"/>
  <c r="D468" i="4"/>
  <c r="E468" i="4" s="1"/>
  <c r="D467" i="4"/>
  <c r="E467" i="4" s="1"/>
  <c r="D466" i="4"/>
  <c r="E466" i="4" s="1"/>
  <c r="D465" i="4"/>
  <c r="E465" i="4" s="1"/>
  <c r="D464" i="4"/>
  <c r="E464" i="4" s="1"/>
  <c r="D463" i="4"/>
  <c r="E463" i="4" s="1"/>
  <c r="D462" i="4"/>
  <c r="E462" i="4" s="1"/>
  <c r="D461" i="4"/>
  <c r="E461" i="4" s="1"/>
  <c r="D460" i="4"/>
  <c r="E460" i="4" s="1"/>
  <c r="D459" i="4"/>
  <c r="E459" i="4" s="1"/>
  <c r="D458" i="4"/>
  <c r="E458" i="4" s="1"/>
  <c r="D457" i="4"/>
  <c r="E457" i="4" s="1"/>
  <c r="D456" i="4"/>
  <c r="E456" i="4" s="1"/>
  <c r="D455" i="4"/>
  <c r="E455" i="4" s="1"/>
  <c r="D454" i="4"/>
  <c r="E454" i="4" s="1"/>
  <c r="D453" i="4"/>
  <c r="E453" i="4" s="1"/>
  <c r="D452" i="4"/>
  <c r="E452" i="4" s="1"/>
  <c r="D451" i="4"/>
  <c r="E451" i="4" s="1"/>
  <c r="D450" i="4"/>
  <c r="E450" i="4" s="1"/>
  <c r="D449" i="4"/>
  <c r="E449" i="4" s="1"/>
  <c r="D448" i="4"/>
  <c r="E448" i="4" s="1"/>
  <c r="D447" i="4"/>
  <c r="E447" i="4" s="1"/>
  <c r="D446" i="4"/>
  <c r="E446" i="4" s="1"/>
  <c r="D445" i="4"/>
  <c r="E445" i="4" s="1"/>
  <c r="D444" i="4"/>
  <c r="E444" i="4" s="1"/>
  <c r="I17" i="1" s="1"/>
  <c r="D443" i="4"/>
  <c r="E443" i="4" s="1"/>
  <c r="D442" i="4"/>
  <c r="E442" i="4" s="1"/>
  <c r="D441" i="4"/>
  <c r="E441" i="4" s="1"/>
  <c r="D440" i="4"/>
  <c r="E440" i="4" s="1"/>
  <c r="D439" i="4"/>
  <c r="E439" i="4" s="1"/>
  <c r="D438" i="4"/>
  <c r="E438" i="4" s="1"/>
  <c r="D437" i="4"/>
  <c r="E437" i="4" s="1"/>
  <c r="D436" i="4"/>
  <c r="E436" i="4" s="1"/>
  <c r="D435" i="4"/>
  <c r="E435" i="4" s="1"/>
  <c r="D434" i="4"/>
  <c r="E434" i="4" s="1"/>
  <c r="D433" i="4"/>
  <c r="E433" i="4" s="1"/>
  <c r="D432" i="4"/>
  <c r="E432" i="4" s="1"/>
  <c r="D431" i="4"/>
  <c r="E431" i="4" s="1"/>
  <c r="D430" i="4"/>
  <c r="E430" i="4" s="1"/>
  <c r="D429" i="4"/>
  <c r="E429" i="4" s="1"/>
  <c r="E428" i="4"/>
  <c r="D428" i="4"/>
  <c r="D427" i="4"/>
  <c r="E427" i="4" s="1"/>
  <c r="D426" i="4"/>
  <c r="E426" i="4" s="1"/>
  <c r="D425" i="4"/>
  <c r="E425" i="4" s="1"/>
  <c r="D424" i="4"/>
  <c r="E424" i="4" s="1"/>
  <c r="D423" i="4"/>
  <c r="E423" i="4" s="1"/>
  <c r="D422" i="4"/>
  <c r="E422" i="4" s="1"/>
  <c r="D421" i="4"/>
  <c r="E421" i="4" s="1"/>
  <c r="D420" i="4"/>
  <c r="E420" i="4" s="1"/>
  <c r="D419" i="4"/>
  <c r="E419" i="4" s="1"/>
  <c r="D418" i="4"/>
  <c r="E418" i="4" s="1"/>
  <c r="D417" i="4"/>
  <c r="E417" i="4" s="1"/>
  <c r="D416" i="4"/>
  <c r="E416" i="4" s="1"/>
  <c r="D415" i="4"/>
  <c r="E415" i="4" s="1"/>
  <c r="D414" i="4"/>
  <c r="E414" i="4" s="1"/>
  <c r="D413" i="4"/>
  <c r="E413" i="4" s="1"/>
  <c r="D412" i="4"/>
  <c r="E412" i="4" s="1"/>
  <c r="D411" i="4"/>
  <c r="E411" i="4" s="1"/>
  <c r="D410" i="4"/>
  <c r="E410" i="4" s="1"/>
  <c r="D409" i="4"/>
  <c r="E409" i="4" s="1"/>
  <c r="D408" i="4"/>
  <c r="E408" i="4" s="1"/>
  <c r="D407" i="4"/>
  <c r="E407" i="4" s="1"/>
  <c r="D406" i="4"/>
  <c r="E406" i="4" s="1"/>
  <c r="D405" i="4"/>
  <c r="E405" i="4" s="1"/>
  <c r="D404" i="4"/>
  <c r="E404" i="4" s="1"/>
  <c r="D403" i="4"/>
  <c r="E403" i="4" s="1"/>
  <c r="D402" i="4"/>
  <c r="E402" i="4" s="1"/>
  <c r="D401" i="4"/>
  <c r="E401" i="4" s="1"/>
  <c r="D400" i="4"/>
  <c r="E400" i="4" s="1"/>
  <c r="D399" i="4"/>
  <c r="E399" i="4" s="1"/>
  <c r="D398" i="4"/>
  <c r="E398" i="4" s="1"/>
  <c r="D397" i="4"/>
  <c r="E397" i="4" s="1"/>
  <c r="D396" i="4"/>
  <c r="E396" i="4" s="1"/>
  <c r="D395" i="4"/>
  <c r="E395" i="4" s="1"/>
  <c r="D394" i="4"/>
  <c r="E394" i="4" s="1"/>
  <c r="D393" i="4"/>
  <c r="E393" i="4" s="1"/>
  <c r="D392" i="4"/>
  <c r="E392" i="4" s="1"/>
  <c r="D391" i="4"/>
  <c r="E391" i="4" s="1"/>
  <c r="D390" i="4"/>
  <c r="E390" i="4" s="1"/>
  <c r="D389" i="4"/>
  <c r="E389" i="4" s="1"/>
  <c r="D388" i="4"/>
  <c r="E388" i="4" s="1"/>
  <c r="D387" i="4"/>
  <c r="E387" i="4" s="1"/>
  <c r="D386" i="4"/>
  <c r="E386" i="4" s="1"/>
  <c r="D385" i="4"/>
  <c r="E385" i="4" s="1"/>
  <c r="D384" i="4"/>
  <c r="E384" i="4" s="1"/>
  <c r="D383" i="4"/>
  <c r="E383" i="4" s="1"/>
  <c r="D382" i="4"/>
  <c r="E382" i="4" s="1"/>
  <c r="H17" i="1" s="1"/>
  <c r="D381" i="4"/>
  <c r="E381" i="4" s="1"/>
  <c r="D380" i="4"/>
  <c r="E380" i="4" s="1"/>
  <c r="D379" i="4"/>
  <c r="E379" i="4" s="1"/>
  <c r="D378" i="4"/>
  <c r="E378" i="4" s="1"/>
  <c r="D377" i="4"/>
  <c r="E377" i="4" s="1"/>
  <c r="D376" i="4"/>
  <c r="E376" i="4" s="1"/>
  <c r="D375" i="4"/>
  <c r="E375" i="4" s="1"/>
  <c r="D374" i="4"/>
  <c r="E374" i="4" s="1"/>
  <c r="D373" i="4"/>
  <c r="E373" i="4" s="1"/>
  <c r="D372" i="4"/>
  <c r="E372" i="4" s="1"/>
  <c r="D371" i="4"/>
  <c r="E371" i="4" s="1"/>
  <c r="D370" i="4"/>
  <c r="E370" i="4" s="1"/>
  <c r="D369" i="4"/>
  <c r="E369" i="4" s="1"/>
  <c r="D368" i="4"/>
  <c r="E368" i="4" s="1"/>
  <c r="D367" i="4"/>
  <c r="E367" i="4" s="1"/>
  <c r="D366" i="4"/>
  <c r="E366" i="4" s="1"/>
  <c r="D365" i="4"/>
  <c r="E365" i="4" s="1"/>
  <c r="D364" i="4"/>
  <c r="E364" i="4" s="1"/>
  <c r="D363" i="4"/>
  <c r="E363" i="4" s="1"/>
  <c r="D362" i="4"/>
  <c r="E362" i="4" s="1"/>
  <c r="D361" i="4"/>
  <c r="E361" i="4" s="1"/>
  <c r="D360" i="4"/>
  <c r="E360" i="4" s="1"/>
  <c r="D359" i="4"/>
  <c r="E359" i="4" s="1"/>
  <c r="D358" i="4"/>
  <c r="E358" i="4" s="1"/>
  <c r="D357" i="4"/>
  <c r="E357" i="4" s="1"/>
  <c r="D356" i="4"/>
  <c r="E356" i="4" s="1"/>
  <c r="D355" i="4"/>
  <c r="E355" i="4" s="1"/>
  <c r="D354" i="4"/>
  <c r="E354" i="4" s="1"/>
  <c r="D353" i="4"/>
  <c r="E353" i="4" s="1"/>
  <c r="D352" i="4"/>
  <c r="E352" i="4" s="1"/>
  <c r="D351" i="4"/>
  <c r="E351" i="4" s="1"/>
  <c r="G17" i="1" s="1"/>
  <c r="D350" i="4"/>
  <c r="E350" i="4" s="1"/>
  <c r="D349" i="4"/>
  <c r="E349" i="4" s="1"/>
  <c r="D348" i="4"/>
  <c r="E348" i="4" s="1"/>
  <c r="D347" i="4"/>
  <c r="E347" i="4" s="1"/>
  <c r="D346" i="4"/>
  <c r="E346" i="4" s="1"/>
  <c r="D345" i="4"/>
  <c r="E345" i="4" s="1"/>
  <c r="D344" i="4"/>
  <c r="E344" i="4" s="1"/>
  <c r="D343" i="4"/>
  <c r="E343" i="4" s="1"/>
  <c r="D342" i="4"/>
  <c r="E342" i="4" s="1"/>
  <c r="D341" i="4"/>
  <c r="E341" i="4" s="1"/>
  <c r="D340" i="4"/>
  <c r="E340" i="4" s="1"/>
  <c r="D339" i="4"/>
  <c r="E339" i="4" s="1"/>
  <c r="D338" i="4"/>
  <c r="E338" i="4" s="1"/>
  <c r="D337" i="4"/>
  <c r="E337" i="4" s="1"/>
  <c r="D336" i="4"/>
  <c r="E336" i="4" s="1"/>
  <c r="D335" i="4"/>
  <c r="E335" i="4" s="1"/>
  <c r="D334" i="4"/>
  <c r="E334" i="4" s="1"/>
  <c r="D333" i="4"/>
  <c r="E333" i="4" s="1"/>
  <c r="D332" i="4"/>
  <c r="E332" i="4" s="1"/>
  <c r="D331" i="4"/>
  <c r="E331" i="4" s="1"/>
  <c r="D330" i="4"/>
  <c r="E330" i="4" s="1"/>
  <c r="D329" i="4"/>
  <c r="E329" i="4" s="1"/>
  <c r="D328" i="4"/>
  <c r="E328" i="4" s="1"/>
  <c r="D327" i="4"/>
  <c r="E327" i="4" s="1"/>
  <c r="D326" i="4"/>
  <c r="E326" i="4" s="1"/>
  <c r="D325" i="4"/>
  <c r="E325" i="4" s="1"/>
  <c r="D324" i="4"/>
  <c r="E324" i="4" s="1"/>
  <c r="D323" i="4"/>
  <c r="E323" i="4" s="1"/>
  <c r="D322" i="4"/>
  <c r="E322" i="4" s="1"/>
  <c r="D321" i="4"/>
  <c r="E321" i="4" s="1"/>
  <c r="D320" i="4"/>
  <c r="E320" i="4" s="1"/>
  <c r="D319" i="4"/>
  <c r="E319" i="4" s="1"/>
  <c r="D318" i="4"/>
  <c r="E318" i="4" s="1"/>
  <c r="D317" i="4"/>
  <c r="E317" i="4" s="1"/>
  <c r="D316" i="4"/>
  <c r="E316" i="4" s="1"/>
  <c r="D315" i="4"/>
  <c r="E315" i="4" s="1"/>
  <c r="D314" i="4"/>
  <c r="E314" i="4" s="1"/>
  <c r="D313" i="4"/>
  <c r="E313" i="4" s="1"/>
  <c r="D312" i="4"/>
  <c r="E312" i="4" s="1"/>
  <c r="D311" i="4"/>
  <c r="E311" i="4" s="1"/>
  <c r="D310" i="4"/>
  <c r="E310" i="4" s="1"/>
  <c r="D309" i="4"/>
  <c r="E309" i="4" s="1"/>
  <c r="D308" i="4"/>
  <c r="E308" i="4" s="1"/>
  <c r="D307" i="4"/>
  <c r="E307" i="4" s="1"/>
  <c r="D306" i="4"/>
  <c r="E306" i="4" s="1"/>
  <c r="D305" i="4"/>
  <c r="E305" i="4" s="1"/>
  <c r="D304" i="4"/>
  <c r="E304" i="4" s="1"/>
  <c r="D303" i="4"/>
  <c r="E303" i="4" s="1"/>
  <c r="D302" i="4"/>
  <c r="E302" i="4" s="1"/>
  <c r="D301" i="4"/>
  <c r="E301" i="4" s="1"/>
  <c r="D300" i="4"/>
  <c r="E300" i="4" s="1"/>
  <c r="D299" i="4"/>
  <c r="E299" i="4" s="1"/>
  <c r="D298" i="4"/>
  <c r="E298" i="4" s="1"/>
  <c r="D297" i="4"/>
  <c r="E297" i="4" s="1"/>
  <c r="D296" i="4"/>
  <c r="E296" i="4" s="1"/>
  <c r="D295" i="4"/>
  <c r="E295" i="4" s="1"/>
  <c r="D294" i="4"/>
  <c r="E294" i="4" s="1"/>
  <c r="D293" i="4"/>
  <c r="E293" i="4" s="1"/>
  <c r="D292" i="4"/>
  <c r="E292" i="4" s="1"/>
  <c r="D291" i="4"/>
  <c r="E291" i="4" s="1"/>
  <c r="D290" i="4"/>
  <c r="E290" i="4" s="1"/>
  <c r="D289" i="4"/>
  <c r="E289" i="4" s="1"/>
  <c r="D288" i="4"/>
  <c r="E288" i="4" s="1"/>
  <c r="D287" i="4"/>
  <c r="E287" i="4" s="1"/>
  <c r="D286" i="4"/>
  <c r="E286" i="4" s="1"/>
  <c r="D285" i="4"/>
  <c r="E285" i="4" s="1"/>
  <c r="D284" i="4"/>
  <c r="E284" i="4" s="1"/>
  <c r="D283" i="4"/>
  <c r="E283" i="4" s="1"/>
  <c r="D282" i="4"/>
  <c r="E282" i="4" s="1"/>
  <c r="D281" i="4"/>
  <c r="E281" i="4" s="1"/>
  <c r="D280" i="4"/>
  <c r="E280" i="4" s="1"/>
  <c r="D279" i="4"/>
  <c r="E279" i="4" s="1"/>
  <c r="D278" i="4"/>
  <c r="E278" i="4" s="1"/>
  <c r="D277" i="4"/>
  <c r="E277" i="4" s="1"/>
  <c r="D276" i="4"/>
  <c r="E276" i="4" s="1"/>
  <c r="D275" i="4"/>
  <c r="E275" i="4" s="1"/>
  <c r="D274" i="4"/>
  <c r="E274" i="4" s="1"/>
  <c r="D273" i="4"/>
  <c r="E273" i="4" s="1"/>
  <c r="D272" i="4"/>
  <c r="E272" i="4" s="1"/>
  <c r="D271" i="4"/>
  <c r="E271" i="4" s="1"/>
  <c r="D270" i="4"/>
  <c r="E270" i="4" s="1"/>
  <c r="D269" i="4"/>
  <c r="E269" i="4" s="1"/>
  <c r="D268" i="4"/>
  <c r="E268" i="4" s="1"/>
  <c r="D267" i="4"/>
  <c r="E267" i="4" s="1"/>
  <c r="D266" i="4"/>
  <c r="E266" i="4" s="1"/>
  <c r="D265" i="4"/>
  <c r="E265" i="4" s="1"/>
  <c r="D264" i="4"/>
  <c r="E264" i="4" s="1"/>
  <c r="D263" i="4"/>
  <c r="E263" i="4" s="1"/>
  <c r="D262" i="4"/>
  <c r="E262" i="4" s="1"/>
  <c r="D261" i="4"/>
  <c r="E261" i="4" s="1"/>
  <c r="D260" i="4"/>
  <c r="E260" i="4" s="1"/>
  <c r="D259" i="4"/>
  <c r="E259" i="4" s="1"/>
  <c r="D258" i="4"/>
  <c r="E258" i="4" s="1"/>
  <c r="D257" i="4"/>
  <c r="E257" i="4" s="1"/>
  <c r="D256" i="4"/>
  <c r="E256" i="4" s="1"/>
  <c r="D255" i="4"/>
  <c r="E255" i="4" s="1"/>
  <c r="D254" i="4"/>
  <c r="E254" i="4" s="1"/>
  <c r="D253" i="4"/>
  <c r="E253" i="4" s="1"/>
  <c r="D252" i="4"/>
  <c r="E252" i="4" s="1"/>
  <c r="D251" i="4"/>
  <c r="E251" i="4" s="1"/>
  <c r="D250" i="4"/>
  <c r="E250" i="4" s="1"/>
  <c r="D249" i="4"/>
  <c r="E249" i="4" s="1"/>
  <c r="D248" i="4"/>
  <c r="E248" i="4" s="1"/>
  <c r="D247" i="4"/>
  <c r="E247" i="4" s="1"/>
  <c r="D246" i="4"/>
  <c r="E246" i="4" s="1"/>
  <c r="D245" i="4"/>
  <c r="E245" i="4" s="1"/>
  <c r="D244" i="4"/>
  <c r="E244" i="4" s="1"/>
  <c r="D243" i="4"/>
  <c r="E243" i="4" s="1"/>
  <c r="D242" i="4"/>
  <c r="E242" i="4" s="1"/>
  <c r="D241" i="4"/>
  <c r="E241" i="4" s="1"/>
  <c r="D240" i="4"/>
  <c r="E240" i="4" s="1"/>
  <c r="D239" i="4"/>
  <c r="E239" i="4" s="1"/>
  <c r="D238" i="4"/>
  <c r="E238" i="4" s="1"/>
  <c r="E237" i="4"/>
  <c r="D237" i="4"/>
  <c r="D236" i="4"/>
  <c r="E236" i="4" s="1"/>
  <c r="D235" i="4"/>
  <c r="E235" i="4" s="1"/>
  <c r="D234" i="4"/>
  <c r="E234" i="4" s="1"/>
  <c r="D233" i="4"/>
  <c r="E233" i="4" s="1"/>
  <c r="D232" i="4"/>
  <c r="E232" i="4" s="1"/>
  <c r="D231" i="4"/>
  <c r="E231" i="4" s="1"/>
  <c r="D230" i="4"/>
  <c r="E230" i="4" s="1"/>
  <c r="E229" i="4"/>
  <c r="D229" i="4"/>
  <c r="D228" i="4"/>
  <c r="E228" i="4" s="1"/>
  <c r="D227" i="4"/>
  <c r="E227" i="4" s="1"/>
  <c r="D226" i="4"/>
  <c r="E226" i="4" s="1"/>
  <c r="D225" i="4"/>
  <c r="E225" i="4" s="1"/>
  <c r="D224" i="4"/>
  <c r="E224" i="4" s="1"/>
  <c r="D223" i="4"/>
  <c r="E223" i="4" s="1"/>
  <c r="D222" i="4"/>
  <c r="E222" i="4" s="1"/>
  <c r="E221" i="4"/>
  <c r="D221" i="4"/>
  <c r="D220" i="4"/>
  <c r="E220" i="4" s="1"/>
  <c r="D219" i="4"/>
  <c r="E219" i="4" s="1"/>
  <c r="D218" i="4"/>
  <c r="E218" i="4" s="1"/>
  <c r="D217" i="4"/>
  <c r="E217" i="4" s="1"/>
  <c r="D216" i="4"/>
  <c r="E216" i="4" s="1"/>
  <c r="D215" i="4"/>
  <c r="E215" i="4" s="1"/>
  <c r="D214" i="4"/>
  <c r="E214" i="4" s="1"/>
  <c r="D213" i="4"/>
  <c r="E213" i="4" s="1"/>
  <c r="D212" i="4"/>
  <c r="E212" i="4" s="1"/>
  <c r="D211" i="4"/>
  <c r="E211" i="4" s="1"/>
  <c r="D210" i="4"/>
  <c r="E210" i="4" s="1"/>
  <c r="D209" i="4"/>
  <c r="E209" i="4" s="1"/>
  <c r="D208" i="4"/>
  <c r="E208" i="4" s="1"/>
  <c r="D207" i="4"/>
  <c r="E207" i="4" s="1"/>
  <c r="D206" i="4"/>
  <c r="E206" i="4" s="1"/>
  <c r="E205" i="4"/>
  <c r="D205" i="4"/>
  <c r="D204" i="4"/>
  <c r="E204" i="4" s="1"/>
  <c r="D203" i="4"/>
  <c r="E203" i="4" s="1"/>
  <c r="D202" i="4"/>
  <c r="E202" i="4" s="1"/>
  <c r="D201" i="4"/>
  <c r="E201" i="4" s="1"/>
  <c r="D200" i="4"/>
  <c r="E200" i="4" s="1"/>
  <c r="D199" i="4"/>
  <c r="E199" i="4" s="1"/>
  <c r="D198" i="4"/>
  <c r="E198" i="4" s="1"/>
  <c r="D197" i="4"/>
  <c r="E197" i="4" s="1"/>
  <c r="D196" i="4"/>
  <c r="E196" i="4" s="1"/>
  <c r="D195" i="4"/>
  <c r="E195" i="4" s="1"/>
  <c r="D194" i="4"/>
  <c r="E194" i="4" s="1"/>
  <c r="D193" i="4"/>
  <c r="E193" i="4" s="1"/>
  <c r="D192" i="4"/>
  <c r="E192" i="4" s="1"/>
  <c r="D191" i="4"/>
  <c r="E191" i="4" s="1"/>
  <c r="D190" i="4"/>
  <c r="E190" i="4" s="1"/>
  <c r="D189" i="4"/>
  <c r="E189" i="4" s="1"/>
  <c r="D188" i="4"/>
  <c r="E188" i="4" s="1"/>
  <c r="D187" i="4"/>
  <c r="E187" i="4" s="1"/>
  <c r="D186" i="4"/>
  <c r="E186" i="4" s="1"/>
  <c r="D185" i="4"/>
  <c r="E185" i="4" s="1"/>
  <c r="D184" i="4"/>
  <c r="E184" i="4" s="1"/>
  <c r="D183" i="4"/>
  <c r="E183" i="4" s="1"/>
  <c r="D182" i="4"/>
  <c r="E182" i="4" s="1"/>
  <c r="D181" i="4"/>
  <c r="E181" i="4" s="1"/>
  <c r="D180" i="4"/>
  <c r="E180" i="4" s="1"/>
  <c r="D179" i="4"/>
  <c r="E179" i="4" s="1"/>
  <c r="D178" i="4"/>
  <c r="E178" i="4" s="1"/>
  <c r="D177" i="4"/>
  <c r="E177" i="4" s="1"/>
  <c r="D176" i="4"/>
  <c r="E176" i="4" s="1"/>
  <c r="D175" i="4"/>
  <c r="E175" i="4" s="1"/>
  <c r="D174" i="4"/>
  <c r="E174" i="4" s="1"/>
  <c r="D173" i="4"/>
  <c r="E173" i="4" s="1"/>
  <c r="D172" i="4"/>
  <c r="E172" i="4" s="1"/>
  <c r="D171" i="4"/>
  <c r="E171" i="4" s="1"/>
  <c r="D170" i="4"/>
  <c r="E170" i="4" s="1"/>
  <c r="D169" i="4"/>
  <c r="E169" i="4" s="1"/>
  <c r="D168" i="4"/>
  <c r="E168" i="4" s="1"/>
  <c r="D167" i="4"/>
  <c r="E167" i="4" s="1"/>
  <c r="D166" i="4"/>
  <c r="E166" i="4" s="1"/>
  <c r="D165" i="4"/>
  <c r="E165" i="4" s="1"/>
  <c r="D164" i="4"/>
  <c r="E164" i="4" s="1"/>
  <c r="D163" i="4"/>
  <c r="E163" i="4" s="1"/>
  <c r="D162" i="4"/>
  <c r="E162" i="4" s="1"/>
  <c r="D161" i="4"/>
  <c r="E161" i="4" s="1"/>
  <c r="D160" i="4"/>
  <c r="E160" i="4" s="1"/>
  <c r="D159" i="4"/>
  <c r="E159" i="4" s="1"/>
  <c r="D158" i="4"/>
  <c r="E158" i="4" s="1"/>
  <c r="D157" i="4"/>
  <c r="E157" i="4" s="1"/>
  <c r="D156" i="4"/>
  <c r="E156" i="4" s="1"/>
  <c r="D155" i="4"/>
  <c r="E155" i="4" s="1"/>
  <c r="D154" i="4"/>
  <c r="E154" i="4" s="1"/>
  <c r="D153" i="4"/>
  <c r="E153" i="4" s="1"/>
  <c r="D152" i="4"/>
  <c r="E152" i="4" s="1"/>
  <c r="D151" i="4"/>
  <c r="E151" i="4" s="1"/>
  <c r="D150" i="4"/>
  <c r="E150" i="4" s="1"/>
  <c r="D149" i="4"/>
  <c r="E149" i="4" s="1"/>
  <c r="D148" i="4"/>
  <c r="E148" i="4" s="1"/>
  <c r="D147" i="4"/>
  <c r="E147" i="4" s="1"/>
  <c r="D146" i="4"/>
  <c r="E146" i="4" s="1"/>
  <c r="D145" i="4"/>
  <c r="E145" i="4" s="1"/>
  <c r="D144" i="4"/>
  <c r="E144" i="4" s="1"/>
  <c r="D143" i="4"/>
  <c r="E143" i="4" s="1"/>
  <c r="D142" i="4"/>
  <c r="E142" i="4" s="1"/>
  <c r="D141" i="4"/>
  <c r="E141" i="4" s="1"/>
  <c r="D140" i="4"/>
  <c r="E140" i="4" s="1"/>
  <c r="D139" i="4"/>
  <c r="E139" i="4" s="1"/>
  <c r="D138" i="4"/>
  <c r="E138" i="4" s="1"/>
  <c r="D137" i="4"/>
  <c r="E137" i="4" s="1"/>
  <c r="D136" i="4"/>
  <c r="E136" i="4" s="1"/>
  <c r="D135" i="4"/>
  <c r="E135" i="4" s="1"/>
  <c r="D134" i="4"/>
  <c r="E134" i="4" s="1"/>
  <c r="D133" i="4"/>
  <c r="E133" i="4" s="1"/>
  <c r="D132" i="4"/>
  <c r="E132" i="4" s="1"/>
  <c r="D131" i="4"/>
  <c r="E131" i="4" s="1"/>
  <c r="D130" i="4"/>
  <c r="E130" i="4" s="1"/>
  <c r="D129" i="4"/>
  <c r="E129" i="4" s="1"/>
  <c r="D128" i="4"/>
  <c r="E128" i="4" s="1"/>
  <c r="D127" i="4"/>
  <c r="E127" i="4" s="1"/>
  <c r="D126" i="4"/>
  <c r="E126" i="4" s="1"/>
  <c r="D125" i="4"/>
  <c r="E125" i="4" s="1"/>
  <c r="D124" i="4"/>
  <c r="E124" i="4" s="1"/>
  <c r="D123" i="4"/>
  <c r="E123" i="4" s="1"/>
  <c r="D122" i="4"/>
  <c r="E122" i="4" s="1"/>
  <c r="D121" i="4"/>
  <c r="E121" i="4" s="1"/>
  <c r="D120" i="4"/>
  <c r="E120" i="4" s="1"/>
  <c r="D119" i="4"/>
  <c r="E119" i="4" s="1"/>
  <c r="D118" i="4"/>
  <c r="E118" i="4" s="1"/>
  <c r="D117" i="4"/>
  <c r="E117" i="4" s="1"/>
  <c r="D116" i="4"/>
  <c r="E116" i="4" s="1"/>
  <c r="D115" i="4"/>
  <c r="E115" i="4" s="1"/>
  <c r="D114" i="4"/>
  <c r="E114" i="4" s="1"/>
  <c r="D113" i="4"/>
  <c r="E113" i="4" s="1"/>
  <c r="D112" i="4"/>
  <c r="E112" i="4" s="1"/>
  <c r="D111" i="4"/>
  <c r="E111" i="4" s="1"/>
  <c r="D110" i="4"/>
  <c r="E110" i="4" s="1"/>
  <c r="E109" i="4"/>
  <c r="D109" i="4"/>
  <c r="D108" i="4"/>
  <c r="E108" i="4" s="1"/>
  <c r="D107" i="4"/>
  <c r="E107" i="4" s="1"/>
  <c r="D106" i="4"/>
  <c r="E106" i="4" s="1"/>
  <c r="D105" i="4"/>
  <c r="E105" i="4" s="1"/>
  <c r="D104" i="4"/>
  <c r="E104" i="4" s="1"/>
  <c r="D103" i="4"/>
  <c r="E103" i="4" s="1"/>
  <c r="D102" i="4"/>
  <c r="E102" i="4" s="1"/>
  <c r="E101" i="4"/>
  <c r="D101" i="4"/>
  <c r="D100" i="4"/>
  <c r="E100" i="4" s="1"/>
  <c r="D99" i="4"/>
  <c r="E99" i="4" s="1"/>
  <c r="D98" i="4"/>
  <c r="E98" i="4" s="1"/>
  <c r="D97" i="4"/>
  <c r="E97" i="4" s="1"/>
  <c r="D96" i="4"/>
  <c r="E96" i="4" s="1"/>
  <c r="D95" i="4"/>
  <c r="E95" i="4" s="1"/>
  <c r="D94" i="4"/>
  <c r="E94" i="4" s="1"/>
  <c r="E93" i="4"/>
  <c r="D93" i="4"/>
  <c r="D92" i="4"/>
  <c r="E92" i="4" s="1"/>
  <c r="D91" i="4"/>
  <c r="E91" i="4" s="1"/>
  <c r="D90" i="4"/>
  <c r="E90" i="4" s="1"/>
  <c r="D89" i="4"/>
  <c r="E89" i="4" s="1"/>
  <c r="D88" i="4"/>
  <c r="E88" i="4" s="1"/>
  <c r="D87" i="4"/>
  <c r="E87" i="4" s="1"/>
  <c r="D86" i="4"/>
  <c r="E86" i="4" s="1"/>
  <c r="D85" i="4"/>
  <c r="E85" i="4" s="1"/>
  <c r="D84" i="4"/>
  <c r="E84" i="4" s="1"/>
  <c r="D83" i="4"/>
  <c r="E83" i="4" s="1"/>
  <c r="D82" i="4"/>
  <c r="E82" i="4" s="1"/>
  <c r="D81" i="4"/>
  <c r="E81" i="4" s="1"/>
  <c r="D80" i="4"/>
  <c r="E80" i="4" s="1"/>
  <c r="D79" i="4"/>
  <c r="E79" i="4" s="1"/>
  <c r="D78" i="4"/>
  <c r="E78" i="4" s="1"/>
  <c r="E77" i="4"/>
  <c r="D77" i="4"/>
  <c r="D76" i="4"/>
  <c r="E76" i="4" s="1"/>
  <c r="D75" i="4"/>
  <c r="E75" i="4" s="1"/>
  <c r="D74" i="4"/>
  <c r="E74" i="4" s="1"/>
  <c r="D73" i="4"/>
  <c r="E73" i="4" s="1"/>
  <c r="D72" i="4"/>
  <c r="E72" i="4" s="1"/>
  <c r="D71" i="4"/>
  <c r="E71" i="4" s="1"/>
  <c r="D70" i="4"/>
  <c r="E70" i="4" s="1"/>
  <c r="D69" i="4"/>
  <c r="E69" i="4" s="1"/>
  <c r="D68" i="4"/>
  <c r="E68" i="4" s="1"/>
  <c r="D67" i="4"/>
  <c r="E67" i="4" s="1"/>
  <c r="D66" i="4"/>
  <c r="E66" i="4" s="1"/>
  <c r="D65" i="4"/>
  <c r="E65" i="4" s="1"/>
  <c r="D64" i="4"/>
  <c r="E64" i="4" s="1"/>
  <c r="D63" i="4"/>
  <c r="E63" i="4" s="1"/>
  <c r="D62" i="4"/>
  <c r="E62" i="4" s="1"/>
  <c r="D61" i="4"/>
  <c r="E61" i="4" s="1"/>
  <c r="D60" i="4"/>
  <c r="E60" i="4" s="1"/>
  <c r="D59" i="4"/>
  <c r="E59" i="4" s="1"/>
  <c r="D58" i="4"/>
  <c r="E58" i="4" s="1"/>
  <c r="D57" i="4"/>
  <c r="E57" i="4" s="1"/>
  <c r="D56" i="4"/>
  <c r="E56" i="4" s="1"/>
  <c r="D55" i="4"/>
  <c r="E55" i="4" s="1"/>
  <c r="D54" i="4"/>
  <c r="E54" i="4" s="1"/>
  <c r="D53" i="4"/>
  <c r="E53" i="4" s="1"/>
  <c r="D52" i="4"/>
  <c r="E52" i="4" s="1"/>
  <c r="D51" i="4"/>
  <c r="E51" i="4" s="1"/>
  <c r="D50" i="4"/>
  <c r="E50" i="4" s="1"/>
  <c r="D49" i="4"/>
  <c r="E49" i="4" s="1"/>
  <c r="D48" i="4"/>
  <c r="E48" i="4" s="1"/>
  <c r="D47" i="4"/>
  <c r="E47" i="4" s="1"/>
  <c r="D46" i="4"/>
  <c r="E46" i="4" s="1"/>
  <c r="D45" i="4"/>
  <c r="E45" i="4" s="1"/>
  <c r="D44" i="4"/>
  <c r="E44" i="4" s="1"/>
  <c r="D43" i="4"/>
  <c r="E43" i="4" s="1"/>
  <c r="D42" i="4"/>
  <c r="E42" i="4" s="1"/>
  <c r="D41" i="4"/>
  <c r="E41" i="4" s="1"/>
  <c r="D40" i="4"/>
  <c r="E40" i="4" s="1"/>
  <c r="D39" i="4"/>
  <c r="E39" i="4" s="1"/>
  <c r="D38" i="4"/>
  <c r="E38" i="4" s="1"/>
  <c r="D37" i="4"/>
  <c r="E37" i="4" s="1"/>
  <c r="D36" i="4"/>
  <c r="E36" i="4" s="1"/>
  <c r="D35" i="4"/>
  <c r="E35" i="4" s="1"/>
  <c r="D34" i="4"/>
  <c r="E34" i="4" s="1"/>
  <c r="D33" i="4"/>
  <c r="E33" i="4" s="1"/>
  <c r="D32" i="4"/>
  <c r="E32" i="4" s="1"/>
  <c r="D31" i="4"/>
  <c r="E31" i="4" s="1"/>
  <c r="D30" i="4"/>
  <c r="E30" i="4" s="1"/>
  <c r="D29" i="4"/>
  <c r="E29" i="4" s="1"/>
  <c r="D28" i="4"/>
  <c r="E28" i="4" s="1"/>
  <c r="D27" i="4"/>
  <c r="E27" i="4" s="1"/>
  <c r="D26" i="4"/>
  <c r="E26" i="4" s="1"/>
  <c r="D25" i="4"/>
  <c r="E25" i="4" s="1"/>
  <c r="D24" i="4"/>
  <c r="E24" i="4" s="1"/>
  <c r="D23" i="4"/>
  <c r="E23" i="4" s="1"/>
  <c r="D22" i="4"/>
  <c r="E22" i="4" s="1"/>
  <c r="D21" i="4"/>
  <c r="E21" i="4" s="1"/>
  <c r="D20" i="4"/>
  <c r="E20" i="4" s="1"/>
  <c r="D19" i="4"/>
  <c r="E19" i="4" s="1"/>
  <c r="D18" i="4"/>
  <c r="E18" i="4" s="1"/>
  <c r="D17" i="4"/>
  <c r="E17" i="4" s="1"/>
  <c r="D16" i="4"/>
  <c r="E16" i="4" s="1"/>
  <c r="D15" i="4"/>
  <c r="E15" i="4" s="1"/>
  <c r="D14" i="4"/>
  <c r="E14" i="4" s="1"/>
  <c r="D13" i="4"/>
  <c r="E13" i="4" s="1"/>
  <c r="D12" i="4"/>
  <c r="E12" i="4" s="1"/>
  <c r="D11" i="4"/>
  <c r="E11" i="4" s="1"/>
  <c r="D10" i="4"/>
  <c r="E10" i="4" s="1"/>
  <c r="D9" i="4"/>
  <c r="E9" i="4" s="1"/>
  <c r="D8" i="4"/>
  <c r="E8" i="4" s="1"/>
  <c r="D7" i="4"/>
  <c r="E7" i="4" s="1"/>
  <c r="D6" i="4"/>
  <c r="E6" i="4" s="1"/>
  <c r="D5" i="4"/>
  <c r="E5" i="4" s="1"/>
  <c r="E17" i="1" s="1"/>
  <c r="D4" i="4"/>
  <c r="E4" i="4" s="1"/>
  <c r="S317" i="3"/>
  <c r="R317" i="3"/>
  <c r="Q317" i="3"/>
  <c r="N317" i="3"/>
  <c r="O317" i="3" s="1"/>
  <c r="I317" i="3"/>
  <c r="G317" i="3"/>
  <c r="S316" i="3"/>
  <c r="R316" i="3"/>
  <c r="Q316" i="3"/>
  <c r="O316" i="3"/>
  <c r="N316" i="3"/>
  <c r="I316" i="3"/>
  <c r="G316" i="3"/>
  <c r="S315" i="3"/>
  <c r="R315" i="3"/>
  <c r="Q315" i="3"/>
  <c r="O315" i="3"/>
  <c r="N315" i="3"/>
  <c r="I315" i="3"/>
  <c r="G315" i="3"/>
  <c r="J315" i="3" s="1"/>
  <c r="L315" i="3" s="1"/>
  <c r="S314" i="3"/>
  <c r="R314" i="3"/>
  <c r="Q314" i="3"/>
  <c r="N314" i="3"/>
  <c r="O314" i="3" s="1"/>
  <c r="I314" i="3"/>
  <c r="G314" i="3"/>
  <c r="J314" i="3" s="1"/>
  <c r="L314" i="3" s="1"/>
  <c r="S313" i="3"/>
  <c r="R313" i="3"/>
  <c r="Q313" i="3"/>
  <c r="N313" i="3"/>
  <c r="O313" i="3" s="1"/>
  <c r="I313" i="3"/>
  <c r="G313" i="3"/>
  <c r="S312" i="3"/>
  <c r="R312" i="3"/>
  <c r="Q312" i="3"/>
  <c r="N312" i="3"/>
  <c r="O312" i="3" s="1"/>
  <c r="I312" i="3"/>
  <c r="G312" i="3"/>
  <c r="J312" i="3" s="1"/>
  <c r="L312" i="3" s="1"/>
  <c r="S311" i="3"/>
  <c r="R311" i="3"/>
  <c r="Q311" i="3"/>
  <c r="O311" i="3"/>
  <c r="N311" i="3"/>
  <c r="I311" i="3"/>
  <c r="G311" i="3"/>
  <c r="J311" i="3" s="1"/>
  <c r="L311" i="3" s="1"/>
  <c r="S310" i="3"/>
  <c r="R310" i="3"/>
  <c r="Q310" i="3"/>
  <c r="N310" i="3"/>
  <c r="O310" i="3" s="1"/>
  <c r="I310" i="3"/>
  <c r="G310" i="3"/>
  <c r="J310" i="3" s="1"/>
  <c r="L310" i="3" s="1"/>
  <c r="S309" i="3"/>
  <c r="R309" i="3"/>
  <c r="Q309" i="3"/>
  <c r="N309" i="3"/>
  <c r="O309" i="3" s="1"/>
  <c r="I309" i="3"/>
  <c r="G309" i="3"/>
  <c r="J309" i="3" s="1"/>
  <c r="L309" i="3" s="1"/>
  <c r="S308" i="3"/>
  <c r="R308" i="3"/>
  <c r="Q308" i="3"/>
  <c r="N308" i="3"/>
  <c r="O308" i="3" s="1"/>
  <c r="I308" i="3"/>
  <c r="G308" i="3"/>
  <c r="S307" i="3"/>
  <c r="R307" i="3"/>
  <c r="Q307" i="3"/>
  <c r="O307" i="3"/>
  <c r="N307" i="3"/>
  <c r="I307" i="3"/>
  <c r="J307" i="3" s="1"/>
  <c r="L307" i="3" s="1"/>
  <c r="G307" i="3"/>
  <c r="S306" i="3"/>
  <c r="R306" i="3"/>
  <c r="Q306" i="3"/>
  <c r="N306" i="3"/>
  <c r="O306" i="3" s="1"/>
  <c r="I306" i="3"/>
  <c r="G306" i="3"/>
  <c r="J306" i="3" s="1"/>
  <c r="L306" i="3" s="1"/>
  <c r="S305" i="3"/>
  <c r="R305" i="3"/>
  <c r="Q305" i="3"/>
  <c r="N305" i="3"/>
  <c r="O305" i="3" s="1"/>
  <c r="I305" i="3"/>
  <c r="G305" i="3"/>
  <c r="J305" i="3" s="1"/>
  <c r="L305" i="3" s="1"/>
  <c r="S304" i="3"/>
  <c r="R304" i="3"/>
  <c r="Q304" i="3"/>
  <c r="N304" i="3"/>
  <c r="O304" i="3" s="1"/>
  <c r="I304" i="3"/>
  <c r="G304" i="3"/>
  <c r="J304" i="3" s="1"/>
  <c r="L304" i="3" s="1"/>
  <c r="S303" i="3"/>
  <c r="R303" i="3"/>
  <c r="Q303" i="3"/>
  <c r="O303" i="3"/>
  <c r="N303" i="3"/>
  <c r="I303" i="3"/>
  <c r="G303" i="3"/>
  <c r="S302" i="3"/>
  <c r="R302" i="3"/>
  <c r="Q302" i="3"/>
  <c r="N302" i="3"/>
  <c r="O302" i="3" s="1"/>
  <c r="I302" i="3"/>
  <c r="G302" i="3"/>
  <c r="J302" i="3" s="1"/>
  <c r="L302" i="3" s="1"/>
  <c r="S301" i="3"/>
  <c r="R301" i="3"/>
  <c r="Q301" i="3"/>
  <c r="N301" i="3"/>
  <c r="O301" i="3" s="1"/>
  <c r="I301" i="3"/>
  <c r="G301" i="3"/>
  <c r="S300" i="3"/>
  <c r="R300" i="3"/>
  <c r="Q300" i="3"/>
  <c r="N300" i="3"/>
  <c r="O300" i="3" s="1"/>
  <c r="I300" i="3"/>
  <c r="G300" i="3"/>
  <c r="J300" i="3" s="1"/>
  <c r="L300" i="3" s="1"/>
  <c r="S299" i="3"/>
  <c r="R299" i="3"/>
  <c r="Q299" i="3"/>
  <c r="O299" i="3"/>
  <c r="N299" i="3"/>
  <c r="I299" i="3"/>
  <c r="G299" i="3"/>
  <c r="J299" i="3" s="1"/>
  <c r="L299" i="3" s="1"/>
  <c r="S298" i="3"/>
  <c r="R298" i="3"/>
  <c r="Q298" i="3"/>
  <c r="N298" i="3"/>
  <c r="O298" i="3" s="1"/>
  <c r="I298" i="3"/>
  <c r="G298" i="3"/>
  <c r="J298" i="3" s="1"/>
  <c r="L298" i="3" s="1"/>
  <c r="S297" i="3"/>
  <c r="R297" i="3"/>
  <c r="Q297" i="3"/>
  <c r="O297" i="3"/>
  <c r="N297" i="3"/>
  <c r="I297" i="3"/>
  <c r="G297" i="3"/>
  <c r="S296" i="3"/>
  <c r="R296" i="3"/>
  <c r="Q296" i="3"/>
  <c r="N296" i="3"/>
  <c r="O296" i="3" s="1"/>
  <c r="I296" i="3"/>
  <c r="G296" i="3"/>
  <c r="S295" i="3"/>
  <c r="R295" i="3"/>
  <c r="Q295" i="3"/>
  <c r="N295" i="3"/>
  <c r="O295" i="3" s="1"/>
  <c r="I295" i="3"/>
  <c r="G295" i="3"/>
  <c r="J295" i="3" s="1"/>
  <c r="L295" i="3" s="1"/>
  <c r="S294" i="3"/>
  <c r="R294" i="3"/>
  <c r="Q294" i="3"/>
  <c r="N294" i="3"/>
  <c r="O294" i="3" s="1"/>
  <c r="I294" i="3"/>
  <c r="J294" i="3" s="1"/>
  <c r="L294" i="3" s="1"/>
  <c r="G294" i="3"/>
  <c r="S293" i="3"/>
  <c r="R293" i="3"/>
  <c r="Q293" i="3"/>
  <c r="N293" i="3"/>
  <c r="O293" i="3" s="1"/>
  <c r="I293" i="3"/>
  <c r="G293" i="3"/>
  <c r="J293" i="3" s="1"/>
  <c r="L293" i="3" s="1"/>
  <c r="S292" i="3"/>
  <c r="R292" i="3"/>
  <c r="Q292" i="3"/>
  <c r="N292" i="3"/>
  <c r="O292" i="3" s="1"/>
  <c r="I292" i="3"/>
  <c r="G292" i="3"/>
  <c r="S291" i="3"/>
  <c r="R291" i="3"/>
  <c r="Q291" i="3"/>
  <c r="O291" i="3"/>
  <c r="N291" i="3"/>
  <c r="I291" i="3"/>
  <c r="G291" i="3"/>
  <c r="S290" i="3"/>
  <c r="R290" i="3"/>
  <c r="Q290" i="3"/>
  <c r="N290" i="3"/>
  <c r="O290" i="3" s="1"/>
  <c r="I290" i="3"/>
  <c r="G290" i="3"/>
  <c r="S289" i="3"/>
  <c r="R289" i="3"/>
  <c r="Q289" i="3"/>
  <c r="O289" i="3"/>
  <c r="N289" i="3"/>
  <c r="I289" i="3"/>
  <c r="G289" i="3"/>
  <c r="S288" i="3"/>
  <c r="R288" i="3"/>
  <c r="Q288" i="3"/>
  <c r="N288" i="3"/>
  <c r="O288" i="3" s="1"/>
  <c r="I288" i="3"/>
  <c r="G288" i="3"/>
  <c r="J288" i="3" s="1"/>
  <c r="L288" i="3" s="1"/>
  <c r="S287" i="3"/>
  <c r="R287" i="3"/>
  <c r="Q287" i="3"/>
  <c r="N287" i="3"/>
  <c r="O287" i="3" s="1"/>
  <c r="I287" i="3"/>
  <c r="G287" i="3"/>
  <c r="S286" i="3"/>
  <c r="R286" i="3"/>
  <c r="Q286" i="3"/>
  <c r="N286" i="3"/>
  <c r="O286" i="3" s="1"/>
  <c r="I286" i="3"/>
  <c r="G286" i="3"/>
  <c r="J286" i="3" s="1"/>
  <c r="L286" i="3" s="1"/>
  <c r="S285" i="3"/>
  <c r="R285" i="3"/>
  <c r="Q285" i="3"/>
  <c r="O285" i="3"/>
  <c r="N285" i="3"/>
  <c r="I285" i="3"/>
  <c r="G285" i="3"/>
  <c r="S284" i="3"/>
  <c r="R284" i="3"/>
  <c r="Q284" i="3"/>
  <c r="J33" i="1" s="1"/>
  <c r="O284" i="3"/>
  <c r="N284" i="3"/>
  <c r="I284" i="3"/>
  <c r="G284" i="3"/>
  <c r="S283" i="3"/>
  <c r="R283" i="3"/>
  <c r="Q283" i="3"/>
  <c r="N283" i="3"/>
  <c r="O283" i="3" s="1"/>
  <c r="I283" i="3"/>
  <c r="G283" i="3"/>
  <c r="S282" i="3"/>
  <c r="R282" i="3"/>
  <c r="Q282" i="3"/>
  <c r="N282" i="3"/>
  <c r="O282" i="3" s="1"/>
  <c r="J282" i="3"/>
  <c r="L282" i="3" s="1"/>
  <c r="I282" i="3"/>
  <c r="G282" i="3"/>
  <c r="S281" i="3"/>
  <c r="R281" i="3"/>
  <c r="Q281" i="3"/>
  <c r="N281" i="3"/>
  <c r="O281" i="3" s="1"/>
  <c r="I281" i="3"/>
  <c r="G281" i="3"/>
  <c r="J281" i="3" s="1"/>
  <c r="L281" i="3" s="1"/>
  <c r="S280" i="3"/>
  <c r="R280" i="3"/>
  <c r="Q280" i="3"/>
  <c r="N280" i="3"/>
  <c r="O280" i="3" s="1"/>
  <c r="I280" i="3"/>
  <c r="G280" i="3"/>
  <c r="J280" i="3" s="1"/>
  <c r="L280" i="3" s="1"/>
  <c r="S279" i="3"/>
  <c r="J35" i="1" s="1"/>
  <c r="R279" i="3"/>
  <c r="Q279" i="3"/>
  <c r="O279" i="3"/>
  <c r="N279" i="3"/>
  <c r="I279" i="3"/>
  <c r="G279" i="3"/>
  <c r="J279" i="3" s="1"/>
  <c r="L279" i="3" s="1"/>
  <c r="S278" i="3"/>
  <c r="R278" i="3"/>
  <c r="Q278" i="3"/>
  <c r="N278" i="3"/>
  <c r="O278" i="3" s="1"/>
  <c r="I278" i="3"/>
  <c r="G278" i="3"/>
  <c r="J278" i="3" s="1"/>
  <c r="L278" i="3" s="1"/>
  <c r="S277" i="3"/>
  <c r="R277" i="3"/>
  <c r="Q277" i="3"/>
  <c r="N277" i="3"/>
  <c r="O277" i="3" s="1"/>
  <c r="I277" i="3"/>
  <c r="G277" i="3"/>
  <c r="S276" i="3"/>
  <c r="R276" i="3"/>
  <c r="Q276" i="3"/>
  <c r="N276" i="3"/>
  <c r="O276" i="3" s="1"/>
  <c r="I276" i="3"/>
  <c r="G276" i="3"/>
  <c r="S275" i="3"/>
  <c r="R275" i="3"/>
  <c r="Q275" i="3"/>
  <c r="N275" i="3"/>
  <c r="O275" i="3" s="1"/>
  <c r="I275" i="3"/>
  <c r="G275" i="3"/>
  <c r="S274" i="3"/>
  <c r="R274" i="3"/>
  <c r="Q274" i="3"/>
  <c r="N274" i="3"/>
  <c r="O274" i="3" s="1"/>
  <c r="I274" i="3"/>
  <c r="G274" i="3"/>
  <c r="J274" i="3" s="1"/>
  <c r="L274" i="3" s="1"/>
  <c r="S273" i="3"/>
  <c r="R273" i="3"/>
  <c r="Q273" i="3"/>
  <c r="N273" i="3"/>
  <c r="O273" i="3" s="1"/>
  <c r="I273" i="3"/>
  <c r="G273" i="3"/>
  <c r="J273" i="3" s="1"/>
  <c r="L273" i="3" s="1"/>
  <c r="S272" i="3"/>
  <c r="R272" i="3"/>
  <c r="Q272" i="3"/>
  <c r="N272" i="3"/>
  <c r="O272" i="3" s="1"/>
  <c r="I272" i="3"/>
  <c r="G272" i="3"/>
  <c r="J272" i="3" s="1"/>
  <c r="L272" i="3" s="1"/>
  <c r="S271" i="3"/>
  <c r="R271" i="3"/>
  <c r="Q271" i="3"/>
  <c r="O271" i="3"/>
  <c r="N271" i="3"/>
  <c r="I271" i="3"/>
  <c r="G271" i="3"/>
  <c r="S270" i="3"/>
  <c r="R270" i="3"/>
  <c r="Q270" i="3"/>
  <c r="N270" i="3"/>
  <c r="O270" i="3" s="1"/>
  <c r="I270" i="3"/>
  <c r="G270" i="3"/>
  <c r="J270" i="3" s="1"/>
  <c r="L270" i="3" s="1"/>
  <c r="S269" i="3"/>
  <c r="R269" i="3"/>
  <c r="Q269" i="3"/>
  <c r="N269" i="3"/>
  <c r="O269" i="3" s="1"/>
  <c r="I269" i="3"/>
  <c r="J269" i="3" s="1"/>
  <c r="L269" i="3" s="1"/>
  <c r="G269" i="3"/>
  <c r="S268" i="3"/>
  <c r="R268" i="3"/>
  <c r="Q268" i="3"/>
  <c r="N268" i="3"/>
  <c r="O268" i="3" s="1"/>
  <c r="I268" i="3"/>
  <c r="G268" i="3"/>
  <c r="S267" i="3"/>
  <c r="R267" i="3"/>
  <c r="Q267" i="3"/>
  <c r="O267" i="3"/>
  <c r="N267" i="3"/>
  <c r="I267" i="3"/>
  <c r="G267" i="3"/>
  <c r="S266" i="3"/>
  <c r="R266" i="3"/>
  <c r="Q266" i="3"/>
  <c r="N266" i="3"/>
  <c r="O266" i="3" s="1"/>
  <c r="I266" i="3"/>
  <c r="G266" i="3"/>
  <c r="J266" i="3" s="1"/>
  <c r="L266" i="3" s="1"/>
  <c r="S265" i="3"/>
  <c r="R265" i="3"/>
  <c r="Q265" i="3"/>
  <c r="O265" i="3"/>
  <c r="N265" i="3"/>
  <c r="I265" i="3"/>
  <c r="G265" i="3"/>
  <c r="J265" i="3" s="1"/>
  <c r="L265" i="3" s="1"/>
  <c r="S264" i="3"/>
  <c r="R264" i="3"/>
  <c r="Q264" i="3"/>
  <c r="N264" i="3"/>
  <c r="O264" i="3" s="1"/>
  <c r="I264" i="3"/>
  <c r="G264" i="3"/>
  <c r="J264" i="3" s="1"/>
  <c r="L264" i="3" s="1"/>
  <c r="S263" i="3"/>
  <c r="R263" i="3"/>
  <c r="Q263" i="3"/>
  <c r="O263" i="3"/>
  <c r="N263" i="3"/>
  <c r="I263" i="3"/>
  <c r="G263" i="3"/>
  <c r="J263" i="3" s="1"/>
  <c r="L263" i="3" s="1"/>
  <c r="S262" i="3"/>
  <c r="R262" i="3"/>
  <c r="Q262" i="3"/>
  <c r="N262" i="3"/>
  <c r="O262" i="3" s="1"/>
  <c r="I262" i="3"/>
  <c r="G262" i="3"/>
  <c r="J262" i="3" s="1"/>
  <c r="L262" i="3" s="1"/>
  <c r="S261" i="3"/>
  <c r="R261" i="3"/>
  <c r="Q261" i="3"/>
  <c r="O261" i="3"/>
  <c r="N261" i="3"/>
  <c r="I261" i="3"/>
  <c r="G261" i="3"/>
  <c r="S260" i="3"/>
  <c r="R260" i="3"/>
  <c r="Q260" i="3"/>
  <c r="N260" i="3"/>
  <c r="O260" i="3" s="1"/>
  <c r="I260" i="3"/>
  <c r="G260" i="3"/>
  <c r="S259" i="3"/>
  <c r="R259" i="3"/>
  <c r="Q259" i="3"/>
  <c r="N259" i="3"/>
  <c r="O259" i="3" s="1"/>
  <c r="I259" i="3"/>
  <c r="G259" i="3"/>
  <c r="J259" i="3" s="1"/>
  <c r="L259" i="3" s="1"/>
  <c r="S258" i="3"/>
  <c r="R258" i="3"/>
  <c r="Q258" i="3"/>
  <c r="N258" i="3"/>
  <c r="O258" i="3" s="1"/>
  <c r="I258" i="3"/>
  <c r="G258" i="3"/>
  <c r="S257" i="3"/>
  <c r="R257" i="3"/>
  <c r="Q257" i="3"/>
  <c r="N257" i="3"/>
  <c r="O257" i="3" s="1"/>
  <c r="I257" i="3"/>
  <c r="G257" i="3"/>
  <c r="S256" i="3"/>
  <c r="R256" i="3"/>
  <c r="Q256" i="3"/>
  <c r="N256" i="3"/>
  <c r="O256" i="3" s="1"/>
  <c r="I256" i="3"/>
  <c r="J256" i="3" s="1"/>
  <c r="L256" i="3" s="1"/>
  <c r="G256" i="3"/>
  <c r="S255" i="3"/>
  <c r="R255" i="3"/>
  <c r="Q255" i="3"/>
  <c r="N255" i="3"/>
  <c r="O255" i="3" s="1"/>
  <c r="I255" i="3"/>
  <c r="G255" i="3"/>
  <c r="S254" i="3"/>
  <c r="R254" i="3"/>
  <c r="Q254" i="3"/>
  <c r="N254" i="3"/>
  <c r="O254" i="3" s="1"/>
  <c r="I254" i="3"/>
  <c r="G254" i="3"/>
  <c r="S253" i="3"/>
  <c r="R253" i="3"/>
  <c r="Q253" i="3"/>
  <c r="O253" i="3"/>
  <c r="N253" i="3"/>
  <c r="I253" i="3"/>
  <c r="G253" i="3"/>
  <c r="S252" i="3"/>
  <c r="R252" i="3"/>
  <c r="Q252" i="3"/>
  <c r="O252" i="3"/>
  <c r="N252" i="3"/>
  <c r="I252" i="3"/>
  <c r="G252" i="3"/>
  <c r="J252" i="3" s="1"/>
  <c r="L252" i="3" s="1"/>
  <c r="S251" i="3"/>
  <c r="R251" i="3"/>
  <c r="Q251" i="3"/>
  <c r="O251" i="3"/>
  <c r="N251" i="3"/>
  <c r="I251" i="3"/>
  <c r="G251" i="3"/>
  <c r="S250" i="3"/>
  <c r="R250" i="3"/>
  <c r="Q250" i="3"/>
  <c r="N250" i="3"/>
  <c r="O250" i="3" s="1"/>
  <c r="I250" i="3"/>
  <c r="G250" i="3"/>
  <c r="J250" i="3" s="1"/>
  <c r="L250" i="3" s="1"/>
  <c r="S249" i="3"/>
  <c r="R249" i="3"/>
  <c r="Q249" i="3"/>
  <c r="O249" i="3"/>
  <c r="N249" i="3"/>
  <c r="I249" i="3"/>
  <c r="G249" i="3"/>
  <c r="S248" i="3"/>
  <c r="R248" i="3"/>
  <c r="Q248" i="3"/>
  <c r="N248" i="3"/>
  <c r="O248" i="3" s="1"/>
  <c r="I248" i="3"/>
  <c r="G248" i="3"/>
  <c r="S247" i="3"/>
  <c r="R247" i="3"/>
  <c r="Q247" i="3"/>
  <c r="N247" i="3"/>
  <c r="O247" i="3" s="1"/>
  <c r="I247" i="3"/>
  <c r="J247" i="3" s="1"/>
  <c r="L247" i="3" s="1"/>
  <c r="G247" i="3"/>
  <c r="S246" i="3"/>
  <c r="R246" i="3"/>
  <c r="Q246" i="3"/>
  <c r="N246" i="3"/>
  <c r="O246" i="3" s="1"/>
  <c r="I246" i="3"/>
  <c r="G246" i="3"/>
  <c r="J246" i="3" s="1"/>
  <c r="L246" i="3" s="1"/>
  <c r="S245" i="3"/>
  <c r="R245" i="3"/>
  <c r="Q245" i="3"/>
  <c r="N245" i="3"/>
  <c r="O245" i="3" s="1"/>
  <c r="I245" i="3"/>
  <c r="G245" i="3"/>
  <c r="S244" i="3"/>
  <c r="R244" i="3"/>
  <c r="Q244" i="3"/>
  <c r="N244" i="3"/>
  <c r="O244" i="3" s="1"/>
  <c r="I244" i="3"/>
  <c r="G244" i="3"/>
  <c r="S243" i="3"/>
  <c r="R243" i="3"/>
  <c r="Q243" i="3"/>
  <c r="N243" i="3"/>
  <c r="O243" i="3" s="1"/>
  <c r="I243" i="3"/>
  <c r="G243" i="3"/>
  <c r="S242" i="3"/>
  <c r="R242" i="3"/>
  <c r="Q242" i="3"/>
  <c r="N242" i="3"/>
  <c r="O242" i="3" s="1"/>
  <c r="I242" i="3"/>
  <c r="G242" i="3"/>
  <c r="J242" i="3" s="1"/>
  <c r="L242" i="3" s="1"/>
  <c r="S241" i="3"/>
  <c r="R241" i="3"/>
  <c r="Q241" i="3"/>
  <c r="N241" i="3"/>
  <c r="O241" i="3" s="1"/>
  <c r="I241" i="3"/>
  <c r="G241" i="3"/>
  <c r="J241" i="3" s="1"/>
  <c r="L241" i="3" s="1"/>
  <c r="S240" i="3"/>
  <c r="R240" i="3"/>
  <c r="Q240" i="3"/>
  <c r="N240" i="3"/>
  <c r="O240" i="3" s="1"/>
  <c r="I240" i="3"/>
  <c r="J240" i="3" s="1"/>
  <c r="L240" i="3" s="1"/>
  <c r="G240" i="3"/>
  <c r="S239" i="3"/>
  <c r="R239" i="3"/>
  <c r="Q239" i="3"/>
  <c r="N239" i="3"/>
  <c r="O239" i="3" s="1"/>
  <c r="I239" i="3"/>
  <c r="G239" i="3"/>
  <c r="S238" i="3"/>
  <c r="R238" i="3"/>
  <c r="Q238" i="3"/>
  <c r="N238" i="3"/>
  <c r="O238" i="3" s="1"/>
  <c r="I238" i="3"/>
  <c r="G238" i="3"/>
  <c r="S237" i="3"/>
  <c r="R237" i="3"/>
  <c r="Q237" i="3"/>
  <c r="O237" i="3"/>
  <c r="N237" i="3"/>
  <c r="I237" i="3"/>
  <c r="J237" i="3" s="1"/>
  <c r="L237" i="3" s="1"/>
  <c r="G237" i="3"/>
  <c r="S236" i="3"/>
  <c r="R236" i="3"/>
  <c r="Q236" i="3"/>
  <c r="N236" i="3"/>
  <c r="O236" i="3" s="1"/>
  <c r="I236" i="3"/>
  <c r="G236" i="3"/>
  <c r="J236" i="3" s="1"/>
  <c r="L236" i="3" s="1"/>
  <c r="S235" i="3"/>
  <c r="R235" i="3"/>
  <c r="Q235" i="3"/>
  <c r="N235" i="3"/>
  <c r="O235" i="3" s="1"/>
  <c r="I235" i="3"/>
  <c r="G235" i="3"/>
  <c r="S234" i="3"/>
  <c r="R234" i="3"/>
  <c r="Q234" i="3"/>
  <c r="N234" i="3"/>
  <c r="O234" i="3" s="1"/>
  <c r="I234" i="3"/>
  <c r="G234" i="3"/>
  <c r="J234" i="3" s="1"/>
  <c r="L234" i="3" s="1"/>
  <c r="S233" i="3"/>
  <c r="R233" i="3"/>
  <c r="Q233" i="3"/>
  <c r="O233" i="3"/>
  <c r="N233" i="3"/>
  <c r="I233" i="3"/>
  <c r="G233" i="3"/>
  <c r="J233" i="3" s="1"/>
  <c r="L233" i="3" s="1"/>
  <c r="S232" i="3"/>
  <c r="R232" i="3"/>
  <c r="Q232" i="3"/>
  <c r="N232" i="3"/>
  <c r="O232" i="3" s="1"/>
  <c r="I232" i="3"/>
  <c r="G232" i="3"/>
  <c r="J232" i="3" s="1"/>
  <c r="L232" i="3" s="1"/>
  <c r="S231" i="3"/>
  <c r="R231" i="3"/>
  <c r="Q231" i="3"/>
  <c r="O231" i="3"/>
  <c r="N231" i="3"/>
  <c r="J231" i="3"/>
  <c r="L231" i="3" s="1"/>
  <c r="I231" i="3"/>
  <c r="G231" i="3"/>
  <c r="S230" i="3"/>
  <c r="R230" i="3"/>
  <c r="Q230" i="3"/>
  <c r="N230" i="3"/>
  <c r="O230" i="3" s="1"/>
  <c r="I230" i="3"/>
  <c r="G230" i="3"/>
  <c r="S229" i="3"/>
  <c r="R229" i="3"/>
  <c r="Q229" i="3"/>
  <c r="N229" i="3"/>
  <c r="O229" i="3" s="1"/>
  <c r="I229" i="3"/>
  <c r="G229" i="3"/>
  <c r="S228" i="3"/>
  <c r="R228" i="3"/>
  <c r="Q228" i="3"/>
  <c r="N228" i="3"/>
  <c r="O228" i="3" s="1"/>
  <c r="I228" i="3"/>
  <c r="J228" i="3" s="1"/>
  <c r="L228" i="3" s="1"/>
  <c r="G228" i="3"/>
  <c r="S227" i="3"/>
  <c r="R227" i="3"/>
  <c r="Q227" i="3"/>
  <c r="O227" i="3"/>
  <c r="N227" i="3"/>
  <c r="I227" i="3"/>
  <c r="G227" i="3"/>
  <c r="S226" i="3"/>
  <c r="R226" i="3"/>
  <c r="Q226" i="3"/>
  <c r="N226" i="3"/>
  <c r="O226" i="3" s="1"/>
  <c r="I226" i="3"/>
  <c r="G226" i="3"/>
  <c r="J226" i="3" s="1"/>
  <c r="L226" i="3" s="1"/>
  <c r="S225" i="3"/>
  <c r="I35" i="1" s="1"/>
  <c r="R225" i="3"/>
  <c r="Q225" i="3"/>
  <c r="O225" i="3"/>
  <c r="N225" i="3"/>
  <c r="I225" i="3"/>
  <c r="G225" i="3"/>
  <c r="S224" i="3"/>
  <c r="R224" i="3"/>
  <c r="Q224" i="3"/>
  <c r="N224" i="3"/>
  <c r="O224" i="3" s="1"/>
  <c r="I224" i="3"/>
  <c r="J224" i="3" s="1"/>
  <c r="L224" i="3" s="1"/>
  <c r="G224" i="3"/>
  <c r="S223" i="3"/>
  <c r="R223" i="3"/>
  <c r="Q223" i="3"/>
  <c r="O223" i="3"/>
  <c r="N223" i="3"/>
  <c r="I223" i="3"/>
  <c r="J223" i="3" s="1"/>
  <c r="L223" i="3" s="1"/>
  <c r="G223" i="3"/>
  <c r="S222" i="3"/>
  <c r="R222" i="3"/>
  <c r="Q222" i="3"/>
  <c r="N222" i="3"/>
  <c r="O222" i="3" s="1"/>
  <c r="I222" i="3"/>
  <c r="G222" i="3"/>
  <c r="J222" i="3" s="1"/>
  <c r="L222" i="3" s="1"/>
  <c r="S221" i="3"/>
  <c r="R221" i="3"/>
  <c r="Q221" i="3"/>
  <c r="N221" i="3"/>
  <c r="I30" i="1" s="1"/>
  <c r="I221" i="3"/>
  <c r="G221" i="3"/>
  <c r="S220" i="3"/>
  <c r="R220" i="3"/>
  <c r="Q220" i="3"/>
  <c r="N220" i="3"/>
  <c r="O220" i="3" s="1"/>
  <c r="J220" i="3"/>
  <c r="L220" i="3" s="1"/>
  <c r="I220" i="3"/>
  <c r="G220" i="3"/>
  <c r="S219" i="3"/>
  <c r="R219" i="3"/>
  <c r="Q219" i="3"/>
  <c r="N219" i="3"/>
  <c r="O219" i="3" s="1"/>
  <c r="I219" i="3"/>
  <c r="G219" i="3"/>
  <c r="S218" i="3"/>
  <c r="R218" i="3"/>
  <c r="Q218" i="3"/>
  <c r="N218" i="3"/>
  <c r="O218" i="3" s="1"/>
  <c r="I218" i="3"/>
  <c r="G218" i="3"/>
  <c r="J218" i="3" s="1"/>
  <c r="L218" i="3" s="1"/>
  <c r="S217" i="3"/>
  <c r="R217" i="3"/>
  <c r="Q217" i="3"/>
  <c r="O217" i="3"/>
  <c r="N217" i="3"/>
  <c r="I217" i="3"/>
  <c r="G217" i="3"/>
  <c r="J217" i="3" s="1"/>
  <c r="L217" i="3" s="1"/>
  <c r="S216" i="3"/>
  <c r="R216" i="3"/>
  <c r="I34" i="1" s="1"/>
  <c r="Q216" i="3"/>
  <c r="N216" i="3"/>
  <c r="O216" i="3" s="1"/>
  <c r="I216" i="3"/>
  <c r="G216" i="3"/>
  <c r="S215" i="3"/>
  <c r="R215" i="3"/>
  <c r="Q215" i="3"/>
  <c r="O215" i="3"/>
  <c r="N215" i="3"/>
  <c r="J215" i="3"/>
  <c r="L215" i="3" s="1"/>
  <c r="I215" i="3"/>
  <c r="G215" i="3"/>
  <c r="S214" i="3"/>
  <c r="R214" i="3"/>
  <c r="Q214" i="3"/>
  <c r="I33" i="1" s="1"/>
  <c r="N214" i="3"/>
  <c r="O214" i="3" s="1"/>
  <c r="I214" i="3"/>
  <c r="G214" i="3"/>
  <c r="S213" i="3"/>
  <c r="R213" i="3"/>
  <c r="Q213" i="3"/>
  <c r="N213" i="3"/>
  <c r="O213" i="3" s="1"/>
  <c r="I213" i="3"/>
  <c r="G213" i="3"/>
  <c r="S212" i="3"/>
  <c r="R212" i="3"/>
  <c r="Q212" i="3"/>
  <c r="N212" i="3"/>
  <c r="O212" i="3" s="1"/>
  <c r="I212" i="3"/>
  <c r="G212" i="3"/>
  <c r="J212" i="3" s="1"/>
  <c r="L212" i="3" s="1"/>
  <c r="S211" i="3"/>
  <c r="R211" i="3"/>
  <c r="Q211" i="3"/>
  <c r="N211" i="3"/>
  <c r="O211" i="3" s="1"/>
  <c r="I211" i="3"/>
  <c r="G211" i="3"/>
  <c r="J211" i="3" s="1"/>
  <c r="L211" i="3" s="1"/>
  <c r="S210" i="3"/>
  <c r="R210" i="3"/>
  <c r="Q210" i="3"/>
  <c r="N210" i="3"/>
  <c r="O210" i="3" s="1"/>
  <c r="I210" i="3"/>
  <c r="G210" i="3"/>
  <c r="J210" i="3" s="1"/>
  <c r="L210" i="3" s="1"/>
  <c r="S209" i="3"/>
  <c r="R209" i="3"/>
  <c r="Q209" i="3"/>
  <c r="O209" i="3"/>
  <c r="N209" i="3"/>
  <c r="I209" i="3"/>
  <c r="G209" i="3"/>
  <c r="S208" i="3"/>
  <c r="R208" i="3"/>
  <c r="Q208" i="3"/>
  <c r="N208" i="3"/>
  <c r="O208" i="3" s="1"/>
  <c r="I208" i="3"/>
  <c r="G208" i="3"/>
  <c r="J208" i="3" s="1"/>
  <c r="L208" i="3" s="1"/>
  <c r="S207" i="3"/>
  <c r="R207" i="3"/>
  <c r="Q207" i="3"/>
  <c r="O207" i="3"/>
  <c r="N207" i="3"/>
  <c r="I207" i="3"/>
  <c r="J207" i="3" s="1"/>
  <c r="L207" i="3" s="1"/>
  <c r="G207" i="3"/>
  <c r="S206" i="3"/>
  <c r="R206" i="3"/>
  <c r="Q206" i="3"/>
  <c r="N206" i="3"/>
  <c r="O206" i="3" s="1"/>
  <c r="I206" i="3"/>
  <c r="G206" i="3"/>
  <c r="S205" i="3"/>
  <c r="R205" i="3"/>
  <c r="Q205" i="3"/>
  <c r="N205" i="3"/>
  <c r="O205" i="3" s="1"/>
  <c r="I205" i="3"/>
  <c r="J205" i="3" s="1"/>
  <c r="L205" i="3" s="1"/>
  <c r="G205" i="3"/>
  <c r="S204" i="3"/>
  <c r="R204" i="3"/>
  <c r="Q204" i="3"/>
  <c r="O204" i="3"/>
  <c r="N204" i="3"/>
  <c r="I204" i="3"/>
  <c r="G204" i="3"/>
  <c r="J204" i="3" s="1"/>
  <c r="L204" i="3" s="1"/>
  <c r="S203" i="3"/>
  <c r="R203" i="3"/>
  <c r="Q203" i="3"/>
  <c r="O203" i="3"/>
  <c r="N203" i="3"/>
  <c r="I203" i="3"/>
  <c r="G203" i="3"/>
  <c r="S202" i="3"/>
  <c r="R202" i="3"/>
  <c r="Q202" i="3"/>
  <c r="N202" i="3"/>
  <c r="O202" i="3" s="1"/>
  <c r="I202" i="3"/>
  <c r="G202" i="3"/>
  <c r="J202" i="3" s="1"/>
  <c r="L202" i="3" s="1"/>
  <c r="S201" i="3"/>
  <c r="R201" i="3"/>
  <c r="Q201" i="3"/>
  <c r="N201" i="3"/>
  <c r="O201" i="3" s="1"/>
  <c r="I201" i="3"/>
  <c r="G201" i="3"/>
  <c r="S200" i="3"/>
  <c r="R200" i="3"/>
  <c r="Q200" i="3"/>
  <c r="N200" i="3"/>
  <c r="O200" i="3" s="1"/>
  <c r="I200" i="3"/>
  <c r="J200" i="3" s="1"/>
  <c r="L200" i="3" s="1"/>
  <c r="G200" i="3"/>
  <c r="S199" i="3"/>
  <c r="R199" i="3"/>
  <c r="Q199" i="3"/>
  <c r="N199" i="3"/>
  <c r="O199" i="3" s="1"/>
  <c r="I199" i="3"/>
  <c r="G199" i="3"/>
  <c r="J199" i="3" s="1"/>
  <c r="L199" i="3" s="1"/>
  <c r="S198" i="3"/>
  <c r="R198" i="3"/>
  <c r="Q198" i="3"/>
  <c r="N198" i="3"/>
  <c r="O198" i="3" s="1"/>
  <c r="I198" i="3"/>
  <c r="G198" i="3"/>
  <c r="J198" i="3" s="1"/>
  <c r="L198" i="3" s="1"/>
  <c r="S197" i="3"/>
  <c r="R197" i="3"/>
  <c r="Q197" i="3"/>
  <c r="N197" i="3"/>
  <c r="O197" i="3" s="1"/>
  <c r="I197" i="3"/>
  <c r="G197" i="3"/>
  <c r="J197" i="3" s="1"/>
  <c r="L197" i="3" s="1"/>
  <c r="S196" i="3"/>
  <c r="R196" i="3"/>
  <c r="Q196" i="3"/>
  <c r="O196" i="3"/>
  <c r="N196" i="3"/>
  <c r="I196" i="3"/>
  <c r="G196" i="3"/>
  <c r="J196" i="3" s="1"/>
  <c r="L196" i="3" s="1"/>
  <c r="S195" i="3"/>
  <c r="R195" i="3"/>
  <c r="Q195" i="3"/>
  <c r="N195" i="3"/>
  <c r="O195" i="3" s="1"/>
  <c r="I195" i="3"/>
  <c r="G195" i="3"/>
  <c r="S194" i="3"/>
  <c r="R194" i="3"/>
  <c r="Q194" i="3"/>
  <c r="N194" i="3"/>
  <c r="O194" i="3" s="1"/>
  <c r="I194" i="3"/>
  <c r="G194" i="3"/>
  <c r="J194" i="3" s="1"/>
  <c r="L194" i="3" s="1"/>
  <c r="S193" i="3"/>
  <c r="R193" i="3"/>
  <c r="Q193" i="3"/>
  <c r="O193" i="3"/>
  <c r="N193" i="3"/>
  <c r="I193" i="3"/>
  <c r="G193" i="3"/>
  <c r="S192" i="3"/>
  <c r="R192" i="3"/>
  <c r="Q192" i="3"/>
  <c r="N192" i="3"/>
  <c r="O192" i="3" s="1"/>
  <c r="J192" i="3"/>
  <c r="L192" i="3" s="1"/>
  <c r="I192" i="3"/>
  <c r="G192" i="3"/>
  <c r="S191" i="3"/>
  <c r="R191" i="3"/>
  <c r="Q191" i="3"/>
  <c r="N191" i="3"/>
  <c r="O191" i="3" s="1"/>
  <c r="I191" i="3"/>
  <c r="G191" i="3"/>
  <c r="J191" i="3" s="1"/>
  <c r="L191" i="3" s="1"/>
  <c r="S190" i="3"/>
  <c r="R190" i="3"/>
  <c r="Q190" i="3"/>
  <c r="O190" i="3"/>
  <c r="N190" i="3"/>
  <c r="I190" i="3"/>
  <c r="G190" i="3"/>
  <c r="S189" i="3"/>
  <c r="R189" i="3"/>
  <c r="Q189" i="3"/>
  <c r="N189" i="3"/>
  <c r="O189" i="3" s="1"/>
  <c r="I189" i="3"/>
  <c r="G189" i="3"/>
  <c r="S188" i="3"/>
  <c r="R188" i="3"/>
  <c r="Q188" i="3"/>
  <c r="N188" i="3"/>
  <c r="O188" i="3" s="1"/>
  <c r="I188" i="3"/>
  <c r="G188" i="3"/>
  <c r="J188" i="3" s="1"/>
  <c r="L188" i="3" s="1"/>
  <c r="S187" i="3"/>
  <c r="R187" i="3"/>
  <c r="Q187" i="3"/>
  <c r="O187" i="3"/>
  <c r="N187" i="3"/>
  <c r="I187" i="3"/>
  <c r="G187" i="3"/>
  <c r="S186" i="3"/>
  <c r="R186" i="3"/>
  <c r="Q186" i="3"/>
  <c r="N186" i="3"/>
  <c r="O186" i="3" s="1"/>
  <c r="J186" i="3"/>
  <c r="L186" i="3" s="1"/>
  <c r="I186" i="3"/>
  <c r="G186" i="3"/>
  <c r="S185" i="3"/>
  <c r="R185" i="3"/>
  <c r="Q185" i="3"/>
  <c r="N185" i="3"/>
  <c r="O185" i="3" s="1"/>
  <c r="I185" i="3"/>
  <c r="G185" i="3"/>
  <c r="S184" i="3"/>
  <c r="R184" i="3"/>
  <c r="Q184" i="3"/>
  <c r="N184" i="3"/>
  <c r="O184" i="3" s="1"/>
  <c r="I184" i="3"/>
  <c r="G184" i="3"/>
  <c r="J184" i="3" s="1"/>
  <c r="L184" i="3" s="1"/>
  <c r="S183" i="3"/>
  <c r="R183" i="3"/>
  <c r="Q183" i="3"/>
  <c r="N183" i="3"/>
  <c r="O183" i="3" s="1"/>
  <c r="I183" i="3"/>
  <c r="G183" i="3"/>
  <c r="J183" i="3" s="1"/>
  <c r="L183" i="3" s="1"/>
  <c r="S182" i="3"/>
  <c r="R182" i="3"/>
  <c r="Q182" i="3"/>
  <c r="N182" i="3"/>
  <c r="O182" i="3" s="1"/>
  <c r="I182" i="3"/>
  <c r="G182" i="3"/>
  <c r="S181" i="3"/>
  <c r="R181" i="3"/>
  <c r="Q181" i="3"/>
  <c r="O181" i="3"/>
  <c r="N181" i="3"/>
  <c r="I181" i="3"/>
  <c r="G181" i="3"/>
  <c r="S180" i="3"/>
  <c r="R180" i="3"/>
  <c r="Q180" i="3"/>
  <c r="O180" i="3"/>
  <c r="N180" i="3"/>
  <c r="I180" i="3"/>
  <c r="G180" i="3"/>
  <c r="S179" i="3"/>
  <c r="R179" i="3"/>
  <c r="Q179" i="3"/>
  <c r="N179" i="3"/>
  <c r="O179" i="3" s="1"/>
  <c r="I179" i="3"/>
  <c r="G179" i="3"/>
  <c r="S178" i="3"/>
  <c r="R178" i="3"/>
  <c r="Q178" i="3"/>
  <c r="N178" i="3"/>
  <c r="O178" i="3" s="1"/>
  <c r="I178" i="3"/>
  <c r="G178" i="3"/>
  <c r="S177" i="3"/>
  <c r="R177" i="3"/>
  <c r="Q177" i="3"/>
  <c r="O177" i="3"/>
  <c r="N177" i="3"/>
  <c r="I177" i="3"/>
  <c r="G177" i="3"/>
  <c r="S176" i="3"/>
  <c r="R176" i="3"/>
  <c r="Q176" i="3"/>
  <c r="N176" i="3"/>
  <c r="O176" i="3" s="1"/>
  <c r="I176" i="3"/>
  <c r="G176" i="3"/>
  <c r="J176" i="3" s="1"/>
  <c r="L176" i="3" s="1"/>
  <c r="S175" i="3"/>
  <c r="R175" i="3"/>
  <c r="Q175" i="3"/>
  <c r="O175" i="3"/>
  <c r="N175" i="3"/>
  <c r="I175" i="3"/>
  <c r="G175" i="3"/>
  <c r="J175" i="3" s="1"/>
  <c r="L175" i="3" s="1"/>
  <c r="S174" i="3"/>
  <c r="R174" i="3"/>
  <c r="Q174" i="3"/>
  <c r="N174" i="3"/>
  <c r="O174" i="3" s="1"/>
  <c r="I174" i="3"/>
  <c r="G174" i="3"/>
  <c r="S173" i="3"/>
  <c r="R173" i="3"/>
  <c r="Q173" i="3"/>
  <c r="N173" i="3"/>
  <c r="O173" i="3" s="1"/>
  <c r="I173" i="3"/>
  <c r="J173" i="3" s="1"/>
  <c r="L173" i="3" s="1"/>
  <c r="G173" i="3"/>
  <c r="S172" i="3"/>
  <c r="R172" i="3"/>
  <c r="Q172" i="3"/>
  <c r="N172" i="3"/>
  <c r="O172" i="3" s="1"/>
  <c r="I172" i="3"/>
  <c r="G172" i="3"/>
  <c r="S171" i="3"/>
  <c r="R171" i="3"/>
  <c r="Q171" i="3"/>
  <c r="N171" i="3"/>
  <c r="O171" i="3" s="1"/>
  <c r="I171" i="3"/>
  <c r="G171" i="3"/>
  <c r="J171" i="3" s="1"/>
  <c r="L171" i="3" s="1"/>
  <c r="S170" i="3"/>
  <c r="R170" i="3"/>
  <c r="Q170" i="3"/>
  <c r="N170" i="3"/>
  <c r="O170" i="3" s="1"/>
  <c r="I170" i="3"/>
  <c r="G170" i="3"/>
  <c r="S169" i="3"/>
  <c r="R169" i="3"/>
  <c r="Q169" i="3"/>
  <c r="N169" i="3"/>
  <c r="O169" i="3" s="1"/>
  <c r="I169" i="3"/>
  <c r="G169" i="3"/>
  <c r="S168" i="3"/>
  <c r="R168" i="3"/>
  <c r="Q168" i="3"/>
  <c r="N168" i="3"/>
  <c r="O168" i="3" s="1"/>
  <c r="I168" i="3"/>
  <c r="G168" i="3"/>
  <c r="S167" i="3"/>
  <c r="R167" i="3"/>
  <c r="Q167" i="3"/>
  <c r="N167" i="3"/>
  <c r="O167" i="3" s="1"/>
  <c r="J167" i="3"/>
  <c r="L167" i="3" s="1"/>
  <c r="I167" i="3"/>
  <c r="G167" i="3"/>
  <c r="S166" i="3"/>
  <c r="R166" i="3"/>
  <c r="Q166" i="3"/>
  <c r="N166" i="3"/>
  <c r="O166" i="3" s="1"/>
  <c r="I166" i="3"/>
  <c r="G166" i="3"/>
  <c r="J166" i="3" s="1"/>
  <c r="L166" i="3" s="1"/>
  <c r="S165" i="3"/>
  <c r="R165" i="3"/>
  <c r="Q165" i="3"/>
  <c r="N165" i="3"/>
  <c r="O165" i="3" s="1"/>
  <c r="I165" i="3"/>
  <c r="G165" i="3"/>
  <c r="J165" i="3" s="1"/>
  <c r="L165" i="3" s="1"/>
  <c r="S164" i="3"/>
  <c r="R164" i="3"/>
  <c r="Q164" i="3"/>
  <c r="N164" i="3"/>
  <c r="O164" i="3" s="1"/>
  <c r="I164" i="3"/>
  <c r="J164" i="3" s="1"/>
  <c r="L164" i="3" s="1"/>
  <c r="G164" i="3"/>
  <c r="S163" i="3"/>
  <c r="R163" i="3"/>
  <c r="Q163" i="3"/>
  <c r="H33" i="1" s="1"/>
  <c r="N163" i="3"/>
  <c r="O163" i="3" s="1"/>
  <c r="I163" i="3"/>
  <c r="G163" i="3"/>
  <c r="S162" i="3"/>
  <c r="R162" i="3"/>
  <c r="Q162" i="3"/>
  <c r="O162" i="3"/>
  <c r="N162" i="3"/>
  <c r="I162" i="3"/>
  <c r="G162" i="3"/>
  <c r="J162" i="3" s="1"/>
  <c r="L162" i="3" s="1"/>
  <c r="S161" i="3"/>
  <c r="R161" i="3"/>
  <c r="Q161" i="3"/>
  <c r="O161" i="3"/>
  <c r="N161" i="3"/>
  <c r="I161" i="3"/>
  <c r="G161" i="3"/>
  <c r="S160" i="3"/>
  <c r="R160" i="3"/>
  <c r="Q160" i="3"/>
  <c r="N160" i="3"/>
  <c r="O160" i="3" s="1"/>
  <c r="I160" i="3"/>
  <c r="G160" i="3"/>
  <c r="S159" i="3"/>
  <c r="R159" i="3"/>
  <c r="Q159" i="3"/>
  <c r="N159" i="3"/>
  <c r="O159" i="3" s="1"/>
  <c r="I159" i="3"/>
  <c r="G159" i="3"/>
  <c r="J159" i="3" s="1"/>
  <c r="L159" i="3" s="1"/>
  <c r="S158" i="3"/>
  <c r="R158" i="3"/>
  <c r="Q158" i="3"/>
  <c r="N158" i="3"/>
  <c r="O158" i="3" s="1"/>
  <c r="I158" i="3"/>
  <c r="G158" i="3"/>
  <c r="J158" i="3" s="1"/>
  <c r="L158" i="3" s="1"/>
  <c r="S157" i="3"/>
  <c r="H35" i="1" s="1"/>
  <c r="R157" i="3"/>
  <c r="Q157" i="3"/>
  <c r="O157" i="3"/>
  <c r="N157" i="3"/>
  <c r="I157" i="3"/>
  <c r="G157" i="3"/>
  <c r="S156" i="3"/>
  <c r="R156" i="3"/>
  <c r="H34" i="1" s="1"/>
  <c r="Q156" i="3"/>
  <c r="O156" i="3"/>
  <c r="N156" i="3"/>
  <c r="I156" i="3"/>
  <c r="G156" i="3"/>
  <c r="J156" i="3" s="1"/>
  <c r="L156" i="3" s="1"/>
  <c r="S155" i="3"/>
  <c r="R155" i="3"/>
  <c r="Q155" i="3"/>
  <c r="N155" i="3"/>
  <c r="O155" i="3" s="1"/>
  <c r="I155" i="3"/>
  <c r="G155" i="3"/>
  <c r="S154" i="3"/>
  <c r="R154" i="3"/>
  <c r="Q154" i="3"/>
  <c r="N154" i="3"/>
  <c r="O154" i="3" s="1"/>
  <c r="I154" i="3"/>
  <c r="J154" i="3" s="1"/>
  <c r="L154" i="3" s="1"/>
  <c r="G154" i="3"/>
  <c r="S153" i="3"/>
  <c r="R153" i="3"/>
  <c r="Q153" i="3"/>
  <c r="N153" i="3"/>
  <c r="O153" i="3" s="1"/>
  <c r="I153" i="3"/>
  <c r="G153" i="3"/>
  <c r="S152" i="3"/>
  <c r="R152" i="3"/>
  <c r="Q152" i="3"/>
  <c r="N152" i="3"/>
  <c r="O152" i="3" s="1"/>
  <c r="I152" i="3"/>
  <c r="G152" i="3"/>
  <c r="J152" i="3" s="1"/>
  <c r="L152" i="3" s="1"/>
  <c r="S151" i="3"/>
  <c r="R151" i="3"/>
  <c r="Q151" i="3"/>
  <c r="N151" i="3"/>
  <c r="O151" i="3" s="1"/>
  <c r="I151" i="3"/>
  <c r="G151" i="3"/>
  <c r="J151" i="3" s="1"/>
  <c r="L151" i="3" s="1"/>
  <c r="S150" i="3"/>
  <c r="R150" i="3"/>
  <c r="Q150" i="3"/>
  <c r="N150" i="3"/>
  <c r="O150" i="3" s="1"/>
  <c r="I150" i="3"/>
  <c r="J150" i="3" s="1"/>
  <c r="L150" i="3" s="1"/>
  <c r="G150" i="3"/>
  <c r="S149" i="3"/>
  <c r="R149" i="3"/>
  <c r="Q149" i="3"/>
  <c r="N149" i="3"/>
  <c r="O149" i="3" s="1"/>
  <c r="I149" i="3"/>
  <c r="G149" i="3"/>
  <c r="S148" i="3"/>
  <c r="R148" i="3"/>
  <c r="Q148" i="3"/>
  <c r="N148" i="3"/>
  <c r="O148" i="3" s="1"/>
  <c r="I148" i="3"/>
  <c r="G148" i="3"/>
  <c r="J148" i="3" s="1"/>
  <c r="L148" i="3" s="1"/>
  <c r="S147" i="3"/>
  <c r="R147" i="3"/>
  <c r="Q147" i="3"/>
  <c r="O147" i="3"/>
  <c r="N147" i="3"/>
  <c r="I147" i="3"/>
  <c r="G147" i="3"/>
  <c r="S146" i="3"/>
  <c r="R146" i="3"/>
  <c r="Q146" i="3"/>
  <c r="O146" i="3"/>
  <c r="N146" i="3"/>
  <c r="I146" i="3"/>
  <c r="G146" i="3"/>
  <c r="J146" i="3" s="1"/>
  <c r="L146" i="3" s="1"/>
  <c r="S145" i="3"/>
  <c r="R145" i="3"/>
  <c r="Q145" i="3"/>
  <c r="O145" i="3"/>
  <c r="N145" i="3"/>
  <c r="I145" i="3"/>
  <c r="G145" i="3"/>
  <c r="S144" i="3"/>
  <c r="R144" i="3"/>
  <c r="Q144" i="3"/>
  <c r="N144" i="3"/>
  <c r="O144" i="3" s="1"/>
  <c r="I144" i="3"/>
  <c r="G144" i="3"/>
  <c r="J144" i="3" s="1"/>
  <c r="L144" i="3" s="1"/>
  <c r="S143" i="3"/>
  <c r="R143" i="3"/>
  <c r="Q143" i="3"/>
  <c r="N143" i="3"/>
  <c r="O143" i="3" s="1"/>
  <c r="I143" i="3"/>
  <c r="G143" i="3"/>
  <c r="S142" i="3"/>
  <c r="R142" i="3"/>
  <c r="Q142" i="3"/>
  <c r="N142" i="3"/>
  <c r="O142" i="3" s="1"/>
  <c r="I142" i="3"/>
  <c r="G142" i="3"/>
  <c r="J142" i="3" s="1"/>
  <c r="L142" i="3" s="1"/>
  <c r="S141" i="3"/>
  <c r="R141" i="3"/>
  <c r="Q141" i="3"/>
  <c r="N141" i="3"/>
  <c r="O141" i="3" s="1"/>
  <c r="I141" i="3"/>
  <c r="J141" i="3" s="1"/>
  <c r="L141" i="3" s="1"/>
  <c r="G141" i="3"/>
  <c r="S140" i="3"/>
  <c r="R140" i="3"/>
  <c r="Q140" i="3"/>
  <c r="O140" i="3"/>
  <c r="N140" i="3"/>
  <c r="I140" i="3"/>
  <c r="G140" i="3"/>
  <c r="S139" i="3"/>
  <c r="R139" i="3"/>
  <c r="Q139" i="3"/>
  <c r="N139" i="3"/>
  <c r="O139" i="3" s="1"/>
  <c r="J139" i="3"/>
  <c r="L139" i="3" s="1"/>
  <c r="I139" i="3"/>
  <c r="G139" i="3"/>
  <c r="S138" i="3"/>
  <c r="R138" i="3"/>
  <c r="Q138" i="3"/>
  <c r="N138" i="3"/>
  <c r="O138" i="3" s="1"/>
  <c r="I138" i="3"/>
  <c r="G138" i="3"/>
  <c r="J138" i="3" s="1"/>
  <c r="L138" i="3" s="1"/>
  <c r="S137" i="3"/>
  <c r="R137" i="3"/>
  <c r="Q137" i="3"/>
  <c r="N137" i="3"/>
  <c r="O137" i="3" s="1"/>
  <c r="I137" i="3"/>
  <c r="G137" i="3"/>
  <c r="J137" i="3" s="1"/>
  <c r="L137" i="3" s="1"/>
  <c r="S136" i="3"/>
  <c r="R136" i="3"/>
  <c r="Q136" i="3"/>
  <c r="N136" i="3"/>
  <c r="O136" i="3" s="1"/>
  <c r="I136" i="3"/>
  <c r="G136" i="3"/>
  <c r="S135" i="3"/>
  <c r="R135" i="3"/>
  <c r="Q135" i="3"/>
  <c r="N135" i="3"/>
  <c r="O135" i="3" s="1"/>
  <c r="J135" i="3"/>
  <c r="L135" i="3" s="1"/>
  <c r="I135" i="3"/>
  <c r="G135" i="3"/>
  <c r="S134" i="3"/>
  <c r="R134" i="3"/>
  <c r="Q134" i="3"/>
  <c r="N134" i="3"/>
  <c r="O134" i="3" s="1"/>
  <c r="I134" i="3"/>
  <c r="G134" i="3"/>
  <c r="S133" i="3"/>
  <c r="R133" i="3"/>
  <c r="Q133" i="3"/>
  <c r="O133" i="3"/>
  <c r="N133" i="3"/>
  <c r="L133" i="3"/>
  <c r="I133" i="3"/>
  <c r="G133" i="3"/>
  <c r="J133" i="3" s="1"/>
  <c r="S132" i="3"/>
  <c r="R132" i="3"/>
  <c r="Q132" i="3"/>
  <c r="N132" i="3"/>
  <c r="O132" i="3" s="1"/>
  <c r="I132" i="3"/>
  <c r="G132" i="3"/>
  <c r="J132" i="3" s="1"/>
  <c r="L132" i="3" s="1"/>
  <c r="S131" i="3"/>
  <c r="R131" i="3"/>
  <c r="Q131" i="3"/>
  <c r="O131" i="3"/>
  <c r="N131" i="3"/>
  <c r="I131" i="3"/>
  <c r="J131" i="3" s="1"/>
  <c r="L131" i="3" s="1"/>
  <c r="G131" i="3"/>
  <c r="S130" i="3"/>
  <c r="R130" i="3"/>
  <c r="Q130" i="3"/>
  <c r="O130" i="3"/>
  <c r="N130" i="3"/>
  <c r="I130" i="3"/>
  <c r="G130" i="3"/>
  <c r="S129" i="3"/>
  <c r="R129" i="3"/>
  <c r="G34" i="1" s="1"/>
  <c r="Q129" i="3"/>
  <c r="N129" i="3"/>
  <c r="O129" i="3" s="1"/>
  <c r="I129" i="3"/>
  <c r="G129" i="3"/>
  <c r="S128" i="3"/>
  <c r="R128" i="3"/>
  <c r="Q128" i="3"/>
  <c r="G33" i="1" s="1"/>
  <c r="N128" i="3"/>
  <c r="O128" i="3" s="1"/>
  <c r="I128" i="3"/>
  <c r="J128" i="3" s="1"/>
  <c r="L128" i="3" s="1"/>
  <c r="G128" i="3"/>
  <c r="S127" i="3"/>
  <c r="R127" i="3"/>
  <c r="Q127" i="3"/>
  <c r="N127" i="3"/>
  <c r="G30" i="1" s="1"/>
  <c r="I127" i="3"/>
  <c r="G127" i="3"/>
  <c r="J127" i="3" s="1"/>
  <c r="L127" i="3" s="1"/>
  <c r="S126" i="3"/>
  <c r="R126" i="3"/>
  <c r="Q126" i="3"/>
  <c r="N126" i="3"/>
  <c r="O126" i="3" s="1"/>
  <c r="I126" i="3"/>
  <c r="G126" i="3"/>
  <c r="S125" i="3"/>
  <c r="R125" i="3"/>
  <c r="Q125" i="3"/>
  <c r="N125" i="3"/>
  <c r="O125" i="3" s="1"/>
  <c r="I125" i="3"/>
  <c r="G125" i="3"/>
  <c r="S124" i="3"/>
  <c r="G35" i="1" s="1"/>
  <c r="R124" i="3"/>
  <c r="Q124" i="3"/>
  <c r="O124" i="3"/>
  <c r="N124" i="3"/>
  <c r="I124" i="3"/>
  <c r="G124" i="3"/>
  <c r="J124" i="3" s="1"/>
  <c r="L124" i="3" s="1"/>
  <c r="S123" i="3"/>
  <c r="R123" i="3"/>
  <c r="Q123" i="3"/>
  <c r="O123" i="3"/>
  <c r="N123" i="3"/>
  <c r="I123" i="3"/>
  <c r="G123" i="3"/>
  <c r="J123" i="3" s="1"/>
  <c r="L123" i="3" s="1"/>
  <c r="S122" i="3"/>
  <c r="R122" i="3"/>
  <c r="Q122" i="3"/>
  <c r="N122" i="3"/>
  <c r="O122" i="3" s="1"/>
  <c r="I122" i="3"/>
  <c r="G122" i="3"/>
  <c r="J122" i="3" s="1"/>
  <c r="L122" i="3" s="1"/>
  <c r="S121" i="3"/>
  <c r="R121" i="3"/>
  <c r="Q121" i="3"/>
  <c r="N121" i="3"/>
  <c r="O121" i="3" s="1"/>
  <c r="I121" i="3"/>
  <c r="G121" i="3"/>
  <c r="J121" i="3" s="1"/>
  <c r="L121" i="3" s="1"/>
  <c r="S120" i="3"/>
  <c r="R120" i="3"/>
  <c r="Q120" i="3"/>
  <c r="N120" i="3"/>
  <c r="O120" i="3" s="1"/>
  <c r="I120" i="3"/>
  <c r="G120" i="3"/>
  <c r="J120" i="3" s="1"/>
  <c r="L120" i="3" s="1"/>
  <c r="S119" i="3"/>
  <c r="R119" i="3"/>
  <c r="Q119" i="3"/>
  <c r="N119" i="3"/>
  <c r="O119" i="3" s="1"/>
  <c r="I119" i="3"/>
  <c r="G119" i="3"/>
  <c r="J119" i="3" s="1"/>
  <c r="L119" i="3" s="1"/>
  <c r="S118" i="3"/>
  <c r="R118" i="3"/>
  <c r="Q118" i="3"/>
  <c r="N118" i="3"/>
  <c r="O118" i="3" s="1"/>
  <c r="I118" i="3"/>
  <c r="G118" i="3"/>
  <c r="S117" i="3"/>
  <c r="R117" i="3"/>
  <c r="Q117" i="3"/>
  <c r="N117" i="3"/>
  <c r="O117" i="3" s="1"/>
  <c r="I117" i="3"/>
  <c r="G117" i="3"/>
  <c r="S116" i="3"/>
  <c r="R116" i="3"/>
  <c r="Q116" i="3"/>
  <c r="N116" i="3"/>
  <c r="O116" i="3" s="1"/>
  <c r="I116" i="3"/>
  <c r="J116" i="3" s="1"/>
  <c r="L116" i="3" s="1"/>
  <c r="G116" i="3"/>
  <c r="S115" i="3"/>
  <c r="R115" i="3"/>
  <c r="Q115" i="3"/>
  <c r="N115" i="3"/>
  <c r="O115" i="3" s="1"/>
  <c r="I115" i="3"/>
  <c r="G115" i="3"/>
  <c r="S114" i="3"/>
  <c r="R114" i="3"/>
  <c r="Q114" i="3"/>
  <c r="O114" i="3"/>
  <c r="N114" i="3"/>
  <c r="I114" i="3"/>
  <c r="J114" i="3" s="1"/>
  <c r="L114" i="3" s="1"/>
  <c r="G114" i="3"/>
  <c r="S113" i="3"/>
  <c r="R113" i="3"/>
  <c r="Q113" i="3"/>
  <c r="O113" i="3"/>
  <c r="N113" i="3"/>
  <c r="I113" i="3"/>
  <c r="G113" i="3"/>
  <c r="J113" i="3" s="1"/>
  <c r="L113" i="3" s="1"/>
  <c r="S112" i="3"/>
  <c r="R112" i="3"/>
  <c r="Q112" i="3"/>
  <c r="N112" i="3"/>
  <c r="O112" i="3" s="1"/>
  <c r="I112" i="3"/>
  <c r="G112" i="3"/>
  <c r="J112" i="3" s="1"/>
  <c r="L112" i="3" s="1"/>
  <c r="S111" i="3"/>
  <c r="R111" i="3"/>
  <c r="Q111" i="3"/>
  <c r="O111" i="3"/>
  <c r="N111" i="3"/>
  <c r="I111" i="3"/>
  <c r="G111" i="3"/>
  <c r="S110" i="3"/>
  <c r="R110" i="3"/>
  <c r="Q110" i="3"/>
  <c r="N110" i="3"/>
  <c r="O110" i="3" s="1"/>
  <c r="I110" i="3"/>
  <c r="J110" i="3" s="1"/>
  <c r="L110" i="3" s="1"/>
  <c r="G110" i="3"/>
  <c r="S109" i="3"/>
  <c r="R109" i="3"/>
  <c r="Q109" i="3"/>
  <c r="N109" i="3"/>
  <c r="O109" i="3" s="1"/>
  <c r="I109" i="3"/>
  <c r="G109" i="3"/>
  <c r="J109" i="3" s="1"/>
  <c r="L109" i="3" s="1"/>
  <c r="S108" i="3"/>
  <c r="R108" i="3"/>
  <c r="Q108" i="3"/>
  <c r="N108" i="3"/>
  <c r="O108" i="3" s="1"/>
  <c r="I108" i="3"/>
  <c r="J108" i="3" s="1"/>
  <c r="L108" i="3" s="1"/>
  <c r="G108" i="3"/>
  <c r="S107" i="3"/>
  <c r="R107" i="3"/>
  <c r="Q107" i="3"/>
  <c r="N107" i="3"/>
  <c r="O107" i="3" s="1"/>
  <c r="I107" i="3"/>
  <c r="G107" i="3"/>
  <c r="S106" i="3"/>
  <c r="R106" i="3"/>
  <c r="Q106" i="3"/>
  <c r="O106" i="3"/>
  <c r="N106" i="3"/>
  <c r="I106" i="3"/>
  <c r="G106" i="3"/>
  <c r="J106" i="3" s="1"/>
  <c r="L106" i="3" s="1"/>
  <c r="S105" i="3"/>
  <c r="R105" i="3"/>
  <c r="Q105" i="3"/>
  <c r="N105" i="3"/>
  <c r="O105" i="3" s="1"/>
  <c r="J105" i="3"/>
  <c r="L105" i="3" s="1"/>
  <c r="I105" i="3"/>
  <c r="G105" i="3"/>
  <c r="S104" i="3"/>
  <c r="R104" i="3"/>
  <c r="Q104" i="3"/>
  <c r="N104" i="3"/>
  <c r="O104" i="3" s="1"/>
  <c r="I104" i="3"/>
  <c r="G104" i="3"/>
  <c r="S103" i="3"/>
  <c r="R103" i="3"/>
  <c r="Q103" i="3"/>
  <c r="N103" i="3"/>
  <c r="O103" i="3" s="1"/>
  <c r="I103" i="3"/>
  <c r="G103" i="3"/>
  <c r="S102" i="3"/>
  <c r="R102" i="3"/>
  <c r="Q102" i="3"/>
  <c r="N102" i="3"/>
  <c r="O102" i="3" s="1"/>
  <c r="I102" i="3"/>
  <c r="J102" i="3" s="1"/>
  <c r="L102" i="3" s="1"/>
  <c r="G102" i="3"/>
  <c r="S101" i="3"/>
  <c r="R101" i="3"/>
  <c r="Q101" i="3"/>
  <c r="N101" i="3"/>
  <c r="O101" i="3" s="1"/>
  <c r="I101" i="3"/>
  <c r="G101" i="3"/>
  <c r="J101" i="3" s="1"/>
  <c r="L101" i="3" s="1"/>
  <c r="S100" i="3"/>
  <c r="R100" i="3"/>
  <c r="Q100" i="3"/>
  <c r="N100" i="3"/>
  <c r="O100" i="3" s="1"/>
  <c r="I100" i="3"/>
  <c r="G100" i="3"/>
  <c r="S99" i="3"/>
  <c r="R99" i="3"/>
  <c r="Q99" i="3"/>
  <c r="N99" i="3"/>
  <c r="O99" i="3" s="1"/>
  <c r="I99" i="3"/>
  <c r="G99" i="3"/>
  <c r="S98" i="3"/>
  <c r="R98" i="3"/>
  <c r="Q98" i="3"/>
  <c r="N98" i="3"/>
  <c r="O98" i="3" s="1"/>
  <c r="I98" i="3"/>
  <c r="J98" i="3" s="1"/>
  <c r="L98" i="3" s="1"/>
  <c r="G98" i="3"/>
  <c r="S97" i="3"/>
  <c r="R97" i="3"/>
  <c r="Q97" i="3"/>
  <c r="N97" i="3"/>
  <c r="O97" i="3" s="1"/>
  <c r="I97" i="3"/>
  <c r="G97" i="3"/>
  <c r="J97" i="3" s="1"/>
  <c r="L97" i="3" s="1"/>
  <c r="S96" i="3"/>
  <c r="R96" i="3"/>
  <c r="Q96" i="3"/>
  <c r="N96" i="3"/>
  <c r="O96" i="3" s="1"/>
  <c r="I96" i="3"/>
  <c r="G96" i="3"/>
  <c r="S95" i="3"/>
  <c r="R95" i="3"/>
  <c r="Q95" i="3"/>
  <c r="O95" i="3"/>
  <c r="N95" i="3"/>
  <c r="I95" i="3"/>
  <c r="G95" i="3"/>
  <c r="J95" i="3" s="1"/>
  <c r="L95" i="3" s="1"/>
  <c r="S94" i="3"/>
  <c r="R94" i="3"/>
  <c r="Q94" i="3"/>
  <c r="O94" i="3"/>
  <c r="N94" i="3"/>
  <c r="I94" i="3"/>
  <c r="G94" i="3"/>
  <c r="J94" i="3" s="1"/>
  <c r="L94" i="3" s="1"/>
  <c r="S93" i="3"/>
  <c r="R93" i="3"/>
  <c r="Q93" i="3"/>
  <c r="N93" i="3"/>
  <c r="O93" i="3" s="1"/>
  <c r="J93" i="3"/>
  <c r="L93" i="3" s="1"/>
  <c r="I93" i="3"/>
  <c r="G93" i="3"/>
  <c r="S92" i="3"/>
  <c r="R92" i="3"/>
  <c r="Q92" i="3"/>
  <c r="N92" i="3"/>
  <c r="O92" i="3" s="1"/>
  <c r="I92" i="3"/>
  <c r="G92" i="3"/>
  <c r="J92" i="3" s="1"/>
  <c r="L92" i="3" s="1"/>
  <c r="S91" i="3"/>
  <c r="R91" i="3"/>
  <c r="Q91" i="3"/>
  <c r="N91" i="3"/>
  <c r="O91" i="3" s="1"/>
  <c r="I91" i="3"/>
  <c r="G91" i="3"/>
  <c r="S90" i="3"/>
  <c r="R90" i="3"/>
  <c r="Q90" i="3"/>
  <c r="O90" i="3"/>
  <c r="N90" i="3"/>
  <c r="I90" i="3"/>
  <c r="G90" i="3"/>
  <c r="S89" i="3"/>
  <c r="R89" i="3"/>
  <c r="Q89" i="3"/>
  <c r="N89" i="3"/>
  <c r="O89" i="3" s="1"/>
  <c r="J89" i="3"/>
  <c r="L89" i="3" s="1"/>
  <c r="I89" i="3"/>
  <c r="G89" i="3"/>
  <c r="S88" i="3"/>
  <c r="R88" i="3"/>
  <c r="Q88" i="3"/>
  <c r="N88" i="3"/>
  <c r="O88" i="3" s="1"/>
  <c r="I88" i="3"/>
  <c r="G88" i="3"/>
  <c r="J88" i="3" s="1"/>
  <c r="L88" i="3" s="1"/>
  <c r="S87" i="3"/>
  <c r="R87" i="3"/>
  <c r="Q87" i="3"/>
  <c r="N87" i="3"/>
  <c r="O87" i="3" s="1"/>
  <c r="I87" i="3"/>
  <c r="G87" i="3"/>
  <c r="S86" i="3"/>
  <c r="R86" i="3"/>
  <c r="Q86" i="3"/>
  <c r="N86" i="3"/>
  <c r="O86" i="3" s="1"/>
  <c r="I86" i="3"/>
  <c r="J86" i="3" s="1"/>
  <c r="L86" i="3" s="1"/>
  <c r="G86" i="3"/>
  <c r="S85" i="3"/>
  <c r="R85" i="3"/>
  <c r="Q85" i="3"/>
  <c r="N85" i="3"/>
  <c r="O85" i="3" s="1"/>
  <c r="I85" i="3"/>
  <c r="J85" i="3" s="1"/>
  <c r="L85" i="3" s="1"/>
  <c r="G85" i="3"/>
  <c r="S84" i="3"/>
  <c r="R84" i="3"/>
  <c r="Q84" i="3"/>
  <c r="N84" i="3"/>
  <c r="O84" i="3" s="1"/>
  <c r="I84" i="3"/>
  <c r="G84" i="3"/>
  <c r="S83" i="3"/>
  <c r="R83" i="3"/>
  <c r="Q83" i="3"/>
  <c r="N83" i="3"/>
  <c r="O83" i="3" s="1"/>
  <c r="I83" i="3"/>
  <c r="J83" i="3" s="1"/>
  <c r="L83" i="3" s="1"/>
  <c r="G83" i="3"/>
  <c r="S82" i="3"/>
  <c r="R82" i="3"/>
  <c r="Q82" i="3"/>
  <c r="O82" i="3"/>
  <c r="N82" i="3"/>
  <c r="I82" i="3"/>
  <c r="J82" i="3" s="1"/>
  <c r="L82" i="3" s="1"/>
  <c r="G82" i="3"/>
  <c r="S81" i="3"/>
  <c r="R81" i="3"/>
  <c r="Q81" i="3"/>
  <c r="N81" i="3"/>
  <c r="O81" i="3" s="1"/>
  <c r="I81" i="3"/>
  <c r="G81" i="3"/>
  <c r="S80" i="3"/>
  <c r="R80" i="3"/>
  <c r="Q80" i="3"/>
  <c r="F33" i="1" s="1"/>
  <c r="N80" i="3"/>
  <c r="O80" i="3" s="1"/>
  <c r="I80" i="3"/>
  <c r="J80" i="3" s="1"/>
  <c r="L80" i="3" s="1"/>
  <c r="G80" i="3"/>
  <c r="S79" i="3"/>
  <c r="R79" i="3"/>
  <c r="Q79" i="3"/>
  <c r="O79" i="3"/>
  <c r="N79" i="3"/>
  <c r="I79" i="3"/>
  <c r="G79" i="3"/>
  <c r="J79" i="3" s="1"/>
  <c r="L79" i="3" s="1"/>
  <c r="S78" i="3"/>
  <c r="R78" i="3"/>
  <c r="Q78" i="3"/>
  <c r="N78" i="3"/>
  <c r="O78" i="3" s="1"/>
  <c r="I78" i="3"/>
  <c r="G78" i="3"/>
  <c r="J78" i="3" s="1"/>
  <c r="L78" i="3" s="1"/>
  <c r="S77" i="3"/>
  <c r="R77" i="3"/>
  <c r="Q77" i="3"/>
  <c r="N77" i="3"/>
  <c r="O77" i="3" s="1"/>
  <c r="J77" i="3"/>
  <c r="L77" i="3" s="1"/>
  <c r="I77" i="3"/>
  <c r="G77" i="3"/>
  <c r="S76" i="3"/>
  <c r="R76" i="3"/>
  <c r="Q76" i="3"/>
  <c r="O76" i="3"/>
  <c r="N76" i="3"/>
  <c r="I76" i="3"/>
  <c r="J76" i="3" s="1"/>
  <c r="L76" i="3" s="1"/>
  <c r="G76" i="3"/>
  <c r="S75" i="3"/>
  <c r="R75" i="3"/>
  <c r="Q75" i="3"/>
  <c r="N75" i="3"/>
  <c r="O75" i="3" s="1"/>
  <c r="I75" i="3"/>
  <c r="G75" i="3"/>
  <c r="S74" i="3"/>
  <c r="R74" i="3"/>
  <c r="Q74" i="3"/>
  <c r="N74" i="3"/>
  <c r="O74" i="3" s="1"/>
  <c r="I74" i="3"/>
  <c r="G74" i="3"/>
  <c r="S73" i="3"/>
  <c r="F35" i="1" s="1"/>
  <c r="R73" i="3"/>
  <c r="Q73" i="3"/>
  <c r="N73" i="3"/>
  <c r="O73" i="3" s="1"/>
  <c r="I73" i="3"/>
  <c r="G73" i="3"/>
  <c r="J73" i="3" s="1"/>
  <c r="L73" i="3" s="1"/>
  <c r="S72" i="3"/>
  <c r="R72" i="3"/>
  <c r="Q72" i="3"/>
  <c r="N72" i="3"/>
  <c r="O72" i="3" s="1"/>
  <c r="I72" i="3"/>
  <c r="G72" i="3"/>
  <c r="S71" i="3"/>
  <c r="R71" i="3"/>
  <c r="Q71" i="3"/>
  <c r="N71" i="3"/>
  <c r="O71" i="3" s="1"/>
  <c r="I71" i="3"/>
  <c r="G71" i="3"/>
  <c r="J71" i="3" s="1"/>
  <c r="L71" i="3" s="1"/>
  <c r="S70" i="3"/>
  <c r="R70" i="3"/>
  <c r="Q70" i="3"/>
  <c r="N70" i="3"/>
  <c r="O70" i="3" s="1"/>
  <c r="I70" i="3"/>
  <c r="G70" i="3"/>
  <c r="S69" i="3"/>
  <c r="R69" i="3"/>
  <c r="F34" i="1" s="1"/>
  <c r="Q69" i="3"/>
  <c r="N69" i="3"/>
  <c r="O69" i="3" s="1"/>
  <c r="I69" i="3"/>
  <c r="G69" i="3"/>
  <c r="S68" i="3"/>
  <c r="R68" i="3"/>
  <c r="Q68" i="3"/>
  <c r="N68" i="3"/>
  <c r="O68" i="3" s="1"/>
  <c r="I68" i="3"/>
  <c r="G68" i="3"/>
  <c r="S67" i="3"/>
  <c r="R67" i="3"/>
  <c r="Q67" i="3"/>
  <c r="N67" i="3"/>
  <c r="O67" i="3" s="1"/>
  <c r="I67" i="3"/>
  <c r="G67" i="3"/>
  <c r="S66" i="3"/>
  <c r="R66" i="3"/>
  <c r="Q66" i="3"/>
  <c r="O66" i="3"/>
  <c r="N66" i="3"/>
  <c r="I66" i="3"/>
  <c r="J66" i="3" s="1"/>
  <c r="L66" i="3" s="1"/>
  <c r="G66" i="3"/>
  <c r="S65" i="3"/>
  <c r="R65" i="3"/>
  <c r="Q65" i="3"/>
  <c r="N65" i="3"/>
  <c r="O65" i="3" s="1"/>
  <c r="I65" i="3"/>
  <c r="G65" i="3"/>
  <c r="J65" i="3" s="1"/>
  <c r="L65" i="3" s="1"/>
  <c r="S64" i="3"/>
  <c r="R64" i="3"/>
  <c r="Q64" i="3"/>
  <c r="O64" i="3"/>
  <c r="N64" i="3"/>
  <c r="I64" i="3"/>
  <c r="G64" i="3"/>
  <c r="S63" i="3"/>
  <c r="R63" i="3"/>
  <c r="Q63" i="3"/>
  <c r="O63" i="3"/>
  <c r="N63" i="3"/>
  <c r="I63" i="3"/>
  <c r="G63" i="3"/>
  <c r="J63" i="3" s="1"/>
  <c r="L63" i="3" s="1"/>
  <c r="S62" i="3"/>
  <c r="R62" i="3"/>
  <c r="Q62" i="3"/>
  <c r="N62" i="3"/>
  <c r="O62" i="3" s="1"/>
  <c r="I62" i="3"/>
  <c r="G62" i="3"/>
  <c r="S61" i="3"/>
  <c r="R61" i="3"/>
  <c r="Q61" i="3"/>
  <c r="N61" i="3"/>
  <c r="O61" i="3" s="1"/>
  <c r="I61" i="3"/>
  <c r="G61" i="3"/>
  <c r="J61" i="3" s="1"/>
  <c r="L61" i="3" s="1"/>
  <c r="S60" i="3"/>
  <c r="R60" i="3"/>
  <c r="Q60" i="3"/>
  <c r="N60" i="3"/>
  <c r="O60" i="3" s="1"/>
  <c r="J60" i="3"/>
  <c r="L60" i="3" s="1"/>
  <c r="I60" i="3"/>
  <c r="G60" i="3"/>
  <c r="S59" i="3"/>
  <c r="R59" i="3"/>
  <c r="Q59" i="3"/>
  <c r="N59" i="3"/>
  <c r="O59" i="3" s="1"/>
  <c r="I59" i="3"/>
  <c r="G59" i="3"/>
  <c r="S58" i="3"/>
  <c r="R58" i="3"/>
  <c r="Q58" i="3"/>
  <c r="N58" i="3"/>
  <c r="O58" i="3" s="1"/>
  <c r="I58" i="3"/>
  <c r="G58" i="3"/>
  <c r="S57" i="3"/>
  <c r="R57" i="3"/>
  <c r="Q57" i="3"/>
  <c r="N57" i="3"/>
  <c r="O57" i="3" s="1"/>
  <c r="I57" i="3"/>
  <c r="G57" i="3"/>
  <c r="J57" i="3" s="1"/>
  <c r="L57" i="3" s="1"/>
  <c r="S56" i="3"/>
  <c r="R56" i="3"/>
  <c r="Q56" i="3"/>
  <c r="N56" i="3"/>
  <c r="O56" i="3" s="1"/>
  <c r="I56" i="3"/>
  <c r="G56" i="3"/>
  <c r="J56" i="3" s="1"/>
  <c r="L56" i="3" s="1"/>
  <c r="S55" i="3"/>
  <c r="R55" i="3"/>
  <c r="Q55" i="3"/>
  <c r="N55" i="3"/>
  <c r="O55" i="3" s="1"/>
  <c r="I55" i="3"/>
  <c r="G55" i="3"/>
  <c r="S54" i="3"/>
  <c r="R54" i="3"/>
  <c r="Q54" i="3"/>
  <c r="N54" i="3"/>
  <c r="O54" i="3" s="1"/>
  <c r="I54" i="3"/>
  <c r="G54" i="3"/>
  <c r="S53" i="3"/>
  <c r="R53" i="3"/>
  <c r="Q53" i="3"/>
  <c r="N53" i="3"/>
  <c r="O53" i="3" s="1"/>
  <c r="I53" i="3"/>
  <c r="G53" i="3"/>
  <c r="S52" i="3"/>
  <c r="R52" i="3"/>
  <c r="Q52" i="3"/>
  <c r="N52" i="3"/>
  <c r="O52" i="3" s="1"/>
  <c r="I52" i="3"/>
  <c r="G52" i="3"/>
  <c r="J52" i="3" s="1"/>
  <c r="L52" i="3" s="1"/>
  <c r="S51" i="3"/>
  <c r="R51" i="3"/>
  <c r="Q51" i="3"/>
  <c r="N51" i="3"/>
  <c r="O51" i="3" s="1"/>
  <c r="I51" i="3"/>
  <c r="J51" i="3" s="1"/>
  <c r="L51" i="3" s="1"/>
  <c r="G51" i="3"/>
  <c r="S50" i="3"/>
  <c r="R50" i="3"/>
  <c r="Q50" i="3"/>
  <c r="O50" i="3"/>
  <c r="N50" i="3"/>
  <c r="I50" i="3"/>
  <c r="G50" i="3"/>
  <c r="S49" i="3"/>
  <c r="R49" i="3"/>
  <c r="Q49" i="3"/>
  <c r="N49" i="3"/>
  <c r="O49" i="3" s="1"/>
  <c r="I49" i="3"/>
  <c r="G49" i="3"/>
  <c r="J49" i="3" s="1"/>
  <c r="L49" i="3" s="1"/>
  <c r="S48" i="3"/>
  <c r="R48" i="3"/>
  <c r="Q48" i="3"/>
  <c r="N48" i="3"/>
  <c r="O48" i="3" s="1"/>
  <c r="I48" i="3"/>
  <c r="G48" i="3"/>
  <c r="S47" i="3"/>
  <c r="R47" i="3"/>
  <c r="Q47" i="3"/>
  <c r="N47" i="3"/>
  <c r="O47" i="3" s="1"/>
  <c r="I47" i="3"/>
  <c r="G47" i="3"/>
  <c r="J47" i="3" s="1"/>
  <c r="L47" i="3" s="1"/>
  <c r="S46" i="3"/>
  <c r="R46" i="3"/>
  <c r="Q46" i="3"/>
  <c r="N46" i="3"/>
  <c r="O46" i="3" s="1"/>
  <c r="I46" i="3"/>
  <c r="G46" i="3"/>
  <c r="J46" i="3" s="1"/>
  <c r="L46" i="3" s="1"/>
  <c r="S45" i="3"/>
  <c r="R45" i="3"/>
  <c r="Q45" i="3"/>
  <c r="O45" i="3"/>
  <c r="N45" i="3"/>
  <c r="I45" i="3"/>
  <c r="G45" i="3"/>
  <c r="J45" i="3" s="1"/>
  <c r="L45" i="3" s="1"/>
  <c r="S44" i="3"/>
  <c r="R44" i="3"/>
  <c r="Q44" i="3"/>
  <c r="O44" i="3"/>
  <c r="N44" i="3"/>
  <c r="I44" i="3"/>
  <c r="G44" i="3"/>
  <c r="J44" i="3" s="1"/>
  <c r="L44" i="3" s="1"/>
  <c r="S43" i="3"/>
  <c r="R43" i="3"/>
  <c r="Q43" i="3"/>
  <c r="N43" i="3"/>
  <c r="O43" i="3" s="1"/>
  <c r="I43" i="3"/>
  <c r="G43" i="3"/>
  <c r="S42" i="3"/>
  <c r="R42" i="3"/>
  <c r="Q42" i="3"/>
  <c r="N42" i="3"/>
  <c r="O42" i="3" s="1"/>
  <c r="I42" i="3"/>
  <c r="G42" i="3"/>
  <c r="S41" i="3"/>
  <c r="R41" i="3"/>
  <c r="Q41" i="3"/>
  <c r="N41" i="3"/>
  <c r="O41" i="3" s="1"/>
  <c r="J41" i="3"/>
  <c r="L41" i="3" s="1"/>
  <c r="I41" i="3"/>
  <c r="G41" i="3"/>
  <c r="S40" i="3"/>
  <c r="R40" i="3"/>
  <c r="Q40" i="3"/>
  <c r="N40" i="3"/>
  <c r="O40" i="3" s="1"/>
  <c r="I40" i="3"/>
  <c r="G40" i="3"/>
  <c r="J40" i="3" s="1"/>
  <c r="L40" i="3" s="1"/>
  <c r="S39" i="3"/>
  <c r="R39" i="3"/>
  <c r="Q39" i="3"/>
  <c r="N39" i="3"/>
  <c r="O39" i="3" s="1"/>
  <c r="I39" i="3"/>
  <c r="G39" i="3"/>
  <c r="J39" i="3" s="1"/>
  <c r="L39" i="3" s="1"/>
  <c r="S38" i="3"/>
  <c r="R38" i="3"/>
  <c r="Q38" i="3"/>
  <c r="N38" i="3"/>
  <c r="O38" i="3" s="1"/>
  <c r="I38" i="3"/>
  <c r="J38" i="3" s="1"/>
  <c r="L38" i="3" s="1"/>
  <c r="G38" i="3"/>
  <c r="S37" i="3"/>
  <c r="R37" i="3"/>
  <c r="Q37" i="3"/>
  <c r="N37" i="3"/>
  <c r="O37" i="3" s="1"/>
  <c r="I37" i="3"/>
  <c r="G37" i="3"/>
  <c r="S36" i="3"/>
  <c r="R36" i="3"/>
  <c r="Q36" i="3"/>
  <c r="N36" i="3"/>
  <c r="O36" i="3" s="1"/>
  <c r="I36" i="3"/>
  <c r="G36" i="3"/>
  <c r="J36" i="3" s="1"/>
  <c r="L36" i="3" s="1"/>
  <c r="S35" i="3"/>
  <c r="R35" i="3"/>
  <c r="Q35" i="3"/>
  <c r="N35" i="3"/>
  <c r="O35" i="3" s="1"/>
  <c r="I35" i="3"/>
  <c r="G35" i="3"/>
  <c r="S34" i="3"/>
  <c r="R34" i="3"/>
  <c r="Q34" i="3"/>
  <c r="O34" i="3"/>
  <c r="N34" i="3"/>
  <c r="I34" i="3"/>
  <c r="G34" i="3"/>
  <c r="S33" i="3"/>
  <c r="R33" i="3"/>
  <c r="Q33" i="3"/>
  <c r="N33" i="3"/>
  <c r="O33" i="3" s="1"/>
  <c r="I33" i="3"/>
  <c r="G33" i="3"/>
  <c r="S32" i="3"/>
  <c r="R32" i="3"/>
  <c r="Q32" i="3"/>
  <c r="O32" i="3"/>
  <c r="N32" i="3"/>
  <c r="I32" i="3"/>
  <c r="G32" i="3"/>
  <c r="S31" i="3"/>
  <c r="R31" i="3"/>
  <c r="Q31" i="3"/>
  <c r="N31" i="3"/>
  <c r="O31" i="3" s="1"/>
  <c r="I31" i="3"/>
  <c r="G31" i="3"/>
  <c r="J31" i="3" s="1"/>
  <c r="L31" i="3" s="1"/>
  <c r="S30" i="3"/>
  <c r="R30" i="3"/>
  <c r="Q30" i="3"/>
  <c r="O30" i="3"/>
  <c r="N30" i="3"/>
  <c r="I30" i="3"/>
  <c r="G30" i="3"/>
  <c r="S29" i="3"/>
  <c r="R29" i="3"/>
  <c r="Q29" i="3"/>
  <c r="N29" i="3"/>
  <c r="O29" i="3" s="1"/>
  <c r="I29" i="3"/>
  <c r="J29" i="3" s="1"/>
  <c r="L29" i="3" s="1"/>
  <c r="G29" i="3"/>
  <c r="S28" i="3"/>
  <c r="R28" i="3"/>
  <c r="Q28" i="3"/>
  <c r="N28" i="3"/>
  <c r="O28" i="3" s="1"/>
  <c r="I28" i="3"/>
  <c r="J28" i="3" s="1"/>
  <c r="L28" i="3" s="1"/>
  <c r="G28" i="3"/>
  <c r="S27" i="3"/>
  <c r="R27" i="3"/>
  <c r="Q27" i="3"/>
  <c r="N27" i="3"/>
  <c r="O27" i="3" s="1"/>
  <c r="I27" i="3"/>
  <c r="G27" i="3"/>
  <c r="J27" i="3" s="1"/>
  <c r="L27" i="3" s="1"/>
  <c r="S26" i="3"/>
  <c r="R26" i="3"/>
  <c r="Q26" i="3"/>
  <c r="N26" i="3"/>
  <c r="O26" i="3" s="1"/>
  <c r="I26" i="3"/>
  <c r="G26" i="3"/>
  <c r="S25" i="3"/>
  <c r="R25" i="3"/>
  <c r="Q25" i="3"/>
  <c r="N25" i="3"/>
  <c r="O25" i="3" s="1"/>
  <c r="J25" i="3"/>
  <c r="L25" i="3" s="1"/>
  <c r="I25" i="3"/>
  <c r="G25" i="3"/>
  <c r="S24" i="3"/>
  <c r="R24" i="3"/>
  <c r="Q24" i="3"/>
  <c r="N24" i="3"/>
  <c r="O24" i="3" s="1"/>
  <c r="I24" i="3"/>
  <c r="G24" i="3"/>
  <c r="J24" i="3" s="1"/>
  <c r="L24" i="3" s="1"/>
  <c r="S23" i="3"/>
  <c r="R23" i="3"/>
  <c r="Q23" i="3"/>
  <c r="N23" i="3"/>
  <c r="O23" i="3" s="1"/>
  <c r="I23" i="3"/>
  <c r="G23" i="3"/>
  <c r="J23" i="3" s="1"/>
  <c r="L23" i="3" s="1"/>
  <c r="S22" i="3"/>
  <c r="R22" i="3"/>
  <c r="Q22" i="3"/>
  <c r="N22" i="3"/>
  <c r="O22" i="3" s="1"/>
  <c r="I22" i="3"/>
  <c r="G22" i="3"/>
  <c r="S21" i="3"/>
  <c r="R21" i="3"/>
  <c r="Q21" i="3"/>
  <c r="N21" i="3"/>
  <c r="O21" i="3" s="1"/>
  <c r="I21" i="3"/>
  <c r="J21" i="3" s="1"/>
  <c r="L21" i="3" s="1"/>
  <c r="G21" i="3"/>
  <c r="S20" i="3"/>
  <c r="R20" i="3"/>
  <c r="Q20" i="3"/>
  <c r="N20" i="3"/>
  <c r="O20" i="3" s="1"/>
  <c r="I20" i="3"/>
  <c r="G20" i="3"/>
  <c r="J20" i="3" s="1"/>
  <c r="L20" i="3" s="1"/>
  <c r="S19" i="3"/>
  <c r="R19" i="3"/>
  <c r="Q19" i="3"/>
  <c r="N19" i="3"/>
  <c r="O19" i="3" s="1"/>
  <c r="I19" i="3"/>
  <c r="G19" i="3"/>
  <c r="S18" i="3"/>
  <c r="R18" i="3"/>
  <c r="Q18" i="3"/>
  <c r="O18" i="3"/>
  <c r="N18" i="3"/>
  <c r="I18" i="3"/>
  <c r="J18" i="3" s="1"/>
  <c r="L18" i="3" s="1"/>
  <c r="G18" i="3"/>
  <c r="S17" i="3"/>
  <c r="R17" i="3"/>
  <c r="Q17" i="3"/>
  <c r="O17" i="3"/>
  <c r="N17" i="3"/>
  <c r="I17" i="3"/>
  <c r="G17" i="3"/>
  <c r="J17" i="3" s="1"/>
  <c r="L17" i="3" s="1"/>
  <c r="S16" i="3"/>
  <c r="R16" i="3"/>
  <c r="Q16" i="3"/>
  <c r="N16" i="3"/>
  <c r="O16" i="3" s="1"/>
  <c r="I16" i="3"/>
  <c r="G16" i="3"/>
  <c r="S15" i="3"/>
  <c r="R15" i="3"/>
  <c r="Q15" i="3"/>
  <c r="E33" i="1" s="1"/>
  <c r="K33" i="1" s="1"/>
  <c r="L33" i="1" s="1"/>
  <c r="N15" i="3"/>
  <c r="O15" i="3" s="1"/>
  <c r="I15" i="3"/>
  <c r="G15" i="3"/>
  <c r="S14" i="3"/>
  <c r="R14" i="3"/>
  <c r="Q14" i="3"/>
  <c r="O14" i="3"/>
  <c r="N14" i="3"/>
  <c r="I14" i="3"/>
  <c r="G14" i="3"/>
  <c r="J14" i="3" s="1"/>
  <c r="L14" i="3" s="1"/>
  <c r="S13" i="3"/>
  <c r="R13" i="3"/>
  <c r="Q13" i="3"/>
  <c r="N13" i="3"/>
  <c r="O13" i="3" s="1"/>
  <c r="I13" i="3"/>
  <c r="J13" i="3" s="1"/>
  <c r="L13" i="3" s="1"/>
  <c r="G13" i="3"/>
  <c r="S12" i="3"/>
  <c r="R12" i="3"/>
  <c r="Q12" i="3"/>
  <c r="N12" i="3"/>
  <c r="O12" i="3" s="1"/>
  <c r="I12" i="3"/>
  <c r="G12" i="3"/>
  <c r="J12" i="3" s="1"/>
  <c r="L12" i="3" s="1"/>
  <c r="S11" i="3"/>
  <c r="R11" i="3"/>
  <c r="Q11" i="3"/>
  <c r="N11" i="3"/>
  <c r="O11" i="3" s="1"/>
  <c r="I11" i="3"/>
  <c r="G11" i="3"/>
  <c r="S10" i="3"/>
  <c r="R10" i="3"/>
  <c r="Q10" i="3"/>
  <c r="N10" i="3"/>
  <c r="O10" i="3" s="1"/>
  <c r="I10" i="3"/>
  <c r="G10" i="3"/>
  <c r="J10" i="3" s="1"/>
  <c r="L10" i="3" s="1"/>
  <c r="S9" i="3"/>
  <c r="R9" i="3"/>
  <c r="Q9" i="3"/>
  <c r="N9" i="3"/>
  <c r="O9" i="3" s="1"/>
  <c r="I9" i="3"/>
  <c r="G9" i="3"/>
  <c r="J9" i="3" s="1"/>
  <c r="L9" i="3" s="1"/>
  <c r="S8" i="3"/>
  <c r="R8" i="3"/>
  <c r="Q8" i="3"/>
  <c r="N8" i="3"/>
  <c r="O8" i="3" s="1"/>
  <c r="I8" i="3"/>
  <c r="G8" i="3"/>
  <c r="S7" i="3"/>
  <c r="R7" i="3"/>
  <c r="Q7" i="3"/>
  <c r="N7" i="3"/>
  <c r="O7" i="3" s="1"/>
  <c r="I7" i="3"/>
  <c r="G7" i="3"/>
  <c r="J7" i="3" s="1"/>
  <c r="L7" i="3" s="1"/>
  <c r="S6" i="3"/>
  <c r="R6" i="3"/>
  <c r="Q6" i="3"/>
  <c r="N6" i="3"/>
  <c r="O6" i="3" s="1"/>
  <c r="I6" i="3"/>
  <c r="G6" i="3"/>
  <c r="S5" i="3"/>
  <c r="R5" i="3"/>
  <c r="Q5" i="3"/>
  <c r="N5" i="3"/>
  <c r="O5" i="3" s="1"/>
  <c r="I5" i="3"/>
  <c r="G5" i="3"/>
  <c r="S4" i="3"/>
  <c r="E35" i="1" s="1"/>
  <c r="R4" i="3"/>
  <c r="E34" i="1" s="1"/>
  <c r="K34" i="1" s="1"/>
  <c r="L34" i="1" s="1"/>
  <c r="Q4" i="3"/>
  <c r="N4" i="3"/>
  <c r="O4" i="3" s="1"/>
  <c r="I4" i="3"/>
  <c r="G4" i="3"/>
  <c r="I23" i="2"/>
  <c r="I22" i="2"/>
  <c r="I21" i="2"/>
  <c r="I20" i="2"/>
  <c r="I19" i="2"/>
  <c r="I18" i="2"/>
  <c r="I17" i="2"/>
  <c r="I16" i="2"/>
  <c r="I15" i="2"/>
  <c r="I14" i="2"/>
  <c r="H13" i="2"/>
  <c r="G13" i="2"/>
  <c r="F13" i="2"/>
  <c r="E13" i="2"/>
  <c r="D13" i="2"/>
  <c r="C13" i="2"/>
  <c r="I12" i="2"/>
  <c r="I11" i="2"/>
  <c r="I10" i="2"/>
  <c r="I9" i="2"/>
  <c r="I8" i="2"/>
  <c r="I7" i="2"/>
  <c r="I6" i="2"/>
  <c r="I5" i="2"/>
  <c r="I4" i="2"/>
  <c r="J43" i="1"/>
  <c r="I43" i="1"/>
  <c r="H43" i="1"/>
  <c r="G43" i="1"/>
  <c r="F43" i="1"/>
  <c r="E43" i="1"/>
  <c r="J41" i="1"/>
  <c r="I41" i="1"/>
  <c r="H41" i="1"/>
  <c r="G41" i="1"/>
  <c r="F41" i="1"/>
  <c r="E41" i="1"/>
  <c r="J40" i="1"/>
  <c r="K40" i="1" s="1"/>
  <c r="L40" i="1" s="1"/>
  <c r="I40" i="1"/>
  <c r="H40" i="1"/>
  <c r="G40" i="1"/>
  <c r="F40" i="1"/>
  <c r="E40" i="1"/>
  <c r="J39" i="1"/>
  <c r="I39" i="1"/>
  <c r="H39" i="1"/>
  <c r="G39" i="1"/>
  <c r="F39" i="1"/>
  <c r="E39" i="1"/>
  <c r="J38" i="1"/>
  <c r="I38" i="1"/>
  <c r="H38" i="1"/>
  <c r="G38" i="1"/>
  <c r="F38" i="1"/>
  <c r="E38" i="1"/>
  <c r="J37" i="1"/>
  <c r="I37" i="1"/>
  <c r="H37" i="1"/>
  <c r="G37" i="1"/>
  <c r="F37" i="1"/>
  <c r="E37" i="1"/>
  <c r="J34" i="1"/>
  <c r="J32" i="1"/>
  <c r="I32" i="1"/>
  <c r="H32" i="1"/>
  <c r="G32" i="1"/>
  <c r="F32" i="1"/>
  <c r="E32" i="1"/>
  <c r="J29" i="1"/>
  <c r="I29" i="1"/>
  <c r="H29" i="1"/>
  <c r="G29" i="1"/>
  <c r="F29" i="1"/>
  <c r="E29" i="1"/>
  <c r="J28" i="1"/>
  <c r="I28" i="1"/>
  <c r="H28" i="1"/>
  <c r="G28" i="1"/>
  <c r="F28" i="1"/>
  <c r="E28" i="1"/>
  <c r="J26" i="1"/>
  <c r="I26" i="1"/>
  <c r="H26" i="1"/>
  <c r="G26" i="1"/>
  <c r="F26" i="1"/>
  <c r="E26" i="1"/>
  <c r="J25" i="1"/>
  <c r="I25" i="1"/>
  <c r="H25" i="1"/>
  <c r="G25" i="1"/>
  <c r="F25" i="1"/>
  <c r="E25" i="1"/>
  <c r="J24" i="1"/>
  <c r="I24" i="1"/>
  <c r="H24" i="1"/>
  <c r="J22" i="1"/>
  <c r="I22" i="1"/>
  <c r="H22" i="1"/>
  <c r="G22" i="1"/>
  <c r="F22" i="1"/>
  <c r="E22" i="1"/>
  <c r="J21" i="1"/>
  <c r="I21" i="1"/>
  <c r="H21" i="1"/>
  <c r="G21" i="1"/>
  <c r="F21" i="1"/>
  <c r="E21" i="1"/>
  <c r="J19" i="1"/>
  <c r="I19" i="1"/>
  <c r="H19" i="1"/>
  <c r="G19" i="1"/>
  <c r="F19" i="1"/>
  <c r="E19" i="1"/>
  <c r="J18" i="1"/>
  <c r="I18" i="1"/>
  <c r="H18" i="1"/>
  <c r="G18" i="1"/>
  <c r="F18" i="1"/>
  <c r="E18" i="1"/>
  <c r="J16" i="1"/>
  <c r="I16" i="1"/>
  <c r="H16" i="1"/>
  <c r="G16" i="1"/>
  <c r="J15" i="1"/>
  <c r="I15" i="1"/>
  <c r="H15" i="1"/>
  <c r="G15" i="1"/>
  <c r="F15" i="1"/>
  <c r="E15" i="1"/>
  <c r="J14" i="1"/>
  <c r="I14" i="1"/>
  <c r="H14" i="1"/>
  <c r="G14" i="1"/>
  <c r="F14" i="1"/>
  <c r="E14" i="1"/>
  <c r="K14" i="1" s="1"/>
  <c r="L14" i="1" s="1"/>
  <c r="J12" i="1"/>
  <c r="I12" i="1"/>
  <c r="H12" i="1"/>
  <c r="G12" i="1"/>
  <c r="F12" i="1"/>
  <c r="E12" i="1"/>
  <c r="K11" i="1"/>
  <c r="L11" i="1" s="1"/>
  <c r="J10" i="1"/>
  <c r="I10" i="1"/>
  <c r="H10" i="1"/>
  <c r="G10" i="1"/>
  <c r="F10" i="1"/>
  <c r="E10" i="1"/>
  <c r="J9" i="1"/>
  <c r="I9" i="1"/>
  <c r="H9" i="1"/>
  <c r="G9" i="1"/>
  <c r="F9" i="1"/>
  <c r="E9" i="1"/>
  <c r="J8" i="1"/>
  <c r="I8" i="1"/>
  <c r="H8" i="1"/>
  <c r="G8" i="1"/>
  <c r="K8" i="1" s="1"/>
  <c r="L8" i="1" s="1"/>
  <c r="F8" i="1"/>
  <c r="E8" i="1"/>
  <c r="J7" i="1"/>
  <c r="I7" i="1"/>
  <c r="H7" i="1"/>
  <c r="G7" i="1"/>
  <c r="F7" i="1"/>
  <c r="E7" i="1"/>
  <c r="J6" i="1"/>
  <c r="I6" i="1"/>
  <c r="H6" i="1"/>
  <c r="G6" i="1"/>
  <c r="F6" i="1"/>
  <c r="E6" i="1"/>
  <c r="J5" i="1"/>
  <c r="I5" i="1"/>
  <c r="H5" i="1"/>
  <c r="G5" i="1"/>
  <c r="F5" i="1"/>
  <c r="E5" i="1"/>
  <c r="F17" i="1" l="1"/>
  <c r="K17" i="1" s="1"/>
  <c r="L17" i="1" s="1"/>
  <c r="K35" i="1"/>
  <c r="L35" i="1" s="1"/>
  <c r="E16" i="1"/>
  <c r="K25" i="1"/>
  <c r="L25" i="1" s="1"/>
  <c r="J6" i="3"/>
  <c r="L6" i="3" s="1"/>
  <c r="J64" i="3"/>
  <c r="L64" i="3" s="1"/>
  <c r="J74" i="3"/>
  <c r="L74" i="3" s="1"/>
  <c r="J107" i="3"/>
  <c r="L107" i="3" s="1"/>
  <c r="O221" i="3"/>
  <c r="J301" i="3"/>
  <c r="L301" i="3" s="1"/>
  <c r="F16" i="1"/>
  <c r="K38" i="1"/>
  <c r="L38" i="1" s="1"/>
  <c r="I4" i="6"/>
  <c r="I7" i="6"/>
  <c r="I14" i="6"/>
  <c r="K19" i="1"/>
  <c r="L19" i="1" s="1"/>
  <c r="K29" i="1"/>
  <c r="L29" i="1" s="1"/>
  <c r="K39" i="1"/>
  <c r="L39" i="1" s="1"/>
  <c r="J16" i="3"/>
  <c r="L16" i="3" s="1"/>
  <c r="J26" i="3"/>
  <c r="L26" i="3" s="1"/>
  <c r="J35" i="3"/>
  <c r="L35" i="3" s="1"/>
  <c r="J43" i="3"/>
  <c r="L43" i="3" s="1"/>
  <c r="J62" i="3"/>
  <c r="L62" i="3" s="1"/>
  <c r="J69" i="3"/>
  <c r="L69" i="3" s="1"/>
  <c r="J81" i="3"/>
  <c r="L81" i="3" s="1"/>
  <c r="J129" i="3"/>
  <c r="L129" i="3" s="1"/>
  <c r="J136" i="3"/>
  <c r="L136" i="3" s="1"/>
  <c r="J143" i="3"/>
  <c r="L143" i="3" s="1"/>
  <c r="J157" i="3"/>
  <c r="L157" i="3" s="1"/>
  <c r="J169" i="3"/>
  <c r="L169" i="3" s="1"/>
  <c r="J190" i="3"/>
  <c r="L190" i="3" s="1"/>
  <c r="J201" i="3"/>
  <c r="L201" i="3" s="1"/>
  <c r="J245" i="3"/>
  <c r="L245" i="3" s="1"/>
  <c r="J292" i="3"/>
  <c r="L292" i="3" s="1"/>
  <c r="K9" i="1"/>
  <c r="L9" i="1" s="1"/>
  <c r="I13" i="2"/>
  <c r="J4" i="3"/>
  <c r="L4" i="3" s="1"/>
  <c r="J33" i="3"/>
  <c r="L33" i="3" s="1"/>
  <c r="J55" i="3"/>
  <c r="L55" i="3" s="1"/>
  <c r="J72" i="3"/>
  <c r="L72" i="3" s="1"/>
  <c r="J91" i="3"/>
  <c r="L91" i="3" s="1"/>
  <c r="J100" i="3"/>
  <c r="L100" i="3" s="1"/>
  <c r="J117" i="3"/>
  <c r="L117" i="3" s="1"/>
  <c r="J155" i="3"/>
  <c r="L155" i="3" s="1"/>
  <c r="J174" i="3"/>
  <c r="L174" i="3" s="1"/>
  <c r="J181" i="3"/>
  <c r="L181" i="3" s="1"/>
  <c r="J238" i="3"/>
  <c r="L238" i="3" s="1"/>
  <c r="J285" i="3"/>
  <c r="L285" i="3" s="1"/>
  <c r="J297" i="3"/>
  <c r="L297" i="3" s="1"/>
  <c r="J316" i="3"/>
  <c r="L316" i="3" s="1"/>
  <c r="H4" i="6"/>
  <c r="H14" i="6"/>
  <c r="K6" i="1"/>
  <c r="L6" i="1" s="1"/>
  <c r="I31" i="1"/>
  <c r="J50" i="3"/>
  <c r="L50" i="3" s="1"/>
  <c r="H31" i="1"/>
  <c r="J206" i="3"/>
  <c r="L206" i="3" s="1"/>
  <c r="J229" i="3"/>
  <c r="L229" i="3" s="1"/>
  <c r="J255" i="3"/>
  <c r="L255" i="3" s="1"/>
  <c r="J276" i="3"/>
  <c r="L276" i="3" s="1"/>
  <c r="J290" i="3"/>
  <c r="L290" i="3" s="1"/>
  <c r="H11" i="6"/>
  <c r="E15" i="6"/>
  <c r="I15" i="6" s="1"/>
  <c r="F23" i="1"/>
  <c r="G23" i="1"/>
  <c r="K26" i="1"/>
  <c r="L26" i="1" s="1"/>
  <c r="K37" i="1"/>
  <c r="L37" i="1" s="1"/>
  <c r="J48" i="3"/>
  <c r="L48" i="3" s="1"/>
  <c r="J58" i="3"/>
  <c r="L58" i="3" s="1"/>
  <c r="J67" i="3"/>
  <c r="L67" i="3" s="1"/>
  <c r="J75" i="3"/>
  <c r="L75" i="3" s="1"/>
  <c r="J84" i="3"/>
  <c r="L84" i="3" s="1"/>
  <c r="J103" i="3"/>
  <c r="L103" i="3" s="1"/>
  <c r="J115" i="3"/>
  <c r="L115" i="3" s="1"/>
  <c r="J134" i="3"/>
  <c r="L134" i="3" s="1"/>
  <c r="J153" i="3"/>
  <c r="L153" i="3" s="1"/>
  <c r="J160" i="3"/>
  <c r="L160" i="3" s="1"/>
  <c r="J172" i="3"/>
  <c r="L172" i="3" s="1"/>
  <c r="J248" i="3"/>
  <c r="L248" i="3" s="1"/>
  <c r="J260" i="3"/>
  <c r="L260" i="3" s="1"/>
  <c r="K7" i="1"/>
  <c r="L7" i="1" s="1"/>
  <c r="H23" i="1"/>
  <c r="H15" i="6"/>
  <c r="K21" i="1"/>
  <c r="L21" i="1" s="1"/>
  <c r="I23" i="1"/>
  <c r="E30" i="1"/>
  <c r="J19" i="3"/>
  <c r="L19" i="3" s="1"/>
  <c r="J53" i="3"/>
  <c r="L53" i="3" s="1"/>
  <c r="J70" i="3"/>
  <c r="L70" i="3" s="1"/>
  <c r="O127" i="3"/>
  <c r="J195" i="3"/>
  <c r="L195" i="3" s="1"/>
  <c r="J253" i="3"/>
  <c r="L253" i="3" s="1"/>
  <c r="J23" i="1"/>
  <c r="F30" i="1"/>
  <c r="K43" i="1"/>
  <c r="L43" i="1" s="1"/>
  <c r="J87" i="3"/>
  <c r="L87" i="3" s="1"/>
  <c r="J96" i="3"/>
  <c r="L96" i="3" s="1"/>
  <c r="J125" i="3"/>
  <c r="L125" i="3" s="1"/>
  <c r="J130" i="3"/>
  <c r="L130" i="3" s="1"/>
  <c r="J170" i="3"/>
  <c r="L170" i="3" s="1"/>
  <c r="J258" i="3"/>
  <c r="L258" i="3" s="1"/>
  <c r="K10" i="1"/>
  <c r="L10" i="1" s="1"/>
  <c r="K15" i="1"/>
  <c r="L15" i="1" s="1"/>
  <c r="J5" i="3"/>
  <c r="L5" i="3" s="1"/>
  <c r="J22" i="3"/>
  <c r="L22" i="3" s="1"/>
  <c r="E9" i="6"/>
  <c r="H12" i="6"/>
  <c r="I12" i="6" s="1"/>
  <c r="E23" i="1"/>
  <c r="K23" i="1" s="1"/>
  <c r="L23" i="1" s="1"/>
  <c r="H30" i="1"/>
  <c r="J8" i="3"/>
  <c r="L8" i="3" s="1"/>
  <c r="J15" i="3"/>
  <c r="L15" i="3" s="1"/>
  <c r="J34" i="3"/>
  <c r="L34" i="3" s="1"/>
  <c r="J68" i="3"/>
  <c r="L68" i="3" s="1"/>
  <c r="J111" i="3"/>
  <c r="L111" i="3" s="1"/>
  <c r="J118" i="3"/>
  <c r="L118" i="3" s="1"/>
  <c r="J149" i="3"/>
  <c r="L149" i="3" s="1"/>
  <c r="J182" i="3"/>
  <c r="L182" i="3" s="1"/>
  <c r="J189" i="3"/>
  <c r="L189" i="3" s="1"/>
  <c r="J216" i="3"/>
  <c r="L216" i="3" s="1"/>
  <c r="J239" i="3"/>
  <c r="L239" i="3" s="1"/>
  <c r="J277" i="3"/>
  <c r="L277" i="3" s="1"/>
  <c r="J284" i="3"/>
  <c r="L284" i="3" s="1"/>
  <c r="J291" i="3"/>
  <c r="L291" i="3" s="1"/>
  <c r="J317" i="3"/>
  <c r="L317" i="3" s="1"/>
  <c r="K5" i="1"/>
  <c r="L5" i="1" s="1"/>
  <c r="K18" i="1"/>
  <c r="L18" i="1" s="1"/>
  <c r="K28" i="1"/>
  <c r="L28" i="1" s="1"/>
  <c r="J32" i="3"/>
  <c r="L32" i="3" s="1"/>
  <c r="J42" i="3"/>
  <c r="L42" i="3" s="1"/>
  <c r="J59" i="3"/>
  <c r="L59" i="3" s="1"/>
  <c r="J90" i="3"/>
  <c r="L90" i="3" s="1"/>
  <c r="J104" i="3"/>
  <c r="L104" i="3" s="1"/>
  <c r="J140" i="3"/>
  <c r="L140" i="3" s="1"/>
  <c r="J168" i="3"/>
  <c r="L168" i="3" s="1"/>
  <c r="J180" i="3"/>
  <c r="L180" i="3" s="1"/>
  <c r="J187" i="3"/>
  <c r="L187" i="3" s="1"/>
  <c r="J214" i="3"/>
  <c r="L214" i="3" s="1"/>
  <c r="J230" i="3"/>
  <c r="L230" i="3" s="1"/>
  <c r="J244" i="3"/>
  <c r="L244" i="3" s="1"/>
  <c r="J249" i="3"/>
  <c r="L249" i="3" s="1"/>
  <c r="H9" i="6"/>
  <c r="E13" i="6"/>
  <c r="I13" i="6" s="1"/>
  <c r="J30" i="1"/>
  <c r="J31" i="1"/>
  <c r="J296" i="3"/>
  <c r="L296" i="3" s="1"/>
  <c r="J303" i="3"/>
  <c r="L303" i="3" s="1"/>
  <c r="K12" i="1"/>
  <c r="L12" i="1" s="1"/>
  <c r="K22" i="1"/>
  <c r="L22" i="1" s="1"/>
  <c r="K32" i="1"/>
  <c r="L32" i="1" s="1"/>
  <c r="K41" i="1"/>
  <c r="L41" i="1" s="1"/>
  <c r="J11" i="3"/>
  <c r="L11" i="3" s="1"/>
  <c r="J30" i="3"/>
  <c r="L30" i="3" s="1"/>
  <c r="J37" i="3"/>
  <c r="L37" i="3" s="1"/>
  <c r="J54" i="3"/>
  <c r="L54" i="3" s="1"/>
  <c r="J99" i="3"/>
  <c r="L99" i="3" s="1"/>
  <c r="J126" i="3"/>
  <c r="L126" i="3" s="1"/>
  <c r="J147" i="3"/>
  <c r="L147" i="3" s="1"/>
  <c r="J178" i="3"/>
  <c r="L178" i="3" s="1"/>
  <c r="J185" i="3"/>
  <c r="L185" i="3" s="1"/>
  <c r="J221" i="3"/>
  <c r="L221" i="3" s="1"/>
  <c r="J254" i="3"/>
  <c r="L254" i="3" s="1"/>
  <c r="J268" i="3"/>
  <c r="L268" i="3" s="1"/>
  <c r="J275" i="3"/>
  <c r="L275" i="3" s="1"/>
  <c r="J289" i="3"/>
  <c r="L289" i="3" s="1"/>
  <c r="J308" i="3"/>
  <c r="L308" i="3" s="1"/>
  <c r="E10" i="6"/>
  <c r="F31" i="1"/>
  <c r="E31" i="1"/>
  <c r="G31" i="1"/>
  <c r="J235" i="3"/>
  <c r="L235" i="3" s="1"/>
  <c r="J271" i="3"/>
  <c r="L271" i="3" s="1"/>
  <c r="J267" i="3"/>
  <c r="L267" i="3" s="1"/>
  <c r="J161" i="3"/>
  <c r="L161" i="3" s="1"/>
  <c r="J227" i="3"/>
  <c r="L227" i="3" s="1"/>
  <c r="J163" i="3"/>
  <c r="L163" i="3" s="1"/>
  <c r="J219" i="3"/>
  <c r="L219" i="3" s="1"/>
  <c r="J225" i="3"/>
  <c r="L225" i="3" s="1"/>
  <c r="J261" i="3"/>
  <c r="L261" i="3" s="1"/>
  <c r="J213" i="3"/>
  <c r="L213" i="3" s="1"/>
  <c r="J257" i="3"/>
  <c r="L257" i="3" s="1"/>
  <c r="J287" i="3"/>
  <c r="L287" i="3" s="1"/>
  <c r="J177" i="3"/>
  <c r="L177" i="3" s="1"/>
  <c r="J179" i="3"/>
  <c r="L179" i="3" s="1"/>
  <c r="J203" i="3"/>
  <c r="L203" i="3" s="1"/>
  <c r="J209" i="3"/>
  <c r="L209" i="3" s="1"/>
  <c r="J251" i="3"/>
  <c r="L251" i="3" s="1"/>
  <c r="J283" i="3"/>
  <c r="L283" i="3" s="1"/>
  <c r="J193" i="3"/>
  <c r="L193" i="3" s="1"/>
  <c r="J145" i="3"/>
  <c r="L145" i="3" s="1"/>
  <c r="J243" i="3"/>
  <c r="L243" i="3" s="1"/>
  <c r="J313" i="3"/>
  <c r="L313" i="3" s="1"/>
  <c r="I11" i="6"/>
  <c r="I5" i="6"/>
  <c r="I8" i="6"/>
  <c r="I10" i="6"/>
  <c r="I9" i="6" l="1"/>
  <c r="K30" i="1"/>
  <c r="L30" i="1" s="1"/>
  <c r="K16" i="1"/>
  <c r="L16" i="1" s="1"/>
  <c r="K31" i="1"/>
  <c r="L31" i="1" s="1"/>
</calcChain>
</file>

<file path=xl/sharedStrings.xml><?xml version="1.0" encoding="utf-8"?>
<sst xmlns="http://schemas.openxmlformats.org/spreadsheetml/2006/main" count="2571" uniqueCount="901">
  <si>
    <t>BẢNG TỔNG HỢP VẬT TƯ BÈ PIN — 6 BÈ HỒ BẢN MÒNG (khung kết cấu "CT-KC-BE-01…06" 30/10/2026, HD lắp Mibet MRac G5)</t>
  </si>
  <si>
    <t>Nguồn: BV = lấy đúng bảng Revit trên tờ CT-BP; CAD = đếm / đo trên bản vẽ khung kết cấu; ƯL = ước lượng theo thông số sheet GiaDinh (phải đối chiếu BOM nhà sản xuất); NEO = theo mặt bằng neo trên web. Mục D vẽ trên bản vẽ khung có gia cường (lớp GC-*).</t>
  </si>
  <si>
    <t>STT</t>
  </si>
  <si>
    <t>Hạng mục</t>
  </si>
  <si>
    <t>Hình minh họa (tài liệu Mibet)</t>
  </si>
  <si>
    <t>Đơn vị</t>
  </si>
  <si>
    <t>BÈ 1</t>
  </si>
  <si>
    <t>BÈ 2</t>
  </si>
  <si>
    <t>BÈ 3</t>
  </si>
  <si>
    <t>BÈ 4</t>
  </si>
  <si>
    <t>BÈ 5</t>
  </si>
  <si>
    <t>BÈ 6</t>
  </si>
  <si>
    <t>TỔNG</t>
  </si>
  <si>
    <t>Tổng có hao hụt</t>
  </si>
  <si>
    <t>Nguồn</t>
  </si>
  <si>
    <t>Ghi chú</t>
  </si>
  <si>
    <t>A. PIN, INVERTER, PHAO NỔI</t>
  </si>
  <si>
    <t>Tấm pin mặt trời</t>
  </si>
  <si>
    <t>tấm</t>
  </si>
  <si>
    <t>BV</t>
  </si>
  <si>
    <t>16.912 tấm theo bảng từng tờ CT-BP (30/10/2026); lực gió và lực dây trên web tính theo số tấm từng bè này</t>
  </si>
  <si>
    <t>Inverter SG-510HX</t>
  </si>
  <si>
    <t>(không có hình trong tài liệu)</t>
  </si>
  <si>
    <t>bộ</t>
  </si>
  <si>
    <t>22 inverter; bản vẽ không có SG350HX</t>
  </si>
  <si>
    <t>Phao đỡ pin (Main Floater G5G)</t>
  </si>
  <si>
    <t>cái</t>
  </si>
  <si>
    <t>Phao đi lại (Walkway Floater) — nhóm 1</t>
  </si>
  <si>
    <t>Dải phao đi lại kèm đỡ inverter. Bản vẽ chia phao đi lại thành 2 dòng; cần nhà sản xuất xác nhận là 1 hay 2 loại phao</t>
  </si>
  <si>
    <t>Phao đi lại (Walkway Floater) — nhóm 2</t>
  </si>
  <si>
    <t>Dải phao đi lại</t>
  </si>
  <si>
    <t>Tổng phao</t>
  </si>
  <si>
    <t>Phao đỡ cáp điện giữa các bè</t>
  </si>
  <si>
    <t>Tờ MB-B01-01: 1.327 hàng × 2 = 2.654 phao. cả hồ (không chia theo bè)</t>
  </si>
  <si>
    <t>Bộ bulông nhựa nối phao</t>
  </si>
  <si>
    <t>ƯL</t>
  </si>
  <si>
    <t>Tổng phao bè × hệ số K_FB ở GiaDinh</t>
  </si>
  <si>
    <t>B. DẦM C52 (đặt trên rãnh phao)</t>
  </si>
  <si>
    <t>Dầm C52 — số thanh liên tục</t>
  </si>
  <si>
    <t>thanh</t>
  </si>
  <si>
    <t>CAD</t>
  </si>
  <si>
    <t>Đếm trên bản vẽ CAD khung kết cấu (đối chiếu bảng tờ CT-KC-BE: DoiChieu_KhungThep)</t>
  </si>
  <si>
    <t>Dầm C52 — chiều dài</t>
  </si>
  <si>
    <t>m</t>
  </si>
  <si>
    <t>Cộng từng thanh trên bản vẽ CAD</t>
  </si>
  <si>
    <t>Dầm C52 — số cây cấp hàng</t>
  </si>
  <si>
    <t>cây</t>
  </si>
  <si>
    <t>Từng thanh: ROUNDUP(L / L_C52) (sheet C52_TungThanh)</t>
  </si>
  <si>
    <t>Bộ nối dầm C52 (Splice for Beam-C)</t>
  </si>
  <si>
    <t>Số cây − số thanh. Nối đối đầu; mỗi bộ: 1 bản nối + 2 bulông M10×70 + 2 chốt M10×60 + đai ốc, long đen (tài liệu phụ kiện Mibet)</t>
  </si>
  <si>
    <t>Dầm C52 — khối lượng</t>
  </si>
  <si>
    <t>kg</t>
  </si>
  <si>
    <t>Theo tiết diện GIẢ ĐỊNH</t>
  </si>
  <si>
    <t>Bulông M8×35 bắt dầm C52 vào phao</t>
  </si>
  <si>
    <t>1 bộ tại mỗi chỗ dầm C52 vượt qua một hàng phao (K_XF)</t>
  </si>
  <si>
    <t>C. HỘP 40x60 KẾT CẤU (nằm ngang trên dầm C52)</t>
  </si>
  <si>
    <t>Hộp 40x60 — số thanh liên tục</t>
  </si>
  <si>
    <t>Đếm trên bản vẽ CAD khung kết cấu</t>
  </si>
  <si>
    <t>Hộp 40x60 — chiều dài</t>
  </si>
  <si>
    <t>Hộp 40x60 — số cây cấp hàng</t>
  </si>
  <si>
    <t>Từng thanh: ROUNDUP(L / L_H) (sheet Hop40x60_TungThanh)</t>
  </si>
  <si>
    <t>Bộ nối hộp 40x60 (Splice for Square Steel)</t>
  </si>
  <si>
    <t>Nối đối đầu bằng bộ nối của nhà sản xuất (datasheet G5G)</t>
  </si>
  <si>
    <t>Hộp 40x60 — khối lượng</t>
  </si>
  <si>
    <t>Bulông M10×120 bắt hộp 40x60 vào dầm C52</t>
  </si>
  <si>
    <t>1 bộ tại mỗi giao điểm hộp – dầm C52 (HD lắp G5 bước 8)</t>
  </si>
  <si>
    <t>D. HỘP 40x60 GIA CƯỜNG TẠI VỊ TRÍ NEO (vẽ trên bản vẽ khung kết cấu, lớp GC-*; sức chịu móc "几" GIẢ ĐỊNH)</t>
  </si>
  <si>
    <t>Hộp 40x60 gia cường — số thanh</t>
  </si>
  <si>
    <t>Sheet GiaCuong_TaiNeo (từng cụm, mã cụm như trên bản vẽ khung có gia cường)</t>
  </si>
  <si>
    <t>Hộp 40x60 gia cường — chiều dài</t>
  </si>
  <si>
    <t>Đo trên bản vẽ khung có gia cường (thanh dài 15 m, ngắn hơn ở cụm sát nhau)</t>
  </si>
  <si>
    <t>Hộp 40x60 gia cường — số cây cấp hàng</t>
  </si>
  <si>
    <t>Từng thanh: ROUNDUP(L / L_H)</t>
  </si>
  <si>
    <t>Bộ nối hộp 40x60 (gia cường)</t>
  </si>
  <si>
    <t>Móc chữ "几" kẹp hộp vào dầm C52</t>
  </si>
  <si>
    <t>HD lắp G5 bước 8: hộp dùng làm điểm neo kẹp bằng móc "几" tại mọi giao điểm với C52 — đếm giao điểm trên bản vẽ</t>
  </si>
  <si>
    <t>Bộ đai ốc thoi M10×30 (cho móc "几")</t>
  </si>
  <si>
    <t>2 bộ mỗi móc</t>
  </si>
  <si>
    <t>Bulông M10×120 (hộp gia cường)</t>
  </si>
  <si>
    <t>1 bộ mỗi móc</t>
  </si>
  <si>
    <t>Hộp 40x60 gia cường — khối lượng</t>
  </si>
  <si>
    <t>E. GÁ ĐỠ VÀ KẸP TẤM PIN</t>
  </si>
  <si>
    <t>Gá trước (Front Support G5)</t>
  </si>
  <si>
    <t>Gá sau (Back Support G5)</t>
  </si>
  <si>
    <t>Bộ kẹp biên tấm pin (End Clamp Kit, bulông M8×30)</t>
  </si>
  <si>
    <t>Bộ kẹp tiếp địa tấm pin</t>
  </si>
  <si>
    <t>Cần nối đẳng thế khung tấm pin; hỏi Mibet kẹp của MRac G5 có răng tiếp địa không và định mức bộ/tấm trước khi đặt</t>
  </si>
  <si>
    <t>Bộ đai ốc thoi M8×25 + long đen lớn (gá vào C52)</t>
  </si>
  <si>
    <t>F. ĐIỂM NEO TRÊN BÈ</t>
  </si>
  <si>
    <t>Ma ní chữ U (U-Shaped Shackle) làm bích neo trên bè</t>
  </si>
  <si>
    <t>NEO</t>
  </si>
  <si>
    <t>Cáp 2 nhánh chữ Y: 2 bích mỗi dây, bắt vào hộp 40x60 gia cường; mắt nhánh cáp móc thẳng vào ma ní này. Số dây theo mặt bằng neo của web (231 dây); dây nối hai bè: 1 bích mỗi đầu (6 dây nối)</t>
  </si>
  <si>
    <t>SỐ LIỆU LẤY TỪ BẢN VẼ "BO TRI BE PIN HO BAN MONG" (bảng Revit trên các tờ CT-BP-01…06, MB-B01-01) VÀ BẢN VẼ CAD KHUNG "CT-KC-BE-01…06" (30/10/2026)</t>
  </si>
  <si>
    <t>Mã</t>
  </si>
  <si>
    <t>PV</t>
  </si>
  <si>
    <t>Tấm pin (tấm)</t>
  </si>
  <si>
    <t>Bảng "THỐNG KÊ TẤM PIN MẶT TRỜI" (tờ CT-BP), cột Số tấm pin</t>
  </si>
  <si>
    <t>DPV</t>
  </si>
  <si>
    <t>Dải pin (hàng)</t>
  </si>
  <si>
    <t>Như trên, cột SỐ LƯỢNG HÀNG</t>
  </si>
  <si>
    <t>STR</t>
  </si>
  <si>
    <t>Số string</t>
  </si>
  <si>
    <t>Như trên, cột So string</t>
  </si>
  <si>
    <t>I510</t>
  </si>
  <si>
    <t>Inverter SG-510HX (bộ)</t>
  </si>
  <si>
    <t>Bảng "INVESTER" (tờ CT-BP)</t>
  </si>
  <si>
    <t>FS</t>
  </si>
  <si>
    <t>Phao đỡ pin — Main Floater (cái)</t>
  </si>
  <si>
    <t>Bảng "SỐ PHAO NỔI THEO BÈ", dòng "Dai phao do pin"</t>
  </si>
  <si>
    <t>FSR</t>
  </si>
  <si>
    <t>Số hàng phao đỡ pin</t>
  </si>
  <si>
    <t>FWA</t>
  </si>
  <si>
    <t>Phao đi lại kèm đỡ inverter (cái)</t>
  </si>
  <si>
    <t>Dòng "Dải phao đi lại kèm đỡ invester"</t>
  </si>
  <si>
    <t>FWB</t>
  </si>
  <si>
    <t>Phao đi lại (cái)</t>
  </si>
  <si>
    <t>Dòng "Dai phaodi lai"</t>
  </si>
  <si>
    <t>FWR</t>
  </si>
  <si>
    <t>Số hàng phao đi lại</t>
  </si>
  <si>
    <t>Cộng cột SỐ LƯỢNG HÀNG hai dòng phao đi lại</t>
  </si>
  <si>
    <t>FT</t>
  </si>
  <si>
    <t>Tổng phao (cái)</t>
  </si>
  <si>
    <t>Khớp "Grand total" của bảng phao từng tờ</t>
  </si>
  <si>
    <t>C52N</t>
  </si>
  <si>
    <t>Dầm C52 — số thanh (ĐO CAD)</t>
  </si>
  <si>
    <t>Đếm trên bản vẽ CAD khung (sheet C52_TungThanh)</t>
  </si>
  <si>
    <t>C52L</t>
  </si>
  <si>
    <t>Dầm C52 — chiều dài (m, ĐO CAD)</t>
  </si>
  <si>
    <t>HN</t>
  </si>
  <si>
    <t>Hộp 40x60 kết cấu — số thanh (ĐO CAD)</t>
  </si>
  <si>
    <t>Đếm trên bản vẽ CAD (sheet Hop40x60_TungThanh)</t>
  </si>
  <si>
    <t>HL</t>
  </si>
  <si>
    <t>Hộp 40x60 kết cấu — chiều dài (m, ĐO CAD)</t>
  </si>
  <si>
    <t>C52N_BV</t>
  </si>
  <si>
    <t>Dầm C52 — số thanh (bảng tờ CT-KC-BE)</t>
  </si>
  <si>
    <t>Bảng "THỐNG KÊ KHUNG THÉP" trên tờ khung — để đối chiếu</t>
  </si>
  <si>
    <t>C52L_BV</t>
  </si>
  <si>
    <t>Dầm C52 — chiều dài (m, bảng tờ CT-KC-BE)</t>
  </si>
  <si>
    <t>Như trên</t>
  </si>
  <si>
    <t>HN_BV</t>
  </si>
  <si>
    <t>Hộp 40x60 — số thanh (bảng tờ CT-KC-BE)</t>
  </si>
  <si>
    <t>HL_BV</t>
  </si>
  <si>
    <t>Hộp 40x60 — chiều dài (m, bảng tờ CT-KC-BE)</t>
  </si>
  <si>
    <t>LINE</t>
  </si>
  <si>
    <t>Số dây neo của bè (tuyến cáp)</t>
  </si>
  <si>
    <t>Mặt bằng neo trên web (ưu tiên bờ, 80 m)</t>
  </si>
  <si>
    <t>TIE</t>
  </si>
  <si>
    <t>Số dây nối sang bè bên cạnh</t>
  </si>
  <si>
    <t>ties.json của web (BÈ 2 – BÈ 4 nối thay cho các đế dùng chung ở khe)</t>
  </si>
  <si>
    <t>FC</t>
  </si>
  <si>
    <t>Phao đỡ cáp điện giữa các bè (cái, cả hồ)</t>
  </si>
  <si>
    <t>Tờ MB-B01-01, bảng "SỐ PHAO ĐỠ CÁP": 1327 hàng, 2654 phao (không chia theo bè)</t>
  </si>
  <si>
    <t>HỘP 40x60 GIA CƯỜNG TẠI VỊ TRÍ NEO — VẼ TRÊN BẢN VẼ KHUNG KẾT CẤU "CT-KC-BE-01…06" (lớp GC-*), CÁP 2 NHÁNH CHỮ Y (2 bích mỗi dây, cách nhau 3,5 m)</t>
  </si>
  <si>
    <t>Mỗi thanh nằm trên một hàng phao, theo phương hộp 40x60 kết cấu (vuông góc dầm C52), kẹp móc "几" vào MỌI dầm C52 nó cắt qua — số dầm cắt qua ĐẾM trên bản vẽ khung. Bích trên cạnh song song với hộp: các bích trong 14 m dùng chung thanh dọc cạnh (hàng phao thứ 2 tính từ mép); bích trên cạnh vuông góc: mỗi bích một thanh từ dầm C52 ngoài cùng vào trong. Số thanh cần = MAX(1; ROUNDUP(số bích × K_Y × T × γ / (dầm C52 cắt qua × P_KEP))); cột "Số thanh vẽ" là số thanh trên bản vẽ (theo giá trị mặc định ở GiaDinh) — sửa P_KEP mà cột Kiểm tra báo THIẾU thì phải vẽ thêm thanh.</t>
  </si>
  <si>
    <t>Bè</t>
  </si>
  <si>
    <t>Mã cụm (trên bản vẽ)</t>
  </si>
  <si>
    <t>Cách bố trí</t>
  </si>
  <si>
    <t>Bích trong cụm (mã dây + a/b)</t>
  </si>
  <si>
    <t>Số bích</t>
  </si>
  <si>
    <t>T dây (kN, gió 20 m/s)</t>
  </si>
  <si>
    <t>Lực thiết kế cụm = (số bích dây neo × K_Y × T + lực dây nối) × γ (kN)</t>
  </si>
  <si>
    <t>Dầm C52 cắt qua — thanh ít nhất (ĐO CAD)</t>
  </si>
  <si>
    <t>Sức chịu 1 thanh (kN)</t>
  </si>
  <si>
    <t>Số thanh cần</t>
  </si>
  <si>
    <t>Số thanh vẽ</t>
  </si>
  <si>
    <t>Kiểm tra</t>
  </si>
  <si>
    <t>Tổng dài (m, ĐO CAD)</t>
  </si>
  <si>
    <t>Số cây cấp hàng</t>
  </si>
  <si>
    <t>Số mối nối</t>
  </si>
  <si>
    <t>Móc "几" (cái, ĐO CAD)</t>
  </si>
  <si>
    <t>Đai ốc thoi M10×30 (bộ)</t>
  </si>
  <si>
    <t>Bulông M10×120 (bộ)</t>
  </si>
  <si>
    <t>Khối lượng (kg)</t>
  </si>
  <si>
    <t>B1-01</t>
  </si>
  <si>
    <t>Dọc cạnh</t>
  </si>
  <si>
    <t>B1-D12a, B1-D12b</t>
  </si>
  <si>
    <t>B1-02</t>
  </si>
  <si>
    <t>B1-D31a, B1-D31b</t>
  </si>
  <si>
    <t>B1-03</t>
  </si>
  <si>
    <t>B1-D05a, B1-D05b, B1-D35a, B1-D35b</t>
  </si>
  <si>
    <t>B1-04</t>
  </si>
  <si>
    <t>B1-D22a, B1-D22b</t>
  </si>
  <si>
    <t>B1-05</t>
  </si>
  <si>
    <t>B1-D09a, B1-D09b, B1-D41a, B1-D41b</t>
  </si>
  <si>
    <t>B1-06</t>
  </si>
  <si>
    <t>B1-D27b, B1-D27a, B1-D42b, B1-D42a</t>
  </si>
  <si>
    <t>B1-07</t>
  </si>
  <si>
    <t>B1-D06b, B1-D06a, B1-D38b, B1-D38a</t>
  </si>
  <si>
    <t>B1-08</t>
  </si>
  <si>
    <t>B1-D24b, B1-D24a</t>
  </si>
  <si>
    <t>B1-09</t>
  </si>
  <si>
    <t>B1-D17a, B1-D17b, B1-D33a, B1-D33b</t>
  </si>
  <si>
    <t>B1-10</t>
  </si>
  <si>
    <t>B1-D28a, B1-D28b</t>
  </si>
  <si>
    <t>B1-11</t>
  </si>
  <si>
    <t>B1-D01b, B1-D01a</t>
  </si>
  <si>
    <t>B1-12</t>
  </si>
  <si>
    <t>Vuông góc cạnh</t>
  </si>
  <si>
    <t>B1-D34a</t>
  </si>
  <si>
    <t>B1-13</t>
  </si>
  <si>
    <t>B1-D34b</t>
  </si>
  <si>
    <t>B1-14</t>
  </si>
  <si>
    <t>B1-D18a</t>
  </si>
  <si>
    <t>B1-15</t>
  </si>
  <si>
    <t>B1-D18b</t>
  </si>
  <si>
    <t>B1-16</t>
  </si>
  <si>
    <t>B1-D13b</t>
  </si>
  <si>
    <t>B1-17</t>
  </si>
  <si>
    <t>B1-D13a</t>
  </si>
  <si>
    <t>B1-18</t>
  </si>
  <si>
    <t>B1-D25b</t>
  </si>
  <si>
    <t>B1-19</t>
  </si>
  <si>
    <t>B1-D25a</t>
  </si>
  <si>
    <t>B1-20</t>
  </si>
  <si>
    <t>B1-D07b</t>
  </si>
  <si>
    <t>B1-21</t>
  </si>
  <si>
    <t>B1-D07a</t>
  </si>
  <si>
    <t>B1-22</t>
  </si>
  <si>
    <t>B1-D37b</t>
  </si>
  <si>
    <t>B1-23</t>
  </si>
  <si>
    <t>B1-D37a</t>
  </si>
  <si>
    <t>B1-24</t>
  </si>
  <si>
    <t>B1-D20b</t>
  </si>
  <si>
    <t>B1-25</t>
  </si>
  <si>
    <t>B1-D20a</t>
  </si>
  <si>
    <t>B1-26</t>
  </si>
  <si>
    <t>B1-D43b</t>
  </si>
  <si>
    <t>B1-27</t>
  </si>
  <si>
    <t>B1-D43a</t>
  </si>
  <si>
    <t>B1-28</t>
  </si>
  <si>
    <t>B1-D15b</t>
  </si>
  <si>
    <t>B1-29</t>
  </si>
  <si>
    <t>B1-D15a</t>
  </si>
  <si>
    <t>B1-30</t>
  </si>
  <si>
    <t>B1-D30b</t>
  </si>
  <si>
    <t>B1-31</t>
  </si>
  <si>
    <t>B1-D30a</t>
  </si>
  <si>
    <t>B1-32</t>
  </si>
  <si>
    <t>B1-D03b</t>
  </si>
  <si>
    <t>B1-33</t>
  </si>
  <si>
    <t>B1-D03a</t>
  </si>
  <si>
    <t>B1-34</t>
  </si>
  <si>
    <t>B1-D23b</t>
  </si>
  <si>
    <t>B1-35</t>
  </si>
  <si>
    <t>B1-D23a</t>
  </si>
  <si>
    <t>B1-36</t>
  </si>
  <si>
    <t>B1-D02b</t>
  </si>
  <si>
    <t>B1-37</t>
  </si>
  <si>
    <t>B1-D02a</t>
  </si>
  <si>
    <t>B1-38</t>
  </si>
  <si>
    <t>B1-D29b</t>
  </si>
  <si>
    <t>B1-39</t>
  </si>
  <si>
    <t>B1-D29a</t>
  </si>
  <si>
    <t>B1-40</t>
  </si>
  <si>
    <t>B1-D10b</t>
  </si>
  <si>
    <t>B1-41</t>
  </si>
  <si>
    <t>B1-D10a</t>
  </si>
  <si>
    <t>B1-42</t>
  </si>
  <si>
    <t>B1-D36b</t>
  </si>
  <si>
    <t>B1-43</t>
  </si>
  <si>
    <t>B1-D36a</t>
  </si>
  <si>
    <t>B1-44</t>
  </si>
  <si>
    <t>B1-D21b</t>
  </si>
  <si>
    <t>B1-45</t>
  </si>
  <si>
    <t>B1-D21a</t>
  </si>
  <si>
    <t>B1-46</t>
  </si>
  <si>
    <t>B1-D11a</t>
  </si>
  <si>
    <t>B1-47</t>
  </si>
  <si>
    <t>B1-D11b</t>
  </si>
  <si>
    <t>B1-48</t>
  </si>
  <si>
    <t>B1-D04a</t>
  </si>
  <si>
    <t>B1-49</t>
  </si>
  <si>
    <t>B1-D04b</t>
  </si>
  <si>
    <t>B1-50</t>
  </si>
  <si>
    <t>B1-D14a</t>
  </si>
  <si>
    <t>B1-51</t>
  </si>
  <si>
    <t>B1-D14b</t>
  </si>
  <si>
    <t>B1-52</t>
  </si>
  <si>
    <t>B1-D39a</t>
  </si>
  <si>
    <t>B1-53</t>
  </si>
  <si>
    <t>B1-D39b</t>
  </si>
  <si>
    <t>B1-54</t>
  </si>
  <si>
    <t>B1-D19a</t>
  </si>
  <si>
    <t>B1-55</t>
  </si>
  <si>
    <t>B1-D19b</t>
  </si>
  <si>
    <t>B1-56</t>
  </si>
  <si>
    <t>B1-D40a</t>
  </si>
  <si>
    <t>B1-57</t>
  </si>
  <si>
    <t>B1-D40b</t>
  </si>
  <si>
    <t>B1-58</t>
  </si>
  <si>
    <t>B1-D08a</t>
  </si>
  <si>
    <t>B1-59</t>
  </si>
  <si>
    <t>B1-D08b</t>
  </si>
  <si>
    <t>B1-60</t>
  </si>
  <si>
    <t>B1-D26a</t>
  </si>
  <si>
    <t>B1-61</t>
  </si>
  <si>
    <t>B1-D26b</t>
  </si>
  <si>
    <t>B1-62</t>
  </si>
  <si>
    <t>B1-D16a</t>
  </si>
  <si>
    <t>B1-63</t>
  </si>
  <si>
    <t>B1-D16b</t>
  </si>
  <si>
    <t>B1-64</t>
  </si>
  <si>
    <t>B1-D32a</t>
  </si>
  <si>
    <t>B1-65</t>
  </si>
  <si>
    <t>B1-D32b</t>
  </si>
  <si>
    <t>B2-01</t>
  </si>
  <si>
    <t>B2-D01b, B2-D01a</t>
  </si>
  <si>
    <t>B2-02</t>
  </si>
  <si>
    <t>B2-D25a, B2-D25b</t>
  </si>
  <si>
    <t>B2-03</t>
  </si>
  <si>
    <t>B2-D05a, B2-D05b</t>
  </si>
  <si>
    <t>B2-04</t>
  </si>
  <si>
    <t>B2-D17a, B2-D17b, B2-D44a</t>
  </si>
  <si>
    <t>B2-05</t>
  </si>
  <si>
    <t>B2-D44b, B2-D10a, B2-D10b</t>
  </si>
  <si>
    <t>B2-06</t>
  </si>
  <si>
    <t>B2-D23a, B2-D23b, B2-D34a</t>
  </si>
  <si>
    <t>B2-07</t>
  </si>
  <si>
    <t>B2-D34b, T24-01, T24-05</t>
  </si>
  <si>
    <t>B2-08</t>
  </si>
  <si>
    <t>T24-04, T24-02</t>
  </si>
  <si>
    <t>B2-09</t>
  </si>
  <si>
    <t>T24-03, T24-06, B2-D09a, B2-D09b</t>
  </si>
  <si>
    <t>B2-10</t>
  </si>
  <si>
    <t>B2-D54a, B2-D54b</t>
  </si>
  <si>
    <t>B2-11</t>
  </si>
  <si>
    <t>B2-D08a, B2-D08b, B2-D35a</t>
  </si>
  <si>
    <t>B2-12</t>
  </si>
  <si>
    <t>B2-D35b, B2-D22a, B2-D22b</t>
  </si>
  <si>
    <t>B2-13</t>
  </si>
  <si>
    <t>B2-D32a, B2-D32b, B2-D46a</t>
  </si>
  <si>
    <t>B2-14</t>
  </si>
  <si>
    <t>B2-D46b, B2-D02a, B2-D02b</t>
  </si>
  <si>
    <t>B2-15</t>
  </si>
  <si>
    <t>B2-D56a, B2-D58a, B2-D56b, B2-D58b, B2-D24a</t>
  </si>
  <si>
    <t>B2-16</t>
  </si>
  <si>
    <t>B2-D24b</t>
  </si>
  <si>
    <t>B2-17</t>
  </si>
  <si>
    <t>B2-D11a, B2-D11b</t>
  </si>
  <si>
    <t>B2-18</t>
  </si>
  <si>
    <t>B2-D38b, B2-D38a, B2-D14b</t>
  </si>
  <si>
    <t>B2-19</t>
  </si>
  <si>
    <t>B2-D14a</t>
  </si>
  <si>
    <t>B2-20</t>
  </si>
  <si>
    <t>B2-D26b, B2-D26a, B2-D41b</t>
  </si>
  <si>
    <t>B2-21</t>
  </si>
  <si>
    <t>B2-D41a, B2-D06b, B2-D06a</t>
  </si>
  <si>
    <t>B2-22</t>
  </si>
  <si>
    <t>B2-D19b, B2-D19a, B2-D52b</t>
  </si>
  <si>
    <t>B2-23</t>
  </si>
  <si>
    <t>B2-D52a, B2-D13b, B2-D13a</t>
  </si>
  <si>
    <t>B2-24</t>
  </si>
  <si>
    <t>B2-D55b, B2-D55a, B2-D48b, B2-D48a</t>
  </si>
  <si>
    <t>B2-25</t>
  </si>
  <si>
    <t>B2-D29b, B2-D29a</t>
  </si>
  <si>
    <t>B2-26</t>
  </si>
  <si>
    <t>B2-D04b, B2-D04a, B2-D36b</t>
  </si>
  <si>
    <t>B2-27</t>
  </si>
  <si>
    <t>B2-D36a, B2-D31b, B2-D31a</t>
  </si>
  <si>
    <t>B2-28</t>
  </si>
  <si>
    <t>B2-D15b, B2-D15a, B2-D43b</t>
  </si>
  <si>
    <t>B2-29</t>
  </si>
  <si>
    <t>B2-D43a, B2-D20b, B2-D20a</t>
  </si>
  <si>
    <t>B2-30</t>
  </si>
  <si>
    <t>B2-D51b, B2-D51a, B2-D07b</t>
  </si>
  <si>
    <t>B2-31</t>
  </si>
  <si>
    <t>B2-D07a, B2-D53b, B2-D53a</t>
  </si>
  <si>
    <t>B2-32</t>
  </si>
  <si>
    <t>B2-D37b</t>
  </si>
  <si>
    <t>B2-33</t>
  </si>
  <si>
    <t>B2-D37a</t>
  </si>
  <si>
    <t>B2-34</t>
  </si>
  <si>
    <t>B2-D12b</t>
  </si>
  <si>
    <t>B2-35</t>
  </si>
  <si>
    <t>B2-D12a</t>
  </si>
  <si>
    <t>B2-36</t>
  </si>
  <si>
    <t>B2-D27b</t>
  </si>
  <si>
    <t>B2-37</t>
  </si>
  <si>
    <t>B2-D27a</t>
  </si>
  <si>
    <t>B2-38</t>
  </si>
  <si>
    <t>B2-D42b</t>
  </si>
  <si>
    <t>B2-39</t>
  </si>
  <si>
    <t>B2-D42a</t>
  </si>
  <si>
    <t>B2-40</t>
  </si>
  <si>
    <t>B2-D39b</t>
  </si>
  <si>
    <t>B2-41</t>
  </si>
  <si>
    <t>B2-D39a</t>
  </si>
  <si>
    <t>B2-42</t>
  </si>
  <si>
    <t>B2-D28a</t>
  </si>
  <si>
    <t>B2-43</t>
  </si>
  <si>
    <t>B2-D28b</t>
  </si>
  <si>
    <t>B2-44</t>
  </si>
  <si>
    <t>B2-D47a</t>
  </si>
  <si>
    <t>B2-45</t>
  </si>
  <si>
    <t>B2-D47b</t>
  </si>
  <si>
    <t>B2-46</t>
  </si>
  <si>
    <t>B2-D49a</t>
  </si>
  <si>
    <t>B2-47</t>
  </si>
  <si>
    <t>B2-D49b</t>
  </si>
  <si>
    <t>B2-48</t>
  </si>
  <si>
    <t>B2-D16a</t>
  </si>
  <si>
    <t>B2-49</t>
  </si>
  <si>
    <t>B2-D16b</t>
  </si>
  <si>
    <t>B2-50</t>
  </si>
  <si>
    <t>B2-D40a</t>
  </si>
  <si>
    <t>B2-51</t>
  </si>
  <si>
    <t>B2-D40b</t>
  </si>
  <si>
    <t>B2-52</t>
  </si>
  <si>
    <t>B2-D21a</t>
  </si>
  <si>
    <t>B2-53</t>
  </si>
  <si>
    <t>B2-D21b</t>
  </si>
  <si>
    <t>B2-54</t>
  </si>
  <si>
    <t>B2-D30b</t>
  </si>
  <si>
    <t>B2-55</t>
  </si>
  <si>
    <t>B2-D30a</t>
  </si>
  <si>
    <t>B3-01</t>
  </si>
  <si>
    <t>B3-D02b, B3-D02a</t>
  </si>
  <si>
    <t>B3-02</t>
  </si>
  <si>
    <t>B3-D13b, B3-D13a</t>
  </si>
  <si>
    <t>B3-03</t>
  </si>
  <si>
    <t>B3-D05b, B3-D05a</t>
  </si>
  <si>
    <t>B3-04</t>
  </si>
  <si>
    <t>B3-D07a, B3-D07b</t>
  </si>
  <si>
    <t>B3-05</t>
  </si>
  <si>
    <t>B3-D14a, B3-D14b, B3-D18a, B3-D18b</t>
  </si>
  <si>
    <t>B3-06</t>
  </si>
  <si>
    <t>B3-D01a, B3-D01b</t>
  </si>
  <si>
    <t>B3-07</t>
  </si>
  <si>
    <t>B3-D10b</t>
  </si>
  <si>
    <t>B3-08</t>
  </si>
  <si>
    <t>B3-D10a</t>
  </si>
  <si>
    <t>B3-09</t>
  </si>
  <si>
    <t>B3-D04b</t>
  </si>
  <si>
    <t>B3-10</t>
  </si>
  <si>
    <t>B3-D04a</t>
  </si>
  <si>
    <t>B3-11</t>
  </si>
  <si>
    <t>B3-D15b</t>
  </si>
  <si>
    <t>B3-12</t>
  </si>
  <si>
    <t>B3-D15a</t>
  </si>
  <si>
    <t>B3-13</t>
  </si>
  <si>
    <t>B3-D08b</t>
  </si>
  <si>
    <t>B3-14</t>
  </si>
  <si>
    <t>B3-D08a</t>
  </si>
  <si>
    <t>B3-15</t>
  </si>
  <si>
    <t>B3-D11b</t>
  </si>
  <si>
    <t>B3-16</t>
  </si>
  <si>
    <t>B3-D11a</t>
  </si>
  <si>
    <t>B3-17</t>
  </si>
  <si>
    <t>B3-D16a</t>
  </si>
  <si>
    <t>B3-18</t>
  </si>
  <si>
    <t>B3-D16b</t>
  </si>
  <si>
    <t>B3-19</t>
  </si>
  <si>
    <t>B3-D06a</t>
  </si>
  <si>
    <t>B3-20</t>
  </si>
  <si>
    <t>B3-D06b</t>
  </si>
  <si>
    <t>B3-21</t>
  </si>
  <si>
    <t>B3-D19a</t>
  </si>
  <si>
    <t>B3-22</t>
  </si>
  <si>
    <t>B3-D19b</t>
  </si>
  <si>
    <t>B3-23</t>
  </si>
  <si>
    <t>B3-D09a</t>
  </si>
  <si>
    <t>B3-24</t>
  </si>
  <si>
    <t>B3-D09b</t>
  </si>
  <si>
    <t>B3-25</t>
  </si>
  <si>
    <t>B3-D17a</t>
  </si>
  <si>
    <t>B3-26</t>
  </si>
  <si>
    <t>B3-D17b</t>
  </si>
  <si>
    <t>B3-27</t>
  </si>
  <si>
    <t>B3-D03a</t>
  </si>
  <si>
    <t>B3-28</t>
  </si>
  <si>
    <t>B3-D03b</t>
  </si>
  <si>
    <t>B3-29</t>
  </si>
  <si>
    <t>B3-D12a</t>
  </si>
  <si>
    <t>B3-30</t>
  </si>
  <si>
    <t>B3-D12b</t>
  </si>
  <si>
    <t>B4-01</t>
  </si>
  <si>
    <t>B4-D07a, B4-D07b</t>
  </si>
  <si>
    <t>B4-02</t>
  </si>
  <si>
    <t>B4-D23a, B4-D23b</t>
  </si>
  <si>
    <t>B4-03</t>
  </si>
  <si>
    <t>T24-01</t>
  </si>
  <si>
    <t>B4-04</t>
  </si>
  <si>
    <t>T24-05</t>
  </si>
  <si>
    <t>B4-05</t>
  </si>
  <si>
    <t>T24-04</t>
  </si>
  <si>
    <t>B4-06</t>
  </si>
  <si>
    <t>T24-02, T24-03</t>
  </si>
  <si>
    <t>B4-07</t>
  </si>
  <si>
    <t>T24-06</t>
  </si>
  <si>
    <t>B4-08</t>
  </si>
  <si>
    <t>B4-D13a, B4-D13b</t>
  </si>
  <si>
    <t>B4-09</t>
  </si>
  <si>
    <t>B4-D28a, B4-D28b</t>
  </si>
  <si>
    <t>B4-10</t>
  </si>
  <si>
    <t>B4-D01a, B4-D01b</t>
  </si>
  <si>
    <t>B4-11</t>
  </si>
  <si>
    <t>B4-D19b</t>
  </si>
  <si>
    <t>B4-12</t>
  </si>
  <si>
    <t>B4-D19a</t>
  </si>
  <si>
    <t>B4-13</t>
  </si>
  <si>
    <t>B4-D09b</t>
  </si>
  <si>
    <t>B4-14</t>
  </si>
  <si>
    <t>B4-D09a</t>
  </si>
  <si>
    <t>B4-15</t>
  </si>
  <si>
    <t>B4-D27b</t>
  </si>
  <si>
    <t>B4-16</t>
  </si>
  <si>
    <t>B4-D27a</t>
  </si>
  <si>
    <t>B4-17</t>
  </si>
  <si>
    <t>B4-D21b</t>
  </si>
  <si>
    <t>B4-18</t>
  </si>
  <si>
    <t>B4-D21a</t>
  </si>
  <si>
    <t>B4-19</t>
  </si>
  <si>
    <t>B4-D08b</t>
  </si>
  <si>
    <t>B4-20</t>
  </si>
  <si>
    <t>B4-D08a</t>
  </si>
  <si>
    <t>B4-21</t>
  </si>
  <si>
    <t>B4-D17b</t>
  </si>
  <si>
    <t>B4-22</t>
  </si>
  <si>
    <t>B4-D17a</t>
  </si>
  <si>
    <t>B4-23</t>
  </si>
  <si>
    <t>B4-D11b</t>
  </si>
  <si>
    <t>B4-24</t>
  </si>
  <si>
    <t>B4-D11a</t>
  </si>
  <si>
    <t>B4-25</t>
  </si>
  <si>
    <t>B4-D26b</t>
  </si>
  <si>
    <t>B4-26</t>
  </si>
  <si>
    <t>B4-D26a</t>
  </si>
  <si>
    <t>B4-27</t>
  </si>
  <si>
    <t>B4-D03b</t>
  </si>
  <si>
    <t>B4-28</t>
  </si>
  <si>
    <t>B4-D03a</t>
  </si>
  <si>
    <t>B4-29</t>
  </si>
  <si>
    <t>B4-D30b</t>
  </si>
  <si>
    <t>B4-30</t>
  </si>
  <si>
    <t>B4-D30a</t>
  </si>
  <si>
    <t>B4-31</t>
  </si>
  <si>
    <t>B4-D15b</t>
  </si>
  <si>
    <t>B4-32</t>
  </si>
  <si>
    <t>B4-D15a</t>
  </si>
  <si>
    <t>B4-33</t>
  </si>
  <si>
    <t>B4-D34a</t>
  </si>
  <si>
    <t>B4-34</t>
  </si>
  <si>
    <t>B4-D34b</t>
  </si>
  <si>
    <t>B4-35</t>
  </si>
  <si>
    <t>B4-D20a</t>
  </si>
  <si>
    <t>B4-36</t>
  </si>
  <si>
    <t>B4-D20b</t>
  </si>
  <si>
    <t>B4-37</t>
  </si>
  <si>
    <t>B4-D06a</t>
  </si>
  <si>
    <t>B4-38</t>
  </si>
  <si>
    <t>B4-D06b</t>
  </si>
  <si>
    <t>B4-39</t>
  </si>
  <si>
    <t>B4-D32a</t>
  </si>
  <si>
    <t>B4-40</t>
  </si>
  <si>
    <t>B4-D32b</t>
  </si>
  <si>
    <t>B4-41</t>
  </si>
  <si>
    <t>B4-D14a</t>
  </si>
  <si>
    <t>B4-42</t>
  </si>
  <si>
    <t>B4-D14b</t>
  </si>
  <si>
    <t>B4-43</t>
  </si>
  <si>
    <t>B4-D22a</t>
  </si>
  <si>
    <t>B4-44</t>
  </si>
  <si>
    <t>B4-D22b</t>
  </si>
  <si>
    <t>B4-45</t>
  </si>
  <si>
    <t>B4-D04a</t>
  </si>
  <si>
    <t>B4-46</t>
  </si>
  <si>
    <t>B4-D04b</t>
  </si>
  <si>
    <t>B4-47</t>
  </si>
  <si>
    <t>B4-D18a</t>
  </si>
  <si>
    <t>B4-48</t>
  </si>
  <si>
    <t>B4-D18b</t>
  </si>
  <si>
    <t>B4-49</t>
  </si>
  <si>
    <t>B4-D12a</t>
  </si>
  <si>
    <t>B4-50</t>
  </si>
  <si>
    <t>B4-D12b</t>
  </si>
  <si>
    <t>B4-51</t>
  </si>
  <si>
    <t>B4-D29a</t>
  </si>
  <si>
    <t>B4-52</t>
  </si>
  <si>
    <t>B4-D29b</t>
  </si>
  <si>
    <t>B4-53</t>
  </si>
  <si>
    <t>B4-D36a</t>
  </si>
  <si>
    <t>B4-54</t>
  </si>
  <si>
    <t>B4-D36b</t>
  </si>
  <si>
    <t>B4-55</t>
  </si>
  <si>
    <t>B4-D05a</t>
  </si>
  <si>
    <t>B4-56</t>
  </si>
  <si>
    <t>B4-D05b</t>
  </si>
  <si>
    <t>B4-57</t>
  </si>
  <si>
    <t>B4-D24a</t>
  </si>
  <si>
    <t>B4-58</t>
  </si>
  <si>
    <t>B4-D24b</t>
  </si>
  <si>
    <t>B4-59</t>
  </si>
  <si>
    <t>B4-D33a</t>
  </si>
  <si>
    <t>B4-60</t>
  </si>
  <si>
    <t>B4-D33b</t>
  </si>
  <si>
    <t>B5-01</t>
  </si>
  <si>
    <t>B5-D29b, B5-D29a</t>
  </si>
  <si>
    <t>B5-02</t>
  </si>
  <si>
    <t>B5-D05b, B5-D05a</t>
  </si>
  <si>
    <t>B5-03</t>
  </si>
  <si>
    <t>B5-D18b, B5-D18a</t>
  </si>
  <si>
    <t>B5-04</t>
  </si>
  <si>
    <t>B5-D07a, B5-D07b</t>
  </si>
  <si>
    <t>B5-05</t>
  </si>
  <si>
    <t>B5-D19a, B5-D19b</t>
  </si>
  <si>
    <t>B5-06</t>
  </si>
  <si>
    <t>B5-D10a, B5-D10b</t>
  </si>
  <si>
    <t>B5-07</t>
  </si>
  <si>
    <t>B5-D27a, B5-D27b</t>
  </si>
  <si>
    <t>B5-08</t>
  </si>
  <si>
    <t>B5-D02a, B5-D02b, B5-D33a, B5-D33b</t>
  </si>
  <si>
    <t>B5-09</t>
  </si>
  <si>
    <t>B5-D21a, B5-D21b</t>
  </si>
  <si>
    <t>B5-10</t>
  </si>
  <si>
    <t>B5-D14a, B5-D14b</t>
  </si>
  <si>
    <t>B5-11</t>
  </si>
  <si>
    <t>B5-D01b, B5-D01a</t>
  </si>
  <si>
    <t>B5-12</t>
  </si>
  <si>
    <t>B5-D17b, B5-D17a</t>
  </si>
  <si>
    <t>B5-13</t>
  </si>
  <si>
    <t>B5-D12b, B5-D12a</t>
  </si>
  <si>
    <t>B5-14</t>
  </si>
  <si>
    <t>B5-D32b, B5-D32a</t>
  </si>
  <si>
    <t>B5-15</t>
  </si>
  <si>
    <t>B5-D08b, B5-D08a</t>
  </si>
  <si>
    <t>B5-16</t>
  </si>
  <si>
    <t>B5-D31a</t>
  </si>
  <si>
    <t>B5-17</t>
  </si>
  <si>
    <t>B5-D31b</t>
  </si>
  <si>
    <t>B5-18</t>
  </si>
  <si>
    <t>B5-D09a</t>
  </si>
  <si>
    <t>B5-19</t>
  </si>
  <si>
    <t>B5-D09b</t>
  </si>
  <si>
    <t>B5-20</t>
  </si>
  <si>
    <t>B5-D16a</t>
  </si>
  <si>
    <t>B5-21</t>
  </si>
  <si>
    <t>B5-D16b</t>
  </si>
  <si>
    <t>B5-22</t>
  </si>
  <si>
    <t>B5-D35a</t>
  </si>
  <si>
    <t>B5-23</t>
  </si>
  <si>
    <t>B5-D35b</t>
  </si>
  <si>
    <t>B5-24</t>
  </si>
  <si>
    <t>B5-D30a</t>
  </si>
  <si>
    <t>B5-25</t>
  </si>
  <si>
    <t>B5-D30b</t>
  </si>
  <si>
    <t>B5-26</t>
  </si>
  <si>
    <t>B5-D03a</t>
  </si>
  <si>
    <t>B5-27</t>
  </si>
  <si>
    <t>B5-D03b</t>
  </si>
  <si>
    <t>B5-28</t>
  </si>
  <si>
    <t>B5-D20a</t>
  </si>
  <si>
    <t>B5-29</t>
  </si>
  <si>
    <t>B5-D20b</t>
  </si>
  <si>
    <t>B5-30</t>
  </si>
  <si>
    <t>B5-D15a</t>
  </si>
  <si>
    <t>B5-31</t>
  </si>
  <si>
    <t>B5-D15b</t>
  </si>
  <si>
    <t>B5-32</t>
  </si>
  <si>
    <t>B5-D28a</t>
  </si>
  <si>
    <t>B5-33</t>
  </si>
  <si>
    <t>B5-D28b</t>
  </si>
  <si>
    <t>B5-34</t>
  </si>
  <si>
    <t>B5-D23b</t>
  </si>
  <si>
    <t>B5-35</t>
  </si>
  <si>
    <t>B5-D23a</t>
  </si>
  <si>
    <t>B5-36</t>
  </si>
  <si>
    <t>B5-D13b</t>
  </si>
  <si>
    <t>B5-37</t>
  </si>
  <si>
    <t>B5-D13a</t>
  </si>
  <si>
    <t>B5-38</t>
  </si>
  <si>
    <t>B5-D26b</t>
  </si>
  <si>
    <t>B5-39</t>
  </si>
  <si>
    <t>B5-D26a</t>
  </si>
  <si>
    <t>B5-40</t>
  </si>
  <si>
    <t>B5-D04b</t>
  </si>
  <si>
    <t>B5-41</t>
  </si>
  <si>
    <t>B5-D04a</t>
  </si>
  <si>
    <t>B5-42</t>
  </si>
  <si>
    <t>B5-D34b</t>
  </si>
  <si>
    <t>B5-43</t>
  </si>
  <si>
    <t>B5-D34a</t>
  </si>
  <si>
    <t>B5-44</t>
  </si>
  <si>
    <t>B5-D22b</t>
  </si>
  <si>
    <t>B5-45</t>
  </si>
  <si>
    <t>B5-D22a</t>
  </si>
  <si>
    <t>B5-46</t>
  </si>
  <si>
    <t>B5-D11b</t>
  </si>
  <si>
    <t>B5-47</t>
  </si>
  <si>
    <t>B5-D11a</t>
  </si>
  <si>
    <t>B5-48</t>
  </si>
  <si>
    <t>B5-D36b</t>
  </si>
  <si>
    <t>B5-49</t>
  </si>
  <si>
    <t>B5-D36a</t>
  </si>
  <si>
    <t>B5-50</t>
  </si>
  <si>
    <t>B5-D37b</t>
  </si>
  <si>
    <t>B5-51</t>
  </si>
  <si>
    <t>B5-D24b</t>
  </si>
  <si>
    <t>B5-52</t>
  </si>
  <si>
    <t>B5-D37a</t>
  </si>
  <si>
    <t>B5-53</t>
  </si>
  <si>
    <t>B5-D24a</t>
  </si>
  <si>
    <t>B5-54</t>
  </si>
  <si>
    <t>B5-D06b</t>
  </si>
  <si>
    <t>B5-55</t>
  </si>
  <si>
    <t>B5-D06a</t>
  </si>
  <si>
    <t>B5-56</t>
  </si>
  <si>
    <t>B5-D25b</t>
  </si>
  <si>
    <t>B5-57</t>
  </si>
  <si>
    <t>B5-D25a</t>
  </si>
  <si>
    <t>B6-01</t>
  </si>
  <si>
    <t>B6-D38a, B6-D38b, B6-D18a</t>
  </si>
  <si>
    <t>B6-02</t>
  </si>
  <si>
    <t>B6-D18b, B6-D47a, B6-D47b</t>
  </si>
  <si>
    <t>B6-03</t>
  </si>
  <si>
    <t>B6-D09a, B6-D09b</t>
  </si>
  <si>
    <t>B6-04</t>
  </si>
  <si>
    <t>B6-D24a, B6-D24b, B6-D45a</t>
  </si>
  <si>
    <t>B6-05</t>
  </si>
  <si>
    <t>B6-D45b</t>
  </si>
  <si>
    <t>B6-06</t>
  </si>
  <si>
    <t>B6-D28b, B6-D28a</t>
  </si>
  <si>
    <t>B6-07</t>
  </si>
  <si>
    <t>B6-D12b, B6-D12a, B6-D43b</t>
  </si>
  <si>
    <t>B6-08</t>
  </si>
  <si>
    <t>B6-D43a, B6-D22b, B6-D22a</t>
  </si>
  <si>
    <t>B6-09</t>
  </si>
  <si>
    <t>B6-D36b, B6-D36a, B6-D02b</t>
  </si>
  <si>
    <t>B6-10</t>
  </si>
  <si>
    <t>B6-D02a</t>
  </si>
  <si>
    <t>B6-11</t>
  </si>
  <si>
    <t>B6-D31b, B6-D31a, B6-D48b</t>
  </si>
  <si>
    <t>B6-12</t>
  </si>
  <si>
    <t>B6-D48a, B6-D11b, B6-D11a</t>
  </si>
  <si>
    <t>B6-13</t>
  </si>
  <si>
    <t>B6-D39b, B6-D39a, B6-D17b</t>
  </si>
  <si>
    <t>B6-14</t>
  </si>
  <si>
    <t>B6-D17a, B6-D34b, B6-D34a</t>
  </si>
  <si>
    <t>B6-15</t>
  </si>
  <si>
    <t>B6-D07b, B6-D07a, B6-D37b</t>
  </si>
  <si>
    <t>B6-16</t>
  </si>
  <si>
    <t>B6-D37a, B6-D32b, B6-D32a</t>
  </si>
  <si>
    <t>B6-17</t>
  </si>
  <si>
    <t>B6-D44b, B6-D44a, B6-D16b</t>
  </si>
  <si>
    <t>B6-18</t>
  </si>
  <si>
    <t>B6-D16a</t>
  </si>
  <si>
    <t>B6-19</t>
  </si>
  <si>
    <t>B6-D27b, B6-D27a</t>
  </si>
  <si>
    <t>B6-20</t>
  </si>
  <si>
    <t>B6-D03b, B6-D03a, B6-D41b</t>
  </si>
  <si>
    <t>B6-21</t>
  </si>
  <si>
    <t>B6-D41a, B6-D20b, B6-D20a</t>
  </si>
  <si>
    <t>B6-22</t>
  </si>
  <si>
    <t>B6-D21a, B6-D21b</t>
  </si>
  <si>
    <t>B6-23</t>
  </si>
  <si>
    <t>B6-D04a, B6-D04b</t>
  </si>
  <si>
    <t>B6-24</t>
  </si>
  <si>
    <t>B6-D30a, B6-D30b, B6-D49a</t>
  </si>
  <si>
    <t>B6-25</t>
  </si>
  <si>
    <t>B6-D49b, B6-D14a, B6-D14b</t>
  </si>
  <si>
    <t>B6-26</t>
  </si>
  <si>
    <t>B6-D40a, B6-D40b, B6-D23a</t>
  </si>
  <si>
    <t>B6-27</t>
  </si>
  <si>
    <t>B6-D23b, B6-D35a, B6-D35b</t>
  </si>
  <si>
    <t>B6-28</t>
  </si>
  <si>
    <t>B6-D05a, B6-D05b, B6-D50a</t>
  </si>
  <si>
    <t>B6-29</t>
  </si>
  <si>
    <t>B6-D50b, B6-D19a, B6-D19b</t>
  </si>
  <si>
    <t>B6-30</t>
  </si>
  <si>
    <t>B6-D42a, B6-D42b, B6-D10a</t>
  </si>
  <si>
    <t>B6-31</t>
  </si>
  <si>
    <t>B6-D10b</t>
  </si>
  <si>
    <t>B6-32</t>
  </si>
  <si>
    <t>B6-D29a, B6-D29b, B6-D33a</t>
  </si>
  <si>
    <t>B6-33</t>
  </si>
  <si>
    <t>B6-D33b, B6-D01a, B6-D01b</t>
  </si>
  <si>
    <t>B6-34</t>
  </si>
  <si>
    <t>B6-D06a</t>
  </si>
  <si>
    <t>B6-35</t>
  </si>
  <si>
    <t>B6-D06b</t>
  </si>
  <si>
    <t>B6-36</t>
  </si>
  <si>
    <t>B6-D26a</t>
  </si>
  <si>
    <t>B6-37</t>
  </si>
  <si>
    <t>B6-D26b</t>
  </si>
  <si>
    <t>B6-38</t>
  </si>
  <si>
    <t>B6-D15a</t>
  </si>
  <si>
    <t>B6-39</t>
  </si>
  <si>
    <t>B6-D15b</t>
  </si>
  <si>
    <t>B6-40</t>
  </si>
  <si>
    <t>B6-D46b</t>
  </si>
  <si>
    <t>B6-41</t>
  </si>
  <si>
    <t>B6-D46a</t>
  </si>
  <si>
    <t>B6-42</t>
  </si>
  <si>
    <t>B6-D13b</t>
  </si>
  <si>
    <t>B6-43</t>
  </si>
  <si>
    <t>B6-D13a</t>
  </si>
  <si>
    <t>B6-44</t>
  </si>
  <si>
    <t>B6-D25b</t>
  </si>
  <si>
    <t>B6-45</t>
  </si>
  <si>
    <t>B6-D25a</t>
  </si>
  <si>
    <t>B6-46</t>
  </si>
  <si>
    <t>B6-D08b</t>
  </si>
  <si>
    <t>B6-47</t>
  </si>
  <si>
    <t>B6-D08a</t>
  </si>
  <si>
    <t>DẦM C52 — TỪNG THANH ĐO TRÊN BẢN VẼ CAD "CT-KC-BE-01…06" (khung bao của từng thanh Revit, m)</t>
  </si>
  <si>
    <t>Chiều dài thanh (m)</t>
  </si>
  <si>
    <t>Số cây cấp hàng = ROUNDUP(L / L_C52)</t>
  </si>
  <si>
    <t>Số mối nối = số cây − 1</t>
  </si>
  <si>
    <t>HỘP 40x60 KẾT CẤU — TỪNG THANH ĐO TRÊN BẢN VẼ CAD "CT-KC-BE-01…06" (khung bao của từng thanh Revit, m)</t>
  </si>
  <si>
    <t>Số cây cấp hàng = ROUNDUP(L / L_H)</t>
  </si>
  <si>
    <t>ĐỐI CHIẾU BẢNG "THỐNG KÊ KHUNG THÉP" TRÊN TỜ CT-KC-BE-01…06 VỚI KHUNG VẼ TRONG CHÍNH TỜ ĐÓ (đếm và đo từng thanh)</t>
  </si>
  <si>
    <t>Số thanh — bảng</t>
  </si>
  <si>
    <t>Số thanh — CAD</t>
  </si>
  <si>
    <t>Lệch</t>
  </si>
  <si>
    <t>Chiều dài — bảng (m)</t>
  </si>
  <si>
    <t>Chiều dài — CAD (m)</t>
  </si>
  <si>
    <t>Lệch (m)</t>
  </si>
  <si>
    <t>Kết luận</t>
  </si>
  <si>
    <t>Dầm C52</t>
  </si>
  <si>
    <t>Hộp 40x60</t>
  </si>
  <si>
    <t>ĐỐI CHIẾU TỜ CT-BP VÀ KHUNG CT-KC-BE (30/10/2026) VỚI MẶT BẰNG BÈ MÀ WEB DÙNG TÍNH NEO (bản vẽ CAD bố trí bè 30/10/2026)</t>
  </si>
  <si>
    <t>Diện tích tờ CT-BP đo trên ảnh tờ (tỷ lệ in trên tờ, gồm cả mép phao); diện tích khung = phần phủ của dầm C52, hộp 40x60 và dải phao trên bản vẽ khung. Bản vẽ khung là mặt bằng neo xoay quanh gốc tọa độ: góc xoay và độ lệch khi khớp đường bao vào mép dải phao.</t>
  </si>
  <si>
    <t>Diện tích khung CAD (m²)</t>
  </si>
  <si>
    <t>Diện tích trên web (m²)</t>
  </si>
  <si>
    <t>Lệch diện tích</t>
  </si>
  <si>
    <t>Tấm pin (tờ CT-BP = web)</t>
  </si>
  <si>
    <t>Dầm C52 TB 1 thanh (m)</t>
  </si>
  <si>
    <t>Hộp 40x60 TB 1 thanh (m)</t>
  </si>
  <si>
    <t>Góc xoay khung (°)</t>
  </si>
  <si>
    <t>Lệch khớp TB (m)</t>
  </si>
  <si>
    <t>Số dây neo</t>
  </si>
  <si>
    <t>Diện tích tờ CT-BP (m²)</t>
  </si>
  <si>
    <t>THÔNG SỐ GIẢ ĐỊNH — ô tô vàng là ô NHẬP, sửa là cả file tự tính lại (bản vẽ gia cường vẽ theo giá trị mặc định)</t>
  </si>
  <si>
    <t>Thông số</t>
  </si>
  <si>
    <t>Giá trị</t>
  </si>
  <si>
    <t>L_C52</t>
  </si>
  <si>
    <t>Chiều dài cây dầm C52 khi cấp hàng</t>
  </si>
  <si>
    <t>GIẢ ĐỊNH. HD lắp Mibet G5 dùng đoạn L2990 / L3750 — nếu cấp đoạn ~3 m thì số mối nối gần gấp đôi</t>
  </si>
  <si>
    <t>L_H</t>
  </si>
  <si>
    <t>Chiều dài cây hộp 40x60</t>
  </si>
  <si>
    <t>GIẢ ĐỊNH, cây thép hộp thương mại 6 m</t>
  </si>
  <si>
    <t>M_C52</t>
  </si>
  <si>
    <t>Khối lượng dầm C52</t>
  </si>
  <si>
    <t>kg/m</t>
  </si>
  <si>
    <t>GIẢ ĐỊNH tiết diện C 52×41×12×2,0 (chưa có catalogue nhà sản xuất)</t>
  </si>
  <si>
    <t>M_H</t>
  </si>
  <si>
    <t>Khối lượng hộp 40x60</t>
  </si>
  <si>
    <t>GIẢ ĐỊNH 40×60×2,0</t>
  </si>
  <si>
    <t>K_FS</t>
  </si>
  <si>
    <t>Gá trước (Front Support) mỗi tấm pin</t>
  </si>
  <si>
    <t>cái/tấm</t>
  </si>
  <si>
    <t>ƯỚC LƯỢNG theo HD lắp G5</t>
  </si>
  <si>
    <t>K_BS</t>
  </si>
  <si>
    <t>Gá sau (Back Support) mỗi tấm pin</t>
  </si>
  <si>
    <t>ƯỚC LƯỢNG</t>
  </si>
  <si>
    <t>K_EC</t>
  </si>
  <si>
    <t>Bộ kẹp biên tấm pin (End Clamp Kit) mỗi tấm</t>
  </si>
  <si>
    <t>bộ/tấm</t>
  </si>
  <si>
    <t>K_GC</t>
  </si>
  <si>
    <t>Bộ kẹp tiếp địa mỗi tấm</t>
  </si>
  <si>
    <t>ƯỚC LƯỢNG; hỏi Mibet: kẹp biên/kẹp giữa có răng tiếp địa thì bỏ được hạng mục này, hoặc 1 bộ/tấm</t>
  </si>
  <si>
    <t>K_RN8</t>
  </si>
  <si>
    <t>Bộ đai ốc thoi M8×25 bắt gá vào C52</t>
  </si>
  <si>
    <t>ƯỚC LƯỢNG = 1 bộ mỗi gá</t>
  </si>
  <si>
    <t>K_FB</t>
  </si>
  <si>
    <t>bộ/phao</t>
  </si>
  <si>
    <t>ƯỚC LƯỢNG (HD: các phao nối với nhau bằng bulông + đai ốc nhựa)</t>
  </si>
  <si>
    <t>HH</t>
  </si>
  <si>
    <t>Hao hụt phụ kiện, bulông</t>
  </si>
  <si>
    <t>%</t>
  </si>
  <si>
    <t>GIẢ ĐỊNH, chỉ cộng ở cột "Tổng có hao hụt"</t>
  </si>
  <si>
    <t>L_GC</t>
  </si>
  <si>
    <t>Chiều dài 1 thanh hộp 40x60 gia cường tai neo</t>
  </si>
  <si>
    <t>Như Huổi Vanh (bản vẽ gia cường bè 1 Huổi Vanh 9 bè: 13,4–15,5 m)</t>
  </si>
  <si>
    <t>P_KEP</t>
  </si>
  <si>
    <t>Sức chịu 1 móc "几" (2 đai ốc thoi M10×30 trong rãnh C52)</t>
  </si>
  <si>
    <t>kN</t>
  </si>
  <si>
    <t>GIẢ ĐỊNH — chưa có số liệu nhà sản xuất; quyết định số thanh xếp song song ở cụm chịu lực lớn. Bản vẽ vẽ số thanh theo giá trị mặc định này</t>
  </si>
  <si>
    <t>GAMMA</t>
  </si>
  <si>
    <t>Hệ số tải trọng cho lực dây</t>
  </si>
  <si>
    <t>Như kiểm tra cọc (pileBendingLoadFactor)</t>
  </si>
  <si>
    <t>K_Y</t>
  </si>
  <si>
    <t>Phần lực dây vào MỘT bích (cáp 2 nhánh chữ Y)</t>
  </si>
  <si>
    <t>× T</t>
  </si>
  <si>
    <t>Chia đều ở góc 60°: 0,58 T; lấy 0,7 T vì 2 nhánh có thể dài lệch nhau (cùng giả định với bảng vật tư neo, sheet KiemTra_Nhanh)</t>
  </si>
  <si>
    <t>K_XF</t>
  </si>
  <si>
    <t>Số chỗ dầm C52 vượt qua một hàng phao, trên 1 m dầm</t>
  </si>
  <si>
    <t>điểm/m</t>
  </si>
  <si>
    <t>ĐO trên bản vẽ CAD khung: hàng phao đỡ pin cách nhau ~2,0 m</t>
  </si>
  <si>
    <t>B_C52</t>
  </si>
  <si>
    <t>Khoảng cách trung bình giữa các dầm C52 (theo phương hộp)</t>
  </si>
  <si>
    <t>ĐO trên bản vẽ CAD khung 6 bè. Chỉ dùng ước lượng bulông M10×120 hộp kết cấu – dầm (1 bộ mỗi giao điểm); hộp gia cường đếm giao điểm trên bản vẽ</t>
  </si>
  <si>
    <t>GHI CHÚ, NGUỒN SỐ LIỆU VÀ CÁC ĐIỂM CẦN XÁC NHẬN</t>
  </si>
  <si>
    <t>Nguồn: "BO TRI BE PIN HO BAN MONG.pdf" (Revit, Chủ đầu tư 30/10/2026: CT-BP-01…06 bố trí từng bè có bảng tấm pin, phao, inverter; MB-B01-01 mặt bằng tổng có bảng phao đỡ cáp) và 6 tờ khung kết cấu "CHUGIAP-HOBANMONG ver 2-Sheet - CT-KC-BE-01…06 - BỐ TRÍ KHUNG KẾT CẤU BÈ PIN 0n.dxf"; HD lắp Mibet MRac G5, tài liệu phụ kiện Mibet, datasheet G5G. Script: scripts/buildHuoiVanhRaftReinforcement.py --lake=ban-mong, scripts/buildBanMongRaftBOQ.py.</t>
  </si>
  <si>
    <t>Số tấm pin, phao, inverter lấy NGUYÊN bảng Revit trên tờ CT-BP (script kiểm tổng từng bảng). Dầm C52, hộp 40x60 kết cấu ĐO từng thanh trên bản vẽ CAD khung có gia cường (sheet C52_TungThanh, Hop40x60_TungThanh); đối chiếu bảng trên tờ khung ở sheet DoiChieu_KhungThep.</t>
  </si>
  <si>
    <t>Số tấm pin 16.912 tấm (BÈ 1: 2.912; BÈ 2: 4.200; BÈ 3: 700; BÈ 4: 2.100; BÈ 5: 2.800; BÈ 6: 4.200). Từ 30/10/2026 lực gió. lực dây. cáp. cọc. đế trên web và trong thuyết minh. bảng tính. bảng vật tư neo đều tính theo số tấm này (trước đó tạm 16.900 chia theo diện tích).</t>
  </si>
  <si>
    <t>Hộp 40x60 gia cường tại vị trí neo: vẽ thêm vào bản vẽ khung (lớp GC-HOP 40x60 GIA CUONG, GC-BICH NEO, GC-DAY NEO, GC-GHI CHU; file "... BỐ TRÍ KHUNG KẾT CẤU BÈ PIN 0n - GIA CƯỜNG TẠI VỊ TRÍ NEO.dwg"). Cáp 2 nhánh chữ Y, 2 bích mỗi dây cách nhau 3,5 m, mỗi bích chịu K_Y × T; T là lực dây của bè trong bảng vật tư neo (engine, gió 20 m/s, bù mực nước liên tục + khóa bão). Với P_KEP = 7 kN GIẢ ĐỊNH, cụm chịu lực lớn cần 2–6 thanh trên các hàng phao kế nhau — cần số liệu sức chịu móc "几" của Mibet; chi tiết liên kết bích – hộp do nhà cung cấp bè lập.</t>
  </si>
  <si>
    <t>Mặt bằng neo (số dây, vị trí bích) là của web (ưu tiên bờ, tầm dây bờ 80 m, 243 dây), tính trên mặt bằng bè CAD 30/10/2026. Bản vẽ khung là mặt bằng đó xoay quanh gốc tọa độ (BÈ 1 105°, BÈ 2 15°, BÈ 3 94°, BÈ 4 84,9°, BÈ 5 60,3°, BÈ 6 35°), khớp đường bao lệch trung bình 0,3–0,8 m; khung rộng hơn đường bao 1,3–2 m ở một cạnh nên vị trí bích có thể lệch ~1 m dọc mép (thanh 15 m vẫn phủ).</t>
  </si>
  <si>
    <t>Khối lượng thép theo tiết diện GIẢ ĐỊNH (C52 ≈ 2,36 kg/m; hộp 40×60×2,0 ≈ 3,01 kg/m) vì chưa có catalogue tiết diện của nhà sản xuất.</t>
  </si>
  <si>
    <t>Gá đỡ, kẹp tấm pin, bulông nối phao, bulông M8 / M10 của khung là ƯỚC LƯỢNG theo hệ số mỗi tấm / mỗi phao / mỗi mét (sheet GiaDinh) — phải thay bằng BOM của nhà sản xuất khi có. Kẹp tiếp địa: hỏi Mibet trước khi đặt.</t>
  </si>
  <si>
    <t>Chưa gồm: cáp neo, phụ kiện đầu cáp, thiết bị bù mực nước, cọc khoan nhồi, đế neo (xem bảng thống kê vật tư neo Bản Mòng), cáp điện DC/AC, máng cáp, tủ điện, tấm lối đi, vận chuyển.</t>
  </si>
  <si>
    <t>Hình minh họa ở cột C chép từ bảng vật tư bè pin Huổi Vanh trước đây (cắt từ tài liệu Mibet): chỉ để nhận dạng loại vật tư, không phải bản vẽ chế tạo.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</si>
</sst>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
  </numFmts>
  <fonts count="4" x14ac:knownFonts="1">
    <font>
      <sz val="11"/>
      <color theme="1"/>
      <name val="Calibri"/>
      <family val="2"/>
      <scheme val="minor"/>
    </font>
    <font>
      <b/>
      <sz val="13"/>
      <name val="Calibri"/>
    </font>
    <font>
      <b/>
      <sz val="12"/>
      <name val="Calibri"/>
    </font>
    <font>
      <sz val="12"/>
      <name val="Calibri"/>
    </font>
  </fonts>
  <fills count="5">
    <fill>
      <patternFill patternType="none"/>
    </fill>
    <fill>
      <patternFill patternType="gray125"/>
    </fill>
    <fill>
      <patternFill patternType="solid">
        <fgColor rgb="FFF2F2F2"/>
      </patternFill>
    </fill>
    <fill>
      <patternFill patternType="solid">
        <fgColor rgb="FFFFFF99"/>
      </patternFill>
    </fill>
    <fill>
      <patternFill patternType="solid">
        <fgColor rgb="FFD9D9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3" fillId="4"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4" fontId="3" fillId="0" borderId="1" xfId="0" applyNumberFormat="1" applyFont="1" applyBorder="1" applyAlignment="1">
      <alignment vertical="center" wrapText="1"/>
    </xf>
    <xf numFmtId="0" fontId="2" fillId="0" borderId="0" xfId="0" applyFont="1"/>
    <xf numFmtId="164" fontId="3" fillId="0" borderId="1" xfId="0" applyNumberFormat="1" applyFont="1" applyBorder="1" applyAlignment="1">
      <alignment vertical="center" wrapText="1"/>
    </xf>
    <xf numFmtId="165" fontId="3" fillId="0" borderId="1" xfId="0" applyNumberFormat="1" applyFont="1" applyBorder="1" applyAlignment="1">
      <alignment vertical="center" wrapText="1"/>
    </xf>
    <xf numFmtId="0" fontId="2" fillId="2" borderId="0" xfId="0" applyFont="1" applyFill="1" applyAlignment="1">
      <alignment horizontal="center" vertical="center" wrapText="1"/>
    </xf>
    <xf numFmtId="167" fontId="0" fillId="0" borderId="0" xfId="0" applyNumberFormat="1"/>
    <xf numFmtId="166" fontId="3" fillId="0" borderId="1" xfId="0" applyNumberFormat="1" applyFont="1" applyBorder="1" applyAlignment="1">
      <alignment vertical="center" wrapText="1"/>
    </xf>
    <xf numFmtId="0" fontId="2" fillId="0" borderId="1" xfId="0" applyFont="1" applyBorder="1" applyAlignment="1">
      <alignment vertical="center" wrapText="1"/>
    </xf>
    <xf numFmtId="3" fontId="2" fillId="0" borderId="1" xfId="0" applyNumberFormat="1" applyFont="1" applyBorder="1" applyAlignment="1">
      <alignment vertical="center" wrapText="1"/>
    </xf>
    <xf numFmtId="166" fontId="2" fillId="0" borderId="1" xfId="0" applyNumberFormat="1" applyFont="1" applyBorder="1" applyAlignment="1">
      <alignment vertical="center" wrapText="1"/>
    </xf>
    <xf numFmtId="0" fontId="3" fillId="3" borderId="1" xfId="0" applyFont="1" applyFill="1" applyBorder="1" applyAlignment="1">
      <alignment vertical="center" wrapText="1"/>
    </xf>
    <xf numFmtId="0" fontId="0" fillId="0" borderId="0" xfId="0" applyAlignment="1">
      <alignment vertical="center" wrapText="1"/>
    </xf>
    <xf numFmtId="0" fontId="0" fillId="0" borderId="0" xfId="0"/>
    <xf numFmtId="0" fontId="1" fillId="0" borderId="0" xfId="0" applyFont="1"/>
    <xf numFmtId="0" fontId="3"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1400302" cy="9398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6</xdr:row>
      <xdr:rowOff>0</xdr:rowOff>
    </xdr:from>
    <xdr:ext cx="1271325" cy="9398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7</xdr:row>
      <xdr:rowOff>0</xdr:rowOff>
    </xdr:from>
    <xdr:ext cx="1340513" cy="9398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8</xdr:row>
      <xdr:rowOff>0</xdr:rowOff>
    </xdr:from>
    <xdr:ext cx="1271325" cy="9398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11</xdr:row>
      <xdr:rowOff>0</xdr:rowOff>
    </xdr:from>
    <xdr:ext cx="1141741" cy="9398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14</xdr:row>
      <xdr:rowOff>0</xdr:rowOff>
    </xdr:from>
    <xdr:ext cx="1213909" cy="9398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15</xdr:row>
      <xdr:rowOff>0</xdr:rowOff>
    </xdr:from>
    <xdr:ext cx="1213909" cy="9398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16</xdr:row>
      <xdr:rowOff>0</xdr:rowOff>
    </xdr:from>
    <xdr:ext cx="1153866" cy="9398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17</xdr:row>
      <xdr:rowOff>0</xdr:rowOff>
    </xdr:from>
    <xdr:ext cx="1213909" cy="9398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18</xdr:row>
      <xdr:rowOff>0</xdr:rowOff>
    </xdr:from>
    <xdr:ext cx="1015961" cy="9398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20</xdr:row>
      <xdr:rowOff>0</xdr:rowOff>
    </xdr:from>
    <xdr:ext cx="1274207" cy="9398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21</xdr:row>
      <xdr:rowOff>0</xdr:rowOff>
    </xdr:from>
    <xdr:ext cx="1274207" cy="93980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22</xdr:row>
      <xdr:rowOff>0</xdr:rowOff>
    </xdr:from>
    <xdr:ext cx="1274207" cy="93980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23</xdr:row>
      <xdr:rowOff>0</xdr:rowOff>
    </xdr:from>
    <xdr:ext cx="1023805" cy="93980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24</xdr:row>
      <xdr:rowOff>0</xdr:rowOff>
    </xdr:from>
    <xdr:ext cx="1274207" cy="9398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25</xdr:row>
      <xdr:rowOff>0</xdr:rowOff>
    </xdr:from>
    <xdr:ext cx="678124" cy="93980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27</xdr:row>
      <xdr:rowOff>0</xdr:rowOff>
    </xdr:from>
    <xdr:ext cx="1106072" cy="93980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28</xdr:row>
      <xdr:rowOff>0</xdr:rowOff>
    </xdr:from>
    <xdr:ext cx="1106072" cy="93980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29</xdr:row>
      <xdr:rowOff>0</xdr:rowOff>
    </xdr:from>
    <xdr:ext cx="1106072" cy="9398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30</xdr:row>
      <xdr:rowOff>0</xdr:rowOff>
    </xdr:from>
    <xdr:ext cx="1023805" cy="93980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31</xdr:row>
      <xdr:rowOff>0</xdr:rowOff>
    </xdr:from>
    <xdr:ext cx="1282156" cy="93980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32</xdr:row>
      <xdr:rowOff>0</xdr:rowOff>
    </xdr:from>
    <xdr:ext cx="1282156" cy="9398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33</xdr:row>
      <xdr:rowOff>0</xdr:rowOff>
    </xdr:from>
    <xdr:ext cx="678124" cy="9398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34</xdr:row>
      <xdr:rowOff>0</xdr:rowOff>
    </xdr:from>
    <xdr:ext cx="1106072" cy="9398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36</xdr:row>
      <xdr:rowOff>0</xdr:rowOff>
    </xdr:from>
    <xdr:ext cx="1360692" cy="93980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37</xdr:row>
      <xdr:rowOff>0</xdr:rowOff>
    </xdr:from>
    <xdr:ext cx="1151255" cy="93980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38</xdr:row>
      <xdr:rowOff>0</xdr:rowOff>
    </xdr:from>
    <xdr:ext cx="1232182" cy="9398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40</xdr:row>
      <xdr:rowOff>0</xdr:rowOff>
    </xdr:from>
    <xdr:ext cx="1067286" cy="9398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42</xdr:row>
      <xdr:rowOff>0</xdr:rowOff>
    </xdr:from>
    <xdr:ext cx="1128129" cy="9398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
  <sheetViews>
    <sheetView tabSelected="1" workbookViewId="0">
      <pane xSplit="4" ySplit="3" topLeftCell="E4" activePane="bottomRight" state="frozen"/>
      <selection pane="topRight"/>
      <selection pane="bottomLeft"/>
      <selection pane="bottomRight" sqref="A1:N1"/>
    </sheetView>
  </sheetViews>
  <sheetFormatPr defaultRowHeight="14.5" x14ac:dyDescent="0.35"/>
  <cols>
    <col min="1" max="1" width="6" customWidth="1"/>
    <col min="2" max="2" width="46" customWidth="1"/>
    <col min="3" max="3" width="23" customWidth="1"/>
    <col min="4" max="4" width="8" customWidth="1"/>
    <col min="5" max="10" width="10" customWidth="1"/>
    <col min="11" max="11" width="12" customWidth="1"/>
    <col min="12" max="12" width="13" customWidth="1"/>
    <col min="13" max="13" width="8" customWidth="1"/>
    <col min="14" max="14" width="80" customWidth="1"/>
  </cols>
  <sheetData>
    <row r="1" spans="1:14" ht="17" customHeight="1" x14ac:dyDescent="0.4">
      <c r="A1" s="22" t="s">
        <v>0</v>
      </c>
      <c r="B1" s="21"/>
      <c r="C1" s="21"/>
      <c r="D1" s="21"/>
      <c r="E1" s="21"/>
      <c r="F1" s="21"/>
      <c r="G1" s="21"/>
      <c r="H1" s="21"/>
      <c r="I1" s="21"/>
      <c r="J1" s="21"/>
      <c r="K1" s="21"/>
      <c r="L1" s="21"/>
      <c r="M1" s="21"/>
      <c r="N1" s="21"/>
    </row>
    <row r="2" spans="1:14" ht="34" customHeight="1" x14ac:dyDescent="0.35">
      <c r="A2" s="20" t="s">
        <v>1</v>
      </c>
      <c r="B2" s="21"/>
      <c r="C2" s="21"/>
      <c r="D2" s="21"/>
      <c r="E2" s="21"/>
      <c r="F2" s="21"/>
      <c r="G2" s="21"/>
      <c r="H2" s="21"/>
      <c r="I2" s="21"/>
      <c r="J2" s="21"/>
      <c r="K2" s="21"/>
      <c r="L2" s="21"/>
      <c r="M2" s="21"/>
      <c r="N2" s="21"/>
    </row>
    <row r="3" spans="1:14" ht="31" customHeight="1" x14ac:dyDescent="0.35">
      <c r="A3" s="2" t="s">
        <v>2</v>
      </c>
      <c r="B3" s="2" t="s">
        <v>3</v>
      </c>
      <c r="C3" s="2" t="s">
        <v>4</v>
      </c>
      <c r="D3" s="2" t="s">
        <v>5</v>
      </c>
      <c r="E3" s="2" t="s">
        <v>6</v>
      </c>
      <c r="F3" s="2" t="s">
        <v>7</v>
      </c>
      <c r="G3" s="2" t="s">
        <v>8</v>
      </c>
      <c r="H3" s="2" t="s">
        <v>9</v>
      </c>
      <c r="I3" s="2" t="s">
        <v>10</v>
      </c>
      <c r="J3" s="2" t="s">
        <v>11</v>
      </c>
      <c r="K3" s="2" t="s">
        <v>12</v>
      </c>
      <c r="L3" s="2" t="s">
        <v>13</v>
      </c>
      <c r="M3" s="2" t="s">
        <v>14</v>
      </c>
      <c r="N3" s="2" t="s">
        <v>15</v>
      </c>
    </row>
    <row r="4" spans="1:14" ht="15.5" x14ac:dyDescent="0.35">
      <c r="A4" s="3"/>
      <c r="B4" s="4" t="s">
        <v>16</v>
      </c>
      <c r="C4" s="5"/>
      <c r="D4" s="3"/>
      <c r="E4" s="5"/>
      <c r="F4" s="5"/>
      <c r="G4" s="5"/>
      <c r="H4" s="5"/>
      <c r="I4" s="5"/>
      <c r="J4" s="5"/>
      <c r="K4" s="5"/>
      <c r="L4" s="5"/>
      <c r="M4" s="5"/>
      <c r="N4" s="5"/>
    </row>
    <row r="5" spans="1:14" ht="78" customHeight="1" x14ac:dyDescent="0.35">
      <c r="A5" s="6">
        <v>1</v>
      </c>
      <c r="B5" s="7" t="s">
        <v>17</v>
      </c>
      <c r="C5" s="7"/>
      <c r="D5" s="6" t="s">
        <v>18</v>
      </c>
      <c r="E5" s="8">
        <f>DuLieuBanVe!C4</f>
        <v>2912</v>
      </c>
      <c r="F5" s="8">
        <f>DuLieuBanVe!D4</f>
        <v>4200</v>
      </c>
      <c r="G5" s="8">
        <f>DuLieuBanVe!E4</f>
        <v>700</v>
      </c>
      <c r="H5" s="8">
        <f>DuLieuBanVe!F4</f>
        <v>2100</v>
      </c>
      <c r="I5" s="8">
        <f>DuLieuBanVe!G4</f>
        <v>2800</v>
      </c>
      <c r="J5" s="8">
        <f>DuLieuBanVe!H4</f>
        <v>4200</v>
      </c>
      <c r="K5" s="8">
        <f t="shared" ref="K5:K10" si="0">SUM(E5:J5)</f>
        <v>16912</v>
      </c>
      <c r="L5" s="8">
        <f t="shared" ref="L5:L11" si="1">K5</f>
        <v>16912</v>
      </c>
      <c r="M5" s="7" t="s">
        <v>19</v>
      </c>
      <c r="N5" s="7" t="s">
        <v>20</v>
      </c>
    </row>
    <row r="6" spans="1:14" ht="30" customHeight="1" x14ac:dyDescent="0.35">
      <c r="A6" s="6">
        <v>2</v>
      </c>
      <c r="B6" s="7" t="s">
        <v>21</v>
      </c>
      <c r="C6" s="6" t="s">
        <v>22</v>
      </c>
      <c r="D6" s="6" t="s">
        <v>23</v>
      </c>
      <c r="E6" s="8">
        <f>DuLieuBanVe!C7</f>
        <v>4</v>
      </c>
      <c r="F6" s="8">
        <f>DuLieuBanVe!D7</f>
        <v>6</v>
      </c>
      <c r="G6" s="8">
        <f>DuLieuBanVe!E7</f>
        <v>1</v>
      </c>
      <c r="H6" s="8">
        <f>DuLieuBanVe!F7</f>
        <v>3</v>
      </c>
      <c r="I6" s="8">
        <f>DuLieuBanVe!G7</f>
        <v>4</v>
      </c>
      <c r="J6" s="8">
        <f>DuLieuBanVe!H7</f>
        <v>4</v>
      </c>
      <c r="K6" s="8">
        <f t="shared" si="0"/>
        <v>22</v>
      </c>
      <c r="L6" s="8">
        <f t="shared" si="1"/>
        <v>22</v>
      </c>
      <c r="M6" s="7" t="s">
        <v>19</v>
      </c>
      <c r="N6" s="7" t="s">
        <v>24</v>
      </c>
    </row>
    <row r="7" spans="1:14" ht="78" customHeight="1" x14ac:dyDescent="0.35">
      <c r="A7" s="6">
        <v>3</v>
      </c>
      <c r="B7" s="7" t="s">
        <v>25</v>
      </c>
      <c r="C7" s="7"/>
      <c r="D7" s="6" t="s">
        <v>26</v>
      </c>
      <c r="E7" s="8">
        <f>DuLieuBanVe!C8</f>
        <v>2958</v>
      </c>
      <c r="F7" s="8">
        <f>DuLieuBanVe!D8</f>
        <v>4317</v>
      </c>
      <c r="G7" s="8">
        <f>DuLieuBanVe!E8</f>
        <v>714</v>
      </c>
      <c r="H7" s="8">
        <f>DuLieuBanVe!F8</f>
        <v>2128</v>
      </c>
      <c r="I7" s="8">
        <f>DuLieuBanVe!G8</f>
        <v>2842</v>
      </c>
      <c r="J7" s="8">
        <f>DuLieuBanVe!H8</f>
        <v>4312</v>
      </c>
      <c r="K7" s="8">
        <f t="shared" si="0"/>
        <v>17271</v>
      </c>
      <c r="L7" s="8">
        <f t="shared" si="1"/>
        <v>17271</v>
      </c>
      <c r="M7" s="7" t="s">
        <v>19</v>
      </c>
      <c r="N7" s="7"/>
    </row>
    <row r="8" spans="1:14" ht="78" customHeight="1" x14ac:dyDescent="0.35">
      <c r="A8" s="6">
        <v>4</v>
      </c>
      <c r="B8" s="7" t="s">
        <v>27</v>
      </c>
      <c r="C8" s="7"/>
      <c r="D8" s="6" t="s">
        <v>26</v>
      </c>
      <c r="E8" s="8">
        <f>DuLieuBanVe!C10</f>
        <v>746</v>
      </c>
      <c r="F8" s="8">
        <f>DuLieuBanVe!D10</f>
        <v>668</v>
      </c>
      <c r="G8" s="8">
        <f>DuLieuBanVe!E10</f>
        <v>201</v>
      </c>
      <c r="H8" s="8">
        <f>DuLieuBanVe!F10</f>
        <v>445</v>
      </c>
      <c r="I8" s="8">
        <f>DuLieuBanVe!G10</f>
        <v>594</v>
      </c>
      <c r="J8" s="8">
        <f>DuLieuBanVe!H10</f>
        <v>471</v>
      </c>
      <c r="K8" s="8">
        <f t="shared" si="0"/>
        <v>3125</v>
      </c>
      <c r="L8" s="8">
        <f t="shared" si="1"/>
        <v>3125</v>
      </c>
      <c r="M8" s="7" t="s">
        <v>19</v>
      </c>
      <c r="N8" s="7" t="s">
        <v>28</v>
      </c>
    </row>
    <row r="9" spans="1:14" ht="78" customHeight="1" x14ac:dyDescent="0.35">
      <c r="A9" s="6">
        <v>5</v>
      </c>
      <c r="B9" s="7" t="s">
        <v>29</v>
      </c>
      <c r="C9" s="7"/>
      <c r="D9" s="6" t="s">
        <v>26</v>
      </c>
      <c r="E9" s="8">
        <f>DuLieuBanVe!C11</f>
        <v>130</v>
      </c>
      <c r="F9" s="8">
        <f>DuLieuBanVe!D11</f>
        <v>162</v>
      </c>
      <c r="G9" s="8">
        <f>DuLieuBanVe!E11</f>
        <v>201</v>
      </c>
      <c r="H9" s="8">
        <f>DuLieuBanVe!F11</f>
        <v>253</v>
      </c>
      <c r="I9" s="8">
        <f>DuLieuBanVe!G11</f>
        <v>297</v>
      </c>
      <c r="J9" s="8">
        <f>DuLieuBanVe!H11</f>
        <v>290</v>
      </c>
      <c r="K9" s="8">
        <f t="shared" si="0"/>
        <v>1333</v>
      </c>
      <c r="L9" s="8">
        <f t="shared" si="1"/>
        <v>1333</v>
      </c>
      <c r="M9" s="7" t="s">
        <v>19</v>
      </c>
      <c r="N9" s="7" t="s">
        <v>30</v>
      </c>
    </row>
    <row r="10" spans="1:14" ht="30" customHeight="1" x14ac:dyDescent="0.35">
      <c r="A10" s="6">
        <v>6</v>
      </c>
      <c r="B10" s="7" t="s">
        <v>31</v>
      </c>
      <c r="C10" s="6" t="s">
        <v>22</v>
      </c>
      <c r="D10" s="6" t="s">
        <v>26</v>
      </c>
      <c r="E10" s="8">
        <f>DuLieuBanVe!C13</f>
        <v>3834</v>
      </c>
      <c r="F10" s="8">
        <f>DuLieuBanVe!D13</f>
        <v>5147</v>
      </c>
      <c r="G10" s="8">
        <f>DuLieuBanVe!E13</f>
        <v>1116</v>
      </c>
      <c r="H10" s="8">
        <f>DuLieuBanVe!F13</f>
        <v>2826</v>
      </c>
      <c r="I10" s="8">
        <f>DuLieuBanVe!G13</f>
        <v>3733</v>
      </c>
      <c r="J10" s="8">
        <f>DuLieuBanVe!H13</f>
        <v>5073</v>
      </c>
      <c r="K10" s="8">
        <f t="shared" si="0"/>
        <v>21729</v>
      </c>
      <c r="L10" s="8">
        <f t="shared" si="1"/>
        <v>21729</v>
      </c>
      <c r="M10" s="7" t="s">
        <v>19</v>
      </c>
      <c r="N10" s="7"/>
    </row>
    <row r="11" spans="1:14" ht="30" customHeight="1" x14ac:dyDescent="0.35">
      <c r="A11" s="6">
        <v>7</v>
      </c>
      <c r="B11" s="7" t="s">
        <v>32</v>
      </c>
      <c r="C11" s="6" t="s">
        <v>22</v>
      </c>
      <c r="D11" s="6" t="s">
        <v>26</v>
      </c>
      <c r="E11" s="8"/>
      <c r="F11" s="8"/>
      <c r="G11" s="8"/>
      <c r="H11" s="8"/>
      <c r="I11" s="8"/>
      <c r="J11" s="8"/>
      <c r="K11" s="8">
        <f>DuLieuBanVe!I24</f>
        <v>2654</v>
      </c>
      <c r="L11" s="8">
        <f t="shared" si="1"/>
        <v>2654</v>
      </c>
      <c r="M11" s="7" t="s">
        <v>19</v>
      </c>
      <c r="N11" s="7" t="s">
        <v>33</v>
      </c>
    </row>
    <row r="12" spans="1:14" ht="78" customHeight="1" x14ac:dyDescent="0.35">
      <c r="A12" s="6">
        <v>8</v>
      </c>
      <c r="B12" s="7" t="s">
        <v>34</v>
      </c>
      <c r="C12" s="7"/>
      <c r="D12" s="6" t="s">
        <v>23</v>
      </c>
      <c r="E12" s="8">
        <f>ROUNDUP(DuLieuBanVe!C13*GiaDinh!$C$13,0)</f>
        <v>7668</v>
      </c>
      <c r="F12" s="8">
        <f>ROUNDUP(DuLieuBanVe!D13*GiaDinh!$C$13,0)</f>
        <v>10294</v>
      </c>
      <c r="G12" s="8">
        <f>ROUNDUP(DuLieuBanVe!E13*GiaDinh!$C$13,0)</f>
        <v>2232</v>
      </c>
      <c r="H12" s="8">
        <f>ROUNDUP(DuLieuBanVe!F13*GiaDinh!$C$13,0)</f>
        <v>5652</v>
      </c>
      <c r="I12" s="8">
        <f>ROUNDUP(DuLieuBanVe!G13*GiaDinh!$C$13,0)</f>
        <v>7466</v>
      </c>
      <c r="J12" s="8">
        <f>ROUNDUP(DuLieuBanVe!H13*GiaDinh!$C$13,0)</f>
        <v>10146</v>
      </c>
      <c r="K12" s="8">
        <f>SUM(E12:J12)</f>
        <v>43458</v>
      </c>
      <c r="L12" s="8">
        <f>ROUNDUP(K12*(1+GiaDinh!$C$14/100),0)</f>
        <v>44762</v>
      </c>
      <c r="M12" s="7" t="s">
        <v>35</v>
      </c>
      <c r="N12" s="7" t="s">
        <v>36</v>
      </c>
    </row>
    <row r="13" spans="1:14" ht="15.5" x14ac:dyDescent="0.35">
      <c r="A13" s="3"/>
      <c r="B13" s="4" t="s">
        <v>37</v>
      </c>
      <c r="C13" s="5"/>
      <c r="D13" s="3"/>
      <c r="E13" s="5"/>
      <c r="F13" s="5"/>
      <c r="G13" s="5"/>
      <c r="H13" s="5"/>
      <c r="I13" s="5"/>
      <c r="J13" s="5"/>
      <c r="K13" s="5"/>
      <c r="L13" s="5"/>
      <c r="M13" s="5"/>
      <c r="N13" s="5"/>
    </row>
    <row r="14" spans="1:14" ht="30" customHeight="1" x14ac:dyDescent="0.35">
      <c r="A14" s="6">
        <v>9</v>
      </c>
      <c r="B14" s="7" t="s">
        <v>38</v>
      </c>
      <c r="C14" s="6" t="s">
        <v>22</v>
      </c>
      <c r="D14" s="6" t="s">
        <v>39</v>
      </c>
      <c r="E14" s="8">
        <f>DuLieuBanVe!C14</f>
        <v>100</v>
      </c>
      <c r="F14" s="8">
        <f>DuLieuBanVe!D14</f>
        <v>244</v>
      </c>
      <c r="G14" s="8">
        <f>DuLieuBanVe!E14</f>
        <v>32</v>
      </c>
      <c r="H14" s="8">
        <f>DuLieuBanVe!F14</f>
        <v>60</v>
      </c>
      <c r="I14" s="8">
        <f>DuLieuBanVe!G14</f>
        <v>92</v>
      </c>
      <c r="J14" s="8">
        <f>DuLieuBanVe!H14</f>
        <v>236</v>
      </c>
      <c r="K14" s="8">
        <f t="shared" ref="K14:K19" si="2">SUM(E14:J14)</f>
        <v>764</v>
      </c>
      <c r="L14" s="8">
        <f>K14</f>
        <v>764</v>
      </c>
      <c r="M14" s="7" t="s">
        <v>40</v>
      </c>
      <c r="N14" s="7" t="s">
        <v>41</v>
      </c>
    </row>
    <row r="15" spans="1:14" ht="78" customHeight="1" x14ac:dyDescent="0.35">
      <c r="A15" s="6">
        <v>10</v>
      </c>
      <c r="B15" s="7" t="s">
        <v>42</v>
      </c>
      <c r="C15" s="7"/>
      <c r="D15" s="6" t="s">
        <v>43</v>
      </c>
      <c r="E15" s="8">
        <f>DuLieuBanVe!C15</f>
        <v>12652.92</v>
      </c>
      <c r="F15" s="8">
        <f>DuLieuBanVe!D15</f>
        <v>17906.830000000002</v>
      </c>
      <c r="G15" s="8">
        <f>DuLieuBanVe!E15</f>
        <v>3236</v>
      </c>
      <c r="H15" s="8">
        <f>DuLieuBanVe!F15</f>
        <v>9165.7999999999993</v>
      </c>
      <c r="I15" s="8">
        <f>DuLieuBanVe!G15</f>
        <v>12388.2</v>
      </c>
      <c r="J15" s="8">
        <f>DuLieuBanVe!H15</f>
        <v>17963.53</v>
      </c>
      <c r="K15" s="8">
        <f t="shared" si="2"/>
        <v>73313.279999999999</v>
      </c>
      <c r="L15" s="8">
        <f>K15</f>
        <v>73313.279999999999</v>
      </c>
      <c r="M15" s="7" t="s">
        <v>40</v>
      </c>
      <c r="N15" s="7" t="s">
        <v>44</v>
      </c>
    </row>
    <row r="16" spans="1:14" ht="78" customHeight="1" x14ac:dyDescent="0.35">
      <c r="A16" s="6">
        <v>11</v>
      </c>
      <c r="B16" s="7" t="s">
        <v>45</v>
      </c>
      <c r="C16" s="7"/>
      <c r="D16" s="6" t="s">
        <v>46</v>
      </c>
      <c r="E16" s="8">
        <f>SUMIF('C52_TungThanh'!$A$4:$A$767,"BÈ 1",'C52_TungThanh'!$D$4:$D$767)</f>
        <v>2164</v>
      </c>
      <c r="F16" s="8">
        <f>SUMIF('C52_TungThanh'!$A$4:$A$767,"BÈ 2",'C52_TungThanh'!$D$4:$D$767)</f>
        <v>3124</v>
      </c>
      <c r="G16" s="8">
        <f>SUMIF('C52_TungThanh'!$A$4:$A$767,"BÈ 3",'C52_TungThanh'!$D$4:$D$767)</f>
        <v>544</v>
      </c>
      <c r="H16" s="8">
        <f>SUMIF('C52_TungThanh'!$A$4:$A$767,"BÈ 4",'C52_TungThanh'!$D$4:$D$767)</f>
        <v>1576</v>
      </c>
      <c r="I16" s="8">
        <f>SUMIF('C52_TungThanh'!$A$4:$A$767,"BÈ 5",'C52_TungThanh'!$D$4:$D$767)</f>
        <v>2090</v>
      </c>
      <c r="J16" s="8">
        <f>SUMIF('C52_TungThanh'!$A$4:$A$767,"BÈ 6",'C52_TungThanh'!$D$4:$D$767)</f>
        <v>3182</v>
      </c>
      <c r="K16" s="8">
        <f t="shared" si="2"/>
        <v>12680</v>
      </c>
      <c r="L16" s="8">
        <f>K16</f>
        <v>12680</v>
      </c>
      <c r="M16" s="7" t="s">
        <v>40</v>
      </c>
      <c r="N16" s="7" t="s">
        <v>47</v>
      </c>
    </row>
    <row r="17" spans="1:14" ht="78" customHeight="1" x14ac:dyDescent="0.35">
      <c r="A17" s="6">
        <v>12</v>
      </c>
      <c r="B17" s="7" t="s">
        <v>48</v>
      </c>
      <c r="C17" s="7"/>
      <c r="D17" s="6" t="s">
        <v>23</v>
      </c>
      <c r="E17" s="8">
        <f>SUMIF('C52_TungThanh'!$A$4:$A$767,"BÈ 1",'C52_TungThanh'!$E$4:$E$767)</f>
        <v>2064</v>
      </c>
      <c r="F17" s="8">
        <f>SUMIF('C52_TungThanh'!$A$4:$A$767,"BÈ 2",'C52_TungThanh'!$E$4:$E$767)</f>
        <v>2880</v>
      </c>
      <c r="G17" s="8">
        <f>SUMIF('C52_TungThanh'!$A$4:$A$767,"BÈ 3",'C52_TungThanh'!$E$4:$E$767)</f>
        <v>512</v>
      </c>
      <c r="H17" s="8">
        <f>SUMIF('C52_TungThanh'!$A$4:$A$767,"BÈ 4",'C52_TungThanh'!$E$4:$E$767)</f>
        <v>1516</v>
      </c>
      <c r="I17" s="8">
        <f>SUMIF('C52_TungThanh'!$A$4:$A$767,"BÈ 5",'C52_TungThanh'!$E$4:$E$767)</f>
        <v>1998</v>
      </c>
      <c r="J17" s="8">
        <f>SUMIF('C52_TungThanh'!$A$4:$A$767,"BÈ 6",'C52_TungThanh'!$E$4:$E$767)</f>
        <v>2946</v>
      </c>
      <c r="K17" s="8">
        <f t="shared" si="2"/>
        <v>11916</v>
      </c>
      <c r="L17" s="8">
        <f>ROUNDUP(K17*(1+GiaDinh!$C$14/100),0)</f>
        <v>12274</v>
      </c>
      <c r="M17" s="7" t="s">
        <v>40</v>
      </c>
      <c r="N17" s="7" t="s">
        <v>49</v>
      </c>
    </row>
    <row r="18" spans="1:14" ht="78" customHeight="1" x14ac:dyDescent="0.35">
      <c r="A18" s="6">
        <v>13</v>
      </c>
      <c r="B18" s="7" t="s">
        <v>50</v>
      </c>
      <c r="C18" s="7"/>
      <c r="D18" s="6" t="s">
        <v>51</v>
      </c>
      <c r="E18" s="8">
        <f>DuLieuBanVe!C15*GiaDinh!$C$6</f>
        <v>29860.891199999998</v>
      </c>
      <c r="F18" s="8">
        <f>DuLieuBanVe!D15*GiaDinh!$C$6</f>
        <v>42260.118800000004</v>
      </c>
      <c r="G18" s="8">
        <f>DuLieuBanVe!E15*GiaDinh!$C$6</f>
        <v>7636.96</v>
      </c>
      <c r="H18" s="8">
        <f>DuLieuBanVe!F15*GiaDinh!$C$6</f>
        <v>21631.287999999997</v>
      </c>
      <c r="I18" s="8">
        <f>DuLieuBanVe!G15*GiaDinh!$C$6</f>
        <v>29236.152000000002</v>
      </c>
      <c r="J18" s="8">
        <f>DuLieuBanVe!H15*GiaDinh!$C$6</f>
        <v>42393.930799999995</v>
      </c>
      <c r="K18" s="8">
        <f t="shared" si="2"/>
        <v>173019.34080000001</v>
      </c>
      <c r="L18" s="8">
        <f>K18</f>
        <v>173019.34080000001</v>
      </c>
      <c r="M18" s="7" t="s">
        <v>35</v>
      </c>
      <c r="N18" s="7" t="s">
        <v>52</v>
      </c>
    </row>
    <row r="19" spans="1:14" ht="78" customHeight="1" x14ac:dyDescent="0.35">
      <c r="A19" s="6">
        <v>14</v>
      </c>
      <c r="B19" s="7" t="s">
        <v>53</v>
      </c>
      <c r="C19" s="7"/>
      <c r="D19" s="6" t="s">
        <v>23</v>
      </c>
      <c r="E19" s="8">
        <f>ROUNDUP(DuLieuBanVe!C15*GiaDinh!$C$19,0)</f>
        <v>6327</v>
      </c>
      <c r="F19" s="8">
        <f>ROUNDUP(DuLieuBanVe!D15*GiaDinh!$C$19,0)</f>
        <v>8954</v>
      </c>
      <c r="G19" s="8">
        <f>ROUNDUP(DuLieuBanVe!E15*GiaDinh!$C$19,0)</f>
        <v>1618</v>
      </c>
      <c r="H19" s="8">
        <f>ROUNDUP(DuLieuBanVe!F15*GiaDinh!$C$19,0)</f>
        <v>4583</v>
      </c>
      <c r="I19" s="8">
        <f>ROUNDUP(DuLieuBanVe!G15*GiaDinh!$C$19,0)</f>
        <v>6195</v>
      </c>
      <c r="J19" s="8">
        <f>ROUNDUP(DuLieuBanVe!H15*GiaDinh!$C$19,0)</f>
        <v>8982</v>
      </c>
      <c r="K19" s="8">
        <f t="shared" si="2"/>
        <v>36659</v>
      </c>
      <c r="L19" s="8">
        <f>ROUNDUP(K19*(1+GiaDinh!$C$14/100),0)</f>
        <v>37759</v>
      </c>
      <c r="M19" s="7" t="s">
        <v>35</v>
      </c>
      <c r="N19" s="7" t="s">
        <v>54</v>
      </c>
    </row>
    <row r="20" spans="1:14" ht="31" x14ac:dyDescent="0.35">
      <c r="A20" s="3"/>
      <c r="B20" s="4" t="s">
        <v>55</v>
      </c>
      <c r="C20" s="5"/>
      <c r="D20" s="3"/>
      <c r="E20" s="5"/>
      <c r="F20" s="5"/>
      <c r="G20" s="5"/>
      <c r="H20" s="5"/>
      <c r="I20" s="5"/>
      <c r="J20" s="5"/>
      <c r="K20" s="5"/>
      <c r="L20" s="5"/>
      <c r="M20" s="5"/>
      <c r="N20" s="5"/>
    </row>
    <row r="21" spans="1:14" ht="78" customHeight="1" x14ac:dyDescent="0.35">
      <c r="A21" s="6">
        <v>15</v>
      </c>
      <c r="B21" s="7" t="s">
        <v>56</v>
      </c>
      <c r="C21" s="7"/>
      <c r="D21" s="6" t="s">
        <v>39</v>
      </c>
      <c r="E21" s="8">
        <f>DuLieuBanVe!C16</f>
        <v>38</v>
      </c>
      <c r="F21" s="8">
        <f>DuLieuBanVe!D16</f>
        <v>20</v>
      </c>
      <c r="G21" s="8">
        <f>DuLieuBanVe!E16</f>
        <v>18</v>
      </c>
      <c r="H21" s="8">
        <f>DuLieuBanVe!F16</f>
        <v>32</v>
      </c>
      <c r="I21" s="8">
        <f>DuLieuBanVe!G16</f>
        <v>27</v>
      </c>
      <c r="J21" s="8">
        <f>DuLieuBanVe!H16</f>
        <v>16</v>
      </c>
      <c r="K21" s="8">
        <f t="shared" ref="K21:K26" si="3">SUM(E21:J21)</f>
        <v>151</v>
      </c>
      <c r="L21" s="8">
        <f>K21</f>
        <v>151</v>
      </c>
      <c r="M21" s="7" t="s">
        <v>40</v>
      </c>
      <c r="N21" s="7" t="s">
        <v>57</v>
      </c>
    </row>
    <row r="22" spans="1:14" ht="78" customHeight="1" x14ac:dyDescent="0.35">
      <c r="A22" s="6">
        <v>16</v>
      </c>
      <c r="B22" s="7" t="s">
        <v>58</v>
      </c>
      <c r="C22" s="7"/>
      <c r="D22" s="6" t="s">
        <v>43</v>
      </c>
      <c r="E22" s="8">
        <f>DuLieuBanVe!C17</f>
        <v>2986.38</v>
      </c>
      <c r="F22" s="8">
        <f>DuLieuBanVe!D17</f>
        <v>4449.1400000000003</v>
      </c>
      <c r="G22" s="8">
        <f>DuLieuBanVe!E17</f>
        <v>705.69</v>
      </c>
      <c r="H22" s="8">
        <f>DuLieuBanVe!F17</f>
        <v>2072.0100000000002</v>
      </c>
      <c r="I22" s="8">
        <f>DuLieuBanVe!G17</f>
        <v>2741.94</v>
      </c>
      <c r="J22" s="8">
        <f>DuLieuBanVe!H17</f>
        <v>4254.1099999999997</v>
      </c>
      <c r="K22" s="8">
        <f t="shared" si="3"/>
        <v>17209.27</v>
      </c>
      <c r="L22" s="8">
        <f>K22</f>
        <v>17209.27</v>
      </c>
      <c r="M22" s="7" t="s">
        <v>40</v>
      </c>
      <c r="N22" s="7" t="s">
        <v>44</v>
      </c>
    </row>
    <row r="23" spans="1:14" ht="78" customHeight="1" x14ac:dyDescent="0.35">
      <c r="A23" s="6">
        <v>17</v>
      </c>
      <c r="B23" s="7" t="s">
        <v>59</v>
      </c>
      <c r="C23" s="7"/>
      <c r="D23" s="6" t="s">
        <v>46</v>
      </c>
      <c r="E23" s="8">
        <f>SUMIF(Hop40x60_TungThanh!$A$4:$A$154,"BÈ 1",Hop40x60_TungThanh!$D$4:$D$154)</f>
        <v>512</v>
      </c>
      <c r="F23" s="8">
        <f>SUMIF(Hop40x60_TungThanh!$A$4:$A$154,"BÈ 2",Hop40x60_TungThanh!$D$4:$D$154)</f>
        <v>747</v>
      </c>
      <c r="G23" s="8">
        <f>SUMIF(Hop40x60_TungThanh!$A$4:$A$154,"BÈ 3",Hop40x60_TungThanh!$D$4:$D$154)</f>
        <v>126</v>
      </c>
      <c r="H23" s="8">
        <f>SUMIF(Hop40x60_TungThanh!$A$4:$A$154,"BÈ 4",Hop40x60_TungThanh!$D$4:$D$154)</f>
        <v>362</v>
      </c>
      <c r="I23" s="8">
        <f>SUMIF(Hop40x60_TungThanh!$A$4:$A$154,"BÈ 5",Hop40x60_TungThanh!$D$4:$D$154)</f>
        <v>465</v>
      </c>
      <c r="J23" s="8">
        <f>SUMIF(Hop40x60_TungThanh!$A$4:$A$154,"BÈ 6",Hop40x60_TungThanh!$D$4:$D$154)</f>
        <v>715</v>
      </c>
      <c r="K23" s="8">
        <f t="shared" si="3"/>
        <v>2927</v>
      </c>
      <c r="L23" s="8">
        <f>K23</f>
        <v>2927</v>
      </c>
      <c r="M23" s="7" t="s">
        <v>40</v>
      </c>
      <c r="N23" s="7" t="s">
        <v>60</v>
      </c>
    </row>
    <row r="24" spans="1:14" ht="78" customHeight="1" x14ac:dyDescent="0.35">
      <c r="A24" s="6">
        <v>18</v>
      </c>
      <c r="B24" s="7" t="s">
        <v>61</v>
      </c>
      <c r="C24" s="7"/>
      <c r="D24" s="6" t="s">
        <v>23</v>
      </c>
      <c r="E24" s="8">
        <f>SUMIF(Hop40x60_TungThanh!$A$4:$A$154,"BÈ 1",Hop40x60_TungThanh!$E$4:$E$154)</f>
        <v>474</v>
      </c>
      <c r="F24" s="8">
        <f>SUMIF(Hop40x60_TungThanh!$A$4:$A$154,"BÈ 2",Hop40x60_TungThanh!$E$4:$E$154)</f>
        <v>727</v>
      </c>
      <c r="G24" s="8">
        <f>SUMIF(Hop40x60_TungThanh!$A$4:$A$154,"BÈ 3",Hop40x60_TungThanh!$E$4:$E$154)</f>
        <v>108</v>
      </c>
      <c r="H24" s="8">
        <f>SUMIF(Hop40x60_TungThanh!$A$4:$A$154,"BÈ 4",Hop40x60_TungThanh!$E$4:$E$154)</f>
        <v>330</v>
      </c>
      <c r="I24" s="8">
        <f>SUMIF(Hop40x60_TungThanh!$A$4:$A$154,"BÈ 5",Hop40x60_TungThanh!$E$4:$E$154)</f>
        <v>438</v>
      </c>
      <c r="J24" s="8">
        <f>SUMIF(Hop40x60_TungThanh!$A$4:$A$154,"BÈ 6",Hop40x60_TungThanh!$E$4:$E$154)</f>
        <v>699</v>
      </c>
      <c r="K24" s="8">
        <f t="shared" si="3"/>
        <v>2776</v>
      </c>
      <c r="L24" s="8">
        <f>ROUNDUP(K24*(1+GiaDinh!$C$14/100),0)</f>
        <v>2860</v>
      </c>
      <c r="M24" s="7" t="s">
        <v>40</v>
      </c>
      <c r="N24" s="7" t="s">
        <v>62</v>
      </c>
    </row>
    <row r="25" spans="1:14" ht="78" customHeight="1" x14ac:dyDescent="0.35">
      <c r="A25" s="6">
        <v>19</v>
      </c>
      <c r="B25" s="7" t="s">
        <v>63</v>
      </c>
      <c r="C25" s="7"/>
      <c r="D25" s="6" t="s">
        <v>51</v>
      </c>
      <c r="E25" s="8">
        <f>DuLieuBanVe!C17*GiaDinh!$C$7</f>
        <v>8989.0038000000004</v>
      </c>
      <c r="F25" s="8">
        <f>DuLieuBanVe!D17*GiaDinh!$C$7</f>
        <v>13391.911400000001</v>
      </c>
      <c r="G25" s="8">
        <f>DuLieuBanVe!E17*GiaDinh!$C$7</f>
        <v>2124.1269000000002</v>
      </c>
      <c r="H25" s="8">
        <f>DuLieuBanVe!F17*GiaDinh!$C$7</f>
        <v>6236.7501000000002</v>
      </c>
      <c r="I25" s="8">
        <f>DuLieuBanVe!G17*GiaDinh!$C$7</f>
        <v>8253.2394000000004</v>
      </c>
      <c r="J25" s="8">
        <f>DuLieuBanVe!H17*GiaDinh!$C$7</f>
        <v>12804.871099999998</v>
      </c>
      <c r="K25" s="8">
        <f t="shared" si="3"/>
        <v>51799.902699999999</v>
      </c>
      <c r="L25" s="8">
        <f>K25</f>
        <v>51799.902699999999</v>
      </c>
      <c r="M25" s="7" t="s">
        <v>35</v>
      </c>
      <c r="N25" s="7" t="s">
        <v>52</v>
      </c>
    </row>
    <row r="26" spans="1:14" ht="78" customHeight="1" x14ac:dyDescent="0.35">
      <c r="A26" s="6">
        <v>20</v>
      </c>
      <c r="B26" s="7" t="s">
        <v>64</v>
      </c>
      <c r="C26" s="7"/>
      <c r="D26" s="6" t="s">
        <v>23</v>
      </c>
      <c r="E26" s="8">
        <f>ROUNDUP(DuLieuBanVe!C17/GiaDinh!$C$20,0)</f>
        <v>2475</v>
      </c>
      <c r="F26" s="8">
        <f>ROUNDUP(DuLieuBanVe!D17/GiaDinh!$C$20,0)</f>
        <v>3687</v>
      </c>
      <c r="G26" s="8">
        <f>ROUNDUP(DuLieuBanVe!E17/GiaDinh!$C$20,0)</f>
        <v>585</v>
      </c>
      <c r="H26" s="8">
        <f>ROUNDUP(DuLieuBanVe!F17/GiaDinh!$C$20,0)</f>
        <v>1717</v>
      </c>
      <c r="I26" s="8">
        <f>ROUNDUP(DuLieuBanVe!G17/GiaDinh!$C$20,0)</f>
        <v>2272</v>
      </c>
      <c r="J26" s="8">
        <f>ROUNDUP(DuLieuBanVe!H17/GiaDinh!$C$20,0)</f>
        <v>3525</v>
      </c>
      <c r="K26" s="8">
        <f t="shared" si="3"/>
        <v>14261</v>
      </c>
      <c r="L26" s="8">
        <f>ROUNDUP(K26*(1+GiaDinh!$C$14/100),0)</f>
        <v>14689</v>
      </c>
      <c r="M26" s="7" t="s">
        <v>35</v>
      </c>
      <c r="N26" s="7" t="s">
        <v>65</v>
      </c>
    </row>
    <row r="27" spans="1:14" ht="46.5" x14ac:dyDescent="0.35">
      <c r="A27" s="3"/>
      <c r="B27" s="4" t="s">
        <v>66</v>
      </c>
      <c r="C27" s="5"/>
      <c r="D27" s="3"/>
      <c r="E27" s="5"/>
      <c r="F27" s="5"/>
      <c r="G27" s="5"/>
      <c r="H27" s="5"/>
      <c r="I27" s="5"/>
      <c r="J27" s="5"/>
      <c r="K27" s="5"/>
      <c r="L27" s="5"/>
      <c r="M27" s="5"/>
      <c r="N27" s="5"/>
    </row>
    <row r="28" spans="1:14" ht="78" customHeight="1" x14ac:dyDescent="0.35">
      <c r="A28" s="6">
        <v>21</v>
      </c>
      <c r="B28" s="7" t="s">
        <v>67</v>
      </c>
      <c r="C28" s="7"/>
      <c r="D28" s="6" t="s">
        <v>39</v>
      </c>
      <c r="E28" s="8">
        <f>SUMIF(GiaCuong_TaiNeo!$A$4:$A$317,"BÈ 1",GiaCuong_TaiNeo!$K$4:$K$317)</f>
        <v>88</v>
      </c>
      <c r="F28" s="8">
        <f>SUMIF(GiaCuong_TaiNeo!$A$4:$A$317,"BÈ 2",GiaCuong_TaiNeo!$K$4:$K$317)</f>
        <v>173</v>
      </c>
      <c r="G28" s="8">
        <f>SUMIF(GiaCuong_TaiNeo!$A$4:$A$317,"BÈ 3",GiaCuong_TaiNeo!$K$4:$K$317)</f>
        <v>38</v>
      </c>
      <c r="H28" s="8">
        <f>SUMIF(GiaCuong_TaiNeo!$A$4:$A$317,"BÈ 4",GiaCuong_TaiNeo!$K$4:$K$317)</f>
        <v>129</v>
      </c>
      <c r="I28" s="8">
        <f>SUMIF(GiaCuong_TaiNeo!$A$4:$A$317,"BÈ 5",GiaCuong_TaiNeo!$K$4:$K$317)</f>
        <v>109</v>
      </c>
      <c r="J28" s="8">
        <f>SUMIF(GiaCuong_TaiNeo!$A$4:$A$317,"BÈ 6",GiaCuong_TaiNeo!$K$4:$K$317)</f>
        <v>177</v>
      </c>
      <c r="K28" s="8">
        <f t="shared" ref="K28:K35" si="4">SUM(E28:J28)</f>
        <v>714</v>
      </c>
      <c r="L28" s="8">
        <f>K28</f>
        <v>714</v>
      </c>
      <c r="M28" s="7" t="s">
        <v>40</v>
      </c>
      <c r="N28" s="7" t="s">
        <v>68</v>
      </c>
    </row>
    <row r="29" spans="1:14" ht="78" customHeight="1" x14ac:dyDescent="0.35">
      <c r="A29" s="6">
        <v>22</v>
      </c>
      <c r="B29" s="7" t="s">
        <v>69</v>
      </c>
      <c r="C29" s="7"/>
      <c r="D29" s="6" t="s">
        <v>43</v>
      </c>
      <c r="E29" s="8">
        <f>SUMIF(GiaCuong_TaiNeo!$A$4:$A$317,"BÈ 1",GiaCuong_TaiNeo!$M$4:$M$317)</f>
        <v>1302.634</v>
      </c>
      <c r="F29" s="8">
        <f>SUMIF(GiaCuong_TaiNeo!$A$4:$A$317,"BÈ 2",GiaCuong_TaiNeo!$M$4:$M$317)</f>
        <v>2489.9979999999996</v>
      </c>
      <c r="G29" s="8">
        <f>SUMIF(GiaCuong_TaiNeo!$A$4:$A$317,"BÈ 3",GiaCuong_TaiNeo!$M$4:$M$317)</f>
        <v>570</v>
      </c>
      <c r="H29" s="8">
        <f>SUMIF(GiaCuong_TaiNeo!$A$4:$A$317,"BÈ 4",GiaCuong_TaiNeo!$M$4:$M$317)</f>
        <v>1914.1360000000002</v>
      </c>
      <c r="I29" s="8">
        <f>SUMIF(GiaCuong_TaiNeo!$A$4:$A$317,"BÈ 5",GiaCuong_TaiNeo!$M$4:$M$317)</f>
        <v>1616.33</v>
      </c>
      <c r="J29" s="8">
        <f>SUMIF(GiaCuong_TaiNeo!$A$4:$A$317,"BÈ 6",GiaCuong_TaiNeo!$M$4:$M$317)</f>
        <v>2613.8790000000004</v>
      </c>
      <c r="K29" s="8">
        <f t="shared" si="4"/>
        <v>10506.977000000001</v>
      </c>
      <c r="L29" s="8">
        <f>K29</f>
        <v>10506.977000000001</v>
      </c>
      <c r="M29" s="7" t="s">
        <v>40</v>
      </c>
      <c r="N29" s="7" t="s">
        <v>70</v>
      </c>
    </row>
    <row r="30" spans="1:14" ht="78" customHeight="1" x14ac:dyDescent="0.35">
      <c r="A30" s="6">
        <v>23</v>
      </c>
      <c r="B30" s="7" t="s">
        <v>71</v>
      </c>
      <c r="C30" s="7"/>
      <c r="D30" s="6" t="s">
        <v>46</v>
      </c>
      <c r="E30" s="8">
        <f>SUMIF(GiaCuong_TaiNeo!$A$4:$A$317,"BÈ 1",GiaCuong_TaiNeo!$N$4:$N$317)</f>
        <v>260</v>
      </c>
      <c r="F30" s="8">
        <f>SUMIF(GiaCuong_TaiNeo!$A$4:$A$317,"BÈ 2",GiaCuong_TaiNeo!$N$4:$N$317)</f>
        <v>506</v>
      </c>
      <c r="G30" s="8">
        <f>SUMIF(GiaCuong_TaiNeo!$A$4:$A$317,"BÈ 3",GiaCuong_TaiNeo!$N$4:$N$317)</f>
        <v>114</v>
      </c>
      <c r="H30" s="8">
        <f>SUMIF(GiaCuong_TaiNeo!$A$4:$A$317,"BÈ 4",GiaCuong_TaiNeo!$N$4:$N$317)</f>
        <v>384</v>
      </c>
      <c r="I30" s="8">
        <f>SUMIF(GiaCuong_TaiNeo!$A$4:$A$317,"BÈ 5",GiaCuong_TaiNeo!$N$4:$N$317)</f>
        <v>322</v>
      </c>
      <c r="J30" s="8">
        <f>SUMIF(GiaCuong_TaiNeo!$A$4:$A$317,"BÈ 6",GiaCuong_TaiNeo!$N$4:$N$317)</f>
        <v>528</v>
      </c>
      <c r="K30" s="8">
        <f t="shared" si="4"/>
        <v>2114</v>
      </c>
      <c r="L30" s="8">
        <f>K30</f>
        <v>2114</v>
      </c>
      <c r="M30" s="7" t="s">
        <v>40</v>
      </c>
      <c r="N30" s="7" t="s">
        <v>72</v>
      </c>
    </row>
    <row r="31" spans="1:14" ht="78" customHeight="1" x14ac:dyDescent="0.35">
      <c r="A31" s="6">
        <v>24</v>
      </c>
      <c r="B31" s="7" t="s">
        <v>73</v>
      </c>
      <c r="C31" s="7"/>
      <c r="D31" s="6" t="s">
        <v>23</v>
      </c>
      <c r="E31" s="8">
        <f>SUMIF(GiaCuong_TaiNeo!$A$4:$A$317,"BÈ 1",GiaCuong_TaiNeo!$O$4:$O$317)</f>
        <v>172</v>
      </c>
      <c r="F31" s="8">
        <f>SUMIF(GiaCuong_TaiNeo!$A$4:$A$317,"BÈ 2",GiaCuong_TaiNeo!$O$4:$O$317)</f>
        <v>333</v>
      </c>
      <c r="G31" s="8">
        <f>SUMIF(GiaCuong_TaiNeo!$A$4:$A$317,"BÈ 3",GiaCuong_TaiNeo!$O$4:$O$317)</f>
        <v>76</v>
      </c>
      <c r="H31" s="8">
        <f>SUMIF(GiaCuong_TaiNeo!$A$4:$A$317,"BÈ 4",GiaCuong_TaiNeo!$O$4:$O$317)</f>
        <v>255</v>
      </c>
      <c r="I31" s="8">
        <f>SUMIF(GiaCuong_TaiNeo!$A$4:$A$317,"BÈ 5",GiaCuong_TaiNeo!$O$4:$O$317)</f>
        <v>213</v>
      </c>
      <c r="J31" s="8">
        <f>SUMIF(GiaCuong_TaiNeo!$A$4:$A$317,"BÈ 6",GiaCuong_TaiNeo!$O$4:$O$317)</f>
        <v>351</v>
      </c>
      <c r="K31" s="8">
        <f t="shared" si="4"/>
        <v>1400</v>
      </c>
      <c r="L31" s="8">
        <f>ROUNDUP(K31*(1+GiaDinh!$C$14/100),0)</f>
        <v>1442</v>
      </c>
      <c r="M31" s="7" t="s">
        <v>35</v>
      </c>
      <c r="N31" s="7"/>
    </row>
    <row r="32" spans="1:14" ht="78" customHeight="1" x14ac:dyDescent="0.35">
      <c r="A32" s="6">
        <v>25</v>
      </c>
      <c r="B32" s="7" t="s">
        <v>74</v>
      </c>
      <c r="C32" s="7"/>
      <c r="D32" s="6" t="s">
        <v>26</v>
      </c>
      <c r="E32" s="8">
        <f>SUMIF(GiaCuong_TaiNeo!$A$4:$A$317,"BÈ 1",GiaCuong_TaiNeo!$P$4:$P$317)</f>
        <v>1049</v>
      </c>
      <c r="F32" s="8">
        <f>SUMIF(GiaCuong_TaiNeo!$A$4:$A$317,"BÈ 2",GiaCuong_TaiNeo!$P$4:$P$317)</f>
        <v>2011</v>
      </c>
      <c r="G32" s="8">
        <f>SUMIF(GiaCuong_TaiNeo!$A$4:$A$317,"BÈ 3",GiaCuong_TaiNeo!$P$4:$P$317)</f>
        <v>466</v>
      </c>
      <c r="H32" s="8">
        <f>SUMIF(GiaCuong_TaiNeo!$A$4:$A$317,"BÈ 4",GiaCuong_TaiNeo!$P$4:$P$317)</f>
        <v>1563</v>
      </c>
      <c r="I32" s="8">
        <f>SUMIF(GiaCuong_TaiNeo!$A$4:$A$317,"BÈ 5",GiaCuong_TaiNeo!$P$4:$P$317)</f>
        <v>1326</v>
      </c>
      <c r="J32" s="8">
        <f>SUMIF(GiaCuong_TaiNeo!$A$4:$A$317,"BÈ 6",GiaCuong_TaiNeo!$P$4:$P$317)</f>
        <v>2128</v>
      </c>
      <c r="K32" s="8">
        <f t="shared" si="4"/>
        <v>8543</v>
      </c>
      <c r="L32" s="8">
        <f>ROUNDUP(K32*(1+GiaDinh!$C$14/100),0)</f>
        <v>8800</v>
      </c>
      <c r="M32" s="7" t="s">
        <v>40</v>
      </c>
      <c r="N32" s="7" t="s">
        <v>75</v>
      </c>
    </row>
    <row r="33" spans="1:14" ht="78" customHeight="1" x14ac:dyDescent="0.35">
      <c r="A33" s="6">
        <v>26</v>
      </c>
      <c r="B33" s="7" t="s">
        <v>76</v>
      </c>
      <c r="C33" s="7"/>
      <c r="D33" s="6" t="s">
        <v>23</v>
      </c>
      <c r="E33" s="8">
        <f>SUMIF(GiaCuong_TaiNeo!$A$4:$A$317,"BÈ 1",GiaCuong_TaiNeo!$Q$4:$Q$317)</f>
        <v>2098</v>
      </c>
      <c r="F33" s="8">
        <f>SUMIF(GiaCuong_TaiNeo!$A$4:$A$317,"BÈ 2",GiaCuong_TaiNeo!$Q$4:$Q$317)</f>
        <v>4022</v>
      </c>
      <c r="G33" s="8">
        <f>SUMIF(GiaCuong_TaiNeo!$A$4:$A$317,"BÈ 3",GiaCuong_TaiNeo!$Q$4:$Q$317)</f>
        <v>932</v>
      </c>
      <c r="H33" s="8">
        <f>SUMIF(GiaCuong_TaiNeo!$A$4:$A$317,"BÈ 4",GiaCuong_TaiNeo!$Q$4:$Q$317)</f>
        <v>3126</v>
      </c>
      <c r="I33" s="8">
        <f>SUMIF(GiaCuong_TaiNeo!$A$4:$A$317,"BÈ 5",GiaCuong_TaiNeo!$Q$4:$Q$317)</f>
        <v>2652</v>
      </c>
      <c r="J33" s="8">
        <f>SUMIF(GiaCuong_TaiNeo!$A$4:$A$317,"BÈ 6",GiaCuong_TaiNeo!$Q$4:$Q$317)</f>
        <v>4256</v>
      </c>
      <c r="K33" s="8">
        <f t="shared" si="4"/>
        <v>17086</v>
      </c>
      <c r="L33" s="8">
        <f>ROUNDUP(K33*(1+GiaDinh!$C$14/100),0)</f>
        <v>17599</v>
      </c>
      <c r="M33" s="7" t="s">
        <v>35</v>
      </c>
      <c r="N33" s="7" t="s">
        <v>77</v>
      </c>
    </row>
    <row r="34" spans="1:14" ht="78" customHeight="1" x14ac:dyDescent="0.35">
      <c r="A34" s="6">
        <v>27</v>
      </c>
      <c r="B34" s="7" t="s">
        <v>78</v>
      </c>
      <c r="C34" s="7"/>
      <c r="D34" s="6" t="s">
        <v>23</v>
      </c>
      <c r="E34" s="8">
        <f>SUMIF(GiaCuong_TaiNeo!$A$4:$A$317,"BÈ 1",GiaCuong_TaiNeo!$R$4:$R$317)</f>
        <v>1049</v>
      </c>
      <c r="F34" s="8">
        <f>SUMIF(GiaCuong_TaiNeo!$A$4:$A$317,"BÈ 2",GiaCuong_TaiNeo!$R$4:$R$317)</f>
        <v>2011</v>
      </c>
      <c r="G34" s="8">
        <f>SUMIF(GiaCuong_TaiNeo!$A$4:$A$317,"BÈ 3",GiaCuong_TaiNeo!$R$4:$R$317)</f>
        <v>466</v>
      </c>
      <c r="H34" s="8">
        <f>SUMIF(GiaCuong_TaiNeo!$A$4:$A$317,"BÈ 4",GiaCuong_TaiNeo!$R$4:$R$317)</f>
        <v>1563</v>
      </c>
      <c r="I34" s="8">
        <f>SUMIF(GiaCuong_TaiNeo!$A$4:$A$317,"BÈ 5",GiaCuong_TaiNeo!$R$4:$R$317)</f>
        <v>1326</v>
      </c>
      <c r="J34" s="8">
        <f>SUMIF(GiaCuong_TaiNeo!$A$4:$A$317,"BÈ 6",GiaCuong_TaiNeo!$R$4:$R$317)</f>
        <v>2128</v>
      </c>
      <c r="K34" s="8">
        <f t="shared" si="4"/>
        <v>8543</v>
      </c>
      <c r="L34" s="8">
        <f>ROUNDUP(K34*(1+GiaDinh!$C$14/100),0)</f>
        <v>8800</v>
      </c>
      <c r="M34" s="7" t="s">
        <v>35</v>
      </c>
      <c r="N34" s="7" t="s">
        <v>79</v>
      </c>
    </row>
    <row r="35" spans="1:14" ht="78" customHeight="1" x14ac:dyDescent="0.35">
      <c r="A35" s="6">
        <v>28</v>
      </c>
      <c r="B35" s="7" t="s">
        <v>80</v>
      </c>
      <c r="C35" s="7"/>
      <c r="D35" s="6" t="s">
        <v>51</v>
      </c>
      <c r="E35" s="8">
        <f>SUMIF(GiaCuong_TaiNeo!$A$4:$A$317,"BÈ 1",GiaCuong_TaiNeo!$S$4:$S$317)</f>
        <v>3920.9283400000045</v>
      </c>
      <c r="F35" s="8">
        <f>SUMIF(GiaCuong_TaiNeo!$A$4:$A$317,"BÈ 2",GiaCuong_TaiNeo!$S$4:$S$317)</f>
        <v>7494.8939800000044</v>
      </c>
      <c r="G35" s="8">
        <f>SUMIF(GiaCuong_TaiNeo!$A$4:$A$317,"BÈ 3",GiaCuong_TaiNeo!$S$4:$S$317)</f>
        <v>1715.7000000000012</v>
      </c>
      <c r="H35" s="8">
        <f>SUMIF(GiaCuong_TaiNeo!$A$4:$A$317,"BÈ 4",GiaCuong_TaiNeo!$S$4:$S$317)</f>
        <v>5761.5493600000063</v>
      </c>
      <c r="I35" s="8">
        <f>SUMIF(GiaCuong_TaiNeo!$A$4:$A$317,"BÈ 5",GiaCuong_TaiNeo!$S$4:$S$317)</f>
        <v>4865.1533000000054</v>
      </c>
      <c r="J35" s="8">
        <f>SUMIF(GiaCuong_TaiNeo!$A$4:$A$317,"BÈ 6",GiaCuong_TaiNeo!$S$4:$S$317)</f>
        <v>7867.7757900000033</v>
      </c>
      <c r="K35" s="8">
        <f t="shared" si="4"/>
        <v>31626.000770000024</v>
      </c>
      <c r="L35" s="8">
        <f>K35</f>
        <v>31626.000770000024</v>
      </c>
      <c r="M35" s="7" t="s">
        <v>35</v>
      </c>
      <c r="N35" s="7" t="s">
        <v>52</v>
      </c>
    </row>
    <row r="36" spans="1:14" ht="15.5" x14ac:dyDescent="0.35">
      <c r="A36" s="3"/>
      <c r="B36" s="4" t="s">
        <v>81</v>
      </c>
      <c r="C36" s="5"/>
      <c r="D36" s="3"/>
      <c r="E36" s="5"/>
      <c r="F36" s="5"/>
      <c r="G36" s="5"/>
      <c r="H36" s="5"/>
      <c r="I36" s="5"/>
      <c r="J36" s="5"/>
      <c r="K36" s="5"/>
      <c r="L36" s="5"/>
      <c r="M36" s="5"/>
      <c r="N36" s="5"/>
    </row>
    <row r="37" spans="1:14" ht="78" customHeight="1" x14ac:dyDescent="0.35">
      <c r="A37" s="6">
        <v>29</v>
      </c>
      <c r="B37" s="7" t="s">
        <v>82</v>
      </c>
      <c r="C37" s="7"/>
      <c r="D37" s="6" t="s">
        <v>26</v>
      </c>
      <c r="E37" s="8">
        <f>DuLieuBanVe!C4*GiaDinh!$C$8</f>
        <v>5824</v>
      </c>
      <c r="F37" s="8">
        <f>DuLieuBanVe!D4*GiaDinh!$C$8</f>
        <v>8400</v>
      </c>
      <c r="G37" s="8">
        <f>DuLieuBanVe!E4*GiaDinh!$C$8</f>
        <v>1400</v>
      </c>
      <c r="H37" s="8">
        <f>DuLieuBanVe!F4*GiaDinh!$C$8</f>
        <v>4200</v>
      </c>
      <c r="I37" s="8">
        <f>DuLieuBanVe!G4*GiaDinh!$C$8</f>
        <v>5600</v>
      </c>
      <c r="J37" s="8">
        <f>DuLieuBanVe!H4*GiaDinh!$C$8</f>
        <v>8400</v>
      </c>
      <c r="K37" s="8">
        <f>SUM(E37:J37)</f>
        <v>33824</v>
      </c>
      <c r="L37" s="8">
        <f>ROUNDUP(K37*(1+GiaDinh!$C$14/100),0)</f>
        <v>34839</v>
      </c>
      <c r="M37" s="7" t="s">
        <v>35</v>
      </c>
      <c r="N37" s="7"/>
    </row>
    <row r="38" spans="1:14" ht="78" customHeight="1" x14ac:dyDescent="0.35">
      <c r="A38" s="6">
        <v>30</v>
      </c>
      <c r="B38" s="7" t="s">
        <v>83</v>
      </c>
      <c r="C38" s="7"/>
      <c r="D38" s="6" t="s">
        <v>26</v>
      </c>
      <c r="E38" s="8">
        <f>DuLieuBanVe!C4*GiaDinh!$C$9</f>
        <v>5824</v>
      </c>
      <c r="F38" s="8">
        <f>DuLieuBanVe!D4*GiaDinh!$C$9</f>
        <v>8400</v>
      </c>
      <c r="G38" s="8">
        <f>DuLieuBanVe!E4*GiaDinh!$C$9</f>
        <v>1400</v>
      </c>
      <c r="H38" s="8">
        <f>DuLieuBanVe!F4*GiaDinh!$C$9</f>
        <v>4200</v>
      </c>
      <c r="I38" s="8">
        <f>DuLieuBanVe!G4*GiaDinh!$C$9</f>
        <v>5600</v>
      </c>
      <c r="J38" s="8">
        <f>DuLieuBanVe!H4*GiaDinh!$C$9</f>
        <v>8400</v>
      </c>
      <c r="K38" s="8">
        <f>SUM(E38:J38)</f>
        <v>33824</v>
      </c>
      <c r="L38" s="8">
        <f>ROUNDUP(K38*(1+GiaDinh!$C$14/100),0)</f>
        <v>34839</v>
      </c>
      <c r="M38" s="7" t="s">
        <v>35</v>
      </c>
      <c r="N38" s="7"/>
    </row>
    <row r="39" spans="1:14" ht="78" customHeight="1" x14ac:dyDescent="0.35">
      <c r="A39" s="6">
        <v>31</v>
      </c>
      <c r="B39" s="7" t="s">
        <v>84</v>
      </c>
      <c r="C39" s="7"/>
      <c r="D39" s="6" t="s">
        <v>23</v>
      </c>
      <c r="E39" s="8">
        <f>DuLieuBanVe!C4*GiaDinh!$C$10</f>
        <v>5824</v>
      </c>
      <c r="F39" s="8">
        <f>DuLieuBanVe!D4*GiaDinh!$C$10</f>
        <v>8400</v>
      </c>
      <c r="G39" s="8">
        <f>DuLieuBanVe!E4*GiaDinh!$C$10</f>
        <v>1400</v>
      </c>
      <c r="H39" s="8">
        <f>DuLieuBanVe!F4*GiaDinh!$C$10</f>
        <v>4200</v>
      </c>
      <c r="I39" s="8">
        <f>DuLieuBanVe!G4*GiaDinh!$C$10</f>
        <v>5600</v>
      </c>
      <c r="J39" s="8">
        <f>DuLieuBanVe!H4*GiaDinh!$C$10</f>
        <v>8400</v>
      </c>
      <c r="K39" s="8">
        <f>SUM(E39:J39)</f>
        <v>33824</v>
      </c>
      <c r="L39" s="8">
        <f>ROUNDUP(K39*(1+GiaDinh!$C$14/100),0)</f>
        <v>34839</v>
      </c>
      <c r="M39" s="7" t="s">
        <v>35</v>
      </c>
      <c r="N39" s="7"/>
    </row>
    <row r="40" spans="1:14" ht="30" customHeight="1" x14ac:dyDescent="0.35">
      <c r="A40" s="6">
        <v>32</v>
      </c>
      <c r="B40" s="7" t="s">
        <v>85</v>
      </c>
      <c r="C40" s="6" t="s">
        <v>22</v>
      </c>
      <c r="D40" s="6" t="s">
        <v>23</v>
      </c>
      <c r="E40" s="8">
        <f>DuLieuBanVe!C4*GiaDinh!$C$11</f>
        <v>5824</v>
      </c>
      <c r="F40" s="8">
        <f>DuLieuBanVe!D4*GiaDinh!$C$11</f>
        <v>8400</v>
      </c>
      <c r="G40" s="8">
        <f>DuLieuBanVe!E4*GiaDinh!$C$11</f>
        <v>1400</v>
      </c>
      <c r="H40" s="8">
        <f>DuLieuBanVe!F4*GiaDinh!$C$11</f>
        <v>4200</v>
      </c>
      <c r="I40" s="8">
        <f>DuLieuBanVe!G4*GiaDinh!$C$11</f>
        <v>5600</v>
      </c>
      <c r="J40" s="8">
        <f>DuLieuBanVe!H4*GiaDinh!$C$11</f>
        <v>8400</v>
      </c>
      <c r="K40" s="8">
        <f>SUM(E40:J40)</f>
        <v>33824</v>
      </c>
      <c r="L40" s="8">
        <f>ROUNDUP(K40*(1+GiaDinh!$C$14/100),0)</f>
        <v>34839</v>
      </c>
      <c r="M40" s="7" t="s">
        <v>35</v>
      </c>
      <c r="N40" s="7" t="s">
        <v>86</v>
      </c>
    </row>
    <row r="41" spans="1:14" ht="78" customHeight="1" x14ac:dyDescent="0.35">
      <c r="A41" s="6">
        <v>33</v>
      </c>
      <c r="B41" s="7" t="s">
        <v>87</v>
      </c>
      <c r="C41" s="7"/>
      <c r="D41" s="6" t="s">
        <v>23</v>
      </c>
      <c r="E41" s="8">
        <f>DuLieuBanVe!C4*GiaDinh!$C$12</f>
        <v>11648</v>
      </c>
      <c r="F41" s="8">
        <f>DuLieuBanVe!D4*GiaDinh!$C$12</f>
        <v>16800</v>
      </c>
      <c r="G41" s="8">
        <f>DuLieuBanVe!E4*GiaDinh!$C$12</f>
        <v>2800</v>
      </c>
      <c r="H41" s="8">
        <f>DuLieuBanVe!F4*GiaDinh!$C$12</f>
        <v>8400</v>
      </c>
      <c r="I41" s="8">
        <f>DuLieuBanVe!G4*GiaDinh!$C$12</f>
        <v>11200</v>
      </c>
      <c r="J41" s="8">
        <f>DuLieuBanVe!H4*GiaDinh!$C$12</f>
        <v>16800</v>
      </c>
      <c r="K41" s="8">
        <f>SUM(E41:J41)</f>
        <v>67648</v>
      </c>
      <c r="L41" s="8">
        <f>ROUNDUP(K41*(1+GiaDinh!$C$14/100),0)</f>
        <v>69678</v>
      </c>
      <c r="M41" s="7" t="s">
        <v>35</v>
      </c>
      <c r="N41" s="7"/>
    </row>
    <row r="42" spans="1:14" ht="15.5" x14ac:dyDescent="0.35">
      <c r="A42" s="3"/>
      <c r="B42" s="4" t="s">
        <v>88</v>
      </c>
      <c r="C42" s="5"/>
      <c r="D42" s="3"/>
      <c r="E42" s="5"/>
      <c r="F42" s="5"/>
      <c r="G42" s="5"/>
      <c r="H42" s="5"/>
      <c r="I42" s="5"/>
      <c r="J42" s="5"/>
      <c r="K42" s="5"/>
      <c r="L42" s="5"/>
      <c r="M42" s="5"/>
      <c r="N42" s="5"/>
    </row>
    <row r="43" spans="1:14" ht="78" customHeight="1" x14ac:dyDescent="0.35">
      <c r="A43" s="6">
        <v>34</v>
      </c>
      <c r="B43" s="7" t="s">
        <v>89</v>
      </c>
      <c r="C43" s="7"/>
      <c r="D43" s="6" t="s">
        <v>26</v>
      </c>
      <c r="E43" s="8">
        <f>2*DuLieuBanVe!C22+DuLieuBanVe!C23</f>
        <v>86</v>
      </c>
      <c r="F43" s="8">
        <f>2*DuLieuBanVe!D22+DuLieuBanVe!D23</f>
        <v>110</v>
      </c>
      <c r="G43" s="8">
        <f>2*DuLieuBanVe!E22+DuLieuBanVe!E23</f>
        <v>38</v>
      </c>
      <c r="H43" s="8">
        <f>2*DuLieuBanVe!F22+DuLieuBanVe!F23</f>
        <v>66</v>
      </c>
      <c r="I43" s="8">
        <f>2*DuLieuBanVe!G22+DuLieuBanVe!G23</f>
        <v>74</v>
      </c>
      <c r="J43" s="8">
        <f>2*DuLieuBanVe!H22+DuLieuBanVe!H23</f>
        <v>100</v>
      </c>
      <c r="K43" s="8">
        <f>SUM(E43:J43)</f>
        <v>474</v>
      </c>
      <c r="L43" s="8">
        <f>ROUNDUP(K43*(1+GiaDinh!$C$14/100),0)</f>
        <v>489</v>
      </c>
      <c r="M43" s="7" t="s">
        <v>90</v>
      </c>
      <c r="N43" s="7" t="s">
        <v>91</v>
      </c>
    </row>
  </sheetData>
  <mergeCells count="2">
    <mergeCell ref="A2:N2"/>
    <mergeCell ref="A1:N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
  <sheetViews>
    <sheetView workbookViewId="0"/>
  </sheetViews>
  <sheetFormatPr defaultRowHeight="14.5" x14ac:dyDescent="0.35"/>
  <cols>
    <col min="1" max="1" width="8" customWidth="1"/>
    <col min="2" max="2" width="44" customWidth="1"/>
    <col min="3" max="8" width="11" customWidth="1"/>
    <col min="9" max="9" width="12" customWidth="1"/>
    <col min="10" max="10" width="90" customWidth="1"/>
  </cols>
  <sheetData>
    <row r="1" spans="1:10" ht="17" x14ac:dyDescent="0.4">
      <c r="A1" s="1" t="s">
        <v>92</v>
      </c>
    </row>
    <row r="3" spans="1:10" ht="15.5" x14ac:dyDescent="0.35">
      <c r="A3" s="2" t="s">
        <v>93</v>
      </c>
      <c r="B3" s="2" t="s">
        <v>3</v>
      </c>
      <c r="C3" s="2" t="s">
        <v>6</v>
      </c>
      <c r="D3" s="2" t="s">
        <v>7</v>
      </c>
      <c r="E3" s="2" t="s">
        <v>8</v>
      </c>
      <c r="F3" s="2" t="s">
        <v>9</v>
      </c>
      <c r="G3" s="2" t="s">
        <v>10</v>
      </c>
      <c r="H3" s="2" t="s">
        <v>11</v>
      </c>
      <c r="I3" s="2" t="s">
        <v>12</v>
      </c>
      <c r="J3" s="2" t="s">
        <v>14</v>
      </c>
    </row>
    <row r="4" spans="1:10" ht="15.5" x14ac:dyDescent="0.35">
      <c r="A4" s="7" t="s">
        <v>94</v>
      </c>
      <c r="B4" s="7" t="s">
        <v>95</v>
      </c>
      <c r="C4" s="8">
        <v>2912</v>
      </c>
      <c r="D4" s="8">
        <v>4200</v>
      </c>
      <c r="E4" s="8">
        <v>700</v>
      </c>
      <c r="F4" s="8">
        <v>2100</v>
      </c>
      <c r="G4" s="8">
        <v>2800</v>
      </c>
      <c r="H4" s="8">
        <v>4200</v>
      </c>
      <c r="I4" s="8">
        <f t="shared" ref="I4:I23" si="0">SUM(C4:H4)</f>
        <v>16912</v>
      </c>
      <c r="J4" s="7" t="s">
        <v>96</v>
      </c>
    </row>
    <row r="5" spans="1:10" ht="15.5" x14ac:dyDescent="0.35">
      <c r="A5" s="7" t="s">
        <v>97</v>
      </c>
      <c r="B5" s="7" t="s">
        <v>98</v>
      </c>
      <c r="C5" s="8">
        <v>119</v>
      </c>
      <c r="D5" s="8">
        <v>158</v>
      </c>
      <c r="E5" s="8">
        <v>50</v>
      </c>
      <c r="F5" s="8">
        <v>87</v>
      </c>
      <c r="G5" s="8">
        <v>148</v>
      </c>
      <c r="H5" s="8">
        <v>150</v>
      </c>
      <c r="I5" s="8">
        <f t="shared" si="0"/>
        <v>712</v>
      </c>
      <c r="J5" s="7" t="s">
        <v>99</v>
      </c>
    </row>
    <row r="6" spans="1:10" ht="15.5" x14ac:dyDescent="0.35">
      <c r="A6" s="7" t="s">
        <v>100</v>
      </c>
      <c r="B6" s="7" t="s">
        <v>101</v>
      </c>
      <c r="C6" s="8">
        <v>104</v>
      </c>
      <c r="D6" s="8">
        <v>150</v>
      </c>
      <c r="E6" s="8">
        <v>25</v>
      </c>
      <c r="F6" s="8">
        <v>75</v>
      </c>
      <c r="G6" s="8">
        <v>100</v>
      </c>
      <c r="H6" s="8">
        <v>150</v>
      </c>
      <c r="I6" s="8">
        <f t="shared" si="0"/>
        <v>604</v>
      </c>
      <c r="J6" s="7" t="s">
        <v>102</v>
      </c>
    </row>
    <row r="7" spans="1:10" ht="15.5" x14ac:dyDescent="0.35">
      <c r="A7" s="7" t="s">
        <v>103</v>
      </c>
      <c r="B7" s="7" t="s">
        <v>104</v>
      </c>
      <c r="C7" s="8">
        <v>4</v>
      </c>
      <c r="D7" s="8">
        <v>6</v>
      </c>
      <c r="E7" s="8">
        <v>1</v>
      </c>
      <c r="F7" s="8">
        <v>3</v>
      </c>
      <c r="G7" s="8">
        <v>4</v>
      </c>
      <c r="H7" s="8">
        <v>4</v>
      </c>
      <c r="I7" s="8">
        <f t="shared" si="0"/>
        <v>22</v>
      </c>
      <c r="J7" s="7" t="s">
        <v>105</v>
      </c>
    </row>
    <row r="8" spans="1:10" ht="15.5" x14ac:dyDescent="0.35">
      <c r="A8" s="7" t="s">
        <v>106</v>
      </c>
      <c r="B8" s="7" t="s">
        <v>107</v>
      </c>
      <c r="C8" s="8">
        <v>2958</v>
      </c>
      <c r="D8" s="8">
        <v>4317</v>
      </c>
      <c r="E8" s="8">
        <v>714</v>
      </c>
      <c r="F8" s="8">
        <v>2128</v>
      </c>
      <c r="G8" s="8">
        <v>2842</v>
      </c>
      <c r="H8" s="8">
        <v>4312</v>
      </c>
      <c r="I8" s="8">
        <f t="shared" si="0"/>
        <v>17271</v>
      </c>
      <c r="J8" s="7" t="s">
        <v>108</v>
      </c>
    </row>
    <row r="9" spans="1:10" ht="15.5" x14ac:dyDescent="0.35">
      <c r="A9" s="7" t="s">
        <v>109</v>
      </c>
      <c r="B9" s="7" t="s">
        <v>110</v>
      </c>
      <c r="C9" s="8">
        <v>122</v>
      </c>
      <c r="D9" s="8">
        <v>162</v>
      </c>
      <c r="E9" s="8">
        <v>51</v>
      </c>
      <c r="F9" s="8">
        <v>88</v>
      </c>
      <c r="G9" s="8">
        <v>150</v>
      </c>
      <c r="H9" s="8">
        <v>154</v>
      </c>
      <c r="I9" s="8">
        <f t="shared" si="0"/>
        <v>727</v>
      </c>
      <c r="J9" s="7" t="s">
        <v>99</v>
      </c>
    </row>
    <row r="10" spans="1:10" ht="15.5" x14ac:dyDescent="0.35">
      <c r="A10" s="7" t="s">
        <v>111</v>
      </c>
      <c r="B10" s="7" t="s">
        <v>112</v>
      </c>
      <c r="C10" s="8">
        <v>746</v>
      </c>
      <c r="D10" s="8">
        <v>668</v>
      </c>
      <c r="E10" s="8">
        <v>201</v>
      </c>
      <c r="F10" s="8">
        <v>445</v>
      </c>
      <c r="G10" s="8">
        <v>594</v>
      </c>
      <c r="H10" s="8">
        <v>471</v>
      </c>
      <c r="I10" s="8">
        <f t="shared" si="0"/>
        <v>3125</v>
      </c>
      <c r="J10" s="7" t="s">
        <v>113</v>
      </c>
    </row>
    <row r="11" spans="1:10" ht="15.5" x14ac:dyDescent="0.35">
      <c r="A11" s="7" t="s">
        <v>114</v>
      </c>
      <c r="B11" s="7" t="s">
        <v>115</v>
      </c>
      <c r="C11" s="8">
        <v>130</v>
      </c>
      <c r="D11" s="8">
        <v>162</v>
      </c>
      <c r="E11" s="8">
        <v>201</v>
      </c>
      <c r="F11" s="8">
        <v>253</v>
      </c>
      <c r="G11" s="8">
        <v>297</v>
      </c>
      <c r="H11" s="8">
        <v>290</v>
      </c>
      <c r="I11" s="8">
        <f t="shared" si="0"/>
        <v>1333</v>
      </c>
      <c r="J11" s="7" t="s">
        <v>116</v>
      </c>
    </row>
    <row r="12" spans="1:10" ht="15.5" x14ac:dyDescent="0.35">
      <c r="A12" s="7" t="s">
        <v>117</v>
      </c>
      <c r="B12" s="7" t="s">
        <v>118</v>
      </c>
      <c r="C12" s="8">
        <v>7</v>
      </c>
      <c r="D12" s="8">
        <v>12</v>
      </c>
      <c r="E12" s="8">
        <v>2</v>
      </c>
      <c r="F12" s="8">
        <v>3</v>
      </c>
      <c r="G12" s="8">
        <v>4</v>
      </c>
      <c r="H12" s="8">
        <v>5</v>
      </c>
      <c r="I12" s="8">
        <f t="shared" si="0"/>
        <v>33</v>
      </c>
      <c r="J12" s="7" t="s">
        <v>119</v>
      </c>
    </row>
    <row r="13" spans="1:10" ht="15.5" x14ac:dyDescent="0.35">
      <c r="A13" s="7" t="s">
        <v>120</v>
      </c>
      <c r="B13" s="7" t="s">
        <v>121</v>
      </c>
      <c r="C13" s="8">
        <f t="shared" ref="C13:H13" si="1">C8+C10+C11</f>
        <v>3834</v>
      </c>
      <c r="D13" s="8">
        <f t="shared" si="1"/>
        <v>5147</v>
      </c>
      <c r="E13" s="8">
        <f t="shared" si="1"/>
        <v>1116</v>
      </c>
      <c r="F13" s="8">
        <f t="shared" si="1"/>
        <v>2826</v>
      </c>
      <c r="G13" s="8">
        <f t="shared" si="1"/>
        <v>3733</v>
      </c>
      <c r="H13" s="8">
        <f t="shared" si="1"/>
        <v>5073</v>
      </c>
      <c r="I13" s="8">
        <f t="shared" si="0"/>
        <v>21729</v>
      </c>
      <c r="J13" s="7" t="s">
        <v>122</v>
      </c>
    </row>
    <row r="14" spans="1:10" ht="15.5" x14ac:dyDescent="0.35">
      <c r="A14" s="7" t="s">
        <v>123</v>
      </c>
      <c r="B14" s="7" t="s">
        <v>124</v>
      </c>
      <c r="C14" s="8">
        <v>100</v>
      </c>
      <c r="D14" s="8">
        <v>244</v>
      </c>
      <c r="E14" s="8">
        <v>32</v>
      </c>
      <c r="F14" s="8">
        <v>60</v>
      </c>
      <c r="G14" s="8">
        <v>92</v>
      </c>
      <c r="H14" s="8">
        <v>236</v>
      </c>
      <c r="I14" s="8">
        <f t="shared" si="0"/>
        <v>764</v>
      </c>
      <c r="J14" s="7" t="s">
        <v>125</v>
      </c>
    </row>
    <row r="15" spans="1:10" ht="15.5" x14ac:dyDescent="0.35">
      <c r="A15" s="7" t="s">
        <v>126</v>
      </c>
      <c r="B15" s="7" t="s">
        <v>127</v>
      </c>
      <c r="C15" s="9">
        <v>12652.92</v>
      </c>
      <c r="D15" s="9">
        <v>17906.830000000002</v>
      </c>
      <c r="E15" s="9">
        <v>3236</v>
      </c>
      <c r="F15" s="9">
        <v>9165.7999999999993</v>
      </c>
      <c r="G15" s="9">
        <v>12388.2</v>
      </c>
      <c r="H15" s="9">
        <v>17963.53</v>
      </c>
      <c r="I15" s="9">
        <f t="shared" si="0"/>
        <v>73313.279999999999</v>
      </c>
      <c r="J15" s="7" t="s">
        <v>44</v>
      </c>
    </row>
    <row r="16" spans="1:10" ht="15.5" x14ac:dyDescent="0.35">
      <c r="A16" s="7" t="s">
        <v>128</v>
      </c>
      <c r="B16" s="7" t="s">
        <v>129</v>
      </c>
      <c r="C16" s="8">
        <v>38</v>
      </c>
      <c r="D16" s="8">
        <v>20</v>
      </c>
      <c r="E16" s="8">
        <v>18</v>
      </c>
      <c r="F16" s="8">
        <v>32</v>
      </c>
      <c r="G16" s="8">
        <v>27</v>
      </c>
      <c r="H16" s="8">
        <v>16</v>
      </c>
      <c r="I16" s="8">
        <f t="shared" si="0"/>
        <v>151</v>
      </c>
      <c r="J16" s="7" t="s">
        <v>130</v>
      </c>
    </row>
    <row r="17" spans="1:10" ht="15.5" x14ac:dyDescent="0.35">
      <c r="A17" s="7" t="s">
        <v>131</v>
      </c>
      <c r="B17" s="7" t="s">
        <v>132</v>
      </c>
      <c r="C17" s="9">
        <v>2986.38</v>
      </c>
      <c r="D17" s="9">
        <v>4449.1400000000003</v>
      </c>
      <c r="E17" s="9">
        <v>705.69</v>
      </c>
      <c r="F17" s="9">
        <v>2072.0100000000002</v>
      </c>
      <c r="G17" s="9">
        <v>2741.94</v>
      </c>
      <c r="H17" s="9">
        <v>4254.1099999999997</v>
      </c>
      <c r="I17" s="9">
        <f t="shared" si="0"/>
        <v>17209.27</v>
      </c>
      <c r="J17" s="7" t="s">
        <v>44</v>
      </c>
    </row>
    <row r="18" spans="1:10" ht="31" x14ac:dyDescent="0.35">
      <c r="A18" s="7" t="s">
        <v>133</v>
      </c>
      <c r="B18" s="7" t="s">
        <v>134</v>
      </c>
      <c r="C18" s="8">
        <v>100</v>
      </c>
      <c r="D18" s="8">
        <v>244</v>
      </c>
      <c r="E18" s="8">
        <v>32</v>
      </c>
      <c r="F18" s="8">
        <v>60</v>
      </c>
      <c r="G18" s="8">
        <v>92</v>
      </c>
      <c r="H18" s="8">
        <v>236</v>
      </c>
      <c r="I18" s="8">
        <f t="shared" si="0"/>
        <v>764</v>
      </c>
      <c r="J18" s="7" t="s">
        <v>135</v>
      </c>
    </row>
    <row r="19" spans="1:10" ht="31" x14ac:dyDescent="0.35">
      <c r="A19" s="7" t="s">
        <v>136</v>
      </c>
      <c r="B19" s="7" t="s">
        <v>137</v>
      </c>
      <c r="C19" s="9">
        <v>12652.9</v>
      </c>
      <c r="D19" s="9">
        <v>17906.84</v>
      </c>
      <c r="E19" s="9">
        <v>3236.01</v>
      </c>
      <c r="F19" s="9">
        <v>9165.7900000000009</v>
      </c>
      <c r="G19" s="9">
        <v>12388.18</v>
      </c>
      <c r="H19" s="9">
        <v>17963.45</v>
      </c>
      <c r="I19" s="9">
        <f t="shared" si="0"/>
        <v>73313.17</v>
      </c>
      <c r="J19" s="7" t="s">
        <v>138</v>
      </c>
    </row>
    <row r="20" spans="1:10" ht="15.5" x14ac:dyDescent="0.35">
      <c r="A20" s="7" t="s">
        <v>139</v>
      </c>
      <c r="B20" s="7" t="s">
        <v>140</v>
      </c>
      <c r="C20" s="8">
        <v>38</v>
      </c>
      <c r="D20" s="8">
        <v>20</v>
      </c>
      <c r="E20" s="8">
        <v>18</v>
      </c>
      <c r="F20" s="8">
        <v>32</v>
      </c>
      <c r="G20" s="8">
        <v>27</v>
      </c>
      <c r="H20" s="8">
        <v>16</v>
      </c>
      <c r="I20" s="8">
        <f t="shared" si="0"/>
        <v>151</v>
      </c>
      <c r="J20" s="7" t="s">
        <v>138</v>
      </c>
    </row>
    <row r="21" spans="1:10" ht="15.5" x14ac:dyDescent="0.35">
      <c r="A21" s="7" t="s">
        <v>141</v>
      </c>
      <c r="B21" s="7" t="s">
        <v>142</v>
      </c>
      <c r="C21" s="9">
        <v>2986.38</v>
      </c>
      <c r="D21" s="9">
        <v>4449.1499999999996</v>
      </c>
      <c r="E21" s="9">
        <v>705.69</v>
      </c>
      <c r="F21" s="9">
        <v>2072.02</v>
      </c>
      <c r="G21" s="9">
        <v>2741.95</v>
      </c>
      <c r="H21" s="9">
        <v>4254.1099999999997</v>
      </c>
      <c r="I21" s="9">
        <f t="shared" si="0"/>
        <v>17209.3</v>
      </c>
      <c r="J21" s="7" t="s">
        <v>138</v>
      </c>
    </row>
    <row r="22" spans="1:10" ht="15.5" x14ac:dyDescent="0.35">
      <c r="A22" s="7" t="s">
        <v>143</v>
      </c>
      <c r="B22" s="7" t="s">
        <v>144</v>
      </c>
      <c r="C22" s="8">
        <v>43</v>
      </c>
      <c r="D22" s="8">
        <v>52</v>
      </c>
      <c r="E22" s="8">
        <v>19</v>
      </c>
      <c r="F22" s="8">
        <v>30</v>
      </c>
      <c r="G22" s="8">
        <v>37</v>
      </c>
      <c r="H22" s="8">
        <v>50</v>
      </c>
      <c r="I22" s="8">
        <f t="shared" si="0"/>
        <v>231</v>
      </c>
      <c r="J22" s="7" t="s">
        <v>145</v>
      </c>
    </row>
    <row r="23" spans="1:10" ht="15.5" x14ac:dyDescent="0.35">
      <c r="A23" s="7" t="s">
        <v>146</v>
      </c>
      <c r="B23" s="7" t="s">
        <v>147</v>
      </c>
      <c r="C23" s="8">
        <v>0</v>
      </c>
      <c r="D23" s="8">
        <v>6</v>
      </c>
      <c r="E23" s="8">
        <v>0</v>
      </c>
      <c r="F23" s="8">
        <v>6</v>
      </c>
      <c r="G23" s="8">
        <v>0</v>
      </c>
      <c r="H23" s="8">
        <v>0</v>
      </c>
      <c r="I23" s="8">
        <f t="shared" si="0"/>
        <v>12</v>
      </c>
      <c r="J23" s="7" t="s">
        <v>148</v>
      </c>
    </row>
    <row r="24" spans="1:10" ht="15.5" x14ac:dyDescent="0.35">
      <c r="A24" s="7" t="s">
        <v>149</v>
      </c>
      <c r="B24" s="7" t="s">
        <v>150</v>
      </c>
      <c r="C24" s="7"/>
      <c r="D24" s="7"/>
      <c r="E24" s="7"/>
      <c r="F24" s="7"/>
      <c r="G24" s="7"/>
      <c r="H24" s="7"/>
      <c r="I24" s="7">
        <v>2654</v>
      </c>
      <c r="J24" s="7" t="s">
        <v>151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17"/>
  <sheetViews>
    <sheetView workbookViewId="0"/>
  </sheetViews>
  <sheetFormatPr defaultRowHeight="14.5" x14ac:dyDescent="0.35"/>
  <cols>
    <col min="1" max="1" width="8" customWidth="1"/>
    <col min="2" max="2" width="10" customWidth="1"/>
    <col min="3" max="3" width="18" customWidth="1"/>
    <col min="4" max="4" width="34" customWidth="1"/>
    <col min="5" max="5" width="7" customWidth="1"/>
    <col min="6" max="6" width="10" customWidth="1"/>
    <col min="7" max="7" width="14" customWidth="1"/>
    <col min="8" max="8" width="12" customWidth="1"/>
    <col min="9" max="9" width="10" customWidth="1"/>
    <col min="10" max="12" width="9" customWidth="1"/>
    <col min="13" max="13" width="10" customWidth="1"/>
    <col min="14" max="14" width="9" customWidth="1"/>
    <col min="15" max="15" width="8" customWidth="1"/>
    <col min="16" max="18" width="10" customWidth="1"/>
    <col min="19" max="19" width="11" customWidth="1"/>
  </cols>
  <sheetData>
    <row r="1" spans="1:19" ht="15.5" x14ac:dyDescent="0.35">
      <c r="A1" s="10" t="s">
        <v>152</v>
      </c>
    </row>
    <row r="2" spans="1:19" ht="62" customHeight="1" x14ac:dyDescent="0.35">
      <c r="A2" s="23" t="s">
        <v>153</v>
      </c>
      <c r="B2" s="21"/>
      <c r="C2" s="21"/>
      <c r="D2" s="21"/>
      <c r="E2" s="21"/>
      <c r="F2" s="21"/>
      <c r="G2" s="21"/>
      <c r="H2" s="21"/>
      <c r="I2" s="21"/>
      <c r="J2" s="21"/>
      <c r="K2" s="21"/>
      <c r="L2" s="21"/>
      <c r="M2" s="21"/>
      <c r="N2" s="21"/>
      <c r="O2" s="21"/>
      <c r="P2" s="21"/>
      <c r="Q2" s="21"/>
      <c r="R2" s="21"/>
      <c r="S2" s="21"/>
    </row>
    <row r="3" spans="1:19" ht="62" customHeight="1" x14ac:dyDescent="0.35">
      <c r="A3" s="2" t="s">
        <v>154</v>
      </c>
      <c r="B3" s="2" t="s">
        <v>155</v>
      </c>
      <c r="C3" s="2" t="s">
        <v>156</v>
      </c>
      <c r="D3" s="2" t="s">
        <v>157</v>
      </c>
      <c r="E3" s="2" t="s">
        <v>158</v>
      </c>
      <c r="F3" s="2" t="s">
        <v>159</v>
      </c>
      <c r="G3" s="2" t="s">
        <v>160</v>
      </c>
      <c r="H3" s="2" t="s">
        <v>161</v>
      </c>
      <c r="I3" s="2" t="s">
        <v>162</v>
      </c>
      <c r="J3" s="2" t="s">
        <v>163</v>
      </c>
      <c r="K3" s="2" t="s">
        <v>164</v>
      </c>
      <c r="L3" s="2" t="s">
        <v>165</v>
      </c>
      <c r="M3" s="2" t="s">
        <v>166</v>
      </c>
      <c r="N3" s="2" t="s">
        <v>167</v>
      </c>
      <c r="O3" s="2" t="s">
        <v>168</v>
      </c>
      <c r="P3" s="2" t="s">
        <v>169</v>
      </c>
      <c r="Q3" s="2" t="s">
        <v>170</v>
      </c>
      <c r="R3" s="2" t="s">
        <v>171</v>
      </c>
      <c r="S3" s="2" t="s">
        <v>172</v>
      </c>
    </row>
    <row r="4" spans="1:19" ht="15.5" x14ac:dyDescent="0.35">
      <c r="A4" s="7" t="s">
        <v>6</v>
      </c>
      <c r="B4" s="7" t="s">
        <v>173</v>
      </c>
      <c r="C4" s="7" t="s">
        <v>174</v>
      </c>
      <c r="D4" s="7" t="s">
        <v>175</v>
      </c>
      <c r="E4" s="7">
        <v>2</v>
      </c>
      <c r="F4" s="7">
        <v>85.7</v>
      </c>
      <c r="G4" s="11">
        <f>2*F4*GiaDinh!$C$18*GiaDinh!$C$17</f>
        <v>143.97599999999997</v>
      </c>
      <c r="H4" s="7">
        <v>13</v>
      </c>
      <c r="I4" s="11">
        <f>H4*GiaDinh!$C$16</f>
        <v>91</v>
      </c>
      <c r="J4" s="7">
        <f t="shared" ref="J4:J67" si="0">MAX(1,ROUNDUP(G4/I4-0.0005,0))</f>
        <v>2</v>
      </c>
      <c r="K4" s="7">
        <v>2</v>
      </c>
      <c r="L4" s="7" t="str">
        <f t="shared" ref="L4:L67" si="1">IF(K4&gt;=J4,"ĐỦ","THIẾU")</f>
        <v>ĐỦ</v>
      </c>
      <c r="M4" s="11">
        <v>30</v>
      </c>
      <c r="N4" s="7">
        <f>ROUNDUP(15/GiaDinh!$C$5-0.0005,0)+ROUNDUP(15/GiaDinh!$C$5-0.0005,0)</f>
        <v>6</v>
      </c>
      <c r="O4" s="7">
        <f t="shared" ref="O4:O67" si="2">N4-K4</f>
        <v>4</v>
      </c>
      <c r="P4" s="7">
        <v>26</v>
      </c>
      <c r="Q4" s="7">
        <f t="shared" ref="Q4:Q67" si="3">2*P4</f>
        <v>52</v>
      </c>
      <c r="R4" s="7">
        <f t="shared" ref="R4:R67" si="4">P4</f>
        <v>26</v>
      </c>
      <c r="S4" s="12">
        <f>M4*GiaDinh!$C$7</f>
        <v>90.3</v>
      </c>
    </row>
    <row r="5" spans="1:19" ht="15.5" x14ac:dyDescent="0.35">
      <c r="A5" s="7" t="s">
        <v>6</v>
      </c>
      <c r="B5" s="7" t="s">
        <v>176</v>
      </c>
      <c r="C5" s="7" t="s">
        <v>174</v>
      </c>
      <c r="D5" s="7" t="s">
        <v>177</v>
      </c>
      <c r="E5" s="7">
        <v>2</v>
      </c>
      <c r="F5" s="7">
        <v>85.7</v>
      </c>
      <c r="G5" s="11">
        <f>2*F5*GiaDinh!$C$18*GiaDinh!$C$17</f>
        <v>143.97599999999997</v>
      </c>
      <c r="H5" s="7">
        <v>11</v>
      </c>
      <c r="I5" s="11">
        <f>H5*GiaDinh!$C$16</f>
        <v>77</v>
      </c>
      <c r="J5" s="7">
        <f t="shared" si="0"/>
        <v>2</v>
      </c>
      <c r="K5" s="7">
        <v>2</v>
      </c>
      <c r="L5" s="7" t="str">
        <f t="shared" si="1"/>
        <v>ĐỦ</v>
      </c>
      <c r="M5" s="11">
        <v>27.948</v>
      </c>
      <c r="N5" s="7">
        <f>ROUNDUP(13.974/GiaDinh!$C$5-0.0005,0)+ROUNDUP(13.974/GiaDinh!$C$5-0.0005,0)</f>
        <v>6</v>
      </c>
      <c r="O5" s="7">
        <f t="shared" si="2"/>
        <v>4</v>
      </c>
      <c r="P5" s="7">
        <v>22</v>
      </c>
      <c r="Q5" s="7">
        <f t="shared" si="3"/>
        <v>44</v>
      </c>
      <c r="R5" s="7">
        <f t="shared" si="4"/>
        <v>22</v>
      </c>
      <c r="S5" s="12">
        <f>M5*GiaDinh!$C$7</f>
        <v>84.123480000000001</v>
      </c>
    </row>
    <row r="6" spans="1:19" ht="31" x14ac:dyDescent="0.35">
      <c r="A6" s="7" t="s">
        <v>6</v>
      </c>
      <c r="B6" s="7" t="s">
        <v>178</v>
      </c>
      <c r="C6" s="7" t="s">
        <v>174</v>
      </c>
      <c r="D6" s="7" t="s">
        <v>179</v>
      </c>
      <c r="E6" s="7">
        <v>4</v>
      </c>
      <c r="F6" s="7">
        <v>85.7</v>
      </c>
      <c r="G6" s="11">
        <f>4*F6*GiaDinh!$C$18*GiaDinh!$C$17</f>
        <v>287.95199999999994</v>
      </c>
      <c r="H6" s="7">
        <v>12</v>
      </c>
      <c r="I6" s="11">
        <f>H6*GiaDinh!$C$16</f>
        <v>84</v>
      </c>
      <c r="J6" s="7">
        <f t="shared" si="0"/>
        <v>4</v>
      </c>
      <c r="K6" s="7">
        <v>4</v>
      </c>
      <c r="L6" s="7" t="str">
        <f t="shared" si="1"/>
        <v>ĐỦ</v>
      </c>
      <c r="M6" s="11">
        <v>60</v>
      </c>
      <c r="N6" s="7">
        <f>ROUNDUP(15/GiaDinh!$C$5-0.0005,0)+ROUNDUP(15/GiaDinh!$C$5-0.0005,0)+ROUNDUP(15/GiaDinh!$C$5-0.0005,0)+ROUNDUP(15/GiaDinh!$C$5-0.0005,0)</f>
        <v>12</v>
      </c>
      <c r="O6" s="7">
        <f t="shared" si="2"/>
        <v>8</v>
      </c>
      <c r="P6" s="7">
        <v>48</v>
      </c>
      <c r="Q6" s="7">
        <f t="shared" si="3"/>
        <v>96</v>
      </c>
      <c r="R6" s="7">
        <f t="shared" si="4"/>
        <v>48</v>
      </c>
      <c r="S6" s="12">
        <f>M6*GiaDinh!$C$7</f>
        <v>180.6</v>
      </c>
    </row>
    <row r="7" spans="1:19" ht="15.5" x14ac:dyDescent="0.35">
      <c r="A7" s="7" t="s">
        <v>6</v>
      </c>
      <c r="B7" s="7" t="s">
        <v>180</v>
      </c>
      <c r="C7" s="7" t="s">
        <v>174</v>
      </c>
      <c r="D7" s="7" t="s">
        <v>181</v>
      </c>
      <c r="E7" s="7">
        <v>2</v>
      </c>
      <c r="F7" s="7">
        <v>85.7</v>
      </c>
      <c r="G7" s="11">
        <f>2*F7*GiaDinh!$C$18*GiaDinh!$C$17</f>
        <v>143.97599999999997</v>
      </c>
      <c r="H7" s="7">
        <v>12</v>
      </c>
      <c r="I7" s="11">
        <f>H7*GiaDinh!$C$16</f>
        <v>84</v>
      </c>
      <c r="J7" s="7">
        <f t="shared" si="0"/>
        <v>2</v>
      </c>
      <c r="K7" s="7">
        <v>2</v>
      </c>
      <c r="L7" s="7" t="str">
        <f t="shared" si="1"/>
        <v>ĐỦ</v>
      </c>
      <c r="M7" s="11">
        <v>30</v>
      </c>
      <c r="N7" s="7">
        <f>ROUNDUP(15/GiaDinh!$C$5-0.0005,0)+ROUNDUP(15/GiaDinh!$C$5-0.0005,0)</f>
        <v>6</v>
      </c>
      <c r="O7" s="7">
        <f t="shared" si="2"/>
        <v>4</v>
      </c>
      <c r="P7" s="7">
        <v>24</v>
      </c>
      <c r="Q7" s="7">
        <f t="shared" si="3"/>
        <v>48</v>
      </c>
      <c r="R7" s="7">
        <f t="shared" si="4"/>
        <v>24</v>
      </c>
      <c r="S7" s="12">
        <f>M7*GiaDinh!$C$7</f>
        <v>90.3</v>
      </c>
    </row>
    <row r="8" spans="1:19" ht="31" x14ac:dyDescent="0.35">
      <c r="A8" s="7" t="s">
        <v>6</v>
      </c>
      <c r="B8" s="7" t="s">
        <v>182</v>
      </c>
      <c r="C8" s="7" t="s">
        <v>174</v>
      </c>
      <c r="D8" s="7" t="s">
        <v>183</v>
      </c>
      <c r="E8" s="7">
        <v>4</v>
      </c>
      <c r="F8" s="7">
        <v>85.7</v>
      </c>
      <c r="G8" s="11">
        <f>4*F8*GiaDinh!$C$18*GiaDinh!$C$17</f>
        <v>287.95199999999994</v>
      </c>
      <c r="H8" s="7">
        <v>12</v>
      </c>
      <c r="I8" s="11">
        <f>H8*GiaDinh!$C$16</f>
        <v>84</v>
      </c>
      <c r="J8" s="7">
        <f t="shared" si="0"/>
        <v>4</v>
      </c>
      <c r="K8" s="7">
        <v>4</v>
      </c>
      <c r="L8" s="7" t="str">
        <f t="shared" si="1"/>
        <v>ĐỦ</v>
      </c>
      <c r="M8" s="11">
        <v>60</v>
      </c>
      <c r="N8" s="7">
        <f>ROUNDUP(15/GiaDinh!$C$5-0.0005,0)+ROUNDUP(15/GiaDinh!$C$5-0.0005,0)+ROUNDUP(15/GiaDinh!$C$5-0.0005,0)+ROUNDUP(15/GiaDinh!$C$5-0.0005,0)</f>
        <v>12</v>
      </c>
      <c r="O8" s="7">
        <f t="shared" si="2"/>
        <v>8</v>
      </c>
      <c r="P8" s="7">
        <v>48</v>
      </c>
      <c r="Q8" s="7">
        <f t="shared" si="3"/>
        <v>96</v>
      </c>
      <c r="R8" s="7">
        <f t="shared" si="4"/>
        <v>48</v>
      </c>
      <c r="S8" s="12">
        <f>M8*GiaDinh!$C$7</f>
        <v>180.6</v>
      </c>
    </row>
    <row r="9" spans="1:19" ht="31" x14ac:dyDescent="0.35">
      <c r="A9" s="7" t="s">
        <v>6</v>
      </c>
      <c r="B9" s="7" t="s">
        <v>184</v>
      </c>
      <c r="C9" s="7" t="s">
        <v>174</v>
      </c>
      <c r="D9" s="7" t="s">
        <v>185</v>
      </c>
      <c r="E9" s="7">
        <v>4</v>
      </c>
      <c r="F9" s="7">
        <v>85.7</v>
      </c>
      <c r="G9" s="11">
        <f>4*F9*GiaDinh!$C$18*GiaDinh!$C$17</f>
        <v>287.95199999999994</v>
      </c>
      <c r="H9" s="7">
        <v>12</v>
      </c>
      <c r="I9" s="11">
        <f>H9*GiaDinh!$C$16</f>
        <v>84</v>
      </c>
      <c r="J9" s="7">
        <f t="shared" si="0"/>
        <v>4</v>
      </c>
      <c r="K9" s="7">
        <v>4</v>
      </c>
      <c r="L9" s="7" t="str">
        <f t="shared" si="1"/>
        <v>ĐỦ</v>
      </c>
      <c r="M9" s="11">
        <v>60</v>
      </c>
      <c r="N9" s="7">
        <f>ROUNDUP(15/GiaDinh!$C$5-0.0005,0)+ROUNDUP(15/GiaDinh!$C$5-0.0005,0)+ROUNDUP(15/GiaDinh!$C$5-0.0005,0)+ROUNDUP(15/GiaDinh!$C$5-0.0005,0)</f>
        <v>12</v>
      </c>
      <c r="O9" s="7">
        <f t="shared" si="2"/>
        <v>8</v>
      </c>
      <c r="P9" s="7">
        <v>48</v>
      </c>
      <c r="Q9" s="7">
        <f t="shared" si="3"/>
        <v>96</v>
      </c>
      <c r="R9" s="7">
        <f t="shared" si="4"/>
        <v>48</v>
      </c>
      <c r="S9" s="12">
        <f>M9*GiaDinh!$C$7</f>
        <v>180.6</v>
      </c>
    </row>
    <row r="10" spans="1:19" ht="31" x14ac:dyDescent="0.35">
      <c r="A10" s="7" t="s">
        <v>6</v>
      </c>
      <c r="B10" s="7" t="s">
        <v>186</v>
      </c>
      <c r="C10" s="7" t="s">
        <v>174</v>
      </c>
      <c r="D10" s="7" t="s">
        <v>187</v>
      </c>
      <c r="E10" s="7">
        <v>4</v>
      </c>
      <c r="F10" s="7">
        <v>85.7</v>
      </c>
      <c r="G10" s="11">
        <f>4*F10*GiaDinh!$C$18*GiaDinh!$C$17</f>
        <v>287.95199999999994</v>
      </c>
      <c r="H10" s="7">
        <v>12</v>
      </c>
      <c r="I10" s="11">
        <f>H10*GiaDinh!$C$16</f>
        <v>84</v>
      </c>
      <c r="J10" s="7">
        <f t="shared" si="0"/>
        <v>4</v>
      </c>
      <c r="K10" s="7">
        <v>4</v>
      </c>
      <c r="L10" s="7" t="str">
        <f t="shared" si="1"/>
        <v>ĐỦ</v>
      </c>
      <c r="M10" s="11">
        <v>60</v>
      </c>
      <c r="N10" s="7">
        <f>ROUNDUP(15/GiaDinh!$C$5-0.0005,0)+ROUNDUP(15/GiaDinh!$C$5-0.0005,0)+ROUNDUP(15/GiaDinh!$C$5-0.0005,0)+ROUNDUP(15/GiaDinh!$C$5-0.0005,0)</f>
        <v>12</v>
      </c>
      <c r="O10" s="7">
        <f t="shared" si="2"/>
        <v>8</v>
      </c>
      <c r="P10" s="7">
        <v>48</v>
      </c>
      <c r="Q10" s="7">
        <f t="shared" si="3"/>
        <v>96</v>
      </c>
      <c r="R10" s="7">
        <f t="shared" si="4"/>
        <v>48</v>
      </c>
      <c r="S10" s="12">
        <f>M10*GiaDinh!$C$7</f>
        <v>180.6</v>
      </c>
    </row>
    <row r="11" spans="1:19" ht="15.5" x14ac:dyDescent="0.35">
      <c r="A11" s="7" t="s">
        <v>6</v>
      </c>
      <c r="B11" s="7" t="s">
        <v>188</v>
      </c>
      <c r="C11" s="7" t="s">
        <v>174</v>
      </c>
      <c r="D11" s="7" t="s">
        <v>189</v>
      </c>
      <c r="E11" s="7">
        <v>2</v>
      </c>
      <c r="F11" s="7">
        <v>85.7</v>
      </c>
      <c r="G11" s="11">
        <f>2*F11*GiaDinh!$C$18*GiaDinh!$C$17</f>
        <v>143.97599999999997</v>
      </c>
      <c r="H11" s="7">
        <v>11</v>
      </c>
      <c r="I11" s="11">
        <f>H11*GiaDinh!$C$16</f>
        <v>77</v>
      </c>
      <c r="J11" s="7">
        <f t="shared" si="0"/>
        <v>2</v>
      </c>
      <c r="K11" s="7">
        <v>2</v>
      </c>
      <c r="L11" s="7" t="str">
        <f t="shared" si="1"/>
        <v>ĐỦ</v>
      </c>
      <c r="M11" s="11">
        <v>30</v>
      </c>
      <c r="N11" s="7">
        <f>ROUNDUP(15/GiaDinh!$C$5-0.0005,0)+ROUNDUP(15/GiaDinh!$C$5-0.0005,0)</f>
        <v>6</v>
      </c>
      <c r="O11" s="7">
        <f t="shared" si="2"/>
        <v>4</v>
      </c>
      <c r="P11" s="7">
        <v>22</v>
      </c>
      <c r="Q11" s="7">
        <f t="shared" si="3"/>
        <v>44</v>
      </c>
      <c r="R11" s="7">
        <f t="shared" si="4"/>
        <v>22</v>
      </c>
      <c r="S11" s="12">
        <f>M11*GiaDinh!$C$7</f>
        <v>90.3</v>
      </c>
    </row>
    <row r="12" spans="1:19" ht="31" x14ac:dyDescent="0.35">
      <c r="A12" s="7" t="s">
        <v>6</v>
      </c>
      <c r="B12" s="7" t="s">
        <v>190</v>
      </c>
      <c r="C12" s="7" t="s">
        <v>174</v>
      </c>
      <c r="D12" s="7" t="s">
        <v>191</v>
      </c>
      <c r="E12" s="7">
        <v>4</v>
      </c>
      <c r="F12" s="7">
        <v>85.7</v>
      </c>
      <c r="G12" s="11">
        <f>4*F12*GiaDinh!$C$18*GiaDinh!$C$17</f>
        <v>287.95199999999994</v>
      </c>
      <c r="H12" s="7">
        <v>12</v>
      </c>
      <c r="I12" s="11">
        <f>H12*GiaDinh!$C$16</f>
        <v>84</v>
      </c>
      <c r="J12" s="7">
        <f t="shared" si="0"/>
        <v>4</v>
      </c>
      <c r="K12" s="7">
        <v>4</v>
      </c>
      <c r="L12" s="7" t="str">
        <f t="shared" si="1"/>
        <v>ĐỦ</v>
      </c>
      <c r="M12" s="11">
        <v>60</v>
      </c>
      <c r="N12" s="7">
        <f>ROUNDUP(15/GiaDinh!$C$5-0.0005,0)+ROUNDUP(15/GiaDinh!$C$5-0.0005,0)+ROUNDUP(15/GiaDinh!$C$5-0.0005,0)+ROUNDUP(15/GiaDinh!$C$5-0.0005,0)</f>
        <v>12</v>
      </c>
      <c r="O12" s="7">
        <f t="shared" si="2"/>
        <v>8</v>
      </c>
      <c r="P12" s="7">
        <v>48</v>
      </c>
      <c r="Q12" s="7">
        <f t="shared" si="3"/>
        <v>96</v>
      </c>
      <c r="R12" s="7">
        <f t="shared" si="4"/>
        <v>48</v>
      </c>
      <c r="S12" s="12">
        <f>M12*GiaDinh!$C$7</f>
        <v>180.6</v>
      </c>
    </row>
    <row r="13" spans="1:19" ht="15.5" x14ac:dyDescent="0.35">
      <c r="A13" s="7" t="s">
        <v>6</v>
      </c>
      <c r="B13" s="7" t="s">
        <v>192</v>
      </c>
      <c r="C13" s="7" t="s">
        <v>174</v>
      </c>
      <c r="D13" s="7" t="s">
        <v>193</v>
      </c>
      <c r="E13" s="7">
        <v>2</v>
      </c>
      <c r="F13" s="7">
        <v>85.7</v>
      </c>
      <c r="G13" s="11">
        <f>2*F13*GiaDinh!$C$18*GiaDinh!$C$17</f>
        <v>143.97599999999997</v>
      </c>
      <c r="H13" s="7">
        <v>12</v>
      </c>
      <c r="I13" s="11">
        <f>H13*GiaDinh!$C$16</f>
        <v>84</v>
      </c>
      <c r="J13" s="7">
        <f t="shared" si="0"/>
        <v>2</v>
      </c>
      <c r="K13" s="7">
        <v>2</v>
      </c>
      <c r="L13" s="7" t="str">
        <f t="shared" si="1"/>
        <v>ĐỦ</v>
      </c>
      <c r="M13" s="11">
        <v>30</v>
      </c>
      <c r="N13" s="7">
        <f>ROUNDUP(15/GiaDinh!$C$5-0.0005,0)+ROUNDUP(15/GiaDinh!$C$5-0.0005,0)</f>
        <v>6</v>
      </c>
      <c r="O13" s="7">
        <f t="shared" si="2"/>
        <v>4</v>
      </c>
      <c r="P13" s="7">
        <v>24</v>
      </c>
      <c r="Q13" s="7">
        <f t="shared" si="3"/>
        <v>48</v>
      </c>
      <c r="R13" s="7">
        <f t="shared" si="4"/>
        <v>24</v>
      </c>
      <c r="S13" s="12">
        <f>M13*GiaDinh!$C$7</f>
        <v>90.3</v>
      </c>
    </row>
    <row r="14" spans="1:19" ht="15.5" x14ac:dyDescent="0.35">
      <c r="A14" s="7" t="s">
        <v>6</v>
      </c>
      <c r="B14" s="7" t="s">
        <v>194</v>
      </c>
      <c r="C14" s="7" t="s">
        <v>174</v>
      </c>
      <c r="D14" s="7" t="s">
        <v>195</v>
      </c>
      <c r="E14" s="7">
        <v>2</v>
      </c>
      <c r="F14" s="7">
        <v>85.7</v>
      </c>
      <c r="G14" s="11">
        <f>2*F14*GiaDinh!$C$18*GiaDinh!$C$17</f>
        <v>143.97599999999997</v>
      </c>
      <c r="H14" s="7">
        <v>13</v>
      </c>
      <c r="I14" s="11">
        <f>H14*GiaDinh!$C$16</f>
        <v>91</v>
      </c>
      <c r="J14" s="7">
        <f t="shared" si="0"/>
        <v>2</v>
      </c>
      <c r="K14" s="7">
        <v>2</v>
      </c>
      <c r="L14" s="7" t="str">
        <f t="shared" si="1"/>
        <v>ĐỦ</v>
      </c>
      <c r="M14" s="11">
        <v>30</v>
      </c>
      <c r="N14" s="7">
        <f>ROUNDUP(15/GiaDinh!$C$5-0.0005,0)+ROUNDUP(15/GiaDinh!$C$5-0.0005,0)</f>
        <v>6</v>
      </c>
      <c r="O14" s="7">
        <f t="shared" si="2"/>
        <v>4</v>
      </c>
      <c r="P14" s="7">
        <v>26</v>
      </c>
      <c r="Q14" s="7">
        <f t="shared" si="3"/>
        <v>52</v>
      </c>
      <c r="R14" s="7">
        <f t="shared" si="4"/>
        <v>26</v>
      </c>
      <c r="S14" s="12">
        <f>M14*GiaDinh!$C$7</f>
        <v>90.3</v>
      </c>
    </row>
    <row r="15" spans="1:19" ht="15.5" x14ac:dyDescent="0.35">
      <c r="A15" s="7" t="s">
        <v>6</v>
      </c>
      <c r="B15" s="7" t="s">
        <v>196</v>
      </c>
      <c r="C15" s="7" t="s">
        <v>197</v>
      </c>
      <c r="D15" s="7" t="s">
        <v>198</v>
      </c>
      <c r="E15" s="7">
        <v>1</v>
      </c>
      <c r="F15" s="7">
        <v>85.7</v>
      </c>
      <c r="G15" s="11">
        <f>1*F15*GiaDinh!$C$18*GiaDinh!$C$17</f>
        <v>71.987999999999985</v>
      </c>
      <c r="H15" s="7">
        <v>13</v>
      </c>
      <c r="I15" s="11">
        <f>H15*GiaDinh!$C$16</f>
        <v>91</v>
      </c>
      <c r="J15" s="7">
        <f t="shared" si="0"/>
        <v>1</v>
      </c>
      <c r="K15" s="7">
        <v>1</v>
      </c>
      <c r="L15" s="7" t="str">
        <f t="shared" si="1"/>
        <v>ĐỦ</v>
      </c>
      <c r="M15" s="11">
        <v>15</v>
      </c>
      <c r="N15" s="7">
        <f>ROUNDUP(15/GiaDinh!$C$5-0.0005,0)</f>
        <v>3</v>
      </c>
      <c r="O15" s="7">
        <f t="shared" si="2"/>
        <v>2</v>
      </c>
      <c r="P15" s="7">
        <v>13</v>
      </c>
      <c r="Q15" s="7">
        <f t="shared" si="3"/>
        <v>26</v>
      </c>
      <c r="R15" s="7">
        <f t="shared" si="4"/>
        <v>13</v>
      </c>
      <c r="S15" s="12">
        <f>M15*GiaDinh!$C$7</f>
        <v>45.15</v>
      </c>
    </row>
    <row r="16" spans="1:19" ht="15.5" x14ac:dyDescent="0.35">
      <c r="A16" s="7" t="s">
        <v>6</v>
      </c>
      <c r="B16" s="7" t="s">
        <v>199</v>
      </c>
      <c r="C16" s="7" t="s">
        <v>197</v>
      </c>
      <c r="D16" s="7" t="s">
        <v>200</v>
      </c>
      <c r="E16" s="7">
        <v>1</v>
      </c>
      <c r="F16" s="7">
        <v>85.7</v>
      </c>
      <c r="G16" s="11">
        <f>1*F16*GiaDinh!$C$18*GiaDinh!$C$17</f>
        <v>71.987999999999985</v>
      </c>
      <c r="H16" s="7">
        <v>13</v>
      </c>
      <c r="I16" s="11">
        <f>H16*GiaDinh!$C$16</f>
        <v>91</v>
      </c>
      <c r="J16" s="7">
        <f t="shared" si="0"/>
        <v>1</v>
      </c>
      <c r="K16" s="7">
        <v>1</v>
      </c>
      <c r="L16" s="7" t="str">
        <f t="shared" si="1"/>
        <v>ĐỦ</v>
      </c>
      <c r="M16" s="11">
        <v>15</v>
      </c>
      <c r="N16" s="7">
        <f>ROUNDUP(15/GiaDinh!$C$5-0.0005,0)</f>
        <v>3</v>
      </c>
      <c r="O16" s="7">
        <f t="shared" si="2"/>
        <v>2</v>
      </c>
      <c r="P16" s="7">
        <v>13</v>
      </c>
      <c r="Q16" s="7">
        <f t="shared" si="3"/>
        <v>26</v>
      </c>
      <c r="R16" s="7">
        <f t="shared" si="4"/>
        <v>13</v>
      </c>
      <c r="S16" s="12">
        <f>M16*GiaDinh!$C$7</f>
        <v>45.15</v>
      </c>
    </row>
    <row r="17" spans="1:19" ht="15.5" x14ac:dyDescent="0.35">
      <c r="A17" s="7" t="s">
        <v>6</v>
      </c>
      <c r="B17" s="7" t="s">
        <v>201</v>
      </c>
      <c r="C17" s="7" t="s">
        <v>197</v>
      </c>
      <c r="D17" s="7" t="s">
        <v>202</v>
      </c>
      <c r="E17" s="7">
        <v>1</v>
      </c>
      <c r="F17" s="7">
        <v>85.7</v>
      </c>
      <c r="G17" s="11">
        <f>1*F17*GiaDinh!$C$18*GiaDinh!$C$17</f>
        <v>71.987999999999985</v>
      </c>
      <c r="H17" s="7">
        <v>13</v>
      </c>
      <c r="I17" s="11">
        <f>H17*GiaDinh!$C$16</f>
        <v>91</v>
      </c>
      <c r="J17" s="7">
        <f t="shared" si="0"/>
        <v>1</v>
      </c>
      <c r="K17" s="7">
        <v>1</v>
      </c>
      <c r="L17" s="7" t="str">
        <f t="shared" si="1"/>
        <v>ĐỦ</v>
      </c>
      <c r="M17" s="11">
        <v>15</v>
      </c>
      <c r="N17" s="7">
        <f>ROUNDUP(15/GiaDinh!$C$5-0.0005,0)</f>
        <v>3</v>
      </c>
      <c r="O17" s="7">
        <f t="shared" si="2"/>
        <v>2</v>
      </c>
      <c r="P17" s="7">
        <v>13</v>
      </c>
      <c r="Q17" s="7">
        <f t="shared" si="3"/>
        <v>26</v>
      </c>
      <c r="R17" s="7">
        <f t="shared" si="4"/>
        <v>13</v>
      </c>
      <c r="S17" s="12">
        <f>M17*GiaDinh!$C$7</f>
        <v>45.15</v>
      </c>
    </row>
    <row r="18" spans="1:19" ht="15.5" x14ac:dyDescent="0.35">
      <c r="A18" s="7" t="s">
        <v>6</v>
      </c>
      <c r="B18" s="7" t="s">
        <v>203</v>
      </c>
      <c r="C18" s="7" t="s">
        <v>197</v>
      </c>
      <c r="D18" s="7" t="s">
        <v>204</v>
      </c>
      <c r="E18" s="7">
        <v>1</v>
      </c>
      <c r="F18" s="7">
        <v>85.7</v>
      </c>
      <c r="G18" s="11">
        <f>1*F18*GiaDinh!$C$18*GiaDinh!$C$17</f>
        <v>71.987999999999985</v>
      </c>
      <c r="H18" s="7">
        <v>13</v>
      </c>
      <c r="I18" s="11">
        <f>H18*GiaDinh!$C$16</f>
        <v>91</v>
      </c>
      <c r="J18" s="7">
        <f t="shared" si="0"/>
        <v>1</v>
      </c>
      <c r="K18" s="7">
        <v>1</v>
      </c>
      <c r="L18" s="7" t="str">
        <f t="shared" si="1"/>
        <v>ĐỦ</v>
      </c>
      <c r="M18" s="11">
        <v>15</v>
      </c>
      <c r="N18" s="7">
        <f>ROUNDUP(15/GiaDinh!$C$5-0.0005,0)</f>
        <v>3</v>
      </c>
      <c r="O18" s="7">
        <f t="shared" si="2"/>
        <v>2</v>
      </c>
      <c r="P18" s="7">
        <v>13</v>
      </c>
      <c r="Q18" s="7">
        <f t="shared" si="3"/>
        <v>26</v>
      </c>
      <c r="R18" s="7">
        <f t="shared" si="4"/>
        <v>13</v>
      </c>
      <c r="S18" s="12">
        <f>M18*GiaDinh!$C$7</f>
        <v>45.15</v>
      </c>
    </row>
    <row r="19" spans="1:19" ht="15.5" x14ac:dyDescent="0.35">
      <c r="A19" s="7" t="s">
        <v>6</v>
      </c>
      <c r="B19" s="7" t="s">
        <v>205</v>
      </c>
      <c r="C19" s="7" t="s">
        <v>197</v>
      </c>
      <c r="D19" s="7" t="s">
        <v>206</v>
      </c>
      <c r="E19" s="7">
        <v>1</v>
      </c>
      <c r="F19" s="7">
        <v>85.7</v>
      </c>
      <c r="G19" s="11">
        <f>1*F19*GiaDinh!$C$18*GiaDinh!$C$17</f>
        <v>71.987999999999985</v>
      </c>
      <c r="H19" s="7">
        <v>12</v>
      </c>
      <c r="I19" s="11">
        <f>H19*GiaDinh!$C$16</f>
        <v>84</v>
      </c>
      <c r="J19" s="7">
        <f t="shared" si="0"/>
        <v>1</v>
      </c>
      <c r="K19" s="7">
        <v>1</v>
      </c>
      <c r="L19" s="7" t="str">
        <f t="shared" si="1"/>
        <v>ĐỦ</v>
      </c>
      <c r="M19" s="11">
        <v>15</v>
      </c>
      <c r="N19" s="7">
        <f>ROUNDUP(15/GiaDinh!$C$5-0.0005,0)</f>
        <v>3</v>
      </c>
      <c r="O19" s="7">
        <f t="shared" si="2"/>
        <v>2</v>
      </c>
      <c r="P19" s="7">
        <v>12</v>
      </c>
      <c r="Q19" s="7">
        <f t="shared" si="3"/>
        <v>24</v>
      </c>
      <c r="R19" s="7">
        <f t="shared" si="4"/>
        <v>12</v>
      </c>
      <c r="S19" s="12">
        <f>M19*GiaDinh!$C$7</f>
        <v>45.15</v>
      </c>
    </row>
    <row r="20" spans="1:19" ht="15.5" x14ac:dyDescent="0.35">
      <c r="A20" s="7" t="s">
        <v>6</v>
      </c>
      <c r="B20" s="7" t="s">
        <v>207</v>
      </c>
      <c r="C20" s="7" t="s">
        <v>197</v>
      </c>
      <c r="D20" s="7" t="s">
        <v>208</v>
      </c>
      <c r="E20" s="7">
        <v>1</v>
      </c>
      <c r="F20" s="7">
        <v>85.7</v>
      </c>
      <c r="G20" s="11">
        <f>1*F20*GiaDinh!$C$18*GiaDinh!$C$17</f>
        <v>71.987999999999985</v>
      </c>
      <c r="H20" s="7">
        <v>12</v>
      </c>
      <c r="I20" s="11">
        <f>H20*GiaDinh!$C$16</f>
        <v>84</v>
      </c>
      <c r="J20" s="7">
        <f t="shared" si="0"/>
        <v>1</v>
      </c>
      <c r="K20" s="7">
        <v>1</v>
      </c>
      <c r="L20" s="7" t="str">
        <f t="shared" si="1"/>
        <v>ĐỦ</v>
      </c>
      <c r="M20" s="11">
        <v>15</v>
      </c>
      <c r="N20" s="7">
        <f>ROUNDUP(15/GiaDinh!$C$5-0.0005,0)</f>
        <v>3</v>
      </c>
      <c r="O20" s="7">
        <f t="shared" si="2"/>
        <v>2</v>
      </c>
      <c r="P20" s="7">
        <v>12</v>
      </c>
      <c r="Q20" s="7">
        <f t="shared" si="3"/>
        <v>24</v>
      </c>
      <c r="R20" s="7">
        <f t="shared" si="4"/>
        <v>12</v>
      </c>
      <c r="S20" s="12">
        <f>M20*GiaDinh!$C$7</f>
        <v>45.15</v>
      </c>
    </row>
    <row r="21" spans="1:19" ht="15.5" x14ac:dyDescent="0.35">
      <c r="A21" s="7" t="s">
        <v>6</v>
      </c>
      <c r="B21" s="7" t="s">
        <v>209</v>
      </c>
      <c r="C21" s="7" t="s">
        <v>197</v>
      </c>
      <c r="D21" s="7" t="s">
        <v>210</v>
      </c>
      <c r="E21" s="7">
        <v>1</v>
      </c>
      <c r="F21" s="7">
        <v>85.7</v>
      </c>
      <c r="G21" s="11">
        <f>1*F21*GiaDinh!$C$18*GiaDinh!$C$17</f>
        <v>71.987999999999985</v>
      </c>
      <c r="H21" s="7">
        <v>12</v>
      </c>
      <c r="I21" s="11">
        <f>H21*GiaDinh!$C$16</f>
        <v>84</v>
      </c>
      <c r="J21" s="7">
        <f t="shared" si="0"/>
        <v>1</v>
      </c>
      <c r="K21" s="7">
        <v>1</v>
      </c>
      <c r="L21" s="7" t="str">
        <f t="shared" si="1"/>
        <v>ĐỦ</v>
      </c>
      <c r="M21" s="11">
        <v>15</v>
      </c>
      <c r="N21" s="7">
        <f>ROUNDUP(15/GiaDinh!$C$5-0.0005,0)</f>
        <v>3</v>
      </c>
      <c r="O21" s="7">
        <f t="shared" si="2"/>
        <v>2</v>
      </c>
      <c r="P21" s="7">
        <v>12</v>
      </c>
      <c r="Q21" s="7">
        <f t="shared" si="3"/>
        <v>24</v>
      </c>
      <c r="R21" s="7">
        <f t="shared" si="4"/>
        <v>12</v>
      </c>
      <c r="S21" s="12">
        <f>M21*GiaDinh!$C$7</f>
        <v>45.15</v>
      </c>
    </row>
    <row r="22" spans="1:19" ht="15.5" x14ac:dyDescent="0.35">
      <c r="A22" s="7" t="s">
        <v>6</v>
      </c>
      <c r="B22" s="7" t="s">
        <v>211</v>
      </c>
      <c r="C22" s="7" t="s">
        <v>197</v>
      </c>
      <c r="D22" s="7" t="s">
        <v>212</v>
      </c>
      <c r="E22" s="7">
        <v>1</v>
      </c>
      <c r="F22" s="7">
        <v>85.7</v>
      </c>
      <c r="G22" s="11">
        <f>1*F22*GiaDinh!$C$18*GiaDinh!$C$17</f>
        <v>71.987999999999985</v>
      </c>
      <c r="H22" s="7">
        <v>12</v>
      </c>
      <c r="I22" s="11">
        <f>H22*GiaDinh!$C$16</f>
        <v>84</v>
      </c>
      <c r="J22" s="7">
        <f t="shared" si="0"/>
        <v>1</v>
      </c>
      <c r="K22" s="7">
        <v>1</v>
      </c>
      <c r="L22" s="7" t="str">
        <f t="shared" si="1"/>
        <v>ĐỦ</v>
      </c>
      <c r="M22" s="11">
        <v>15</v>
      </c>
      <c r="N22" s="7">
        <f>ROUNDUP(15/GiaDinh!$C$5-0.0005,0)</f>
        <v>3</v>
      </c>
      <c r="O22" s="7">
        <f t="shared" si="2"/>
        <v>2</v>
      </c>
      <c r="P22" s="7">
        <v>12</v>
      </c>
      <c r="Q22" s="7">
        <f t="shared" si="3"/>
        <v>24</v>
      </c>
      <c r="R22" s="7">
        <f t="shared" si="4"/>
        <v>12</v>
      </c>
      <c r="S22" s="12">
        <f>M22*GiaDinh!$C$7</f>
        <v>45.15</v>
      </c>
    </row>
    <row r="23" spans="1:19" ht="15.5" x14ac:dyDescent="0.35">
      <c r="A23" s="7" t="s">
        <v>6</v>
      </c>
      <c r="B23" s="7" t="s">
        <v>213</v>
      </c>
      <c r="C23" s="7" t="s">
        <v>197</v>
      </c>
      <c r="D23" s="7" t="s">
        <v>214</v>
      </c>
      <c r="E23" s="7">
        <v>1</v>
      </c>
      <c r="F23" s="7">
        <v>85.7</v>
      </c>
      <c r="G23" s="11">
        <f>1*F23*GiaDinh!$C$18*GiaDinh!$C$17</f>
        <v>71.987999999999985</v>
      </c>
      <c r="H23" s="7">
        <v>12</v>
      </c>
      <c r="I23" s="11">
        <f>H23*GiaDinh!$C$16</f>
        <v>84</v>
      </c>
      <c r="J23" s="7">
        <f t="shared" si="0"/>
        <v>1</v>
      </c>
      <c r="K23" s="7">
        <v>1</v>
      </c>
      <c r="L23" s="7" t="str">
        <f t="shared" si="1"/>
        <v>ĐỦ</v>
      </c>
      <c r="M23" s="11">
        <v>15</v>
      </c>
      <c r="N23" s="7">
        <f>ROUNDUP(15/GiaDinh!$C$5-0.0005,0)</f>
        <v>3</v>
      </c>
      <c r="O23" s="7">
        <f t="shared" si="2"/>
        <v>2</v>
      </c>
      <c r="P23" s="7">
        <v>12</v>
      </c>
      <c r="Q23" s="7">
        <f t="shared" si="3"/>
        <v>24</v>
      </c>
      <c r="R23" s="7">
        <f t="shared" si="4"/>
        <v>12</v>
      </c>
      <c r="S23" s="12">
        <f>M23*GiaDinh!$C$7</f>
        <v>45.15</v>
      </c>
    </row>
    <row r="24" spans="1:19" ht="15.5" x14ac:dyDescent="0.35">
      <c r="A24" s="7" t="s">
        <v>6</v>
      </c>
      <c r="B24" s="7" t="s">
        <v>215</v>
      </c>
      <c r="C24" s="7" t="s">
        <v>197</v>
      </c>
      <c r="D24" s="7" t="s">
        <v>216</v>
      </c>
      <c r="E24" s="7">
        <v>1</v>
      </c>
      <c r="F24" s="7">
        <v>85.7</v>
      </c>
      <c r="G24" s="11">
        <f>1*F24*GiaDinh!$C$18*GiaDinh!$C$17</f>
        <v>71.987999999999985</v>
      </c>
      <c r="H24" s="7">
        <v>12</v>
      </c>
      <c r="I24" s="11">
        <f>H24*GiaDinh!$C$16</f>
        <v>84</v>
      </c>
      <c r="J24" s="7">
        <f t="shared" si="0"/>
        <v>1</v>
      </c>
      <c r="K24" s="7">
        <v>1</v>
      </c>
      <c r="L24" s="7" t="str">
        <f t="shared" si="1"/>
        <v>ĐỦ</v>
      </c>
      <c r="M24" s="11">
        <v>15</v>
      </c>
      <c r="N24" s="7">
        <f>ROUNDUP(15/GiaDinh!$C$5-0.0005,0)</f>
        <v>3</v>
      </c>
      <c r="O24" s="7">
        <f t="shared" si="2"/>
        <v>2</v>
      </c>
      <c r="P24" s="7">
        <v>12</v>
      </c>
      <c r="Q24" s="7">
        <f t="shared" si="3"/>
        <v>24</v>
      </c>
      <c r="R24" s="7">
        <f t="shared" si="4"/>
        <v>12</v>
      </c>
      <c r="S24" s="12">
        <f>M24*GiaDinh!$C$7</f>
        <v>45.15</v>
      </c>
    </row>
    <row r="25" spans="1:19" ht="15.5" x14ac:dyDescent="0.35">
      <c r="A25" s="7" t="s">
        <v>6</v>
      </c>
      <c r="B25" s="7" t="s">
        <v>217</v>
      </c>
      <c r="C25" s="7" t="s">
        <v>197</v>
      </c>
      <c r="D25" s="7" t="s">
        <v>218</v>
      </c>
      <c r="E25" s="7">
        <v>1</v>
      </c>
      <c r="F25" s="7">
        <v>85.7</v>
      </c>
      <c r="G25" s="11">
        <f>1*F25*GiaDinh!$C$18*GiaDinh!$C$17</f>
        <v>71.987999999999985</v>
      </c>
      <c r="H25" s="7">
        <v>12</v>
      </c>
      <c r="I25" s="11">
        <f>H25*GiaDinh!$C$16</f>
        <v>84</v>
      </c>
      <c r="J25" s="7">
        <f t="shared" si="0"/>
        <v>1</v>
      </c>
      <c r="K25" s="7">
        <v>1</v>
      </c>
      <c r="L25" s="7" t="str">
        <f t="shared" si="1"/>
        <v>ĐỦ</v>
      </c>
      <c r="M25" s="11">
        <v>15</v>
      </c>
      <c r="N25" s="7">
        <f>ROUNDUP(15/GiaDinh!$C$5-0.0005,0)</f>
        <v>3</v>
      </c>
      <c r="O25" s="7">
        <f t="shared" si="2"/>
        <v>2</v>
      </c>
      <c r="P25" s="7">
        <v>12</v>
      </c>
      <c r="Q25" s="7">
        <f t="shared" si="3"/>
        <v>24</v>
      </c>
      <c r="R25" s="7">
        <f t="shared" si="4"/>
        <v>12</v>
      </c>
      <c r="S25" s="12">
        <f>M25*GiaDinh!$C$7</f>
        <v>45.15</v>
      </c>
    </row>
    <row r="26" spans="1:19" ht="15.5" x14ac:dyDescent="0.35">
      <c r="A26" s="7" t="s">
        <v>6</v>
      </c>
      <c r="B26" s="7" t="s">
        <v>219</v>
      </c>
      <c r="C26" s="7" t="s">
        <v>197</v>
      </c>
      <c r="D26" s="7" t="s">
        <v>220</v>
      </c>
      <c r="E26" s="7">
        <v>1</v>
      </c>
      <c r="F26" s="7">
        <v>85.7</v>
      </c>
      <c r="G26" s="11">
        <f>1*F26*GiaDinh!$C$18*GiaDinh!$C$17</f>
        <v>71.987999999999985</v>
      </c>
      <c r="H26" s="7">
        <v>12</v>
      </c>
      <c r="I26" s="11">
        <f>H26*GiaDinh!$C$16</f>
        <v>84</v>
      </c>
      <c r="J26" s="7">
        <f t="shared" si="0"/>
        <v>1</v>
      </c>
      <c r="K26" s="7">
        <v>1</v>
      </c>
      <c r="L26" s="7" t="str">
        <f t="shared" si="1"/>
        <v>ĐỦ</v>
      </c>
      <c r="M26" s="11">
        <v>15</v>
      </c>
      <c r="N26" s="7">
        <f>ROUNDUP(15/GiaDinh!$C$5-0.0005,0)</f>
        <v>3</v>
      </c>
      <c r="O26" s="7">
        <f t="shared" si="2"/>
        <v>2</v>
      </c>
      <c r="P26" s="7">
        <v>12</v>
      </c>
      <c r="Q26" s="7">
        <f t="shared" si="3"/>
        <v>24</v>
      </c>
      <c r="R26" s="7">
        <f t="shared" si="4"/>
        <v>12</v>
      </c>
      <c r="S26" s="12">
        <f>M26*GiaDinh!$C$7</f>
        <v>45.15</v>
      </c>
    </row>
    <row r="27" spans="1:19" ht="15.5" x14ac:dyDescent="0.35">
      <c r="A27" s="7" t="s">
        <v>6</v>
      </c>
      <c r="B27" s="7" t="s">
        <v>221</v>
      </c>
      <c r="C27" s="7" t="s">
        <v>197</v>
      </c>
      <c r="D27" s="7" t="s">
        <v>222</v>
      </c>
      <c r="E27" s="7">
        <v>1</v>
      </c>
      <c r="F27" s="7">
        <v>85.7</v>
      </c>
      <c r="G27" s="11">
        <f>1*F27*GiaDinh!$C$18*GiaDinh!$C$17</f>
        <v>71.987999999999985</v>
      </c>
      <c r="H27" s="7">
        <v>12</v>
      </c>
      <c r="I27" s="11">
        <f>H27*GiaDinh!$C$16</f>
        <v>84</v>
      </c>
      <c r="J27" s="7">
        <f t="shared" si="0"/>
        <v>1</v>
      </c>
      <c r="K27" s="7">
        <v>1</v>
      </c>
      <c r="L27" s="7" t="str">
        <f t="shared" si="1"/>
        <v>ĐỦ</v>
      </c>
      <c r="M27" s="11">
        <v>15</v>
      </c>
      <c r="N27" s="7">
        <f>ROUNDUP(15/GiaDinh!$C$5-0.0005,0)</f>
        <v>3</v>
      </c>
      <c r="O27" s="7">
        <f t="shared" si="2"/>
        <v>2</v>
      </c>
      <c r="P27" s="7">
        <v>12</v>
      </c>
      <c r="Q27" s="7">
        <f t="shared" si="3"/>
        <v>24</v>
      </c>
      <c r="R27" s="7">
        <f t="shared" si="4"/>
        <v>12</v>
      </c>
      <c r="S27" s="12">
        <f>M27*GiaDinh!$C$7</f>
        <v>45.15</v>
      </c>
    </row>
    <row r="28" spans="1:19" ht="15.5" x14ac:dyDescent="0.35">
      <c r="A28" s="7" t="s">
        <v>6</v>
      </c>
      <c r="B28" s="7" t="s">
        <v>223</v>
      </c>
      <c r="C28" s="7" t="s">
        <v>197</v>
      </c>
      <c r="D28" s="7" t="s">
        <v>224</v>
      </c>
      <c r="E28" s="7">
        <v>1</v>
      </c>
      <c r="F28" s="7">
        <v>85.7</v>
      </c>
      <c r="G28" s="11">
        <f>1*F28*GiaDinh!$C$18*GiaDinh!$C$17</f>
        <v>71.987999999999985</v>
      </c>
      <c r="H28" s="7">
        <v>12</v>
      </c>
      <c r="I28" s="11">
        <f>H28*GiaDinh!$C$16</f>
        <v>84</v>
      </c>
      <c r="J28" s="7">
        <f t="shared" si="0"/>
        <v>1</v>
      </c>
      <c r="K28" s="7">
        <v>1</v>
      </c>
      <c r="L28" s="7" t="str">
        <f t="shared" si="1"/>
        <v>ĐỦ</v>
      </c>
      <c r="M28" s="11">
        <v>15</v>
      </c>
      <c r="N28" s="7">
        <f>ROUNDUP(15/GiaDinh!$C$5-0.0005,0)</f>
        <v>3</v>
      </c>
      <c r="O28" s="7">
        <f t="shared" si="2"/>
        <v>2</v>
      </c>
      <c r="P28" s="7">
        <v>12</v>
      </c>
      <c r="Q28" s="7">
        <f t="shared" si="3"/>
        <v>24</v>
      </c>
      <c r="R28" s="7">
        <f t="shared" si="4"/>
        <v>12</v>
      </c>
      <c r="S28" s="12">
        <f>M28*GiaDinh!$C$7</f>
        <v>45.15</v>
      </c>
    </row>
    <row r="29" spans="1:19" ht="15.5" x14ac:dyDescent="0.35">
      <c r="A29" s="7" t="s">
        <v>6</v>
      </c>
      <c r="B29" s="7" t="s">
        <v>225</v>
      </c>
      <c r="C29" s="7" t="s">
        <v>197</v>
      </c>
      <c r="D29" s="7" t="s">
        <v>226</v>
      </c>
      <c r="E29" s="7">
        <v>1</v>
      </c>
      <c r="F29" s="7">
        <v>85.7</v>
      </c>
      <c r="G29" s="11">
        <f>1*F29*GiaDinh!$C$18*GiaDinh!$C$17</f>
        <v>71.987999999999985</v>
      </c>
      <c r="H29" s="7">
        <v>12</v>
      </c>
      <c r="I29" s="11">
        <f>H29*GiaDinh!$C$16</f>
        <v>84</v>
      </c>
      <c r="J29" s="7">
        <f t="shared" si="0"/>
        <v>1</v>
      </c>
      <c r="K29" s="7">
        <v>1</v>
      </c>
      <c r="L29" s="7" t="str">
        <f t="shared" si="1"/>
        <v>ĐỦ</v>
      </c>
      <c r="M29" s="11">
        <v>15</v>
      </c>
      <c r="N29" s="7">
        <f>ROUNDUP(15/GiaDinh!$C$5-0.0005,0)</f>
        <v>3</v>
      </c>
      <c r="O29" s="7">
        <f t="shared" si="2"/>
        <v>2</v>
      </c>
      <c r="P29" s="7">
        <v>12</v>
      </c>
      <c r="Q29" s="7">
        <f t="shared" si="3"/>
        <v>24</v>
      </c>
      <c r="R29" s="7">
        <f t="shared" si="4"/>
        <v>12</v>
      </c>
      <c r="S29" s="12">
        <f>M29*GiaDinh!$C$7</f>
        <v>45.15</v>
      </c>
    </row>
    <row r="30" spans="1:19" ht="15.5" x14ac:dyDescent="0.35">
      <c r="A30" s="7" t="s">
        <v>6</v>
      </c>
      <c r="B30" s="7" t="s">
        <v>227</v>
      </c>
      <c r="C30" s="7" t="s">
        <v>197</v>
      </c>
      <c r="D30" s="7" t="s">
        <v>228</v>
      </c>
      <c r="E30" s="7">
        <v>1</v>
      </c>
      <c r="F30" s="7">
        <v>85.7</v>
      </c>
      <c r="G30" s="11">
        <f>1*F30*GiaDinh!$C$18*GiaDinh!$C$17</f>
        <v>71.987999999999985</v>
      </c>
      <c r="H30" s="7">
        <v>12</v>
      </c>
      <c r="I30" s="11">
        <f>H30*GiaDinh!$C$16</f>
        <v>84</v>
      </c>
      <c r="J30" s="7">
        <f t="shared" si="0"/>
        <v>1</v>
      </c>
      <c r="K30" s="7">
        <v>1</v>
      </c>
      <c r="L30" s="7" t="str">
        <f t="shared" si="1"/>
        <v>ĐỦ</v>
      </c>
      <c r="M30" s="11">
        <v>15</v>
      </c>
      <c r="N30" s="7">
        <f>ROUNDUP(15/GiaDinh!$C$5-0.0005,0)</f>
        <v>3</v>
      </c>
      <c r="O30" s="7">
        <f t="shared" si="2"/>
        <v>2</v>
      </c>
      <c r="P30" s="7">
        <v>12</v>
      </c>
      <c r="Q30" s="7">
        <f t="shared" si="3"/>
        <v>24</v>
      </c>
      <c r="R30" s="7">
        <f t="shared" si="4"/>
        <v>12</v>
      </c>
      <c r="S30" s="12">
        <f>M30*GiaDinh!$C$7</f>
        <v>45.15</v>
      </c>
    </row>
    <row r="31" spans="1:19" ht="15.5" x14ac:dyDescent="0.35">
      <c r="A31" s="7" t="s">
        <v>6</v>
      </c>
      <c r="B31" s="7" t="s">
        <v>229</v>
      </c>
      <c r="C31" s="7" t="s">
        <v>197</v>
      </c>
      <c r="D31" s="7" t="s">
        <v>230</v>
      </c>
      <c r="E31" s="7">
        <v>1</v>
      </c>
      <c r="F31" s="7">
        <v>85.7</v>
      </c>
      <c r="G31" s="11">
        <f>1*F31*GiaDinh!$C$18*GiaDinh!$C$17</f>
        <v>71.987999999999985</v>
      </c>
      <c r="H31" s="7">
        <v>12</v>
      </c>
      <c r="I31" s="11">
        <f>H31*GiaDinh!$C$16</f>
        <v>84</v>
      </c>
      <c r="J31" s="7">
        <f t="shared" si="0"/>
        <v>1</v>
      </c>
      <c r="K31" s="7">
        <v>1</v>
      </c>
      <c r="L31" s="7" t="str">
        <f t="shared" si="1"/>
        <v>ĐỦ</v>
      </c>
      <c r="M31" s="11">
        <v>15</v>
      </c>
      <c r="N31" s="7">
        <f>ROUNDUP(15/GiaDinh!$C$5-0.0005,0)</f>
        <v>3</v>
      </c>
      <c r="O31" s="7">
        <f t="shared" si="2"/>
        <v>2</v>
      </c>
      <c r="P31" s="7">
        <v>12</v>
      </c>
      <c r="Q31" s="7">
        <f t="shared" si="3"/>
        <v>24</v>
      </c>
      <c r="R31" s="7">
        <f t="shared" si="4"/>
        <v>12</v>
      </c>
      <c r="S31" s="12">
        <f>M31*GiaDinh!$C$7</f>
        <v>45.15</v>
      </c>
    </row>
    <row r="32" spans="1:19" ht="15.5" x14ac:dyDescent="0.35">
      <c r="A32" s="7" t="s">
        <v>6</v>
      </c>
      <c r="B32" s="7" t="s">
        <v>231</v>
      </c>
      <c r="C32" s="7" t="s">
        <v>197</v>
      </c>
      <c r="D32" s="7" t="s">
        <v>232</v>
      </c>
      <c r="E32" s="7">
        <v>1</v>
      </c>
      <c r="F32" s="7">
        <v>85.7</v>
      </c>
      <c r="G32" s="11">
        <f>1*F32*GiaDinh!$C$18*GiaDinh!$C$17</f>
        <v>71.987999999999985</v>
      </c>
      <c r="H32" s="7">
        <v>12</v>
      </c>
      <c r="I32" s="11">
        <f>H32*GiaDinh!$C$16</f>
        <v>84</v>
      </c>
      <c r="J32" s="7">
        <f t="shared" si="0"/>
        <v>1</v>
      </c>
      <c r="K32" s="7">
        <v>1</v>
      </c>
      <c r="L32" s="7" t="str">
        <f t="shared" si="1"/>
        <v>ĐỦ</v>
      </c>
      <c r="M32" s="11">
        <v>15</v>
      </c>
      <c r="N32" s="7">
        <f>ROUNDUP(15/GiaDinh!$C$5-0.0005,0)</f>
        <v>3</v>
      </c>
      <c r="O32" s="7">
        <f t="shared" si="2"/>
        <v>2</v>
      </c>
      <c r="P32" s="7">
        <v>12</v>
      </c>
      <c r="Q32" s="7">
        <f t="shared" si="3"/>
        <v>24</v>
      </c>
      <c r="R32" s="7">
        <f t="shared" si="4"/>
        <v>12</v>
      </c>
      <c r="S32" s="12">
        <f>M32*GiaDinh!$C$7</f>
        <v>45.15</v>
      </c>
    </row>
    <row r="33" spans="1:19" ht="15.5" x14ac:dyDescent="0.35">
      <c r="A33" s="7" t="s">
        <v>6</v>
      </c>
      <c r="B33" s="7" t="s">
        <v>233</v>
      </c>
      <c r="C33" s="7" t="s">
        <v>197</v>
      </c>
      <c r="D33" s="7" t="s">
        <v>234</v>
      </c>
      <c r="E33" s="7">
        <v>1</v>
      </c>
      <c r="F33" s="7">
        <v>85.7</v>
      </c>
      <c r="G33" s="11">
        <f>1*F33*GiaDinh!$C$18*GiaDinh!$C$17</f>
        <v>71.987999999999985</v>
      </c>
      <c r="H33" s="7">
        <v>12</v>
      </c>
      <c r="I33" s="11">
        <f>H33*GiaDinh!$C$16</f>
        <v>84</v>
      </c>
      <c r="J33" s="7">
        <f t="shared" si="0"/>
        <v>1</v>
      </c>
      <c r="K33" s="7">
        <v>1</v>
      </c>
      <c r="L33" s="7" t="str">
        <f t="shared" si="1"/>
        <v>ĐỦ</v>
      </c>
      <c r="M33" s="11">
        <v>15</v>
      </c>
      <c r="N33" s="7">
        <f>ROUNDUP(15/GiaDinh!$C$5-0.0005,0)</f>
        <v>3</v>
      </c>
      <c r="O33" s="7">
        <f t="shared" si="2"/>
        <v>2</v>
      </c>
      <c r="P33" s="7">
        <v>12</v>
      </c>
      <c r="Q33" s="7">
        <f t="shared" si="3"/>
        <v>24</v>
      </c>
      <c r="R33" s="7">
        <f t="shared" si="4"/>
        <v>12</v>
      </c>
      <c r="S33" s="12">
        <f>M33*GiaDinh!$C$7</f>
        <v>45.15</v>
      </c>
    </row>
    <row r="34" spans="1:19" ht="15.5" x14ac:dyDescent="0.35">
      <c r="A34" s="7" t="s">
        <v>6</v>
      </c>
      <c r="B34" s="7" t="s">
        <v>235</v>
      </c>
      <c r="C34" s="7" t="s">
        <v>197</v>
      </c>
      <c r="D34" s="7" t="s">
        <v>236</v>
      </c>
      <c r="E34" s="7">
        <v>1</v>
      </c>
      <c r="F34" s="7">
        <v>85.7</v>
      </c>
      <c r="G34" s="11">
        <f>1*F34*GiaDinh!$C$18*GiaDinh!$C$17</f>
        <v>71.987999999999985</v>
      </c>
      <c r="H34" s="7">
        <v>12</v>
      </c>
      <c r="I34" s="11">
        <f>H34*GiaDinh!$C$16</f>
        <v>84</v>
      </c>
      <c r="J34" s="7">
        <f t="shared" si="0"/>
        <v>1</v>
      </c>
      <c r="K34" s="7">
        <v>1</v>
      </c>
      <c r="L34" s="7" t="str">
        <f t="shared" si="1"/>
        <v>ĐỦ</v>
      </c>
      <c r="M34" s="11">
        <v>15</v>
      </c>
      <c r="N34" s="7">
        <f>ROUNDUP(15/GiaDinh!$C$5-0.0005,0)</f>
        <v>3</v>
      </c>
      <c r="O34" s="7">
        <f t="shared" si="2"/>
        <v>2</v>
      </c>
      <c r="P34" s="7">
        <v>12</v>
      </c>
      <c r="Q34" s="7">
        <f t="shared" si="3"/>
        <v>24</v>
      </c>
      <c r="R34" s="7">
        <f t="shared" si="4"/>
        <v>12</v>
      </c>
      <c r="S34" s="12">
        <f>M34*GiaDinh!$C$7</f>
        <v>45.15</v>
      </c>
    </row>
    <row r="35" spans="1:19" ht="15.5" x14ac:dyDescent="0.35">
      <c r="A35" s="7" t="s">
        <v>6</v>
      </c>
      <c r="B35" s="7" t="s">
        <v>237</v>
      </c>
      <c r="C35" s="7" t="s">
        <v>197</v>
      </c>
      <c r="D35" s="7" t="s">
        <v>238</v>
      </c>
      <c r="E35" s="7">
        <v>1</v>
      </c>
      <c r="F35" s="7">
        <v>85.7</v>
      </c>
      <c r="G35" s="11">
        <f>1*F35*GiaDinh!$C$18*GiaDinh!$C$17</f>
        <v>71.987999999999985</v>
      </c>
      <c r="H35" s="7">
        <v>12</v>
      </c>
      <c r="I35" s="11">
        <f>H35*GiaDinh!$C$16</f>
        <v>84</v>
      </c>
      <c r="J35" s="7">
        <f t="shared" si="0"/>
        <v>1</v>
      </c>
      <c r="K35" s="7">
        <v>1</v>
      </c>
      <c r="L35" s="7" t="str">
        <f t="shared" si="1"/>
        <v>ĐỦ</v>
      </c>
      <c r="M35" s="11">
        <v>15</v>
      </c>
      <c r="N35" s="7">
        <f>ROUNDUP(15/GiaDinh!$C$5-0.0005,0)</f>
        <v>3</v>
      </c>
      <c r="O35" s="7">
        <f t="shared" si="2"/>
        <v>2</v>
      </c>
      <c r="P35" s="7">
        <v>12</v>
      </c>
      <c r="Q35" s="7">
        <f t="shared" si="3"/>
        <v>24</v>
      </c>
      <c r="R35" s="7">
        <f t="shared" si="4"/>
        <v>12</v>
      </c>
      <c r="S35" s="12">
        <f>M35*GiaDinh!$C$7</f>
        <v>45.15</v>
      </c>
    </row>
    <row r="36" spans="1:19" ht="15.5" x14ac:dyDescent="0.35">
      <c r="A36" s="7" t="s">
        <v>6</v>
      </c>
      <c r="B36" s="7" t="s">
        <v>239</v>
      </c>
      <c r="C36" s="7" t="s">
        <v>197</v>
      </c>
      <c r="D36" s="7" t="s">
        <v>240</v>
      </c>
      <c r="E36" s="7">
        <v>1</v>
      </c>
      <c r="F36" s="7">
        <v>85.7</v>
      </c>
      <c r="G36" s="11">
        <f>1*F36*GiaDinh!$C$18*GiaDinh!$C$17</f>
        <v>71.987999999999985</v>
      </c>
      <c r="H36" s="7">
        <v>12</v>
      </c>
      <c r="I36" s="11">
        <f>H36*GiaDinh!$C$16</f>
        <v>84</v>
      </c>
      <c r="J36" s="7">
        <f t="shared" si="0"/>
        <v>1</v>
      </c>
      <c r="K36" s="7">
        <v>1</v>
      </c>
      <c r="L36" s="7" t="str">
        <f t="shared" si="1"/>
        <v>ĐỦ</v>
      </c>
      <c r="M36" s="11">
        <v>15</v>
      </c>
      <c r="N36" s="7">
        <f>ROUNDUP(15/GiaDinh!$C$5-0.0005,0)</f>
        <v>3</v>
      </c>
      <c r="O36" s="7">
        <f t="shared" si="2"/>
        <v>2</v>
      </c>
      <c r="P36" s="7">
        <v>12</v>
      </c>
      <c r="Q36" s="7">
        <f t="shared" si="3"/>
        <v>24</v>
      </c>
      <c r="R36" s="7">
        <f t="shared" si="4"/>
        <v>12</v>
      </c>
      <c r="S36" s="12">
        <f>M36*GiaDinh!$C$7</f>
        <v>45.15</v>
      </c>
    </row>
    <row r="37" spans="1:19" ht="15.5" x14ac:dyDescent="0.35">
      <c r="A37" s="7" t="s">
        <v>6</v>
      </c>
      <c r="B37" s="7" t="s">
        <v>241</v>
      </c>
      <c r="C37" s="7" t="s">
        <v>197</v>
      </c>
      <c r="D37" s="7" t="s">
        <v>242</v>
      </c>
      <c r="E37" s="7">
        <v>1</v>
      </c>
      <c r="F37" s="7">
        <v>85.7</v>
      </c>
      <c r="G37" s="11">
        <f>1*F37*GiaDinh!$C$18*GiaDinh!$C$17</f>
        <v>71.987999999999985</v>
      </c>
      <c r="H37" s="7">
        <v>12</v>
      </c>
      <c r="I37" s="11">
        <f>H37*GiaDinh!$C$16</f>
        <v>84</v>
      </c>
      <c r="J37" s="7">
        <f t="shared" si="0"/>
        <v>1</v>
      </c>
      <c r="K37" s="7">
        <v>1</v>
      </c>
      <c r="L37" s="7" t="str">
        <f t="shared" si="1"/>
        <v>ĐỦ</v>
      </c>
      <c r="M37" s="11">
        <v>15</v>
      </c>
      <c r="N37" s="7">
        <f>ROUNDUP(15/GiaDinh!$C$5-0.0005,0)</f>
        <v>3</v>
      </c>
      <c r="O37" s="7">
        <f t="shared" si="2"/>
        <v>2</v>
      </c>
      <c r="P37" s="7">
        <v>12</v>
      </c>
      <c r="Q37" s="7">
        <f t="shared" si="3"/>
        <v>24</v>
      </c>
      <c r="R37" s="7">
        <f t="shared" si="4"/>
        <v>12</v>
      </c>
      <c r="S37" s="12">
        <f>M37*GiaDinh!$C$7</f>
        <v>45.15</v>
      </c>
    </row>
    <row r="38" spans="1:19" ht="15.5" x14ac:dyDescent="0.35">
      <c r="A38" s="7" t="s">
        <v>6</v>
      </c>
      <c r="B38" s="7" t="s">
        <v>243</v>
      </c>
      <c r="C38" s="7" t="s">
        <v>197</v>
      </c>
      <c r="D38" s="7" t="s">
        <v>244</v>
      </c>
      <c r="E38" s="7">
        <v>1</v>
      </c>
      <c r="F38" s="7">
        <v>85.7</v>
      </c>
      <c r="G38" s="11">
        <f>1*F38*GiaDinh!$C$18*GiaDinh!$C$17</f>
        <v>71.987999999999985</v>
      </c>
      <c r="H38" s="7">
        <v>12</v>
      </c>
      <c r="I38" s="11">
        <f>H38*GiaDinh!$C$16</f>
        <v>84</v>
      </c>
      <c r="J38" s="7">
        <f t="shared" si="0"/>
        <v>1</v>
      </c>
      <c r="K38" s="7">
        <v>1</v>
      </c>
      <c r="L38" s="7" t="str">
        <f t="shared" si="1"/>
        <v>ĐỦ</v>
      </c>
      <c r="M38" s="11">
        <v>15</v>
      </c>
      <c r="N38" s="7">
        <f>ROUNDUP(15/GiaDinh!$C$5-0.0005,0)</f>
        <v>3</v>
      </c>
      <c r="O38" s="7">
        <f t="shared" si="2"/>
        <v>2</v>
      </c>
      <c r="P38" s="7">
        <v>12</v>
      </c>
      <c r="Q38" s="7">
        <f t="shared" si="3"/>
        <v>24</v>
      </c>
      <c r="R38" s="7">
        <f t="shared" si="4"/>
        <v>12</v>
      </c>
      <c r="S38" s="12">
        <f>M38*GiaDinh!$C$7</f>
        <v>45.15</v>
      </c>
    </row>
    <row r="39" spans="1:19" ht="15.5" x14ac:dyDescent="0.35">
      <c r="A39" s="7" t="s">
        <v>6</v>
      </c>
      <c r="B39" s="7" t="s">
        <v>245</v>
      </c>
      <c r="C39" s="7" t="s">
        <v>197</v>
      </c>
      <c r="D39" s="7" t="s">
        <v>246</v>
      </c>
      <c r="E39" s="7">
        <v>1</v>
      </c>
      <c r="F39" s="7">
        <v>85.7</v>
      </c>
      <c r="G39" s="11">
        <f>1*F39*GiaDinh!$C$18*GiaDinh!$C$17</f>
        <v>71.987999999999985</v>
      </c>
      <c r="H39" s="7">
        <v>12</v>
      </c>
      <c r="I39" s="11">
        <f>H39*GiaDinh!$C$16</f>
        <v>84</v>
      </c>
      <c r="J39" s="7">
        <f t="shared" si="0"/>
        <v>1</v>
      </c>
      <c r="K39" s="7">
        <v>1</v>
      </c>
      <c r="L39" s="7" t="str">
        <f t="shared" si="1"/>
        <v>ĐỦ</v>
      </c>
      <c r="M39" s="11">
        <v>15</v>
      </c>
      <c r="N39" s="7">
        <f>ROUNDUP(15/GiaDinh!$C$5-0.0005,0)</f>
        <v>3</v>
      </c>
      <c r="O39" s="7">
        <f t="shared" si="2"/>
        <v>2</v>
      </c>
      <c r="P39" s="7">
        <v>12</v>
      </c>
      <c r="Q39" s="7">
        <f t="shared" si="3"/>
        <v>24</v>
      </c>
      <c r="R39" s="7">
        <f t="shared" si="4"/>
        <v>12</v>
      </c>
      <c r="S39" s="12">
        <f>M39*GiaDinh!$C$7</f>
        <v>45.15</v>
      </c>
    </row>
    <row r="40" spans="1:19" ht="15.5" x14ac:dyDescent="0.35">
      <c r="A40" s="7" t="s">
        <v>6</v>
      </c>
      <c r="B40" s="7" t="s">
        <v>247</v>
      </c>
      <c r="C40" s="7" t="s">
        <v>197</v>
      </c>
      <c r="D40" s="7" t="s">
        <v>248</v>
      </c>
      <c r="E40" s="7">
        <v>1</v>
      </c>
      <c r="F40" s="7">
        <v>85.7</v>
      </c>
      <c r="G40" s="11">
        <f>1*F40*GiaDinh!$C$18*GiaDinh!$C$17</f>
        <v>71.987999999999985</v>
      </c>
      <c r="H40" s="7">
        <v>12</v>
      </c>
      <c r="I40" s="11">
        <f>H40*GiaDinh!$C$16</f>
        <v>84</v>
      </c>
      <c r="J40" s="7">
        <f t="shared" si="0"/>
        <v>1</v>
      </c>
      <c r="K40" s="7">
        <v>1</v>
      </c>
      <c r="L40" s="7" t="str">
        <f t="shared" si="1"/>
        <v>ĐỦ</v>
      </c>
      <c r="M40" s="11">
        <v>15</v>
      </c>
      <c r="N40" s="7">
        <f>ROUNDUP(15/GiaDinh!$C$5-0.0005,0)</f>
        <v>3</v>
      </c>
      <c r="O40" s="7">
        <f t="shared" si="2"/>
        <v>2</v>
      </c>
      <c r="P40" s="7">
        <v>12</v>
      </c>
      <c r="Q40" s="7">
        <f t="shared" si="3"/>
        <v>24</v>
      </c>
      <c r="R40" s="7">
        <f t="shared" si="4"/>
        <v>12</v>
      </c>
      <c r="S40" s="12">
        <f>M40*GiaDinh!$C$7</f>
        <v>45.15</v>
      </c>
    </row>
    <row r="41" spans="1:19" ht="15.5" x14ac:dyDescent="0.35">
      <c r="A41" s="7" t="s">
        <v>6</v>
      </c>
      <c r="B41" s="7" t="s">
        <v>249</v>
      </c>
      <c r="C41" s="7" t="s">
        <v>197</v>
      </c>
      <c r="D41" s="7" t="s">
        <v>250</v>
      </c>
      <c r="E41" s="7">
        <v>1</v>
      </c>
      <c r="F41" s="7">
        <v>85.7</v>
      </c>
      <c r="G41" s="11">
        <f>1*F41*GiaDinh!$C$18*GiaDinh!$C$17</f>
        <v>71.987999999999985</v>
      </c>
      <c r="H41" s="7">
        <v>12</v>
      </c>
      <c r="I41" s="11">
        <f>H41*GiaDinh!$C$16</f>
        <v>84</v>
      </c>
      <c r="J41" s="7">
        <f t="shared" si="0"/>
        <v>1</v>
      </c>
      <c r="K41" s="7">
        <v>1</v>
      </c>
      <c r="L41" s="7" t="str">
        <f t="shared" si="1"/>
        <v>ĐỦ</v>
      </c>
      <c r="M41" s="11">
        <v>15</v>
      </c>
      <c r="N41" s="7">
        <f>ROUNDUP(15/GiaDinh!$C$5-0.0005,0)</f>
        <v>3</v>
      </c>
      <c r="O41" s="7">
        <f t="shared" si="2"/>
        <v>2</v>
      </c>
      <c r="P41" s="7">
        <v>12</v>
      </c>
      <c r="Q41" s="7">
        <f t="shared" si="3"/>
        <v>24</v>
      </c>
      <c r="R41" s="7">
        <f t="shared" si="4"/>
        <v>12</v>
      </c>
      <c r="S41" s="12">
        <f>M41*GiaDinh!$C$7</f>
        <v>45.15</v>
      </c>
    </row>
    <row r="42" spans="1:19" ht="15.5" x14ac:dyDescent="0.35">
      <c r="A42" s="7" t="s">
        <v>6</v>
      </c>
      <c r="B42" s="7" t="s">
        <v>251</v>
      </c>
      <c r="C42" s="7" t="s">
        <v>197</v>
      </c>
      <c r="D42" s="7" t="s">
        <v>252</v>
      </c>
      <c r="E42" s="7">
        <v>1</v>
      </c>
      <c r="F42" s="7">
        <v>85.7</v>
      </c>
      <c r="G42" s="11">
        <f>1*F42*GiaDinh!$C$18*GiaDinh!$C$17</f>
        <v>71.987999999999985</v>
      </c>
      <c r="H42" s="7">
        <v>12</v>
      </c>
      <c r="I42" s="11">
        <f>H42*GiaDinh!$C$16</f>
        <v>84</v>
      </c>
      <c r="J42" s="7">
        <f t="shared" si="0"/>
        <v>1</v>
      </c>
      <c r="K42" s="7">
        <v>1</v>
      </c>
      <c r="L42" s="7" t="str">
        <f t="shared" si="1"/>
        <v>ĐỦ</v>
      </c>
      <c r="M42" s="11">
        <v>15</v>
      </c>
      <c r="N42" s="7">
        <f>ROUNDUP(15/GiaDinh!$C$5-0.0005,0)</f>
        <v>3</v>
      </c>
      <c r="O42" s="7">
        <f t="shared" si="2"/>
        <v>2</v>
      </c>
      <c r="P42" s="7">
        <v>12</v>
      </c>
      <c r="Q42" s="7">
        <f t="shared" si="3"/>
        <v>24</v>
      </c>
      <c r="R42" s="7">
        <f t="shared" si="4"/>
        <v>12</v>
      </c>
      <c r="S42" s="12">
        <f>M42*GiaDinh!$C$7</f>
        <v>45.15</v>
      </c>
    </row>
    <row r="43" spans="1:19" ht="15.5" x14ac:dyDescent="0.35">
      <c r="A43" s="7" t="s">
        <v>6</v>
      </c>
      <c r="B43" s="7" t="s">
        <v>253</v>
      </c>
      <c r="C43" s="7" t="s">
        <v>197</v>
      </c>
      <c r="D43" s="7" t="s">
        <v>254</v>
      </c>
      <c r="E43" s="7">
        <v>1</v>
      </c>
      <c r="F43" s="7">
        <v>85.7</v>
      </c>
      <c r="G43" s="11">
        <f>1*F43*GiaDinh!$C$18*GiaDinh!$C$17</f>
        <v>71.987999999999985</v>
      </c>
      <c r="H43" s="7">
        <v>12</v>
      </c>
      <c r="I43" s="11">
        <f>H43*GiaDinh!$C$16</f>
        <v>84</v>
      </c>
      <c r="J43" s="7">
        <f t="shared" si="0"/>
        <v>1</v>
      </c>
      <c r="K43" s="7">
        <v>1</v>
      </c>
      <c r="L43" s="7" t="str">
        <f t="shared" si="1"/>
        <v>ĐỦ</v>
      </c>
      <c r="M43" s="11">
        <v>15</v>
      </c>
      <c r="N43" s="7">
        <f>ROUNDUP(15/GiaDinh!$C$5-0.0005,0)</f>
        <v>3</v>
      </c>
      <c r="O43" s="7">
        <f t="shared" si="2"/>
        <v>2</v>
      </c>
      <c r="P43" s="7">
        <v>12</v>
      </c>
      <c r="Q43" s="7">
        <f t="shared" si="3"/>
        <v>24</v>
      </c>
      <c r="R43" s="7">
        <f t="shared" si="4"/>
        <v>12</v>
      </c>
      <c r="S43" s="12">
        <f>M43*GiaDinh!$C$7</f>
        <v>45.15</v>
      </c>
    </row>
    <row r="44" spans="1:19" ht="15.5" x14ac:dyDescent="0.35">
      <c r="A44" s="7" t="s">
        <v>6</v>
      </c>
      <c r="B44" s="7" t="s">
        <v>255</v>
      </c>
      <c r="C44" s="7" t="s">
        <v>197</v>
      </c>
      <c r="D44" s="7" t="s">
        <v>256</v>
      </c>
      <c r="E44" s="7">
        <v>1</v>
      </c>
      <c r="F44" s="7">
        <v>85.7</v>
      </c>
      <c r="G44" s="11">
        <f>1*F44*GiaDinh!$C$18*GiaDinh!$C$17</f>
        <v>71.987999999999985</v>
      </c>
      <c r="H44" s="7">
        <v>9</v>
      </c>
      <c r="I44" s="11">
        <f>H44*GiaDinh!$C$16</f>
        <v>63</v>
      </c>
      <c r="J44" s="7">
        <f t="shared" si="0"/>
        <v>2</v>
      </c>
      <c r="K44" s="7">
        <v>2</v>
      </c>
      <c r="L44" s="7" t="str">
        <f t="shared" si="1"/>
        <v>ĐỦ</v>
      </c>
      <c r="M44" s="11">
        <v>22.699000000000002</v>
      </c>
      <c r="N44" s="7">
        <f>ROUNDUP(11.35/GiaDinh!$C$5-0.0005,0)+ROUNDUP(11.35/GiaDinh!$C$5-0.0005,0)</f>
        <v>4</v>
      </c>
      <c r="O44" s="7">
        <f t="shared" si="2"/>
        <v>2</v>
      </c>
      <c r="P44" s="7">
        <v>18</v>
      </c>
      <c r="Q44" s="7">
        <f t="shared" si="3"/>
        <v>36</v>
      </c>
      <c r="R44" s="7">
        <f t="shared" si="4"/>
        <v>18</v>
      </c>
      <c r="S44" s="12">
        <f>M44*GiaDinh!$C$7</f>
        <v>68.323989999999995</v>
      </c>
    </row>
    <row r="45" spans="1:19" ht="15.5" x14ac:dyDescent="0.35">
      <c r="A45" s="7" t="s">
        <v>6</v>
      </c>
      <c r="B45" s="7" t="s">
        <v>257</v>
      </c>
      <c r="C45" s="7" t="s">
        <v>197</v>
      </c>
      <c r="D45" s="7" t="s">
        <v>258</v>
      </c>
      <c r="E45" s="7">
        <v>1</v>
      </c>
      <c r="F45" s="7">
        <v>85.7</v>
      </c>
      <c r="G45" s="11">
        <f>1*F45*GiaDinh!$C$18*GiaDinh!$C$17</f>
        <v>71.987999999999985</v>
      </c>
      <c r="H45" s="7">
        <v>12</v>
      </c>
      <c r="I45" s="11">
        <f>H45*GiaDinh!$C$16</f>
        <v>84</v>
      </c>
      <c r="J45" s="7">
        <f t="shared" si="0"/>
        <v>1</v>
      </c>
      <c r="K45" s="7">
        <v>1</v>
      </c>
      <c r="L45" s="7" t="str">
        <f t="shared" si="1"/>
        <v>ĐỦ</v>
      </c>
      <c r="M45" s="11">
        <v>15</v>
      </c>
      <c r="N45" s="7">
        <f>ROUNDUP(15/GiaDinh!$C$5-0.0005,0)</f>
        <v>3</v>
      </c>
      <c r="O45" s="7">
        <f t="shared" si="2"/>
        <v>2</v>
      </c>
      <c r="P45" s="7">
        <v>12</v>
      </c>
      <c r="Q45" s="7">
        <f t="shared" si="3"/>
        <v>24</v>
      </c>
      <c r="R45" s="7">
        <f t="shared" si="4"/>
        <v>12</v>
      </c>
      <c r="S45" s="12">
        <f>M45*GiaDinh!$C$7</f>
        <v>45.15</v>
      </c>
    </row>
    <row r="46" spans="1:19" ht="15.5" x14ac:dyDescent="0.35">
      <c r="A46" s="7" t="s">
        <v>6</v>
      </c>
      <c r="B46" s="7" t="s">
        <v>259</v>
      </c>
      <c r="C46" s="7" t="s">
        <v>197</v>
      </c>
      <c r="D46" s="7" t="s">
        <v>260</v>
      </c>
      <c r="E46" s="7">
        <v>1</v>
      </c>
      <c r="F46" s="7">
        <v>85.7</v>
      </c>
      <c r="G46" s="11">
        <f>1*F46*GiaDinh!$C$18*GiaDinh!$C$17</f>
        <v>71.987999999999985</v>
      </c>
      <c r="H46" s="7">
        <v>12</v>
      </c>
      <c r="I46" s="11">
        <f>H46*GiaDinh!$C$16</f>
        <v>84</v>
      </c>
      <c r="J46" s="7">
        <f t="shared" si="0"/>
        <v>1</v>
      </c>
      <c r="K46" s="7">
        <v>1</v>
      </c>
      <c r="L46" s="7" t="str">
        <f t="shared" si="1"/>
        <v>ĐỦ</v>
      </c>
      <c r="M46" s="11">
        <v>15</v>
      </c>
      <c r="N46" s="7">
        <f>ROUNDUP(15/GiaDinh!$C$5-0.0005,0)</f>
        <v>3</v>
      </c>
      <c r="O46" s="7">
        <f t="shared" si="2"/>
        <v>2</v>
      </c>
      <c r="P46" s="7">
        <v>12</v>
      </c>
      <c r="Q46" s="7">
        <f t="shared" si="3"/>
        <v>24</v>
      </c>
      <c r="R46" s="7">
        <f t="shared" si="4"/>
        <v>12</v>
      </c>
      <c r="S46" s="12">
        <f>M46*GiaDinh!$C$7</f>
        <v>45.15</v>
      </c>
    </row>
    <row r="47" spans="1:19" ht="15.5" x14ac:dyDescent="0.35">
      <c r="A47" s="7" t="s">
        <v>6</v>
      </c>
      <c r="B47" s="7" t="s">
        <v>261</v>
      </c>
      <c r="C47" s="7" t="s">
        <v>197</v>
      </c>
      <c r="D47" s="7" t="s">
        <v>262</v>
      </c>
      <c r="E47" s="7">
        <v>1</v>
      </c>
      <c r="F47" s="7">
        <v>85.7</v>
      </c>
      <c r="G47" s="11">
        <f>1*F47*GiaDinh!$C$18*GiaDinh!$C$17</f>
        <v>71.987999999999985</v>
      </c>
      <c r="H47" s="7">
        <v>12</v>
      </c>
      <c r="I47" s="11">
        <f>H47*GiaDinh!$C$16</f>
        <v>84</v>
      </c>
      <c r="J47" s="7">
        <f t="shared" si="0"/>
        <v>1</v>
      </c>
      <c r="K47" s="7">
        <v>1</v>
      </c>
      <c r="L47" s="7" t="str">
        <f t="shared" si="1"/>
        <v>ĐỦ</v>
      </c>
      <c r="M47" s="11">
        <v>15</v>
      </c>
      <c r="N47" s="7">
        <f>ROUNDUP(15/GiaDinh!$C$5-0.0005,0)</f>
        <v>3</v>
      </c>
      <c r="O47" s="7">
        <f t="shared" si="2"/>
        <v>2</v>
      </c>
      <c r="P47" s="7">
        <v>12</v>
      </c>
      <c r="Q47" s="7">
        <f t="shared" si="3"/>
        <v>24</v>
      </c>
      <c r="R47" s="7">
        <f t="shared" si="4"/>
        <v>12</v>
      </c>
      <c r="S47" s="12">
        <f>M47*GiaDinh!$C$7</f>
        <v>45.15</v>
      </c>
    </row>
    <row r="48" spans="1:19" ht="15.5" x14ac:dyDescent="0.35">
      <c r="A48" s="7" t="s">
        <v>6</v>
      </c>
      <c r="B48" s="7" t="s">
        <v>263</v>
      </c>
      <c r="C48" s="7" t="s">
        <v>197</v>
      </c>
      <c r="D48" s="7" t="s">
        <v>264</v>
      </c>
      <c r="E48" s="7">
        <v>1</v>
      </c>
      <c r="F48" s="7">
        <v>85.7</v>
      </c>
      <c r="G48" s="11">
        <f>1*F48*GiaDinh!$C$18*GiaDinh!$C$17</f>
        <v>71.987999999999985</v>
      </c>
      <c r="H48" s="7">
        <v>12</v>
      </c>
      <c r="I48" s="11">
        <f>H48*GiaDinh!$C$16</f>
        <v>84</v>
      </c>
      <c r="J48" s="7">
        <f t="shared" si="0"/>
        <v>1</v>
      </c>
      <c r="K48" s="7">
        <v>1</v>
      </c>
      <c r="L48" s="7" t="str">
        <f t="shared" si="1"/>
        <v>ĐỦ</v>
      </c>
      <c r="M48" s="11">
        <v>15</v>
      </c>
      <c r="N48" s="7">
        <f>ROUNDUP(15/GiaDinh!$C$5-0.0005,0)</f>
        <v>3</v>
      </c>
      <c r="O48" s="7">
        <f t="shared" si="2"/>
        <v>2</v>
      </c>
      <c r="P48" s="7">
        <v>12</v>
      </c>
      <c r="Q48" s="7">
        <f t="shared" si="3"/>
        <v>24</v>
      </c>
      <c r="R48" s="7">
        <f t="shared" si="4"/>
        <v>12</v>
      </c>
      <c r="S48" s="12">
        <f>M48*GiaDinh!$C$7</f>
        <v>45.15</v>
      </c>
    </row>
    <row r="49" spans="1:19" ht="15.5" x14ac:dyDescent="0.35">
      <c r="A49" s="7" t="s">
        <v>6</v>
      </c>
      <c r="B49" s="7" t="s">
        <v>265</v>
      </c>
      <c r="C49" s="7" t="s">
        <v>197</v>
      </c>
      <c r="D49" s="7" t="s">
        <v>266</v>
      </c>
      <c r="E49" s="7">
        <v>1</v>
      </c>
      <c r="F49" s="7">
        <v>85.7</v>
      </c>
      <c r="G49" s="11">
        <f>1*F49*GiaDinh!$C$18*GiaDinh!$C$17</f>
        <v>71.987999999999985</v>
      </c>
      <c r="H49" s="7">
        <v>9</v>
      </c>
      <c r="I49" s="11">
        <f>H49*GiaDinh!$C$16</f>
        <v>63</v>
      </c>
      <c r="J49" s="7">
        <f t="shared" si="0"/>
        <v>2</v>
      </c>
      <c r="K49" s="7">
        <v>2</v>
      </c>
      <c r="L49" s="7" t="str">
        <f t="shared" si="1"/>
        <v>ĐỦ</v>
      </c>
      <c r="M49" s="11">
        <v>21.986999999999998</v>
      </c>
      <c r="N49" s="7">
        <f>ROUNDUP(10.994/GiaDinh!$C$5-0.0005,0)+ROUNDUP(10.994/GiaDinh!$C$5-0.0005,0)</f>
        <v>4</v>
      </c>
      <c r="O49" s="7">
        <f t="shared" si="2"/>
        <v>2</v>
      </c>
      <c r="P49" s="7">
        <v>18</v>
      </c>
      <c r="Q49" s="7">
        <f t="shared" si="3"/>
        <v>36</v>
      </c>
      <c r="R49" s="7">
        <f t="shared" si="4"/>
        <v>18</v>
      </c>
      <c r="S49" s="12">
        <f>M49*GiaDinh!$C$7</f>
        <v>66.180869999999985</v>
      </c>
    </row>
    <row r="50" spans="1:19" ht="15.5" x14ac:dyDescent="0.35">
      <c r="A50" s="7" t="s">
        <v>6</v>
      </c>
      <c r="B50" s="7" t="s">
        <v>267</v>
      </c>
      <c r="C50" s="7" t="s">
        <v>197</v>
      </c>
      <c r="D50" s="7" t="s">
        <v>268</v>
      </c>
      <c r="E50" s="7">
        <v>1</v>
      </c>
      <c r="F50" s="7">
        <v>85.7</v>
      </c>
      <c r="G50" s="11">
        <f>1*F50*GiaDinh!$C$18*GiaDinh!$C$17</f>
        <v>71.987999999999985</v>
      </c>
      <c r="H50" s="7">
        <v>13</v>
      </c>
      <c r="I50" s="11">
        <f>H50*GiaDinh!$C$16</f>
        <v>91</v>
      </c>
      <c r="J50" s="7">
        <f t="shared" si="0"/>
        <v>1</v>
      </c>
      <c r="K50" s="7">
        <v>1</v>
      </c>
      <c r="L50" s="7" t="str">
        <f t="shared" si="1"/>
        <v>ĐỦ</v>
      </c>
      <c r="M50" s="11">
        <v>15</v>
      </c>
      <c r="N50" s="7">
        <f>ROUNDUP(15/GiaDinh!$C$5-0.0005,0)</f>
        <v>3</v>
      </c>
      <c r="O50" s="7">
        <f t="shared" si="2"/>
        <v>2</v>
      </c>
      <c r="P50" s="7">
        <v>13</v>
      </c>
      <c r="Q50" s="7">
        <f t="shared" si="3"/>
        <v>26</v>
      </c>
      <c r="R50" s="7">
        <f t="shared" si="4"/>
        <v>13</v>
      </c>
      <c r="S50" s="12">
        <f>M50*GiaDinh!$C$7</f>
        <v>45.15</v>
      </c>
    </row>
    <row r="51" spans="1:19" ht="15.5" x14ac:dyDescent="0.35">
      <c r="A51" s="7" t="s">
        <v>6</v>
      </c>
      <c r="B51" s="7" t="s">
        <v>269</v>
      </c>
      <c r="C51" s="7" t="s">
        <v>197</v>
      </c>
      <c r="D51" s="7" t="s">
        <v>270</v>
      </c>
      <c r="E51" s="7">
        <v>1</v>
      </c>
      <c r="F51" s="7">
        <v>85.7</v>
      </c>
      <c r="G51" s="11">
        <f>1*F51*GiaDinh!$C$18*GiaDinh!$C$17</f>
        <v>71.987999999999985</v>
      </c>
      <c r="H51" s="7">
        <v>12</v>
      </c>
      <c r="I51" s="11">
        <f>H51*GiaDinh!$C$16</f>
        <v>84</v>
      </c>
      <c r="J51" s="7">
        <f t="shared" si="0"/>
        <v>1</v>
      </c>
      <c r="K51" s="7">
        <v>1</v>
      </c>
      <c r="L51" s="7" t="str">
        <f t="shared" si="1"/>
        <v>ĐỦ</v>
      </c>
      <c r="M51" s="11">
        <v>15</v>
      </c>
      <c r="N51" s="7">
        <f>ROUNDUP(15/GiaDinh!$C$5-0.0005,0)</f>
        <v>3</v>
      </c>
      <c r="O51" s="7">
        <f t="shared" si="2"/>
        <v>2</v>
      </c>
      <c r="P51" s="7">
        <v>12</v>
      </c>
      <c r="Q51" s="7">
        <f t="shared" si="3"/>
        <v>24</v>
      </c>
      <c r="R51" s="7">
        <f t="shared" si="4"/>
        <v>12</v>
      </c>
      <c r="S51" s="12">
        <f>M51*GiaDinh!$C$7</f>
        <v>45.15</v>
      </c>
    </row>
    <row r="52" spans="1:19" ht="15.5" x14ac:dyDescent="0.35">
      <c r="A52" s="7" t="s">
        <v>6</v>
      </c>
      <c r="B52" s="7" t="s">
        <v>271</v>
      </c>
      <c r="C52" s="7" t="s">
        <v>197</v>
      </c>
      <c r="D52" s="7" t="s">
        <v>272</v>
      </c>
      <c r="E52" s="7">
        <v>1</v>
      </c>
      <c r="F52" s="7">
        <v>85.7</v>
      </c>
      <c r="G52" s="11">
        <f>1*F52*GiaDinh!$C$18*GiaDinh!$C$17</f>
        <v>71.987999999999985</v>
      </c>
      <c r="H52" s="7">
        <v>12</v>
      </c>
      <c r="I52" s="11">
        <f>H52*GiaDinh!$C$16</f>
        <v>84</v>
      </c>
      <c r="J52" s="7">
        <f t="shared" si="0"/>
        <v>1</v>
      </c>
      <c r="K52" s="7">
        <v>1</v>
      </c>
      <c r="L52" s="7" t="str">
        <f t="shared" si="1"/>
        <v>ĐỦ</v>
      </c>
      <c r="M52" s="11">
        <v>15</v>
      </c>
      <c r="N52" s="7">
        <f>ROUNDUP(15/GiaDinh!$C$5-0.0005,0)</f>
        <v>3</v>
      </c>
      <c r="O52" s="7">
        <f t="shared" si="2"/>
        <v>2</v>
      </c>
      <c r="P52" s="7">
        <v>12</v>
      </c>
      <c r="Q52" s="7">
        <f t="shared" si="3"/>
        <v>24</v>
      </c>
      <c r="R52" s="7">
        <f t="shared" si="4"/>
        <v>12</v>
      </c>
      <c r="S52" s="12">
        <f>M52*GiaDinh!$C$7</f>
        <v>45.15</v>
      </c>
    </row>
    <row r="53" spans="1:19" ht="15.5" x14ac:dyDescent="0.35">
      <c r="A53" s="7" t="s">
        <v>6</v>
      </c>
      <c r="B53" s="7" t="s">
        <v>273</v>
      </c>
      <c r="C53" s="7" t="s">
        <v>197</v>
      </c>
      <c r="D53" s="7" t="s">
        <v>274</v>
      </c>
      <c r="E53" s="7">
        <v>1</v>
      </c>
      <c r="F53" s="7">
        <v>85.7</v>
      </c>
      <c r="G53" s="11">
        <f>1*F53*GiaDinh!$C$18*GiaDinh!$C$17</f>
        <v>71.987999999999985</v>
      </c>
      <c r="H53" s="7">
        <v>12</v>
      </c>
      <c r="I53" s="11">
        <f>H53*GiaDinh!$C$16</f>
        <v>84</v>
      </c>
      <c r="J53" s="7">
        <f t="shared" si="0"/>
        <v>1</v>
      </c>
      <c r="K53" s="7">
        <v>1</v>
      </c>
      <c r="L53" s="7" t="str">
        <f t="shared" si="1"/>
        <v>ĐỦ</v>
      </c>
      <c r="M53" s="11">
        <v>15</v>
      </c>
      <c r="N53" s="7">
        <f>ROUNDUP(15/GiaDinh!$C$5-0.0005,0)</f>
        <v>3</v>
      </c>
      <c r="O53" s="7">
        <f t="shared" si="2"/>
        <v>2</v>
      </c>
      <c r="P53" s="7">
        <v>12</v>
      </c>
      <c r="Q53" s="7">
        <f t="shared" si="3"/>
        <v>24</v>
      </c>
      <c r="R53" s="7">
        <f t="shared" si="4"/>
        <v>12</v>
      </c>
      <c r="S53" s="12">
        <f>M53*GiaDinh!$C$7</f>
        <v>45.15</v>
      </c>
    </row>
    <row r="54" spans="1:19" ht="15.5" x14ac:dyDescent="0.35">
      <c r="A54" s="7" t="s">
        <v>6</v>
      </c>
      <c r="B54" s="7" t="s">
        <v>275</v>
      </c>
      <c r="C54" s="7" t="s">
        <v>197</v>
      </c>
      <c r="D54" s="7" t="s">
        <v>276</v>
      </c>
      <c r="E54" s="7">
        <v>1</v>
      </c>
      <c r="F54" s="7">
        <v>85.7</v>
      </c>
      <c r="G54" s="11">
        <f>1*F54*GiaDinh!$C$18*GiaDinh!$C$17</f>
        <v>71.987999999999985</v>
      </c>
      <c r="H54" s="7">
        <v>12</v>
      </c>
      <c r="I54" s="11">
        <f>H54*GiaDinh!$C$16</f>
        <v>84</v>
      </c>
      <c r="J54" s="7">
        <f t="shared" si="0"/>
        <v>1</v>
      </c>
      <c r="K54" s="7">
        <v>1</v>
      </c>
      <c r="L54" s="7" t="str">
        <f t="shared" si="1"/>
        <v>ĐỦ</v>
      </c>
      <c r="M54" s="11">
        <v>15</v>
      </c>
      <c r="N54" s="7">
        <f>ROUNDUP(15/GiaDinh!$C$5-0.0005,0)</f>
        <v>3</v>
      </c>
      <c r="O54" s="7">
        <f t="shared" si="2"/>
        <v>2</v>
      </c>
      <c r="P54" s="7">
        <v>12</v>
      </c>
      <c r="Q54" s="7">
        <f t="shared" si="3"/>
        <v>24</v>
      </c>
      <c r="R54" s="7">
        <f t="shared" si="4"/>
        <v>12</v>
      </c>
      <c r="S54" s="12">
        <f>M54*GiaDinh!$C$7</f>
        <v>45.15</v>
      </c>
    </row>
    <row r="55" spans="1:19" ht="15.5" x14ac:dyDescent="0.35">
      <c r="A55" s="7" t="s">
        <v>6</v>
      </c>
      <c r="B55" s="7" t="s">
        <v>277</v>
      </c>
      <c r="C55" s="7" t="s">
        <v>197</v>
      </c>
      <c r="D55" s="7" t="s">
        <v>278</v>
      </c>
      <c r="E55" s="7">
        <v>1</v>
      </c>
      <c r="F55" s="7">
        <v>85.7</v>
      </c>
      <c r="G55" s="11">
        <f>1*F55*GiaDinh!$C$18*GiaDinh!$C$17</f>
        <v>71.987999999999985</v>
      </c>
      <c r="H55" s="7">
        <v>12</v>
      </c>
      <c r="I55" s="11">
        <f>H55*GiaDinh!$C$16</f>
        <v>84</v>
      </c>
      <c r="J55" s="7">
        <f t="shared" si="0"/>
        <v>1</v>
      </c>
      <c r="K55" s="7">
        <v>1</v>
      </c>
      <c r="L55" s="7" t="str">
        <f t="shared" si="1"/>
        <v>ĐỦ</v>
      </c>
      <c r="M55" s="11">
        <v>15</v>
      </c>
      <c r="N55" s="7">
        <f>ROUNDUP(15/GiaDinh!$C$5-0.0005,0)</f>
        <v>3</v>
      </c>
      <c r="O55" s="7">
        <f t="shared" si="2"/>
        <v>2</v>
      </c>
      <c r="P55" s="7">
        <v>12</v>
      </c>
      <c r="Q55" s="7">
        <f t="shared" si="3"/>
        <v>24</v>
      </c>
      <c r="R55" s="7">
        <f t="shared" si="4"/>
        <v>12</v>
      </c>
      <c r="S55" s="12">
        <f>M55*GiaDinh!$C$7</f>
        <v>45.15</v>
      </c>
    </row>
    <row r="56" spans="1:19" ht="15.5" x14ac:dyDescent="0.35">
      <c r="A56" s="7" t="s">
        <v>6</v>
      </c>
      <c r="B56" s="7" t="s">
        <v>279</v>
      </c>
      <c r="C56" s="7" t="s">
        <v>197</v>
      </c>
      <c r="D56" s="7" t="s">
        <v>280</v>
      </c>
      <c r="E56" s="7">
        <v>1</v>
      </c>
      <c r="F56" s="7">
        <v>85.7</v>
      </c>
      <c r="G56" s="11">
        <f>1*F56*GiaDinh!$C$18*GiaDinh!$C$17</f>
        <v>71.987999999999985</v>
      </c>
      <c r="H56" s="7">
        <v>12</v>
      </c>
      <c r="I56" s="11">
        <f>H56*GiaDinh!$C$16</f>
        <v>84</v>
      </c>
      <c r="J56" s="7">
        <f t="shared" si="0"/>
        <v>1</v>
      </c>
      <c r="K56" s="7">
        <v>1</v>
      </c>
      <c r="L56" s="7" t="str">
        <f t="shared" si="1"/>
        <v>ĐỦ</v>
      </c>
      <c r="M56" s="11">
        <v>15</v>
      </c>
      <c r="N56" s="7">
        <f>ROUNDUP(15/GiaDinh!$C$5-0.0005,0)</f>
        <v>3</v>
      </c>
      <c r="O56" s="7">
        <f t="shared" si="2"/>
        <v>2</v>
      </c>
      <c r="P56" s="7">
        <v>12</v>
      </c>
      <c r="Q56" s="7">
        <f t="shared" si="3"/>
        <v>24</v>
      </c>
      <c r="R56" s="7">
        <f t="shared" si="4"/>
        <v>12</v>
      </c>
      <c r="S56" s="12">
        <f>M56*GiaDinh!$C$7</f>
        <v>45.15</v>
      </c>
    </row>
    <row r="57" spans="1:19" ht="15.5" x14ac:dyDescent="0.35">
      <c r="A57" s="7" t="s">
        <v>6</v>
      </c>
      <c r="B57" s="7" t="s">
        <v>281</v>
      </c>
      <c r="C57" s="7" t="s">
        <v>197</v>
      </c>
      <c r="D57" s="7" t="s">
        <v>282</v>
      </c>
      <c r="E57" s="7">
        <v>1</v>
      </c>
      <c r="F57" s="7">
        <v>85.7</v>
      </c>
      <c r="G57" s="11">
        <f>1*F57*GiaDinh!$C$18*GiaDinh!$C$17</f>
        <v>71.987999999999985</v>
      </c>
      <c r="H57" s="7">
        <v>12</v>
      </c>
      <c r="I57" s="11">
        <f>H57*GiaDinh!$C$16</f>
        <v>84</v>
      </c>
      <c r="J57" s="7">
        <f t="shared" si="0"/>
        <v>1</v>
      </c>
      <c r="K57" s="7">
        <v>1</v>
      </c>
      <c r="L57" s="7" t="str">
        <f t="shared" si="1"/>
        <v>ĐỦ</v>
      </c>
      <c r="M57" s="11">
        <v>15</v>
      </c>
      <c r="N57" s="7">
        <f>ROUNDUP(15/GiaDinh!$C$5-0.0005,0)</f>
        <v>3</v>
      </c>
      <c r="O57" s="7">
        <f t="shared" si="2"/>
        <v>2</v>
      </c>
      <c r="P57" s="7">
        <v>12</v>
      </c>
      <c r="Q57" s="7">
        <f t="shared" si="3"/>
        <v>24</v>
      </c>
      <c r="R57" s="7">
        <f t="shared" si="4"/>
        <v>12</v>
      </c>
      <c r="S57" s="12">
        <f>M57*GiaDinh!$C$7</f>
        <v>45.15</v>
      </c>
    </row>
    <row r="58" spans="1:19" ht="15.5" x14ac:dyDescent="0.35">
      <c r="A58" s="7" t="s">
        <v>6</v>
      </c>
      <c r="B58" s="7" t="s">
        <v>283</v>
      </c>
      <c r="C58" s="7" t="s">
        <v>197</v>
      </c>
      <c r="D58" s="7" t="s">
        <v>284</v>
      </c>
      <c r="E58" s="7">
        <v>1</v>
      </c>
      <c r="F58" s="7">
        <v>85.7</v>
      </c>
      <c r="G58" s="11">
        <f>1*F58*GiaDinh!$C$18*GiaDinh!$C$17</f>
        <v>71.987999999999985</v>
      </c>
      <c r="H58" s="7">
        <v>12</v>
      </c>
      <c r="I58" s="11">
        <f>H58*GiaDinh!$C$16</f>
        <v>84</v>
      </c>
      <c r="J58" s="7">
        <f t="shared" si="0"/>
        <v>1</v>
      </c>
      <c r="K58" s="7">
        <v>1</v>
      </c>
      <c r="L58" s="7" t="str">
        <f t="shared" si="1"/>
        <v>ĐỦ</v>
      </c>
      <c r="M58" s="11">
        <v>15</v>
      </c>
      <c r="N58" s="7">
        <f>ROUNDUP(15/GiaDinh!$C$5-0.0005,0)</f>
        <v>3</v>
      </c>
      <c r="O58" s="7">
        <f t="shared" si="2"/>
        <v>2</v>
      </c>
      <c r="P58" s="7">
        <v>12</v>
      </c>
      <c r="Q58" s="7">
        <f t="shared" si="3"/>
        <v>24</v>
      </c>
      <c r="R58" s="7">
        <f t="shared" si="4"/>
        <v>12</v>
      </c>
      <c r="S58" s="12">
        <f>M58*GiaDinh!$C$7</f>
        <v>45.15</v>
      </c>
    </row>
    <row r="59" spans="1:19" ht="15.5" x14ac:dyDescent="0.35">
      <c r="A59" s="7" t="s">
        <v>6</v>
      </c>
      <c r="B59" s="7" t="s">
        <v>285</v>
      </c>
      <c r="C59" s="7" t="s">
        <v>197</v>
      </c>
      <c r="D59" s="7" t="s">
        <v>286</v>
      </c>
      <c r="E59" s="7">
        <v>1</v>
      </c>
      <c r="F59" s="7">
        <v>85.7</v>
      </c>
      <c r="G59" s="11">
        <f>1*F59*GiaDinh!$C$18*GiaDinh!$C$17</f>
        <v>71.987999999999985</v>
      </c>
      <c r="H59" s="7">
        <v>12</v>
      </c>
      <c r="I59" s="11">
        <f>H59*GiaDinh!$C$16</f>
        <v>84</v>
      </c>
      <c r="J59" s="7">
        <f t="shared" si="0"/>
        <v>1</v>
      </c>
      <c r="K59" s="7">
        <v>1</v>
      </c>
      <c r="L59" s="7" t="str">
        <f t="shared" si="1"/>
        <v>ĐỦ</v>
      </c>
      <c r="M59" s="11">
        <v>15</v>
      </c>
      <c r="N59" s="7">
        <f>ROUNDUP(15/GiaDinh!$C$5-0.0005,0)</f>
        <v>3</v>
      </c>
      <c r="O59" s="7">
        <f t="shared" si="2"/>
        <v>2</v>
      </c>
      <c r="P59" s="7">
        <v>12</v>
      </c>
      <c r="Q59" s="7">
        <f t="shared" si="3"/>
        <v>24</v>
      </c>
      <c r="R59" s="7">
        <f t="shared" si="4"/>
        <v>12</v>
      </c>
      <c r="S59" s="12">
        <f>M59*GiaDinh!$C$7</f>
        <v>45.15</v>
      </c>
    </row>
    <row r="60" spans="1:19" ht="15.5" x14ac:dyDescent="0.35">
      <c r="A60" s="7" t="s">
        <v>6</v>
      </c>
      <c r="B60" s="7" t="s">
        <v>287</v>
      </c>
      <c r="C60" s="7" t="s">
        <v>197</v>
      </c>
      <c r="D60" s="7" t="s">
        <v>288</v>
      </c>
      <c r="E60" s="7">
        <v>1</v>
      </c>
      <c r="F60" s="7">
        <v>85.7</v>
      </c>
      <c r="G60" s="11">
        <f>1*F60*GiaDinh!$C$18*GiaDinh!$C$17</f>
        <v>71.987999999999985</v>
      </c>
      <c r="H60" s="7">
        <v>12</v>
      </c>
      <c r="I60" s="11">
        <f>H60*GiaDinh!$C$16</f>
        <v>84</v>
      </c>
      <c r="J60" s="7">
        <f t="shared" si="0"/>
        <v>1</v>
      </c>
      <c r="K60" s="7">
        <v>1</v>
      </c>
      <c r="L60" s="7" t="str">
        <f t="shared" si="1"/>
        <v>ĐỦ</v>
      </c>
      <c r="M60" s="11">
        <v>15</v>
      </c>
      <c r="N60" s="7">
        <f>ROUNDUP(15/GiaDinh!$C$5-0.0005,0)</f>
        <v>3</v>
      </c>
      <c r="O60" s="7">
        <f t="shared" si="2"/>
        <v>2</v>
      </c>
      <c r="P60" s="7">
        <v>12</v>
      </c>
      <c r="Q60" s="7">
        <f t="shared" si="3"/>
        <v>24</v>
      </c>
      <c r="R60" s="7">
        <f t="shared" si="4"/>
        <v>12</v>
      </c>
      <c r="S60" s="12">
        <f>M60*GiaDinh!$C$7</f>
        <v>45.15</v>
      </c>
    </row>
    <row r="61" spans="1:19" ht="15.5" x14ac:dyDescent="0.35">
      <c r="A61" s="7" t="s">
        <v>6</v>
      </c>
      <c r="B61" s="7" t="s">
        <v>289</v>
      </c>
      <c r="C61" s="7" t="s">
        <v>197</v>
      </c>
      <c r="D61" s="7" t="s">
        <v>290</v>
      </c>
      <c r="E61" s="7">
        <v>1</v>
      </c>
      <c r="F61" s="7">
        <v>85.7</v>
      </c>
      <c r="G61" s="11">
        <f>1*F61*GiaDinh!$C$18*GiaDinh!$C$17</f>
        <v>71.987999999999985</v>
      </c>
      <c r="H61" s="7">
        <v>12</v>
      </c>
      <c r="I61" s="11">
        <f>H61*GiaDinh!$C$16</f>
        <v>84</v>
      </c>
      <c r="J61" s="7">
        <f t="shared" si="0"/>
        <v>1</v>
      </c>
      <c r="K61" s="7">
        <v>1</v>
      </c>
      <c r="L61" s="7" t="str">
        <f t="shared" si="1"/>
        <v>ĐỦ</v>
      </c>
      <c r="M61" s="11">
        <v>15</v>
      </c>
      <c r="N61" s="7">
        <f>ROUNDUP(15/GiaDinh!$C$5-0.0005,0)</f>
        <v>3</v>
      </c>
      <c r="O61" s="7">
        <f t="shared" si="2"/>
        <v>2</v>
      </c>
      <c r="P61" s="7">
        <v>12</v>
      </c>
      <c r="Q61" s="7">
        <f t="shared" si="3"/>
        <v>24</v>
      </c>
      <c r="R61" s="7">
        <f t="shared" si="4"/>
        <v>12</v>
      </c>
      <c r="S61" s="12">
        <f>M61*GiaDinh!$C$7</f>
        <v>45.15</v>
      </c>
    </row>
    <row r="62" spans="1:19" ht="15.5" x14ac:dyDescent="0.35">
      <c r="A62" s="7" t="s">
        <v>6</v>
      </c>
      <c r="B62" s="7" t="s">
        <v>291</v>
      </c>
      <c r="C62" s="7" t="s">
        <v>197</v>
      </c>
      <c r="D62" s="7" t="s">
        <v>292</v>
      </c>
      <c r="E62" s="7">
        <v>1</v>
      </c>
      <c r="F62" s="7">
        <v>85.7</v>
      </c>
      <c r="G62" s="11">
        <f>1*F62*GiaDinh!$C$18*GiaDinh!$C$17</f>
        <v>71.987999999999985</v>
      </c>
      <c r="H62" s="7">
        <v>12</v>
      </c>
      <c r="I62" s="11">
        <f>H62*GiaDinh!$C$16</f>
        <v>84</v>
      </c>
      <c r="J62" s="7">
        <f t="shared" si="0"/>
        <v>1</v>
      </c>
      <c r="K62" s="7">
        <v>1</v>
      </c>
      <c r="L62" s="7" t="str">
        <f t="shared" si="1"/>
        <v>ĐỦ</v>
      </c>
      <c r="M62" s="11">
        <v>15</v>
      </c>
      <c r="N62" s="7">
        <f>ROUNDUP(15/GiaDinh!$C$5-0.0005,0)</f>
        <v>3</v>
      </c>
      <c r="O62" s="7">
        <f t="shared" si="2"/>
        <v>2</v>
      </c>
      <c r="P62" s="7">
        <v>12</v>
      </c>
      <c r="Q62" s="7">
        <f t="shared" si="3"/>
        <v>24</v>
      </c>
      <c r="R62" s="7">
        <f t="shared" si="4"/>
        <v>12</v>
      </c>
      <c r="S62" s="12">
        <f>M62*GiaDinh!$C$7</f>
        <v>45.15</v>
      </c>
    </row>
    <row r="63" spans="1:19" ht="15.5" x14ac:dyDescent="0.35">
      <c r="A63" s="7" t="s">
        <v>6</v>
      </c>
      <c r="B63" s="7" t="s">
        <v>293</v>
      </c>
      <c r="C63" s="7" t="s">
        <v>197</v>
      </c>
      <c r="D63" s="7" t="s">
        <v>294</v>
      </c>
      <c r="E63" s="7">
        <v>1</v>
      </c>
      <c r="F63" s="7">
        <v>85.7</v>
      </c>
      <c r="G63" s="11">
        <f>1*F63*GiaDinh!$C$18*GiaDinh!$C$17</f>
        <v>71.987999999999985</v>
      </c>
      <c r="H63" s="7">
        <v>12</v>
      </c>
      <c r="I63" s="11">
        <f>H63*GiaDinh!$C$16</f>
        <v>84</v>
      </c>
      <c r="J63" s="7">
        <f t="shared" si="0"/>
        <v>1</v>
      </c>
      <c r="K63" s="7">
        <v>1</v>
      </c>
      <c r="L63" s="7" t="str">
        <f t="shared" si="1"/>
        <v>ĐỦ</v>
      </c>
      <c r="M63" s="11">
        <v>15</v>
      </c>
      <c r="N63" s="7">
        <f>ROUNDUP(15/GiaDinh!$C$5-0.0005,0)</f>
        <v>3</v>
      </c>
      <c r="O63" s="7">
        <f t="shared" si="2"/>
        <v>2</v>
      </c>
      <c r="P63" s="7">
        <v>12</v>
      </c>
      <c r="Q63" s="7">
        <f t="shared" si="3"/>
        <v>24</v>
      </c>
      <c r="R63" s="7">
        <f t="shared" si="4"/>
        <v>12</v>
      </c>
      <c r="S63" s="12">
        <f>M63*GiaDinh!$C$7</f>
        <v>45.15</v>
      </c>
    </row>
    <row r="64" spans="1:19" ht="15.5" x14ac:dyDescent="0.35">
      <c r="A64" s="7" t="s">
        <v>6</v>
      </c>
      <c r="B64" s="7" t="s">
        <v>295</v>
      </c>
      <c r="C64" s="7" t="s">
        <v>197</v>
      </c>
      <c r="D64" s="7" t="s">
        <v>296</v>
      </c>
      <c r="E64" s="7">
        <v>1</v>
      </c>
      <c r="F64" s="7">
        <v>85.7</v>
      </c>
      <c r="G64" s="11">
        <f>1*F64*GiaDinh!$C$18*GiaDinh!$C$17</f>
        <v>71.987999999999985</v>
      </c>
      <c r="H64" s="7">
        <v>12</v>
      </c>
      <c r="I64" s="11">
        <f>H64*GiaDinh!$C$16</f>
        <v>84</v>
      </c>
      <c r="J64" s="7">
        <f t="shared" si="0"/>
        <v>1</v>
      </c>
      <c r="K64" s="7">
        <v>1</v>
      </c>
      <c r="L64" s="7" t="str">
        <f t="shared" si="1"/>
        <v>ĐỦ</v>
      </c>
      <c r="M64" s="11">
        <v>15</v>
      </c>
      <c r="N64" s="7">
        <f>ROUNDUP(15/GiaDinh!$C$5-0.0005,0)</f>
        <v>3</v>
      </c>
      <c r="O64" s="7">
        <f t="shared" si="2"/>
        <v>2</v>
      </c>
      <c r="P64" s="7">
        <v>12</v>
      </c>
      <c r="Q64" s="7">
        <f t="shared" si="3"/>
        <v>24</v>
      </c>
      <c r="R64" s="7">
        <f t="shared" si="4"/>
        <v>12</v>
      </c>
      <c r="S64" s="12">
        <f>M64*GiaDinh!$C$7</f>
        <v>45.15</v>
      </c>
    </row>
    <row r="65" spans="1:19" ht="15.5" x14ac:dyDescent="0.35">
      <c r="A65" s="7" t="s">
        <v>6</v>
      </c>
      <c r="B65" s="7" t="s">
        <v>297</v>
      </c>
      <c r="C65" s="7" t="s">
        <v>197</v>
      </c>
      <c r="D65" s="7" t="s">
        <v>298</v>
      </c>
      <c r="E65" s="7">
        <v>1</v>
      </c>
      <c r="F65" s="7">
        <v>85.7</v>
      </c>
      <c r="G65" s="11">
        <f>1*F65*GiaDinh!$C$18*GiaDinh!$C$17</f>
        <v>71.987999999999985</v>
      </c>
      <c r="H65" s="7">
        <v>12</v>
      </c>
      <c r="I65" s="11">
        <f>H65*GiaDinh!$C$16</f>
        <v>84</v>
      </c>
      <c r="J65" s="7">
        <f t="shared" si="0"/>
        <v>1</v>
      </c>
      <c r="K65" s="7">
        <v>1</v>
      </c>
      <c r="L65" s="7" t="str">
        <f t="shared" si="1"/>
        <v>ĐỦ</v>
      </c>
      <c r="M65" s="11">
        <v>15</v>
      </c>
      <c r="N65" s="7">
        <f>ROUNDUP(15/GiaDinh!$C$5-0.0005,0)</f>
        <v>3</v>
      </c>
      <c r="O65" s="7">
        <f t="shared" si="2"/>
        <v>2</v>
      </c>
      <c r="P65" s="7">
        <v>12</v>
      </c>
      <c r="Q65" s="7">
        <f t="shared" si="3"/>
        <v>24</v>
      </c>
      <c r="R65" s="7">
        <f t="shared" si="4"/>
        <v>12</v>
      </c>
      <c r="S65" s="12">
        <f>M65*GiaDinh!$C$7</f>
        <v>45.15</v>
      </c>
    </row>
    <row r="66" spans="1:19" ht="15.5" x14ac:dyDescent="0.35">
      <c r="A66" s="7" t="s">
        <v>6</v>
      </c>
      <c r="B66" s="7" t="s">
        <v>299</v>
      </c>
      <c r="C66" s="7" t="s">
        <v>197</v>
      </c>
      <c r="D66" s="7" t="s">
        <v>300</v>
      </c>
      <c r="E66" s="7">
        <v>1</v>
      </c>
      <c r="F66" s="7">
        <v>85.7</v>
      </c>
      <c r="G66" s="11">
        <f>1*F66*GiaDinh!$C$18*GiaDinh!$C$17</f>
        <v>71.987999999999985</v>
      </c>
      <c r="H66" s="7">
        <v>12</v>
      </c>
      <c r="I66" s="11">
        <f>H66*GiaDinh!$C$16</f>
        <v>84</v>
      </c>
      <c r="J66" s="7">
        <f t="shared" si="0"/>
        <v>1</v>
      </c>
      <c r="K66" s="7">
        <v>1</v>
      </c>
      <c r="L66" s="7" t="str">
        <f t="shared" si="1"/>
        <v>ĐỦ</v>
      </c>
      <c r="M66" s="11">
        <v>15</v>
      </c>
      <c r="N66" s="7">
        <f>ROUNDUP(15/GiaDinh!$C$5-0.0005,0)</f>
        <v>3</v>
      </c>
      <c r="O66" s="7">
        <f t="shared" si="2"/>
        <v>2</v>
      </c>
      <c r="P66" s="7">
        <v>12</v>
      </c>
      <c r="Q66" s="7">
        <f t="shared" si="3"/>
        <v>24</v>
      </c>
      <c r="R66" s="7">
        <f t="shared" si="4"/>
        <v>12</v>
      </c>
      <c r="S66" s="12">
        <f>M66*GiaDinh!$C$7</f>
        <v>45.15</v>
      </c>
    </row>
    <row r="67" spans="1:19" ht="15.5" x14ac:dyDescent="0.35">
      <c r="A67" s="7" t="s">
        <v>6</v>
      </c>
      <c r="B67" s="7" t="s">
        <v>301</v>
      </c>
      <c r="C67" s="7" t="s">
        <v>197</v>
      </c>
      <c r="D67" s="7" t="s">
        <v>302</v>
      </c>
      <c r="E67" s="7">
        <v>1</v>
      </c>
      <c r="F67" s="7">
        <v>85.7</v>
      </c>
      <c r="G67" s="11">
        <f>1*F67*GiaDinh!$C$18*GiaDinh!$C$17</f>
        <v>71.987999999999985</v>
      </c>
      <c r="H67" s="7">
        <v>12</v>
      </c>
      <c r="I67" s="11">
        <f>H67*GiaDinh!$C$16</f>
        <v>84</v>
      </c>
      <c r="J67" s="7">
        <f t="shared" si="0"/>
        <v>1</v>
      </c>
      <c r="K67" s="7">
        <v>1</v>
      </c>
      <c r="L67" s="7" t="str">
        <f t="shared" si="1"/>
        <v>ĐỦ</v>
      </c>
      <c r="M67" s="11">
        <v>15</v>
      </c>
      <c r="N67" s="7">
        <f>ROUNDUP(15/GiaDinh!$C$5-0.0005,0)</f>
        <v>3</v>
      </c>
      <c r="O67" s="7">
        <f t="shared" si="2"/>
        <v>2</v>
      </c>
      <c r="P67" s="7">
        <v>12</v>
      </c>
      <c r="Q67" s="7">
        <f t="shared" si="3"/>
        <v>24</v>
      </c>
      <c r="R67" s="7">
        <f t="shared" si="4"/>
        <v>12</v>
      </c>
      <c r="S67" s="12">
        <f>M67*GiaDinh!$C$7</f>
        <v>45.15</v>
      </c>
    </row>
    <row r="68" spans="1:19" ht="15.5" x14ac:dyDescent="0.35">
      <c r="A68" s="7" t="s">
        <v>6</v>
      </c>
      <c r="B68" s="7" t="s">
        <v>303</v>
      </c>
      <c r="C68" s="7" t="s">
        <v>197</v>
      </c>
      <c r="D68" s="7" t="s">
        <v>304</v>
      </c>
      <c r="E68" s="7">
        <v>1</v>
      </c>
      <c r="F68" s="7">
        <v>85.7</v>
      </c>
      <c r="G68" s="11">
        <f>1*F68*GiaDinh!$C$18*GiaDinh!$C$17</f>
        <v>71.987999999999985</v>
      </c>
      <c r="H68" s="7">
        <v>12</v>
      </c>
      <c r="I68" s="11">
        <f>H68*GiaDinh!$C$16</f>
        <v>84</v>
      </c>
      <c r="J68" s="7">
        <f t="shared" ref="J68:J131" si="5">MAX(1,ROUNDUP(G68/I68-0.0005,0))</f>
        <v>1</v>
      </c>
      <c r="K68" s="7">
        <v>1</v>
      </c>
      <c r="L68" s="7" t="str">
        <f t="shared" ref="L68:L131" si="6">IF(K68&gt;=J68,"ĐỦ","THIẾU")</f>
        <v>ĐỦ</v>
      </c>
      <c r="M68" s="11">
        <v>15</v>
      </c>
      <c r="N68" s="7">
        <f>ROUNDUP(15/GiaDinh!$C$5-0.0005,0)</f>
        <v>3</v>
      </c>
      <c r="O68" s="7">
        <f t="shared" ref="O68:O131" si="7">N68-K68</f>
        <v>2</v>
      </c>
      <c r="P68" s="7">
        <v>12</v>
      </c>
      <c r="Q68" s="7">
        <f t="shared" ref="Q68:Q131" si="8">2*P68</f>
        <v>24</v>
      </c>
      <c r="R68" s="7">
        <f t="shared" ref="R68:R131" si="9">P68</f>
        <v>12</v>
      </c>
      <c r="S68" s="12">
        <f>M68*GiaDinh!$C$7</f>
        <v>45.15</v>
      </c>
    </row>
    <row r="69" spans="1:19" ht="15.5" x14ac:dyDescent="0.35">
      <c r="A69" s="7" t="s">
        <v>7</v>
      </c>
      <c r="B69" s="7" t="s">
        <v>305</v>
      </c>
      <c r="C69" s="7" t="s">
        <v>174</v>
      </c>
      <c r="D69" s="7" t="s">
        <v>306</v>
      </c>
      <c r="E69" s="7">
        <v>2</v>
      </c>
      <c r="F69" s="7">
        <v>113.5</v>
      </c>
      <c r="G69" s="11">
        <f>2*F69*GiaDinh!$C$18*GiaDinh!$C$17</f>
        <v>190.67999999999998</v>
      </c>
      <c r="H69" s="7">
        <v>12</v>
      </c>
      <c r="I69" s="11">
        <f>H69*GiaDinh!$C$16</f>
        <v>84</v>
      </c>
      <c r="J69" s="7">
        <f t="shared" si="5"/>
        <v>3</v>
      </c>
      <c r="K69" s="7">
        <v>3</v>
      </c>
      <c r="L69" s="7" t="str">
        <f t="shared" si="6"/>
        <v>ĐỦ</v>
      </c>
      <c r="M69" s="11">
        <v>45</v>
      </c>
      <c r="N69" s="7">
        <f>ROUNDUP(15/GiaDinh!$C$5-0.0005,0)+ROUNDUP(15/GiaDinh!$C$5-0.0005,0)+ROUNDUP(15/GiaDinh!$C$5-0.0005,0)</f>
        <v>9</v>
      </c>
      <c r="O69" s="7">
        <f t="shared" si="7"/>
        <v>6</v>
      </c>
      <c r="P69" s="7">
        <v>36</v>
      </c>
      <c r="Q69" s="7">
        <f t="shared" si="8"/>
        <v>72</v>
      </c>
      <c r="R69" s="7">
        <f t="shared" si="9"/>
        <v>36</v>
      </c>
      <c r="S69" s="12">
        <f>M69*GiaDinh!$C$7</f>
        <v>135.44999999999999</v>
      </c>
    </row>
    <row r="70" spans="1:19" ht="15.5" x14ac:dyDescent="0.35">
      <c r="A70" s="7" t="s">
        <v>7</v>
      </c>
      <c r="B70" s="7" t="s">
        <v>307</v>
      </c>
      <c r="C70" s="7" t="s">
        <v>174</v>
      </c>
      <c r="D70" s="7" t="s">
        <v>308</v>
      </c>
      <c r="E70" s="7">
        <v>2</v>
      </c>
      <c r="F70" s="7">
        <v>113.5</v>
      </c>
      <c r="G70" s="11">
        <f>2*F70*GiaDinh!$C$18*GiaDinh!$C$17</f>
        <v>190.67999999999998</v>
      </c>
      <c r="H70" s="7">
        <v>12</v>
      </c>
      <c r="I70" s="11">
        <f>H70*GiaDinh!$C$16</f>
        <v>84</v>
      </c>
      <c r="J70" s="7">
        <f t="shared" si="5"/>
        <v>3</v>
      </c>
      <c r="K70" s="7">
        <v>3</v>
      </c>
      <c r="L70" s="7" t="str">
        <f t="shared" si="6"/>
        <v>ĐỦ</v>
      </c>
      <c r="M70" s="11">
        <v>45</v>
      </c>
      <c r="N70" s="7">
        <f>ROUNDUP(15/GiaDinh!$C$5-0.0005,0)+ROUNDUP(15/GiaDinh!$C$5-0.0005,0)+ROUNDUP(15/GiaDinh!$C$5-0.0005,0)</f>
        <v>9</v>
      </c>
      <c r="O70" s="7">
        <f t="shared" si="7"/>
        <v>6</v>
      </c>
      <c r="P70" s="7">
        <v>36</v>
      </c>
      <c r="Q70" s="7">
        <f t="shared" si="8"/>
        <v>72</v>
      </c>
      <c r="R70" s="7">
        <f t="shared" si="9"/>
        <v>36</v>
      </c>
      <c r="S70" s="12">
        <f>M70*GiaDinh!$C$7</f>
        <v>135.44999999999999</v>
      </c>
    </row>
    <row r="71" spans="1:19" ht="15.5" x14ac:dyDescent="0.35">
      <c r="A71" s="7" t="s">
        <v>7</v>
      </c>
      <c r="B71" s="7" t="s">
        <v>309</v>
      </c>
      <c r="C71" s="7" t="s">
        <v>174</v>
      </c>
      <c r="D71" s="7" t="s">
        <v>310</v>
      </c>
      <c r="E71" s="7">
        <v>2</v>
      </c>
      <c r="F71" s="7">
        <v>113.5</v>
      </c>
      <c r="G71" s="11">
        <f>2*F71*GiaDinh!$C$18*GiaDinh!$C$17</f>
        <v>190.67999999999998</v>
      </c>
      <c r="H71" s="7">
        <v>12</v>
      </c>
      <c r="I71" s="11">
        <f>H71*GiaDinh!$C$16</f>
        <v>84</v>
      </c>
      <c r="J71" s="7">
        <f t="shared" si="5"/>
        <v>3</v>
      </c>
      <c r="K71" s="7">
        <v>3</v>
      </c>
      <c r="L71" s="7" t="str">
        <f t="shared" si="6"/>
        <v>ĐỦ</v>
      </c>
      <c r="M71" s="11">
        <v>45</v>
      </c>
      <c r="N71" s="7">
        <f>ROUNDUP(15/GiaDinh!$C$5-0.0005,0)+ROUNDUP(15/GiaDinh!$C$5-0.0005,0)+ROUNDUP(15/GiaDinh!$C$5-0.0005,0)</f>
        <v>9</v>
      </c>
      <c r="O71" s="7">
        <f t="shared" si="7"/>
        <v>6</v>
      </c>
      <c r="P71" s="7">
        <v>36</v>
      </c>
      <c r="Q71" s="7">
        <f t="shared" si="8"/>
        <v>72</v>
      </c>
      <c r="R71" s="7">
        <f t="shared" si="9"/>
        <v>36</v>
      </c>
      <c r="S71" s="12">
        <f>M71*GiaDinh!$C$7</f>
        <v>135.44999999999999</v>
      </c>
    </row>
    <row r="72" spans="1:19" ht="15.5" x14ac:dyDescent="0.35">
      <c r="A72" s="7" t="s">
        <v>7</v>
      </c>
      <c r="B72" s="7" t="s">
        <v>311</v>
      </c>
      <c r="C72" s="7" t="s">
        <v>174</v>
      </c>
      <c r="D72" s="7" t="s">
        <v>312</v>
      </c>
      <c r="E72" s="7">
        <v>3</v>
      </c>
      <c r="F72" s="7">
        <v>113.5</v>
      </c>
      <c r="G72" s="11">
        <f>3*F72*GiaDinh!$C$18*GiaDinh!$C$17</f>
        <v>286.02</v>
      </c>
      <c r="H72" s="7">
        <v>12</v>
      </c>
      <c r="I72" s="11">
        <f>H72*GiaDinh!$C$16</f>
        <v>84</v>
      </c>
      <c r="J72" s="7">
        <f t="shared" si="5"/>
        <v>4</v>
      </c>
      <c r="K72" s="7">
        <v>4</v>
      </c>
      <c r="L72" s="7" t="str">
        <f t="shared" si="6"/>
        <v>ĐỦ</v>
      </c>
      <c r="M72" s="11">
        <v>60</v>
      </c>
      <c r="N72" s="7">
        <f>ROUNDUP(15/GiaDinh!$C$5-0.0005,0)+ROUNDUP(15/GiaDinh!$C$5-0.0005,0)+ROUNDUP(15/GiaDinh!$C$5-0.0005,0)+ROUNDUP(15/GiaDinh!$C$5-0.0005,0)</f>
        <v>12</v>
      </c>
      <c r="O72" s="7">
        <f t="shared" si="7"/>
        <v>8</v>
      </c>
      <c r="P72" s="7">
        <v>48</v>
      </c>
      <c r="Q72" s="7">
        <f t="shared" si="8"/>
        <v>96</v>
      </c>
      <c r="R72" s="7">
        <f t="shared" si="9"/>
        <v>48</v>
      </c>
      <c r="S72" s="12">
        <f>M72*GiaDinh!$C$7</f>
        <v>180.6</v>
      </c>
    </row>
    <row r="73" spans="1:19" ht="15.5" x14ac:dyDescent="0.35">
      <c r="A73" s="7" t="s">
        <v>7</v>
      </c>
      <c r="B73" s="7" t="s">
        <v>313</v>
      </c>
      <c r="C73" s="7" t="s">
        <v>174</v>
      </c>
      <c r="D73" s="7" t="s">
        <v>314</v>
      </c>
      <c r="E73" s="7">
        <v>3</v>
      </c>
      <c r="F73" s="7">
        <v>113.5</v>
      </c>
      <c r="G73" s="11">
        <f>3*F73*GiaDinh!$C$18*GiaDinh!$C$17</f>
        <v>286.02</v>
      </c>
      <c r="H73" s="7">
        <v>11</v>
      </c>
      <c r="I73" s="11">
        <f>H73*GiaDinh!$C$16</f>
        <v>77</v>
      </c>
      <c r="J73" s="7">
        <f t="shared" si="5"/>
        <v>4</v>
      </c>
      <c r="K73" s="7">
        <v>4</v>
      </c>
      <c r="L73" s="7" t="str">
        <f t="shared" si="6"/>
        <v>ĐỦ</v>
      </c>
      <c r="M73" s="11">
        <v>60</v>
      </c>
      <c r="N73" s="7">
        <f>ROUNDUP(15/GiaDinh!$C$5-0.0005,0)+ROUNDUP(15/GiaDinh!$C$5-0.0005,0)+ROUNDUP(15/GiaDinh!$C$5-0.0005,0)+ROUNDUP(15/GiaDinh!$C$5-0.0005,0)</f>
        <v>12</v>
      </c>
      <c r="O73" s="7">
        <f t="shared" si="7"/>
        <v>8</v>
      </c>
      <c r="P73" s="7">
        <v>44</v>
      </c>
      <c r="Q73" s="7">
        <f t="shared" si="8"/>
        <v>88</v>
      </c>
      <c r="R73" s="7">
        <f t="shared" si="9"/>
        <v>44</v>
      </c>
      <c r="S73" s="12">
        <f>M73*GiaDinh!$C$7</f>
        <v>180.6</v>
      </c>
    </row>
    <row r="74" spans="1:19" ht="15.5" x14ac:dyDescent="0.35">
      <c r="A74" s="7" t="s">
        <v>7</v>
      </c>
      <c r="B74" s="7" t="s">
        <v>315</v>
      </c>
      <c r="C74" s="7" t="s">
        <v>174</v>
      </c>
      <c r="D74" s="7" t="s">
        <v>316</v>
      </c>
      <c r="E74" s="7">
        <v>3</v>
      </c>
      <c r="F74" s="7">
        <v>113.5</v>
      </c>
      <c r="G74" s="11">
        <f>3*F74*GiaDinh!$C$18*GiaDinh!$C$17</f>
        <v>286.02</v>
      </c>
      <c r="H74" s="7">
        <v>12</v>
      </c>
      <c r="I74" s="11">
        <f>H74*GiaDinh!$C$16</f>
        <v>84</v>
      </c>
      <c r="J74" s="7">
        <f t="shared" si="5"/>
        <v>4</v>
      </c>
      <c r="K74" s="7">
        <v>4</v>
      </c>
      <c r="L74" s="7" t="str">
        <f t="shared" si="6"/>
        <v>ĐỦ</v>
      </c>
      <c r="M74" s="11">
        <v>60</v>
      </c>
      <c r="N74" s="7">
        <f>ROUNDUP(15/GiaDinh!$C$5-0.0005,0)+ROUNDUP(15/GiaDinh!$C$5-0.0005,0)+ROUNDUP(15/GiaDinh!$C$5-0.0005,0)+ROUNDUP(15/GiaDinh!$C$5-0.0005,0)</f>
        <v>12</v>
      </c>
      <c r="O74" s="7">
        <f t="shared" si="7"/>
        <v>8</v>
      </c>
      <c r="P74" s="7">
        <v>48</v>
      </c>
      <c r="Q74" s="7">
        <f t="shared" si="8"/>
        <v>96</v>
      </c>
      <c r="R74" s="7">
        <f t="shared" si="9"/>
        <v>48</v>
      </c>
      <c r="S74" s="12">
        <f>M74*GiaDinh!$C$7</f>
        <v>180.6</v>
      </c>
    </row>
    <row r="75" spans="1:19" ht="15.5" x14ac:dyDescent="0.35">
      <c r="A75" s="7" t="s">
        <v>7</v>
      </c>
      <c r="B75" s="7" t="s">
        <v>317</v>
      </c>
      <c r="C75" s="7" t="s">
        <v>174</v>
      </c>
      <c r="D75" s="7" t="s">
        <v>318</v>
      </c>
      <c r="E75" s="7">
        <v>3</v>
      </c>
      <c r="F75" s="7">
        <v>113.5</v>
      </c>
      <c r="G75" s="11">
        <f>1*F75*GiaDinh!$C$18*GiaDinh!$C$17+264.2*GiaDinh!$C$17</f>
        <v>412.37999999999994</v>
      </c>
      <c r="H75" s="7">
        <v>12</v>
      </c>
      <c r="I75" s="11">
        <f>H75*GiaDinh!$C$16</f>
        <v>84</v>
      </c>
      <c r="J75" s="7">
        <f t="shared" si="5"/>
        <v>5</v>
      </c>
      <c r="K75" s="7">
        <v>5</v>
      </c>
      <c r="L75" s="7" t="str">
        <f t="shared" si="6"/>
        <v>ĐỦ</v>
      </c>
      <c r="M75" s="11">
        <v>75</v>
      </c>
      <c r="N75" s="7">
        <f>ROUNDUP(15/GiaDinh!$C$5-0.0005,0)+ROUNDUP(15/GiaDinh!$C$5-0.0005,0)+ROUNDUP(15/GiaDinh!$C$5-0.0005,0)+ROUNDUP(15/GiaDinh!$C$5-0.0005,0)+ROUNDUP(15/GiaDinh!$C$5-0.0005,0)</f>
        <v>15</v>
      </c>
      <c r="O75" s="7">
        <f t="shared" si="7"/>
        <v>10</v>
      </c>
      <c r="P75" s="7">
        <v>60</v>
      </c>
      <c r="Q75" s="7">
        <f t="shared" si="8"/>
        <v>120</v>
      </c>
      <c r="R75" s="7">
        <f t="shared" si="9"/>
        <v>60</v>
      </c>
      <c r="S75" s="12">
        <f>M75*GiaDinh!$C$7</f>
        <v>225.74999999999997</v>
      </c>
    </row>
    <row r="76" spans="1:19" ht="15.5" x14ac:dyDescent="0.35">
      <c r="A76" s="7" t="s">
        <v>7</v>
      </c>
      <c r="B76" s="7" t="s">
        <v>319</v>
      </c>
      <c r="C76" s="7" t="s">
        <v>174</v>
      </c>
      <c r="D76" s="7" t="s">
        <v>320</v>
      </c>
      <c r="E76" s="7">
        <v>2</v>
      </c>
      <c r="F76" s="7">
        <v>113.5</v>
      </c>
      <c r="G76" s="11">
        <f>0*F76*GiaDinh!$C$18*GiaDinh!$C$17+264.2*GiaDinh!$C$17</f>
        <v>317.03999999999996</v>
      </c>
      <c r="H76" s="7">
        <v>12</v>
      </c>
      <c r="I76" s="11">
        <f>H76*GiaDinh!$C$16</f>
        <v>84</v>
      </c>
      <c r="J76" s="7">
        <f t="shared" si="5"/>
        <v>4</v>
      </c>
      <c r="K76" s="7">
        <v>4</v>
      </c>
      <c r="L76" s="7" t="str">
        <f t="shared" si="6"/>
        <v>ĐỦ</v>
      </c>
      <c r="M76" s="11">
        <v>60</v>
      </c>
      <c r="N76" s="7">
        <f>ROUNDUP(15/GiaDinh!$C$5-0.0005,0)+ROUNDUP(15/GiaDinh!$C$5-0.0005,0)+ROUNDUP(15/GiaDinh!$C$5-0.0005,0)+ROUNDUP(15/GiaDinh!$C$5-0.0005,0)</f>
        <v>12</v>
      </c>
      <c r="O76" s="7">
        <f t="shared" si="7"/>
        <v>8</v>
      </c>
      <c r="P76" s="7">
        <v>48</v>
      </c>
      <c r="Q76" s="7">
        <f t="shared" si="8"/>
        <v>96</v>
      </c>
      <c r="R76" s="7">
        <f t="shared" si="9"/>
        <v>48</v>
      </c>
      <c r="S76" s="12">
        <f>M76*GiaDinh!$C$7</f>
        <v>180.6</v>
      </c>
    </row>
    <row r="77" spans="1:19" ht="15.5" x14ac:dyDescent="0.35">
      <c r="A77" s="7" t="s">
        <v>7</v>
      </c>
      <c r="B77" s="7" t="s">
        <v>321</v>
      </c>
      <c r="C77" s="7" t="s">
        <v>174</v>
      </c>
      <c r="D77" s="7" t="s">
        <v>322</v>
      </c>
      <c r="E77" s="7">
        <v>4</v>
      </c>
      <c r="F77" s="7">
        <v>113.5</v>
      </c>
      <c r="G77" s="11">
        <f>2*F77*GiaDinh!$C$18*GiaDinh!$C$17+264.2*GiaDinh!$C$17</f>
        <v>507.71999999999991</v>
      </c>
      <c r="H77" s="7">
        <v>12</v>
      </c>
      <c r="I77" s="11">
        <f>H77*GiaDinh!$C$16</f>
        <v>84</v>
      </c>
      <c r="J77" s="7">
        <f t="shared" si="5"/>
        <v>7</v>
      </c>
      <c r="K77" s="7">
        <v>7</v>
      </c>
      <c r="L77" s="7" t="str">
        <f t="shared" si="6"/>
        <v>ĐỦ</v>
      </c>
      <c r="M77" s="11">
        <v>105</v>
      </c>
      <c r="N77" s="7">
        <f>ROUNDUP(15/GiaDinh!$C$5-0.0005,0)+ROUNDUP(15/GiaDinh!$C$5-0.0005,0)+ROUNDUP(15/GiaDinh!$C$5-0.0005,0)+ROUNDUP(15/GiaDinh!$C$5-0.0005,0)+ROUNDUP(15/GiaDinh!$C$5-0.0005,0)+ROUNDUP(15/GiaDinh!$C$5-0.0005,0)+ROUNDUP(15/GiaDinh!$C$5-0.0005,0)</f>
        <v>21</v>
      </c>
      <c r="O77" s="7">
        <f t="shared" si="7"/>
        <v>14</v>
      </c>
      <c r="P77" s="7">
        <v>84</v>
      </c>
      <c r="Q77" s="7">
        <f t="shared" si="8"/>
        <v>168</v>
      </c>
      <c r="R77" s="7">
        <f t="shared" si="9"/>
        <v>84</v>
      </c>
      <c r="S77" s="12">
        <f>M77*GiaDinh!$C$7</f>
        <v>316.04999999999995</v>
      </c>
    </row>
    <row r="78" spans="1:19" ht="15.5" x14ac:dyDescent="0.35">
      <c r="A78" s="7" t="s">
        <v>7</v>
      </c>
      <c r="B78" s="7" t="s">
        <v>323</v>
      </c>
      <c r="C78" s="7" t="s">
        <v>174</v>
      </c>
      <c r="D78" s="7" t="s">
        <v>324</v>
      </c>
      <c r="E78" s="7">
        <v>2</v>
      </c>
      <c r="F78" s="7">
        <v>113.5</v>
      </c>
      <c r="G78" s="11">
        <f>2*F78*GiaDinh!$C$18*GiaDinh!$C$17</f>
        <v>190.67999999999998</v>
      </c>
      <c r="H78" s="7">
        <v>12</v>
      </c>
      <c r="I78" s="11">
        <f>H78*GiaDinh!$C$16</f>
        <v>84</v>
      </c>
      <c r="J78" s="7">
        <f t="shared" si="5"/>
        <v>3</v>
      </c>
      <c r="K78" s="7">
        <v>3</v>
      </c>
      <c r="L78" s="7" t="str">
        <f t="shared" si="6"/>
        <v>ĐỦ</v>
      </c>
      <c r="M78" s="11">
        <v>45</v>
      </c>
      <c r="N78" s="7">
        <f>ROUNDUP(15/GiaDinh!$C$5-0.0005,0)+ROUNDUP(15/GiaDinh!$C$5-0.0005,0)+ROUNDUP(15/GiaDinh!$C$5-0.0005,0)</f>
        <v>9</v>
      </c>
      <c r="O78" s="7">
        <f t="shared" si="7"/>
        <v>6</v>
      </c>
      <c r="P78" s="7">
        <v>36</v>
      </c>
      <c r="Q78" s="7">
        <f t="shared" si="8"/>
        <v>72</v>
      </c>
      <c r="R78" s="7">
        <f t="shared" si="9"/>
        <v>36</v>
      </c>
      <c r="S78" s="12">
        <f>M78*GiaDinh!$C$7</f>
        <v>135.44999999999999</v>
      </c>
    </row>
    <row r="79" spans="1:19" ht="15.5" x14ac:dyDescent="0.35">
      <c r="A79" s="7" t="s">
        <v>7</v>
      </c>
      <c r="B79" s="7" t="s">
        <v>325</v>
      </c>
      <c r="C79" s="7" t="s">
        <v>174</v>
      </c>
      <c r="D79" s="7" t="s">
        <v>326</v>
      </c>
      <c r="E79" s="7">
        <v>3</v>
      </c>
      <c r="F79" s="7">
        <v>113.5</v>
      </c>
      <c r="G79" s="11">
        <f>3*F79*GiaDinh!$C$18*GiaDinh!$C$17</f>
        <v>286.02</v>
      </c>
      <c r="H79" s="7">
        <v>12</v>
      </c>
      <c r="I79" s="11">
        <f>H79*GiaDinh!$C$16</f>
        <v>84</v>
      </c>
      <c r="J79" s="7">
        <f t="shared" si="5"/>
        <v>4</v>
      </c>
      <c r="K79" s="7">
        <v>4</v>
      </c>
      <c r="L79" s="7" t="str">
        <f t="shared" si="6"/>
        <v>ĐỦ</v>
      </c>
      <c r="M79" s="11">
        <v>60</v>
      </c>
      <c r="N79" s="7">
        <f>ROUNDUP(15/GiaDinh!$C$5-0.0005,0)+ROUNDUP(15/GiaDinh!$C$5-0.0005,0)+ROUNDUP(15/GiaDinh!$C$5-0.0005,0)+ROUNDUP(15/GiaDinh!$C$5-0.0005,0)</f>
        <v>12</v>
      </c>
      <c r="O79" s="7">
        <f t="shared" si="7"/>
        <v>8</v>
      </c>
      <c r="P79" s="7">
        <v>48</v>
      </c>
      <c r="Q79" s="7">
        <f t="shared" si="8"/>
        <v>96</v>
      </c>
      <c r="R79" s="7">
        <f t="shared" si="9"/>
        <v>48</v>
      </c>
      <c r="S79" s="12">
        <f>M79*GiaDinh!$C$7</f>
        <v>180.6</v>
      </c>
    </row>
    <row r="80" spans="1:19" ht="15.5" x14ac:dyDescent="0.35">
      <c r="A80" s="7" t="s">
        <v>7</v>
      </c>
      <c r="B80" s="7" t="s">
        <v>327</v>
      </c>
      <c r="C80" s="7" t="s">
        <v>174</v>
      </c>
      <c r="D80" s="7" t="s">
        <v>328</v>
      </c>
      <c r="E80" s="7">
        <v>3</v>
      </c>
      <c r="F80" s="7">
        <v>113.5</v>
      </c>
      <c r="G80" s="11">
        <f>3*F80*GiaDinh!$C$18*GiaDinh!$C$17</f>
        <v>286.02</v>
      </c>
      <c r="H80" s="7">
        <v>11</v>
      </c>
      <c r="I80" s="11">
        <f>H80*GiaDinh!$C$16</f>
        <v>77</v>
      </c>
      <c r="J80" s="7">
        <f t="shared" si="5"/>
        <v>4</v>
      </c>
      <c r="K80" s="7">
        <v>4</v>
      </c>
      <c r="L80" s="7" t="str">
        <f t="shared" si="6"/>
        <v>ĐỦ</v>
      </c>
      <c r="M80" s="11">
        <v>55.777000000000001</v>
      </c>
      <c r="N80" s="7">
        <f>ROUNDUP(13.944/GiaDinh!$C$5-0.0005,0)+ROUNDUP(13.944/GiaDinh!$C$5-0.0005,0)+ROUNDUP(13.944/GiaDinh!$C$5-0.0005,0)+ROUNDUP(13.944/GiaDinh!$C$5-0.0005,0)</f>
        <v>12</v>
      </c>
      <c r="O80" s="7">
        <f t="shared" si="7"/>
        <v>8</v>
      </c>
      <c r="P80" s="7">
        <v>44</v>
      </c>
      <c r="Q80" s="7">
        <f t="shared" si="8"/>
        <v>88</v>
      </c>
      <c r="R80" s="7">
        <f t="shared" si="9"/>
        <v>44</v>
      </c>
      <c r="S80" s="12">
        <f>M80*GiaDinh!$C$7</f>
        <v>167.88876999999999</v>
      </c>
    </row>
    <row r="81" spans="1:19" ht="15.5" x14ac:dyDescent="0.35">
      <c r="A81" s="7" t="s">
        <v>7</v>
      </c>
      <c r="B81" s="7" t="s">
        <v>329</v>
      </c>
      <c r="C81" s="7" t="s">
        <v>174</v>
      </c>
      <c r="D81" s="7" t="s">
        <v>330</v>
      </c>
      <c r="E81" s="7">
        <v>3</v>
      </c>
      <c r="F81" s="7">
        <v>113.5</v>
      </c>
      <c r="G81" s="11">
        <f>3*F81*GiaDinh!$C$18*GiaDinh!$C$17</f>
        <v>286.02</v>
      </c>
      <c r="H81" s="7">
        <v>12</v>
      </c>
      <c r="I81" s="11">
        <f>H81*GiaDinh!$C$16</f>
        <v>84</v>
      </c>
      <c r="J81" s="7">
        <f t="shared" si="5"/>
        <v>4</v>
      </c>
      <c r="K81" s="7">
        <v>4</v>
      </c>
      <c r="L81" s="7" t="str">
        <f t="shared" si="6"/>
        <v>ĐỦ</v>
      </c>
      <c r="M81" s="11">
        <v>60</v>
      </c>
      <c r="N81" s="7">
        <f>ROUNDUP(15/GiaDinh!$C$5-0.0005,0)+ROUNDUP(15/GiaDinh!$C$5-0.0005,0)+ROUNDUP(15/GiaDinh!$C$5-0.0005,0)+ROUNDUP(15/GiaDinh!$C$5-0.0005,0)</f>
        <v>12</v>
      </c>
      <c r="O81" s="7">
        <f t="shared" si="7"/>
        <v>8</v>
      </c>
      <c r="P81" s="7">
        <v>48</v>
      </c>
      <c r="Q81" s="7">
        <f t="shared" si="8"/>
        <v>96</v>
      </c>
      <c r="R81" s="7">
        <f t="shared" si="9"/>
        <v>48</v>
      </c>
      <c r="S81" s="12">
        <f>M81*GiaDinh!$C$7</f>
        <v>180.6</v>
      </c>
    </row>
    <row r="82" spans="1:19" ht="15.5" x14ac:dyDescent="0.35">
      <c r="A82" s="7" t="s">
        <v>7</v>
      </c>
      <c r="B82" s="7" t="s">
        <v>331</v>
      </c>
      <c r="C82" s="7" t="s">
        <v>174</v>
      </c>
      <c r="D82" s="7" t="s">
        <v>332</v>
      </c>
      <c r="E82" s="7">
        <v>3</v>
      </c>
      <c r="F82" s="7">
        <v>113.5</v>
      </c>
      <c r="G82" s="11">
        <f>3*F82*GiaDinh!$C$18*GiaDinh!$C$17</f>
        <v>286.02</v>
      </c>
      <c r="H82" s="7">
        <v>12</v>
      </c>
      <c r="I82" s="11">
        <f>H82*GiaDinh!$C$16</f>
        <v>84</v>
      </c>
      <c r="J82" s="7">
        <f t="shared" si="5"/>
        <v>4</v>
      </c>
      <c r="K82" s="7">
        <v>4</v>
      </c>
      <c r="L82" s="7" t="str">
        <f t="shared" si="6"/>
        <v>ĐỦ</v>
      </c>
      <c r="M82" s="11">
        <v>60</v>
      </c>
      <c r="N82" s="7">
        <f>ROUNDUP(15/GiaDinh!$C$5-0.0005,0)+ROUNDUP(15/GiaDinh!$C$5-0.0005,0)+ROUNDUP(15/GiaDinh!$C$5-0.0005,0)+ROUNDUP(15/GiaDinh!$C$5-0.0005,0)</f>
        <v>12</v>
      </c>
      <c r="O82" s="7">
        <f t="shared" si="7"/>
        <v>8</v>
      </c>
      <c r="P82" s="7">
        <v>48</v>
      </c>
      <c r="Q82" s="7">
        <f t="shared" si="8"/>
        <v>96</v>
      </c>
      <c r="R82" s="7">
        <f t="shared" si="9"/>
        <v>48</v>
      </c>
      <c r="S82" s="12">
        <f>M82*GiaDinh!$C$7</f>
        <v>180.6</v>
      </c>
    </row>
    <row r="83" spans="1:19" ht="31" x14ac:dyDescent="0.35">
      <c r="A83" s="7" t="s">
        <v>7</v>
      </c>
      <c r="B83" s="7" t="s">
        <v>333</v>
      </c>
      <c r="C83" s="7" t="s">
        <v>174</v>
      </c>
      <c r="D83" s="7" t="s">
        <v>334</v>
      </c>
      <c r="E83" s="7">
        <v>5</v>
      </c>
      <c r="F83" s="7">
        <v>113.5</v>
      </c>
      <c r="G83" s="11">
        <f>5*F83*GiaDinh!$C$18*GiaDinh!$C$17</f>
        <v>476.7</v>
      </c>
      <c r="H83" s="7">
        <v>12</v>
      </c>
      <c r="I83" s="11">
        <f>H83*GiaDinh!$C$16</f>
        <v>84</v>
      </c>
      <c r="J83" s="7">
        <f t="shared" si="5"/>
        <v>6</v>
      </c>
      <c r="K83" s="7">
        <v>6</v>
      </c>
      <c r="L83" s="7" t="str">
        <f t="shared" si="6"/>
        <v>ĐỦ</v>
      </c>
      <c r="M83" s="11">
        <v>90</v>
      </c>
      <c r="N83" s="7">
        <f>ROUNDUP(15/GiaDinh!$C$5-0.0005,0)+ROUNDUP(15/GiaDinh!$C$5-0.0005,0)+ROUNDUP(15/GiaDinh!$C$5-0.0005,0)+ROUNDUP(15/GiaDinh!$C$5-0.0005,0)+ROUNDUP(15/GiaDinh!$C$5-0.0005,0)+ROUNDUP(15/GiaDinh!$C$5-0.0005,0)</f>
        <v>18</v>
      </c>
      <c r="O83" s="7">
        <f t="shared" si="7"/>
        <v>12</v>
      </c>
      <c r="P83" s="7">
        <v>72</v>
      </c>
      <c r="Q83" s="7">
        <f t="shared" si="8"/>
        <v>144</v>
      </c>
      <c r="R83" s="7">
        <f t="shared" si="9"/>
        <v>72</v>
      </c>
      <c r="S83" s="12">
        <f>M83*GiaDinh!$C$7</f>
        <v>270.89999999999998</v>
      </c>
    </row>
    <row r="84" spans="1:19" ht="15.5" x14ac:dyDescent="0.35">
      <c r="A84" s="7" t="s">
        <v>7</v>
      </c>
      <c r="B84" s="7" t="s">
        <v>335</v>
      </c>
      <c r="C84" s="7" t="s">
        <v>174</v>
      </c>
      <c r="D84" s="7" t="s">
        <v>336</v>
      </c>
      <c r="E84" s="7">
        <v>1</v>
      </c>
      <c r="F84" s="7">
        <v>113.5</v>
      </c>
      <c r="G84" s="11">
        <f>1*F84*GiaDinh!$C$18*GiaDinh!$C$17</f>
        <v>95.339999999999989</v>
      </c>
      <c r="H84" s="7">
        <v>12</v>
      </c>
      <c r="I84" s="11">
        <f>H84*GiaDinh!$C$16</f>
        <v>84</v>
      </c>
      <c r="J84" s="7">
        <f t="shared" si="5"/>
        <v>2</v>
      </c>
      <c r="K84" s="7">
        <v>2</v>
      </c>
      <c r="L84" s="7" t="str">
        <f t="shared" si="6"/>
        <v>ĐỦ</v>
      </c>
      <c r="M84" s="11">
        <v>30</v>
      </c>
      <c r="N84" s="7">
        <f>ROUNDUP(15/GiaDinh!$C$5-0.0005,0)+ROUNDUP(15/GiaDinh!$C$5-0.0005,0)</f>
        <v>6</v>
      </c>
      <c r="O84" s="7">
        <f t="shared" si="7"/>
        <v>4</v>
      </c>
      <c r="P84" s="7">
        <v>24</v>
      </c>
      <c r="Q84" s="7">
        <f t="shared" si="8"/>
        <v>48</v>
      </c>
      <c r="R84" s="7">
        <f t="shared" si="9"/>
        <v>24</v>
      </c>
      <c r="S84" s="12">
        <f>M84*GiaDinh!$C$7</f>
        <v>90.3</v>
      </c>
    </row>
    <row r="85" spans="1:19" ht="15.5" x14ac:dyDescent="0.35">
      <c r="A85" s="7" t="s">
        <v>7</v>
      </c>
      <c r="B85" s="7" t="s">
        <v>337</v>
      </c>
      <c r="C85" s="7" t="s">
        <v>174</v>
      </c>
      <c r="D85" s="7" t="s">
        <v>338</v>
      </c>
      <c r="E85" s="7">
        <v>2</v>
      </c>
      <c r="F85" s="7">
        <v>113.5</v>
      </c>
      <c r="G85" s="11">
        <f>2*F85*GiaDinh!$C$18*GiaDinh!$C$17</f>
        <v>190.67999999999998</v>
      </c>
      <c r="H85" s="7">
        <v>13</v>
      </c>
      <c r="I85" s="11">
        <f>H85*GiaDinh!$C$16</f>
        <v>91</v>
      </c>
      <c r="J85" s="7">
        <f t="shared" si="5"/>
        <v>3</v>
      </c>
      <c r="K85" s="7">
        <v>3</v>
      </c>
      <c r="L85" s="7" t="str">
        <f t="shared" si="6"/>
        <v>ĐỦ</v>
      </c>
      <c r="M85" s="11">
        <v>45</v>
      </c>
      <c r="N85" s="7">
        <f>ROUNDUP(15/GiaDinh!$C$5-0.0005,0)+ROUNDUP(15/GiaDinh!$C$5-0.0005,0)+ROUNDUP(15/GiaDinh!$C$5-0.0005,0)</f>
        <v>9</v>
      </c>
      <c r="O85" s="7">
        <f t="shared" si="7"/>
        <v>6</v>
      </c>
      <c r="P85" s="7">
        <v>39</v>
      </c>
      <c r="Q85" s="7">
        <f t="shared" si="8"/>
        <v>78</v>
      </c>
      <c r="R85" s="7">
        <f t="shared" si="9"/>
        <v>39</v>
      </c>
      <c r="S85" s="12">
        <f>M85*GiaDinh!$C$7</f>
        <v>135.44999999999999</v>
      </c>
    </row>
    <row r="86" spans="1:19" ht="15.5" x14ac:dyDescent="0.35">
      <c r="A86" s="7" t="s">
        <v>7</v>
      </c>
      <c r="B86" s="7" t="s">
        <v>339</v>
      </c>
      <c r="C86" s="7" t="s">
        <v>174</v>
      </c>
      <c r="D86" s="7" t="s">
        <v>340</v>
      </c>
      <c r="E86" s="7">
        <v>3</v>
      </c>
      <c r="F86" s="7">
        <v>113.5</v>
      </c>
      <c r="G86" s="11">
        <f>3*F86*GiaDinh!$C$18*GiaDinh!$C$17</f>
        <v>286.02</v>
      </c>
      <c r="H86" s="7">
        <v>12</v>
      </c>
      <c r="I86" s="11">
        <f>H86*GiaDinh!$C$16</f>
        <v>84</v>
      </c>
      <c r="J86" s="7">
        <f t="shared" si="5"/>
        <v>4</v>
      </c>
      <c r="K86" s="7">
        <v>4</v>
      </c>
      <c r="L86" s="7" t="str">
        <f t="shared" si="6"/>
        <v>ĐỦ</v>
      </c>
      <c r="M86" s="11">
        <v>60</v>
      </c>
      <c r="N86" s="7">
        <f>ROUNDUP(15/GiaDinh!$C$5-0.0005,0)+ROUNDUP(15/GiaDinh!$C$5-0.0005,0)+ROUNDUP(15/GiaDinh!$C$5-0.0005,0)+ROUNDUP(15/GiaDinh!$C$5-0.0005,0)</f>
        <v>12</v>
      </c>
      <c r="O86" s="7">
        <f t="shared" si="7"/>
        <v>8</v>
      </c>
      <c r="P86" s="7">
        <v>48</v>
      </c>
      <c r="Q86" s="7">
        <f t="shared" si="8"/>
        <v>96</v>
      </c>
      <c r="R86" s="7">
        <f t="shared" si="9"/>
        <v>48</v>
      </c>
      <c r="S86" s="12">
        <f>M86*GiaDinh!$C$7</f>
        <v>180.6</v>
      </c>
    </row>
    <row r="87" spans="1:19" ht="15.5" x14ac:dyDescent="0.35">
      <c r="A87" s="7" t="s">
        <v>7</v>
      </c>
      <c r="B87" s="7" t="s">
        <v>341</v>
      </c>
      <c r="C87" s="7" t="s">
        <v>174</v>
      </c>
      <c r="D87" s="7" t="s">
        <v>342</v>
      </c>
      <c r="E87" s="7">
        <v>1</v>
      </c>
      <c r="F87" s="7">
        <v>113.5</v>
      </c>
      <c r="G87" s="11">
        <f>1*F87*GiaDinh!$C$18*GiaDinh!$C$17</f>
        <v>95.339999999999989</v>
      </c>
      <c r="H87" s="7">
        <v>12</v>
      </c>
      <c r="I87" s="11">
        <f>H87*GiaDinh!$C$16</f>
        <v>84</v>
      </c>
      <c r="J87" s="7">
        <f t="shared" si="5"/>
        <v>2</v>
      </c>
      <c r="K87" s="7">
        <v>2</v>
      </c>
      <c r="L87" s="7" t="str">
        <f t="shared" si="6"/>
        <v>ĐỦ</v>
      </c>
      <c r="M87" s="11">
        <v>30</v>
      </c>
      <c r="N87" s="7">
        <f>ROUNDUP(15/GiaDinh!$C$5-0.0005,0)+ROUNDUP(15/GiaDinh!$C$5-0.0005,0)</f>
        <v>6</v>
      </c>
      <c r="O87" s="7">
        <f t="shared" si="7"/>
        <v>4</v>
      </c>
      <c r="P87" s="7">
        <v>24</v>
      </c>
      <c r="Q87" s="7">
        <f t="shared" si="8"/>
        <v>48</v>
      </c>
      <c r="R87" s="7">
        <f t="shared" si="9"/>
        <v>24</v>
      </c>
      <c r="S87" s="12">
        <f>M87*GiaDinh!$C$7</f>
        <v>90.3</v>
      </c>
    </row>
    <row r="88" spans="1:19" ht="15.5" x14ac:dyDescent="0.35">
      <c r="A88" s="7" t="s">
        <v>7</v>
      </c>
      <c r="B88" s="7" t="s">
        <v>343</v>
      </c>
      <c r="C88" s="7" t="s">
        <v>174</v>
      </c>
      <c r="D88" s="7" t="s">
        <v>344</v>
      </c>
      <c r="E88" s="7">
        <v>3</v>
      </c>
      <c r="F88" s="7">
        <v>113.5</v>
      </c>
      <c r="G88" s="11">
        <f>3*F88*GiaDinh!$C$18*GiaDinh!$C$17</f>
        <v>286.02</v>
      </c>
      <c r="H88" s="7">
        <v>12</v>
      </c>
      <c r="I88" s="11">
        <f>H88*GiaDinh!$C$16</f>
        <v>84</v>
      </c>
      <c r="J88" s="7">
        <f t="shared" si="5"/>
        <v>4</v>
      </c>
      <c r="K88" s="7">
        <v>4</v>
      </c>
      <c r="L88" s="7" t="str">
        <f t="shared" si="6"/>
        <v>ĐỦ</v>
      </c>
      <c r="M88" s="11">
        <v>60</v>
      </c>
      <c r="N88" s="7">
        <f>ROUNDUP(15/GiaDinh!$C$5-0.0005,0)+ROUNDUP(15/GiaDinh!$C$5-0.0005,0)+ROUNDUP(15/GiaDinh!$C$5-0.0005,0)+ROUNDUP(15/GiaDinh!$C$5-0.0005,0)</f>
        <v>12</v>
      </c>
      <c r="O88" s="7">
        <f t="shared" si="7"/>
        <v>8</v>
      </c>
      <c r="P88" s="7">
        <v>48</v>
      </c>
      <c r="Q88" s="7">
        <f t="shared" si="8"/>
        <v>96</v>
      </c>
      <c r="R88" s="7">
        <f t="shared" si="9"/>
        <v>48</v>
      </c>
      <c r="S88" s="12">
        <f>M88*GiaDinh!$C$7</f>
        <v>180.6</v>
      </c>
    </row>
    <row r="89" spans="1:19" ht="15.5" x14ac:dyDescent="0.35">
      <c r="A89" s="7" t="s">
        <v>7</v>
      </c>
      <c r="B89" s="7" t="s">
        <v>345</v>
      </c>
      <c r="C89" s="7" t="s">
        <v>174</v>
      </c>
      <c r="D89" s="7" t="s">
        <v>346</v>
      </c>
      <c r="E89" s="7">
        <v>3</v>
      </c>
      <c r="F89" s="7">
        <v>113.5</v>
      </c>
      <c r="G89" s="11">
        <f>3*F89*GiaDinh!$C$18*GiaDinh!$C$17</f>
        <v>286.02</v>
      </c>
      <c r="H89" s="7">
        <v>12</v>
      </c>
      <c r="I89" s="11">
        <f>H89*GiaDinh!$C$16</f>
        <v>84</v>
      </c>
      <c r="J89" s="7">
        <f t="shared" si="5"/>
        <v>4</v>
      </c>
      <c r="K89" s="7">
        <v>4</v>
      </c>
      <c r="L89" s="7" t="str">
        <f t="shared" si="6"/>
        <v>ĐỦ</v>
      </c>
      <c r="M89" s="11">
        <v>60</v>
      </c>
      <c r="N89" s="7">
        <f>ROUNDUP(15/GiaDinh!$C$5-0.0005,0)+ROUNDUP(15/GiaDinh!$C$5-0.0005,0)+ROUNDUP(15/GiaDinh!$C$5-0.0005,0)+ROUNDUP(15/GiaDinh!$C$5-0.0005,0)</f>
        <v>12</v>
      </c>
      <c r="O89" s="7">
        <f t="shared" si="7"/>
        <v>8</v>
      </c>
      <c r="P89" s="7">
        <v>48</v>
      </c>
      <c r="Q89" s="7">
        <f t="shared" si="8"/>
        <v>96</v>
      </c>
      <c r="R89" s="7">
        <f t="shared" si="9"/>
        <v>48</v>
      </c>
      <c r="S89" s="12">
        <f>M89*GiaDinh!$C$7</f>
        <v>180.6</v>
      </c>
    </row>
    <row r="90" spans="1:19" ht="15.5" x14ac:dyDescent="0.35">
      <c r="A90" s="7" t="s">
        <v>7</v>
      </c>
      <c r="B90" s="7" t="s">
        <v>347</v>
      </c>
      <c r="C90" s="7" t="s">
        <v>174</v>
      </c>
      <c r="D90" s="7" t="s">
        <v>348</v>
      </c>
      <c r="E90" s="7">
        <v>3</v>
      </c>
      <c r="F90" s="7">
        <v>113.5</v>
      </c>
      <c r="G90" s="11">
        <f>3*F90*GiaDinh!$C$18*GiaDinh!$C$17</f>
        <v>286.02</v>
      </c>
      <c r="H90" s="7">
        <v>12</v>
      </c>
      <c r="I90" s="11">
        <f>H90*GiaDinh!$C$16</f>
        <v>84</v>
      </c>
      <c r="J90" s="7">
        <f t="shared" si="5"/>
        <v>4</v>
      </c>
      <c r="K90" s="7">
        <v>4</v>
      </c>
      <c r="L90" s="7" t="str">
        <f t="shared" si="6"/>
        <v>ĐỦ</v>
      </c>
      <c r="M90" s="11">
        <v>60</v>
      </c>
      <c r="N90" s="7">
        <f>ROUNDUP(15/GiaDinh!$C$5-0.0005,0)+ROUNDUP(15/GiaDinh!$C$5-0.0005,0)+ROUNDUP(15/GiaDinh!$C$5-0.0005,0)+ROUNDUP(15/GiaDinh!$C$5-0.0005,0)</f>
        <v>12</v>
      </c>
      <c r="O90" s="7">
        <f t="shared" si="7"/>
        <v>8</v>
      </c>
      <c r="P90" s="7">
        <v>48</v>
      </c>
      <c r="Q90" s="7">
        <f t="shared" si="8"/>
        <v>96</v>
      </c>
      <c r="R90" s="7">
        <f t="shared" si="9"/>
        <v>48</v>
      </c>
      <c r="S90" s="12">
        <f>M90*GiaDinh!$C$7</f>
        <v>180.6</v>
      </c>
    </row>
    <row r="91" spans="1:19" ht="15.5" x14ac:dyDescent="0.35">
      <c r="A91" s="7" t="s">
        <v>7</v>
      </c>
      <c r="B91" s="7" t="s">
        <v>349</v>
      </c>
      <c r="C91" s="7" t="s">
        <v>174</v>
      </c>
      <c r="D91" s="7" t="s">
        <v>350</v>
      </c>
      <c r="E91" s="7">
        <v>3</v>
      </c>
      <c r="F91" s="7">
        <v>113.5</v>
      </c>
      <c r="G91" s="11">
        <f>3*F91*GiaDinh!$C$18*GiaDinh!$C$17</f>
        <v>286.02</v>
      </c>
      <c r="H91" s="7">
        <v>12</v>
      </c>
      <c r="I91" s="11">
        <f>H91*GiaDinh!$C$16</f>
        <v>84</v>
      </c>
      <c r="J91" s="7">
        <f t="shared" si="5"/>
        <v>4</v>
      </c>
      <c r="K91" s="7">
        <v>4</v>
      </c>
      <c r="L91" s="7" t="str">
        <f t="shared" si="6"/>
        <v>ĐỦ</v>
      </c>
      <c r="M91" s="11">
        <v>60</v>
      </c>
      <c r="N91" s="7">
        <f>ROUNDUP(15/GiaDinh!$C$5-0.0005,0)+ROUNDUP(15/GiaDinh!$C$5-0.0005,0)+ROUNDUP(15/GiaDinh!$C$5-0.0005,0)+ROUNDUP(15/GiaDinh!$C$5-0.0005,0)</f>
        <v>12</v>
      </c>
      <c r="O91" s="7">
        <f t="shared" si="7"/>
        <v>8</v>
      </c>
      <c r="P91" s="7">
        <v>48</v>
      </c>
      <c r="Q91" s="7">
        <f t="shared" si="8"/>
        <v>96</v>
      </c>
      <c r="R91" s="7">
        <f t="shared" si="9"/>
        <v>48</v>
      </c>
      <c r="S91" s="12">
        <f>M91*GiaDinh!$C$7</f>
        <v>180.6</v>
      </c>
    </row>
    <row r="92" spans="1:19" ht="31" x14ac:dyDescent="0.35">
      <c r="A92" s="7" t="s">
        <v>7</v>
      </c>
      <c r="B92" s="7" t="s">
        <v>351</v>
      </c>
      <c r="C92" s="7" t="s">
        <v>174</v>
      </c>
      <c r="D92" s="7" t="s">
        <v>352</v>
      </c>
      <c r="E92" s="7">
        <v>4</v>
      </c>
      <c r="F92" s="7">
        <v>113.5</v>
      </c>
      <c r="G92" s="11">
        <f>4*F92*GiaDinh!$C$18*GiaDinh!$C$17</f>
        <v>381.35999999999996</v>
      </c>
      <c r="H92" s="7">
        <v>12</v>
      </c>
      <c r="I92" s="11">
        <f>H92*GiaDinh!$C$16</f>
        <v>84</v>
      </c>
      <c r="J92" s="7">
        <f t="shared" si="5"/>
        <v>5</v>
      </c>
      <c r="K92" s="7">
        <v>5</v>
      </c>
      <c r="L92" s="7" t="str">
        <f t="shared" si="6"/>
        <v>ĐỦ</v>
      </c>
      <c r="M92" s="11">
        <v>75</v>
      </c>
      <c r="N92" s="7">
        <f>ROUNDUP(15/GiaDinh!$C$5-0.0005,0)+ROUNDUP(15/GiaDinh!$C$5-0.0005,0)+ROUNDUP(15/GiaDinh!$C$5-0.0005,0)+ROUNDUP(15/GiaDinh!$C$5-0.0005,0)+ROUNDUP(15/GiaDinh!$C$5-0.0005,0)</f>
        <v>15</v>
      </c>
      <c r="O92" s="7">
        <f t="shared" si="7"/>
        <v>10</v>
      </c>
      <c r="P92" s="7">
        <v>60</v>
      </c>
      <c r="Q92" s="7">
        <f t="shared" si="8"/>
        <v>120</v>
      </c>
      <c r="R92" s="7">
        <f t="shared" si="9"/>
        <v>60</v>
      </c>
      <c r="S92" s="12">
        <f>M92*GiaDinh!$C$7</f>
        <v>225.74999999999997</v>
      </c>
    </row>
    <row r="93" spans="1:19" ht="15.5" x14ac:dyDescent="0.35">
      <c r="A93" s="7" t="s">
        <v>7</v>
      </c>
      <c r="B93" s="7" t="s">
        <v>353</v>
      </c>
      <c r="C93" s="7" t="s">
        <v>174</v>
      </c>
      <c r="D93" s="7" t="s">
        <v>354</v>
      </c>
      <c r="E93" s="7">
        <v>2</v>
      </c>
      <c r="F93" s="7">
        <v>113.5</v>
      </c>
      <c r="G93" s="11">
        <f>2*F93*GiaDinh!$C$18*GiaDinh!$C$17</f>
        <v>190.67999999999998</v>
      </c>
      <c r="H93" s="7">
        <v>12</v>
      </c>
      <c r="I93" s="11">
        <f>H93*GiaDinh!$C$16</f>
        <v>84</v>
      </c>
      <c r="J93" s="7">
        <f t="shared" si="5"/>
        <v>3</v>
      </c>
      <c r="K93" s="7">
        <v>3</v>
      </c>
      <c r="L93" s="7" t="str">
        <f t="shared" si="6"/>
        <v>ĐỦ</v>
      </c>
      <c r="M93" s="11">
        <v>45</v>
      </c>
      <c r="N93" s="7">
        <f>ROUNDUP(15/GiaDinh!$C$5-0.0005,0)+ROUNDUP(15/GiaDinh!$C$5-0.0005,0)+ROUNDUP(15/GiaDinh!$C$5-0.0005,0)</f>
        <v>9</v>
      </c>
      <c r="O93" s="7">
        <f t="shared" si="7"/>
        <v>6</v>
      </c>
      <c r="P93" s="7">
        <v>36</v>
      </c>
      <c r="Q93" s="7">
        <f t="shared" si="8"/>
        <v>72</v>
      </c>
      <c r="R93" s="7">
        <f t="shared" si="9"/>
        <v>36</v>
      </c>
      <c r="S93" s="12">
        <f>M93*GiaDinh!$C$7</f>
        <v>135.44999999999999</v>
      </c>
    </row>
    <row r="94" spans="1:19" ht="15.5" x14ac:dyDescent="0.35">
      <c r="A94" s="7" t="s">
        <v>7</v>
      </c>
      <c r="B94" s="7" t="s">
        <v>355</v>
      </c>
      <c r="C94" s="7" t="s">
        <v>174</v>
      </c>
      <c r="D94" s="7" t="s">
        <v>356</v>
      </c>
      <c r="E94" s="7">
        <v>3</v>
      </c>
      <c r="F94" s="7">
        <v>113.5</v>
      </c>
      <c r="G94" s="11">
        <f>3*F94*GiaDinh!$C$18*GiaDinh!$C$17</f>
        <v>286.02</v>
      </c>
      <c r="H94" s="7">
        <v>12</v>
      </c>
      <c r="I94" s="11">
        <f>H94*GiaDinh!$C$16</f>
        <v>84</v>
      </c>
      <c r="J94" s="7">
        <f t="shared" si="5"/>
        <v>4</v>
      </c>
      <c r="K94" s="7">
        <v>4</v>
      </c>
      <c r="L94" s="7" t="str">
        <f t="shared" si="6"/>
        <v>ĐỦ</v>
      </c>
      <c r="M94" s="11">
        <v>60</v>
      </c>
      <c r="N94" s="7">
        <f>ROUNDUP(15/GiaDinh!$C$5-0.0005,0)+ROUNDUP(15/GiaDinh!$C$5-0.0005,0)+ROUNDUP(15/GiaDinh!$C$5-0.0005,0)+ROUNDUP(15/GiaDinh!$C$5-0.0005,0)</f>
        <v>12</v>
      </c>
      <c r="O94" s="7">
        <f t="shared" si="7"/>
        <v>8</v>
      </c>
      <c r="P94" s="7">
        <v>48</v>
      </c>
      <c r="Q94" s="7">
        <f t="shared" si="8"/>
        <v>96</v>
      </c>
      <c r="R94" s="7">
        <f t="shared" si="9"/>
        <v>48</v>
      </c>
      <c r="S94" s="12">
        <f>M94*GiaDinh!$C$7</f>
        <v>180.6</v>
      </c>
    </row>
    <row r="95" spans="1:19" ht="15.5" x14ac:dyDescent="0.35">
      <c r="A95" s="7" t="s">
        <v>7</v>
      </c>
      <c r="B95" s="7" t="s">
        <v>357</v>
      </c>
      <c r="C95" s="7" t="s">
        <v>174</v>
      </c>
      <c r="D95" s="7" t="s">
        <v>358</v>
      </c>
      <c r="E95" s="7">
        <v>3</v>
      </c>
      <c r="F95" s="7">
        <v>113.5</v>
      </c>
      <c r="G95" s="11">
        <f>3*F95*GiaDinh!$C$18*GiaDinh!$C$17</f>
        <v>286.02</v>
      </c>
      <c r="H95" s="7">
        <v>12</v>
      </c>
      <c r="I95" s="11">
        <f>H95*GiaDinh!$C$16</f>
        <v>84</v>
      </c>
      <c r="J95" s="7">
        <f t="shared" si="5"/>
        <v>4</v>
      </c>
      <c r="K95" s="7">
        <v>4</v>
      </c>
      <c r="L95" s="7" t="str">
        <f t="shared" si="6"/>
        <v>ĐỦ</v>
      </c>
      <c r="M95" s="11">
        <v>60</v>
      </c>
      <c r="N95" s="7">
        <f>ROUNDUP(15/GiaDinh!$C$5-0.0005,0)+ROUNDUP(15/GiaDinh!$C$5-0.0005,0)+ROUNDUP(15/GiaDinh!$C$5-0.0005,0)+ROUNDUP(15/GiaDinh!$C$5-0.0005,0)</f>
        <v>12</v>
      </c>
      <c r="O95" s="7">
        <f t="shared" si="7"/>
        <v>8</v>
      </c>
      <c r="P95" s="7">
        <v>48</v>
      </c>
      <c r="Q95" s="7">
        <f t="shared" si="8"/>
        <v>96</v>
      </c>
      <c r="R95" s="7">
        <f t="shared" si="9"/>
        <v>48</v>
      </c>
      <c r="S95" s="12">
        <f>M95*GiaDinh!$C$7</f>
        <v>180.6</v>
      </c>
    </row>
    <row r="96" spans="1:19" ht="15.5" x14ac:dyDescent="0.35">
      <c r="A96" s="7" t="s">
        <v>7</v>
      </c>
      <c r="B96" s="7" t="s">
        <v>359</v>
      </c>
      <c r="C96" s="7" t="s">
        <v>174</v>
      </c>
      <c r="D96" s="7" t="s">
        <v>360</v>
      </c>
      <c r="E96" s="7">
        <v>3</v>
      </c>
      <c r="F96" s="7">
        <v>113.5</v>
      </c>
      <c r="G96" s="11">
        <f>3*F96*GiaDinh!$C$18*GiaDinh!$C$17</f>
        <v>286.02</v>
      </c>
      <c r="H96" s="7">
        <v>12</v>
      </c>
      <c r="I96" s="11">
        <f>H96*GiaDinh!$C$16</f>
        <v>84</v>
      </c>
      <c r="J96" s="7">
        <f t="shared" si="5"/>
        <v>4</v>
      </c>
      <c r="K96" s="7">
        <v>4</v>
      </c>
      <c r="L96" s="7" t="str">
        <f t="shared" si="6"/>
        <v>ĐỦ</v>
      </c>
      <c r="M96" s="11">
        <v>60</v>
      </c>
      <c r="N96" s="7">
        <f>ROUNDUP(15/GiaDinh!$C$5-0.0005,0)+ROUNDUP(15/GiaDinh!$C$5-0.0005,0)+ROUNDUP(15/GiaDinh!$C$5-0.0005,0)+ROUNDUP(15/GiaDinh!$C$5-0.0005,0)</f>
        <v>12</v>
      </c>
      <c r="O96" s="7">
        <f t="shared" si="7"/>
        <v>8</v>
      </c>
      <c r="P96" s="7">
        <v>48</v>
      </c>
      <c r="Q96" s="7">
        <f t="shared" si="8"/>
        <v>96</v>
      </c>
      <c r="R96" s="7">
        <f t="shared" si="9"/>
        <v>48</v>
      </c>
      <c r="S96" s="12">
        <f>M96*GiaDinh!$C$7</f>
        <v>180.6</v>
      </c>
    </row>
    <row r="97" spans="1:19" ht="15.5" x14ac:dyDescent="0.35">
      <c r="A97" s="7" t="s">
        <v>7</v>
      </c>
      <c r="B97" s="7" t="s">
        <v>361</v>
      </c>
      <c r="C97" s="7" t="s">
        <v>174</v>
      </c>
      <c r="D97" s="7" t="s">
        <v>362</v>
      </c>
      <c r="E97" s="7">
        <v>3</v>
      </c>
      <c r="F97" s="7">
        <v>113.5</v>
      </c>
      <c r="G97" s="11">
        <f>3*F97*GiaDinh!$C$18*GiaDinh!$C$17</f>
        <v>286.02</v>
      </c>
      <c r="H97" s="7">
        <v>11</v>
      </c>
      <c r="I97" s="11">
        <f>H97*GiaDinh!$C$16</f>
        <v>77</v>
      </c>
      <c r="J97" s="7">
        <f t="shared" si="5"/>
        <v>4</v>
      </c>
      <c r="K97" s="7">
        <v>4</v>
      </c>
      <c r="L97" s="7" t="str">
        <f t="shared" si="6"/>
        <v>ĐỦ</v>
      </c>
      <c r="M97" s="11">
        <v>60</v>
      </c>
      <c r="N97" s="7">
        <f>ROUNDUP(15/GiaDinh!$C$5-0.0005,0)+ROUNDUP(15/GiaDinh!$C$5-0.0005,0)+ROUNDUP(15/GiaDinh!$C$5-0.0005,0)+ROUNDUP(15/GiaDinh!$C$5-0.0005,0)</f>
        <v>12</v>
      </c>
      <c r="O97" s="7">
        <f t="shared" si="7"/>
        <v>8</v>
      </c>
      <c r="P97" s="7">
        <v>44</v>
      </c>
      <c r="Q97" s="7">
        <f t="shared" si="8"/>
        <v>88</v>
      </c>
      <c r="R97" s="7">
        <f t="shared" si="9"/>
        <v>44</v>
      </c>
      <c r="S97" s="12">
        <f>M97*GiaDinh!$C$7</f>
        <v>180.6</v>
      </c>
    </row>
    <row r="98" spans="1:19" ht="15.5" x14ac:dyDescent="0.35">
      <c r="A98" s="7" t="s">
        <v>7</v>
      </c>
      <c r="B98" s="7" t="s">
        <v>363</v>
      </c>
      <c r="C98" s="7" t="s">
        <v>174</v>
      </c>
      <c r="D98" s="7" t="s">
        <v>364</v>
      </c>
      <c r="E98" s="7">
        <v>3</v>
      </c>
      <c r="F98" s="7">
        <v>113.5</v>
      </c>
      <c r="G98" s="11">
        <f>3*F98*GiaDinh!$C$18*GiaDinh!$C$17</f>
        <v>286.02</v>
      </c>
      <c r="H98" s="7">
        <v>12</v>
      </c>
      <c r="I98" s="11">
        <f>H98*GiaDinh!$C$16</f>
        <v>84</v>
      </c>
      <c r="J98" s="7">
        <f t="shared" si="5"/>
        <v>4</v>
      </c>
      <c r="K98" s="7">
        <v>4</v>
      </c>
      <c r="L98" s="7" t="str">
        <f t="shared" si="6"/>
        <v>ĐỦ</v>
      </c>
      <c r="M98" s="11">
        <v>60</v>
      </c>
      <c r="N98" s="7">
        <f>ROUNDUP(15/GiaDinh!$C$5-0.0005,0)+ROUNDUP(15/GiaDinh!$C$5-0.0005,0)+ROUNDUP(15/GiaDinh!$C$5-0.0005,0)+ROUNDUP(15/GiaDinh!$C$5-0.0005,0)</f>
        <v>12</v>
      </c>
      <c r="O98" s="7">
        <f t="shared" si="7"/>
        <v>8</v>
      </c>
      <c r="P98" s="7">
        <v>48</v>
      </c>
      <c r="Q98" s="7">
        <f t="shared" si="8"/>
        <v>96</v>
      </c>
      <c r="R98" s="7">
        <f t="shared" si="9"/>
        <v>48</v>
      </c>
      <c r="S98" s="12">
        <f>M98*GiaDinh!$C$7</f>
        <v>180.6</v>
      </c>
    </row>
    <row r="99" spans="1:19" ht="15.5" x14ac:dyDescent="0.35">
      <c r="A99" s="7" t="s">
        <v>7</v>
      </c>
      <c r="B99" s="7" t="s">
        <v>365</v>
      </c>
      <c r="C99" s="7" t="s">
        <v>174</v>
      </c>
      <c r="D99" s="7" t="s">
        <v>366</v>
      </c>
      <c r="E99" s="7">
        <v>3</v>
      </c>
      <c r="F99" s="7">
        <v>113.5</v>
      </c>
      <c r="G99" s="11">
        <f>3*F99*GiaDinh!$C$18*GiaDinh!$C$17</f>
        <v>286.02</v>
      </c>
      <c r="H99" s="7">
        <v>12</v>
      </c>
      <c r="I99" s="11">
        <f>H99*GiaDinh!$C$16</f>
        <v>84</v>
      </c>
      <c r="J99" s="7">
        <f t="shared" si="5"/>
        <v>4</v>
      </c>
      <c r="K99" s="7">
        <v>4</v>
      </c>
      <c r="L99" s="7" t="str">
        <f t="shared" si="6"/>
        <v>ĐỦ</v>
      </c>
      <c r="M99" s="11">
        <v>60</v>
      </c>
      <c r="N99" s="7">
        <f>ROUNDUP(15/GiaDinh!$C$5-0.0005,0)+ROUNDUP(15/GiaDinh!$C$5-0.0005,0)+ROUNDUP(15/GiaDinh!$C$5-0.0005,0)+ROUNDUP(15/GiaDinh!$C$5-0.0005,0)</f>
        <v>12</v>
      </c>
      <c r="O99" s="7">
        <f t="shared" si="7"/>
        <v>8</v>
      </c>
      <c r="P99" s="7">
        <v>48</v>
      </c>
      <c r="Q99" s="7">
        <f t="shared" si="8"/>
        <v>96</v>
      </c>
      <c r="R99" s="7">
        <f t="shared" si="9"/>
        <v>48</v>
      </c>
      <c r="S99" s="12">
        <f>M99*GiaDinh!$C$7</f>
        <v>180.6</v>
      </c>
    </row>
    <row r="100" spans="1:19" ht="15.5" x14ac:dyDescent="0.35">
      <c r="A100" s="7" t="s">
        <v>7</v>
      </c>
      <c r="B100" s="7" t="s">
        <v>367</v>
      </c>
      <c r="C100" s="7" t="s">
        <v>197</v>
      </c>
      <c r="D100" s="7" t="s">
        <v>368</v>
      </c>
      <c r="E100" s="7">
        <v>1</v>
      </c>
      <c r="F100" s="7">
        <v>113.5</v>
      </c>
      <c r="G100" s="11">
        <f>1*F100*GiaDinh!$C$18*GiaDinh!$C$17</f>
        <v>95.339999999999989</v>
      </c>
      <c r="H100" s="7">
        <v>13</v>
      </c>
      <c r="I100" s="11">
        <f>H100*GiaDinh!$C$16</f>
        <v>91</v>
      </c>
      <c r="J100" s="7">
        <f t="shared" si="5"/>
        <v>2</v>
      </c>
      <c r="K100" s="7">
        <v>2</v>
      </c>
      <c r="L100" s="7" t="str">
        <f t="shared" si="6"/>
        <v>ĐỦ</v>
      </c>
      <c r="M100" s="11">
        <v>30</v>
      </c>
      <c r="N100" s="7">
        <f>ROUNDUP(15/GiaDinh!$C$5-0.0005,0)+ROUNDUP(15/GiaDinh!$C$5-0.0005,0)</f>
        <v>6</v>
      </c>
      <c r="O100" s="7">
        <f t="shared" si="7"/>
        <v>4</v>
      </c>
      <c r="P100" s="7">
        <v>26</v>
      </c>
      <c r="Q100" s="7">
        <f t="shared" si="8"/>
        <v>52</v>
      </c>
      <c r="R100" s="7">
        <f t="shared" si="9"/>
        <v>26</v>
      </c>
      <c r="S100" s="12">
        <f>M100*GiaDinh!$C$7</f>
        <v>90.3</v>
      </c>
    </row>
    <row r="101" spans="1:19" ht="15.5" x14ac:dyDescent="0.35">
      <c r="A101" s="7" t="s">
        <v>7</v>
      </c>
      <c r="B101" s="7" t="s">
        <v>369</v>
      </c>
      <c r="C101" s="7" t="s">
        <v>197</v>
      </c>
      <c r="D101" s="7" t="s">
        <v>370</v>
      </c>
      <c r="E101" s="7">
        <v>1</v>
      </c>
      <c r="F101" s="7">
        <v>113.5</v>
      </c>
      <c r="G101" s="11">
        <f>1*F101*GiaDinh!$C$18*GiaDinh!$C$17</f>
        <v>95.339999999999989</v>
      </c>
      <c r="H101" s="7">
        <v>13</v>
      </c>
      <c r="I101" s="11">
        <f>H101*GiaDinh!$C$16</f>
        <v>91</v>
      </c>
      <c r="J101" s="7">
        <f t="shared" si="5"/>
        <v>2</v>
      </c>
      <c r="K101" s="7">
        <v>2</v>
      </c>
      <c r="L101" s="7" t="str">
        <f t="shared" si="6"/>
        <v>ĐỦ</v>
      </c>
      <c r="M101" s="11">
        <v>30</v>
      </c>
      <c r="N101" s="7">
        <f>ROUNDUP(15/GiaDinh!$C$5-0.0005,0)+ROUNDUP(15/GiaDinh!$C$5-0.0005,0)</f>
        <v>6</v>
      </c>
      <c r="O101" s="7">
        <f t="shared" si="7"/>
        <v>4</v>
      </c>
      <c r="P101" s="7">
        <v>26</v>
      </c>
      <c r="Q101" s="7">
        <f t="shared" si="8"/>
        <v>52</v>
      </c>
      <c r="R101" s="7">
        <f t="shared" si="9"/>
        <v>26</v>
      </c>
      <c r="S101" s="12">
        <f>M101*GiaDinh!$C$7</f>
        <v>90.3</v>
      </c>
    </row>
    <row r="102" spans="1:19" ht="15.5" x14ac:dyDescent="0.35">
      <c r="A102" s="7" t="s">
        <v>7</v>
      </c>
      <c r="B102" s="7" t="s">
        <v>371</v>
      </c>
      <c r="C102" s="7" t="s">
        <v>197</v>
      </c>
      <c r="D102" s="7" t="s">
        <v>372</v>
      </c>
      <c r="E102" s="7">
        <v>1</v>
      </c>
      <c r="F102" s="7">
        <v>113.5</v>
      </c>
      <c r="G102" s="11">
        <f>1*F102*GiaDinh!$C$18*GiaDinh!$C$17</f>
        <v>95.339999999999989</v>
      </c>
      <c r="H102" s="7">
        <v>13</v>
      </c>
      <c r="I102" s="11">
        <f>H102*GiaDinh!$C$16</f>
        <v>91</v>
      </c>
      <c r="J102" s="7">
        <f t="shared" si="5"/>
        <v>2</v>
      </c>
      <c r="K102" s="7">
        <v>2</v>
      </c>
      <c r="L102" s="7" t="str">
        <f t="shared" si="6"/>
        <v>ĐỦ</v>
      </c>
      <c r="M102" s="11">
        <v>30</v>
      </c>
      <c r="N102" s="7">
        <f>ROUNDUP(15/GiaDinh!$C$5-0.0005,0)+ROUNDUP(15/GiaDinh!$C$5-0.0005,0)</f>
        <v>6</v>
      </c>
      <c r="O102" s="7">
        <f t="shared" si="7"/>
        <v>4</v>
      </c>
      <c r="P102" s="7">
        <v>26</v>
      </c>
      <c r="Q102" s="7">
        <f t="shared" si="8"/>
        <v>52</v>
      </c>
      <c r="R102" s="7">
        <f t="shared" si="9"/>
        <v>26</v>
      </c>
      <c r="S102" s="12">
        <f>M102*GiaDinh!$C$7</f>
        <v>90.3</v>
      </c>
    </row>
    <row r="103" spans="1:19" ht="15.5" x14ac:dyDescent="0.35">
      <c r="A103" s="7" t="s">
        <v>7</v>
      </c>
      <c r="B103" s="7" t="s">
        <v>373</v>
      </c>
      <c r="C103" s="7" t="s">
        <v>197</v>
      </c>
      <c r="D103" s="7" t="s">
        <v>374</v>
      </c>
      <c r="E103" s="7">
        <v>1</v>
      </c>
      <c r="F103" s="7">
        <v>113.5</v>
      </c>
      <c r="G103" s="11">
        <f>1*F103*GiaDinh!$C$18*GiaDinh!$C$17</f>
        <v>95.339999999999989</v>
      </c>
      <c r="H103" s="7">
        <v>13</v>
      </c>
      <c r="I103" s="11">
        <f>H103*GiaDinh!$C$16</f>
        <v>91</v>
      </c>
      <c r="J103" s="7">
        <f t="shared" si="5"/>
        <v>2</v>
      </c>
      <c r="K103" s="7">
        <v>2</v>
      </c>
      <c r="L103" s="7" t="str">
        <f t="shared" si="6"/>
        <v>ĐỦ</v>
      </c>
      <c r="M103" s="11">
        <v>30</v>
      </c>
      <c r="N103" s="7">
        <f>ROUNDUP(15/GiaDinh!$C$5-0.0005,0)+ROUNDUP(15/GiaDinh!$C$5-0.0005,0)</f>
        <v>6</v>
      </c>
      <c r="O103" s="7">
        <f t="shared" si="7"/>
        <v>4</v>
      </c>
      <c r="P103" s="7">
        <v>26</v>
      </c>
      <c r="Q103" s="7">
        <f t="shared" si="8"/>
        <v>52</v>
      </c>
      <c r="R103" s="7">
        <f t="shared" si="9"/>
        <v>26</v>
      </c>
      <c r="S103" s="12">
        <f>M103*GiaDinh!$C$7</f>
        <v>90.3</v>
      </c>
    </row>
    <row r="104" spans="1:19" ht="15.5" x14ac:dyDescent="0.35">
      <c r="A104" s="7" t="s">
        <v>7</v>
      </c>
      <c r="B104" s="7" t="s">
        <v>375</v>
      </c>
      <c r="C104" s="7" t="s">
        <v>197</v>
      </c>
      <c r="D104" s="7" t="s">
        <v>376</v>
      </c>
      <c r="E104" s="7">
        <v>1</v>
      </c>
      <c r="F104" s="7">
        <v>113.5</v>
      </c>
      <c r="G104" s="11">
        <f>1*F104*GiaDinh!$C$18*GiaDinh!$C$17</f>
        <v>95.339999999999989</v>
      </c>
      <c r="H104" s="7">
        <v>13</v>
      </c>
      <c r="I104" s="11">
        <f>H104*GiaDinh!$C$16</f>
        <v>91</v>
      </c>
      <c r="J104" s="7">
        <f t="shared" si="5"/>
        <v>2</v>
      </c>
      <c r="K104" s="7">
        <v>2</v>
      </c>
      <c r="L104" s="7" t="str">
        <f t="shared" si="6"/>
        <v>ĐỦ</v>
      </c>
      <c r="M104" s="11">
        <v>30</v>
      </c>
      <c r="N104" s="7">
        <f>ROUNDUP(15/GiaDinh!$C$5-0.0005,0)+ROUNDUP(15/GiaDinh!$C$5-0.0005,0)</f>
        <v>6</v>
      </c>
      <c r="O104" s="7">
        <f t="shared" si="7"/>
        <v>4</v>
      </c>
      <c r="P104" s="7">
        <v>26</v>
      </c>
      <c r="Q104" s="7">
        <f t="shared" si="8"/>
        <v>52</v>
      </c>
      <c r="R104" s="7">
        <f t="shared" si="9"/>
        <v>26</v>
      </c>
      <c r="S104" s="12">
        <f>M104*GiaDinh!$C$7</f>
        <v>90.3</v>
      </c>
    </row>
    <row r="105" spans="1:19" ht="15.5" x14ac:dyDescent="0.35">
      <c r="A105" s="7" t="s">
        <v>7</v>
      </c>
      <c r="B105" s="7" t="s">
        <v>377</v>
      </c>
      <c r="C105" s="7" t="s">
        <v>197</v>
      </c>
      <c r="D105" s="7" t="s">
        <v>378</v>
      </c>
      <c r="E105" s="7">
        <v>1</v>
      </c>
      <c r="F105" s="7">
        <v>113.5</v>
      </c>
      <c r="G105" s="11">
        <f>1*F105*GiaDinh!$C$18*GiaDinh!$C$17</f>
        <v>95.339999999999989</v>
      </c>
      <c r="H105" s="7">
        <v>13</v>
      </c>
      <c r="I105" s="11">
        <f>H105*GiaDinh!$C$16</f>
        <v>91</v>
      </c>
      <c r="J105" s="7">
        <f t="shared" si="5"/>
        <v>2</v>
      </c>
      <c r="K105" s="7">
        <v>2</v>
      </c>
      <c r="L105" s="7" t="str">
        <f t="shared" si="6"/>
        <v>ĐỦ</v>
      </c>
      <c r="M105" s="11">
        <v>30</v>
      </c>
      <c r="N105" s="7">
        <f>ROUNDUP(15/GiaDinh!$C$5-0.0005,0)+ROUNDUP(15/GiaDinh!$C$5-0.0005,0)</f>
        <v>6</v>
      </c>
      <c r="O105" s="7">
        <f t="shared" si="7"/>
        <v>4</v>
      </c>
      <c r="P105" s="7">
        <v>26</v>
      </c>
      <c r="Q105" s="7">
        <f t="shared" si="8"/>
        <v>52</v>
      </c>
      <c r="R105" s="7">
        <f t="shared" si="9"/>
        <v>26</v>
      </c>
      <c r="S105" s="12">
        <f>M105*GiaDinh!$C$7</f>
        <v>90.3</v>
      </c>
    </row>
    <row r="106" spans="1:19" ht="15.5" x14ac:dyDescent="0.35">
      <c r="A106" s="7" t="s">
        <v>7</v>
      </c>
      <c r="B106" s="7" t="s">
        <v>379</v>
      </c>
      <c r="C106" s="7" t="s">
        <v>197</v>
      </c>
      <c r="D106" s="7" t="s">
        <v>380</v>
      </c>
      <c r="E106" s="7">
        <v>1</v>
      </c>
      <c r="F106" s="7">
        <v>113.5</v>
      </c>
      <c r="G106" s="11">
        <f>1*F106*GiaDinh!$C$18*GiaDinh!$C$17</f>
        <v>95.339999999999989</v>
      </c>
      <c r="H106" s="7">
        <v>13</v>
      </c>
      <c r="I106" s="11">
        <f>H106*GiaDinh!$C$16</f>
        <v>91</v>
      </c>
      <c r="J106" s="7">
        <f t="shared" si="5"/>
        <v>2</v>
      </c>
      <c r="K106" s="7">
        <v>2</v>
      </c>
      <c r="L106" s="7" t="str">
        <f t="shared" si="6"/>
        <v>ĐỦ</v>
      </c>
      <c r="M106" s="11">
        <v>30</v>
      </c>
      <c r="N106" s="7">
        <f>ROUNDUP(15/GiaDinh!$C$5-0.0005,0)+ROUNDUP(15/GiaDinh!$C$5-0.0005,0)</f>
        <v>6</v>
      </c>
      <c r="O106" s="7">
        <f t="shared" si="7"/>
        <v>4</v>
      </c>
      <c r="P106" s="7">
        <v>26</v>
      </c>
      <c r="Q106" s="7">
        <f t="shared" si="8"/>
        <v>52</v>
      </c>
      <c r="R106" s="7">
        <f t="shared" si="9"/>
        <v>26</v>
      </c>
      <c r="S106" s="12">
        <f>M106*GiaDinh!$C$7</f>
        <v>90.3</v>
      </c>
    </row>
    <row r="107" spans="1:19" ht="15.5" x14ac:dyDescent="0.35">
      <c r="A107" s="7" t="s">
        <v>7</v>
      </c>
      <c r="B107" s="7" t="s">
        <v>381</v>
      </c>
      <c r="C107" s="7" t="s">
        <v>197</v>
      </c>
      <c r="D107" s="7" t="s">
        <v>382</v>
      </c>
      <c r="E107" s="7">
        <v>1</v>
      </c>
      <c r="F107" s="7">
        <v>113.5</v>
      </c>
      <c r="G107" s="11">
        <f>1*F107*GiaDinh!$C$18*GiaDinh!$C$17</f>
        <v>95.339999999999989</v>
      </c>
      <c r="H107" s="7">
        <v>13</v>
      </c>
      <c r="I107" s="11">
        <f>H107*GiaDinh!$C$16</f>
        <v>91</v>
      </c>
      <c r="J107" s="7">
        <f t="shared" si="5"/>
        <v>2</v>
      </c>
      <c r="K107" s="7">
        <v>2</v>
      </c>
      <c r="L107" s="7" t="str">
        <f t="shared" si="6"/>
        <v>ĐỦ</v>
      </c>
      <c r="M107" s="11">
        <v>30</v>
      </c>
      <c r="N107" s="7">
        <f>ROUNDUP(15/GiaDinh!$C$5-0.0005,0)+ROUNDUP(15/GiaDinh!$C$5-0.0005,0)</f>
        <v>6</v>
      </c>
      <c r="O107" s="7">
        <f t="shared" si="7"/>
        <v>4</v>
      </c>
      <c r="P107" s="7">
        <v>26</v>
      </c>
      <c r="Q107" s="7">
        <f t="shared" si="8"/>
        <v>52</v>
      </c>
      <c r="R107" s="7">
        <f t="shared" si="9"/>
        <v>26</v>
      </c>
      <c r="S107" s="12">
        <f>M107*GiaDinh!$C$7</f>
        <v>90.3</v>
      </c>
    </row>
    <row r="108" spans="1:19" ht="15.5" x14ac:dyDescent="0.35">
      <c r="A108" s="7" t="s">
        <v>7</v>
      </c>
      <c r="B108" s="7" t="s">
        <v>383</v>
      </c>
      <c r="C108" s="7" t="s">
        <v>197</v>
      </c>
      <c r="D108" s="7" t="s">
        <v>384</v>
      </c>
      <c r="E108" s="7">
        <v>1</v>
      </c>
      <c r="F108" s="7">
        <v>113.5</v>
      </c>
      <c r="G108" s="11">
        <f>1*F108*GiaDinh!$C$18*GiaDinh!$C$17</f>
        <v>95.339999999999989</v>
      </c>
      <c r="H108" s="7">
        <v>5</v>
      </c>
      <c r="I108" s="11">
        <f>H108*GiaDinh!$C$16</f>
        <v>35</v>
      </c>
      <c r="J108" s="7">
        <f t="shared" si="5"/>
        <v>3</v>
      </c>
      <c r="K108" s="7">
        <v>3</v>
      </c>
      <c r="L108" s="7" t="str">
        <f t="shared" si="6"/>
        <v>ĐỦ</v>
      </c>
      <c r="M108" s="11">
        <v>19.497</v>
      </c>
      <c r="N108" s="7">
        <f>ROUNDUP(6.499/GiaDinh!$C$5-0.0005,0)+ROUNDUP(6.499/GiaDinh!$C$5-0.0005,0)+ROUNDUP(6.499/GiaDinh!$C$5-0.0005,0)</f>
        <v>6</v>
      </c>
      <c r="O108" s="7">
        <f t="shared" si="7"/>
        <v>3</v>
      </c>
      <c r="P108" s="7">
        <v>15</v>
      </c>
      <c r="Q108" s="7">
        <f t="shared" si="8"/>
        <v>30</v>
      </c>
      <c r="R108" s="7">
        <f t="shared" si="9"/>
        <v>15</v>
      </c>
      <c r="S108" s="12">
        <f>M108*GiaDinh!$C$7</f>
        <v>58.685969999999998</v>
      </c>
    </row>
    <row r="109" spans="1:19" ht="15.5" x14ac:dyDescent="0.35">
      <c r="A109" s="7" t="s">
        <v>7</v>
      </c>
      <c r="B109" s="7" t="s">
        <v>385</v>
      </c>
      <c r="C109" s="7" t="s">
        <v>197</v>
      </c>
      <c r="D109" s="7" t="s">
        <v>386</v>
      </c>
      <c r="E109" s="7">
        <v>1</v>
      </c>
      <c r="F109" s="7">
        <v>113.5</v>
      </c>
      <c r="G109" s="11">
        <f>1*F109*GiaDinh!$C$18*GiaDinh!$C$17</f>
        <v>95.339999999999989</v>
      </c>
      <c r="H109" s="7">
        <v>5</v>
      </c>
      <c r="I109" s="11">
        <f>H109*GiaDinh!$C$16</f>
        <v>35</v>
      </c>
      <c r="J109" s="7">
        <f t="shared" si="5"/>
        <v>3</v>
      </c>
      <c r="K109" s="7">
        <v>3</v>
      </c>
      <c r="L109" s="7" t="str">
        <f t="shared" si="6"/>
        <v>ĐỦ</v>
      </c>
      <c r="M109" s="11">
        <v>36.499000000000002</v>
      </c>
      <c r="N109" s="7">
        <f>ROUNDUP(6.499/GiaDinh!$C$5-0.0005,0)+ROUNDUP(15/GiaDinh!$C$5-0.0005,0)+ROUNDUP(15/GiaDinh!$C$5-0.0005,0)</f>
        <v>8</v>
      </c>
      <c r="O109" s="7">
        <f t="shared" si="7"/>
        <v>5</v>
      </c>
      <c r="P109" s="7">
        <v>29</v>
      </c>
      <c r="Q109" s="7">
        <f t="shared" si="8"/>
        <v>58</v>
      </c>
      <c r="R109" s="7">
        <f t="shared" si="9"/>
        <v>29</v>
      </c>
      <c r="S109" s="12">
        <f>M109*GiaDinh!$C$7</f>
        <v>109.86199000000001</v>
      </c>
    </row>
    <row r="110" spans="1:19" ht="15.5" x14ac:dyDescent="0.35">
      <c r="A110" s="7" t="s">
        <v>7</v>
      </c>
      <c r="B110" s="7" t="s">
        <v>387</v>
      </c>
      <c r="C110" s="7" t="s">
        <v>197</v>
      </c>
      <c r="D110" s="7" t="s">
        <v>388</v>
      </c>
      <c r="E110" s="7">
        <v>1</v>
      </c>
      <c r="F110" s="7">
        <v>113.5</v>
      </c>
      <c r="G110" s="11">
        <f>1*F110*GiaDinh!$C$18*GiaDinh!$C$17</f>
        <v>95.339999999999989</v>
      </c>
      <c r="H110" s="7">
        <v>12</v>
      </c>
      <c r="I110" s="11">
        <f>H110*GiaDinh!$C$16</f>
        <v>84</v>
      </c>
      <c r="J110" s="7">
        <f t="shared" si="5"/>
        <v>2</v>
      </c>
      <c r="K110" s="7">
        <v>2</v>
      </c>
      <c r="L110" s="7" t="str">
        <f t="shared" si="6"/>
        <v>ĐỦ</v>
      </c>
      <c r="M110" s="11">
        <v>30</v>
      </c>
      <c r="N110" s="7">
        <f>ROUNDUP(15/GiaDinh!$C$5-0.0005,0)+ROUNDUP(15/GiaDinh!$C$5-0.0005,0)</f>
        <v>6</v>
      </c>
      <c r="O110" s="7">
        <f t="shared" si="7"/>
        <v>4</v>
      </c>
      <c r="P110" s="7">
        <v>24</v>
      </c>
      <c r="Q110" s="7">
        <f t="shared" si="8"/>
        <v>48</v>
      </c>
      <c r="R110" s="7">
        <f t="shared" si="9"/>
        <v>24</v>
      </c>
      <c r="S110" s="12">
        <f>M110*GiaDinh!$C$7</f>
        <v>90.3</v>
      </c>
    </row>
    <row r="111" spans="1:19" ht="15.5" x14ac:dyDescent="0.35">
      <c r="A111" s="7" t="s">
        <v>7</v>
      </c>
      <c r="B111" s="7" t="s">
        <v>389</v>
      </c>
      <c r="C111" s="7" t="s">
        <v>197</v>
      </c>
      <c r="D111" s="7" t="s">
        <v>390</v>
      </c>
      <c r="E111" s="7">
        <v>1</v>
      </c>
      <c r="F111" s="7">
        <v>113.5</v>
      </c>
      <c r="G111" s="11">
        <f>1*F111*GiaDinh!$C$18*GiaDinh!$C$17</f>
        <v>95.339999999999989</v>
      </c>
      <c r="H111" s="7">
        <v>12</v>
      </c>
      <c r="I111" s="11">
        <f>H111*GiaDinh!$C$16</f>
        <v>84</v>
      </c>
      <c r="J111" s="7">
        <f t="shared" si="5"/>
        <v>2</v>
      </c>
      <c r="K111" s="7">
        <v>2</v>
      </c>
      <c r="L111" s="7" t="str">
        <f t="shared" si="6"/>
        <v>ĐỦ</v>
      </c>
      <c r="M111" s="11">
        <v>30</v>
      </c>
      <c r="N111" s="7">
        <f>ROUNDUP(15/GiaDinh!$C$5-0.0005,0)+ROUNDUP(15/GiaDinh!$C$5-0.0005,0)</f>
        <v>6</v>
      </c>
      <c r="O111" s="7">
        <f t="shared" si="7"/>
        <v>4</v>
      </c>
      <c r="P111" s="7">
        <v>24</v>
      </c>
      <c r="Q111" s="7">
        <f t="shared" si="8"/>
        <v>48</v>
      </c>
      <c r="R111" s="7">
        <f t="shared" si="9"/>
        <v>24</v>
      </c>
      <c r="S111" s="12">
        <f>M111*GiaDinh!$C$7</f>
        <v>90.3</v>
      </c>
    </row>
    <row r="112" spans="1:19" ht="15.5" x14ac:dyDescent="0.35">
      <c r="A112" s="7" t="s">
        <v>7</v>
      </c>
      <c r="B112" s="7" t="s">
        <v>391</v>
      </c>
      <c r="C112" s="7" t="s">
        <v>197</v>
      </c>
      <c r="D112" s="7" t="s">
        <v>392</v>
      </c>
      <c r="E112" s="7">
        <v>1</v>
      </c>
      <c r="F112" s="7">
        <v>113.5</v>
      </c>
      <c r="G112" s="11">
        <f>1*F112*GiaDinh!$C$18*GiaDinh!$C$17</f>
        <v>95.339999999999989</v>
      </c>
      <c r="H112" s="7">
        <v>12</v>
      </c>
      <c r="I112" s="11">
        <f>H112*GiaDinh!$C$16</f>
        <v>84</v>
      </c>
      <c r="J112" s="7">
        <f t="shared" si="5"/>
        <v>2</v>
      </c>
      <c r="K112" s="7">
        <v>2</v>
      </c>
      <c r="L112" s="7" t="str">
        <f t="shared" si="6"/>
        <v>ĐỦ</v>
      </c>
      <c r="M112" s="11">
        <v>30</v>
      </c>
      <c r="N112" s="7">
        <f>ROUNDUP(15/GiaDinh!$C$5-0.0005,0)+ROUNDUP(15/GiaDinh!$C$5-0.0005,0)</f>
        <v>6</v>
      </c>
      <c r="O112" s="7">
        <f t="shared" si="7"/>
        <v>4</v>
      </c>
      <c r="P112" s="7">
        <v>24</v>
      </c>
      <c r="Q112" s="7">
        <f t="shared" si="8"/>
        <v>48</v>
      </c>
      <c r="R112" s="7">
        <f t="shared" si="9"/>
        <v>24</v>
      </c>
      <c r="S112" s="12">
        <f>M112*GiaDinh!$C$7</f>
        <v>90.3</v>
      </c>
    </row>
    <row r="113" spans="1:19" ht="15.5" x14ac:dyDescent="0.35">
      <c r="A113" s="7" t="s">
        <v>7</v>
      </c>
      <c r="B113" s="7" t="s">
        <v>393</v>
      </c>
      <c r="C113" s="7" t="s">
        <v>197</v>
      </c>
      <c r="D113" s="7" t="s">
        <v>394</v>
      </c>
      <c r="E113" s="7">
        <v>1</v>
      </c>
      <c r="F113" s="7">
        <v>113.5</v>
      </c>
      <c r="G113" s="11">
        <f>1*F113*GiaDinh!$C$18*GiaDinh!$C$17</f>
        <v>95.339999999999989</v>
      </c>
      <c r="H113" s="7">
        <v>12</v>
      </c>
      <c r="I113" s="11">
        <f>H113*GiaDinh!$C$16</f>
        <v>84</v>
      </c>
      <c r="J113" s="7">
        <f t="shared" si="5"/>
        <v>2</v>
      </c>
      <c r="K113" s="7">
        <v>2</v>
      </c>
      <c r="L113" s="7" t="str">
        <f t="shared" si="6"/>
        <v>ĐỦ</v>
      </c>
      <c r="M113" s="11">
        <v>30</v>
      </c>
      <c r="N113" s="7">
        <f>ROUNDUP(15/GiaDinh!$C$5-0.0005,0)+ROUNDUP(15/GiaDinh!$C$5-0.0005,0)</f>
        <v>6</v>
      </c>
      <c r="O113" s="7">
        <f t="shared" si="7"/>
        <v>4</v>
      </c>
      <c r="P113" s="7">
        <v>24</v>
      </c>
      <c r="Q113" s="7">
        <f t="shared" si="8"/>
        <v>48</v>
      </c>
      <c r="R113" s="7">
        <f t="shared" si="9"/>
        <v>24</v>
      </c>
      <c r="S113" s="12">
        <f>M113*GiaDinh!$C$7</f>
        <v>90.3</v>
      </c>
    </row>
    <row r="114" spans="1:19" ht="15.5" x14ac:dyDescent="0.35">
      <c r="A114" s="7" t="s">
        <v>7</v>
      </c>
      <c r="B114" s="7" t="s">
        <v>395</v>
      </c>
      <c r="C114" s="7" t="s">
        <v>197</v>
      </c>
      <c r="D114" s="7" t="s">
        <v>396</v>
      </c>
      <c r="E114" s="7">
        <v>1</v>
      </c>
      <c r="F114" s="7">
        <v>113.5</v>
      </c>
      <c r="G114" s="11">
        <f>1*F114*GiaDinh!$C$18*GiaDinh!$C$17</f>
        <v>95.339999999999989</v>
      </c>
      <c r="H114" s="7">
        <v>12</v>
      </c>
      <c r="I114" s="11">
        <f>H114*GiaDinh!$C$16</f>
        <v>84</v>
      </c>
      <c r="J114" s="7">
        <f t="shared" si="5"/>
        <v>2</v>
      </c>
      <c r="K114" s="7">
        <v>2</v>
      </c>
      <c r="L114" s="7" t="str">
        <f t="shared" si="6"/>
        <v>ĐỦ</v>
      </c>
      <c r="M114" s="11">
        <v>30</v>
      </c>
      <c r="N114" s="7">
        <f>ROUNDUP(15/GiaDinh!$C$5-0.0005,0)+ROUNDUP(15/GiaDinh!$C$5-0.0005,0)</f>
        <v>6</v>
      </c>
      <c r="O114" s="7">
        <f t="shared" si="7"/>
        <v>4</v>
      </c>
      <c r="P114" s="7">
        <v>24</v>
      </c>
      <c r="Q114" s="7">
        <f t="shared" si="8"/>
        <v>48</v>
      </c>
      <c r="R114" s="7">
        <f t="shared" si="9"/>
        <v>24</v>
      </c>
      <c r="S114" s="12">
        <f>M114*GiaDinh!$C$7</f>
        <v>90.3</v>
      </c>
    </row>
    <row r="115" spans="1:19" ht="15.5" x14ac:dyDescent="0.35">
      <c r="A115" s="7" t="s">
        <v>7</v>
      </c>
      <c r="B115" s="7" t="s">
        <v>397</v>
      </c>
      <c r="C115" s="7" t="s">
        <v>197</v>
      </c>
      <c r="D115" s="7" t="s">
        <v>398</v>
      </c>
      <c r="E115" s="7">
        <v>1</v>
      </c>
      <c r="F115" s="7">
        <v>113.5</v>
      </c>
      <c r="G115" s="11">
        <f>1*F115*GiaDinh!$C$18*GiaDinh!$C$17</f>
        <v>95.339999999999989</v>
      </c>
      <c r="H115" s="7">
        <v>12</v>
      </c>
      <c r="I115" s="11">
        <f>H115*GiaDinh!$C$16</f>
        <v>84</v>
      </c>
      <c r="J115" s="7">
        <f t="shared" si="5"/>
        <v>2</v>
      </c>
      <c r="K115" s="7">
        <v>2</v>
      </c>
      <c r="L115" s="7" t="str">
        <f t="shared" si="6"/>
        <v>ĐỦ</v>
      </c>
      <c r="M115" s="11">
        <v>30</v>
      </c>
      <c r="N115" s="7">
        <f>ROUNDUP(15/GiaDinh!$C$5-0.0005,0)+ROUNDUP(15/GiaDinh!$C$5-0.0005,0)</f>
        <v>6</v>
      </c>
      <c r="O115" s="7">
        <f t="shared" si="7"/>
        <v>4</v>
      </c>
      <c r="P115" s="7">
        <v>24</v>
      </c>
      <c r="Q115" s="7">
        <f t="shared" si="8"/>
        <v>48</v>
      </c>
      <c r="R115" s="7">
        <f t="shared" si="9"/>
        <v>24</v>
      </c>
      <c r="S115" s="12">
        <f>M115*GiaDinh!$C$7</f>
        <v>90.3</v>
      </c>
    </row>
    <row r="116" spans="1:19" ht="15.5" x14ac:dyDescent="0.35">
      <c r="A116" s="7" t="s">
        <v>7</v>
      </c>
      <c r="B116" s="7" t="s">
        <v>399</v>
      </c>
      <c r="C116" s="7" t="s">
        <v>197</v>
      </c>
      <c r="D116" s="7" t="s">
        <v>400</v>
      </c>
      <c r="E116" s="7">
        <v>1</v>
      </c>
      <c r="F116" s="7">
        <v>113.5</v>
      </c>
      <c r="G116" s="11">
        <f>1*F116*GiaDinh!$C$18*GiaDinh!$C$17</f>
        <v>95.339999999999989</v>
      </c>
      <c r="H116" s="7">
        <v>12</v>
      </c>
      <c r="I116" s="11">
        <f>H116*GiaDinh!$C$16</f>
        <v>84</v>
      </c>
      <c r="J116" s="7">
        <f t="shared" si="5"/>
        <v>2</v>
      </c>
      <c r="K116" s="7">
        <v>2</v>
      </c>
      <c r="L116" s="7" t="str">
        <f t="shared" si="6"/>
        <v>ĐỦ</v>
      </c>
      <c r="M116" s="11">
        <v>30</v>
      </c>
      <c r="N116" s="7">
        <f>ROUNDUP(15/GiaDinh!$C$5-0.0005,0)+ROUNDUP(15/GiaDinh!$C$5-0.0005,0)</f>
        <v>6</v>
      </c>
      <c r="O116" s="7">
        <f t="shared" si="7"/>
        <v>4</v>
      </c>
      <c r="P116" s="7">
        <v>24</v>
      </c>
      <c r="Q116" s="7">
        <f t="shared" si="8"/>
        <v>48</v>
      </c>
      <c r="R116" s="7">
        <f t="shared" si="9"/>
        <v>24</v>
      </c>
      <c r="S116" s="12">
        <f>M116*GiaDinh!$C$7</f>
        <v>90.3</v>
      </c>
    </row>
    <row r="117" spans="1:19" ht="15.5" x14ac:dyDescent="0.35">
      <c r="A117" s="7" t="s">
        <v>7</v>
      </c>
      <c r="B117" s="7" t="s">
        <v>401</v>
      </c>
      <c r="C117" s="7" t="s">
        <v>197</v>
      </c>
      <c r="D117" s="7" t="s">
        <v>402</v>
      </c>
      <c r="E117" s="7">
        <v>1</v>
      </c>
      <c r="F117" s="7">
        <v>113.5</v>
      </c>
      <c r="G117" s="11">
        <f>1*F117*GiaDinh!$C$18*GiaDinh!$C$17</f>
        <v>95.339999999999989</v>
      </c>
      <c r="H117" s="7">
        <v>12</v>
      </c>
      <c r="I117" s="11">
        <f>H117*GiaDinh!$C$16</f>
        <v>84</v>
      </c>
      <c r="J117" s="7">
        <f t="shared" si="5"/>
        <v>2</v>
      </c>
      <c r="K117" s="7">
        <v>2</v>
      </c>
      <c r="L117" s="7" t="str">
        <f t="shared" si="6"/>
        <v>ĐỦ</v>
      </c>
      <c r="M117" s="11">
        <v>30</v>
      </c>
      <c r="N117" s="7">
        <f>ROUNDUP(15/GiaDinh!$C$5-0.0005,0)+ROUNDUP(15/GiaDinh!$C$5-0.0005,0)</f>
        <v>6</v>
      </c>
      <c r="O117" s="7">
        <f t="shared" si="7"/>
        <v>4</v>
      </c>
      <c r="P117" s="7">
        <v>24</v>
      </c>
      <c r="Q117" s="7">
        <f t="shared" si="8"/>
        <v>48</v>
      </c>
      <c r="R117" s="7">
        <f t="shared" si="9"/>
        <v>24</v>
      </c>
      <c r="S117" s="12">
        <f>M117*GiaDinh!$C$7</f>
        <v>90.3</v>
      </c>
    </row>
    <row r="118" spans="1:19" ht="15.5" x14ac:dyDescent="0.35">
      <c r="A118" s="7" t="s">
        <v>7</v>
      </c>
      <c r="B118" s="7" t="s">
        <v>403</v>
      </c>
      <c r="C118" s="7" t="s">
        <v>197</v>
      </c>
      <c r="D118" s="7" t="s">
        <v>404</v>
      </c>
      <c r="E118" s="7">
        <v>1</v>
      </c>
      <c r="F118" s="7">
        <v>113.5</v>
      </c>
      <c r="G118" s="11">
        <f>1*F118*GiaDinh!$C$18*GiaDinh!$C$17</f>
        <v>95.339999999999989</v>
      </c>
      <c r="H118" s="7">
        <v>6</v>
      </c>
      <c r="I118" s="11">
        <f>H118*GiaDinh!$C$16</f>
        <v>42</v>
      </c>
      <c r="J118" s="7">
        <f t="shared" si="5"/>
        <v>3</v>
      </c>
      <c r="K118" s="7">
        <v>3</v>
      </c>
      <c r="L118" s="7" t="str">
        <f t="shared" si="6"/>
        <v>ĐỦ</v>
      </c>
      <c r="M118" s="11">
        <v>20.550999999999998</v>
      </c>
      <c r="N118" s="7">
        <f>ROUNDUP(6.85/GiaDinh!$C$5-0.0005,0)+ROUNDUP(6.85/GiaDinh!$C$5-0.0005,0)+ROUNDUP(6.85/GiaDinh!$C$5-0.0005,0)</f>
        <v>6</v>
      </c>
      <c r="O118" s="7">
        <f t="shared" si="7"/>
        <v>3</v>
      </c>
      <c r="P118" s="7">
        <v>18</v>
      </c>
      <c r="Q118" s="7">
        <f t="shared" si="8"/>
        <v>36</v>
      </c>
      <c r="R118" s="7">
        <f t="shared" si="9"/>
        <v>18</v>
      </c>
      <c r="S118" s="12">
        <f>M118*GiaDinh!$C$7</f>
        <v>61.858509999999988</v>
      </c>
    </row>
    <row r="119" spans="1:19" ht="15.5" x14ac:dyDescent="0.35">
      <c r="A119" s="7" t="s">
        <v>7</v>
      </c>
      <c r="B119" s="7" t="s">
        <v>405</v>
      </c>
      <c r="C119" s="7" t="s">
        <v>197</v>
      </c>
      <c r="D119" s="7" t="s">
        <v>406</v>
      </c>
      <c r="E119" s="7">
        <v>1</v>
      </c>
      <c r="F119" s="7">
        <v>113.5</v>
      </c>
      <c r="G119" s="11">
        <f>1*F119*GiaDinh!$C$18*GiaDinh!$C$17</f>
        <v>95.339999999999989</v>
      </c>
      <c r="H119" s="7">
        <v>6</v>
      </c>
      <c r="I119" s="11">
        <f>H119*GiaDinh!$C$16</f>
        <v>42</v>
      </c>
      <c r="J119" s="7">
        <f t="shared" si="5"/>
        <v>3</v>
      </c>
      <c r="K119" s="7">
        <v>3</v>
      </c>
      <c r="L119" s="7" t="str">
        <f t="shared" si="6"/>
        <v>ĐỦ</v>
      </c>
      <c r="M119" s="11">
        <v>20.550999999999998</v>
      </c>
      <c r="N119" s="7">
        <f>ROUNDUP(6.85/GiaDinh!$C$5-0.0005,0)+ROUNDUP(6.85/GiaDinh!$C$5-0.0005,0)+ROUNDUP(6.85/GiaDinh!$C$5-0.0005,0)</f>
        <v>6</v>
      </c>
      <c r="O119" s="7">
        <f t="shared" si="7"/>
        <v>3</v>
      </c>
      <c r="P119" s="7">
        <v>18</v>
      </c>
      <c r="Q119" s="7">
        <f t="shared" si="8"/>
        <v>36</v>
      </c>
      <c r="R119" s="7">
        <f t="shared" si="9"/>
        <v>18</v>
      </c>
      <c r="S119" s="12">
        <f>M119*GiaDinh!$C$7</f>
        <v>61.858509999999988</v>
      </c>
    </row>
    <row r="120" spans="1:19" ht="15.5" x14ac:dyDescent="0.35">
      <c r="A120" s="7" t="s">
        <v>7</v>
      </c>
      <c r="B120" s="7" t="s">
        <v>407</v>
      </c>
      <c r="C120" s="7" t="s">
        <v>197</v>
      </c>
      <c r="D120" s="7" t="s">
        <v>408</v>
      </c>
      <c r="E120" s="7">
        <v>1</v>
      </c>
      <c r="F120" s="7">
        <v>113.5</v>
      </c>
      <c r="G120" s="11">
        <f>1*F120*GiaDinh!$C$18*GiaDinh!$C$17</f>
        <v>95.339999999999989</v>
      </c>
      <c r="H120" s="7">
        <v>13</v>
      </c>
      <c r="I120" s="11">
        <f>H120*GiaDinh!$C$16</f>
        <v>91</v>
      </c>
      <c r="J120" s="7">
        <f t="shared" si="5"/>
        <v>2</v>
      </c>
      <c r="K120" s="7">
        <v>2</v>
      </c>
      <c r="L120" s="7" t="str">
        <f t="shared" si="6"/>
        <v>ĐỦ</v>
      </c>
      <c r="M120" s="11">
        <v>30</v>
      </c>
      <c r="N120" s="7">
        <f>ROUNDUP(15/GiaDinh!$C$5-0.0005,0)+ROUNDUP(15/GiaDinh!$C$5-0.0005,0)</f>
        <v>6</v>
      </c>
      <c r="O120" s="7">
        <f t="shared" si="7"/>
        <v>4</v>
      </c>
      <c r="P120" s="7">
        <v>26</v>
      </c>
      <c r="Q120" s="7">
        <f t="shared" si="8"/>
        <v>52</v>
      </c>
      <c r="R120" s="7">
        <f t="shared" si="9"/>
        <v>26</v>
      </c>
      <c r="S120" s="12">
        <f>M120*GiaDinh!$C$7</f>
        <v>90.3</v>
      </c>
    </row>
    <row r="121" spans="1:19" ht="15.5" x14ac:dyDescent="0.35">
      <c r="A121" s="7" t="s">
        <v>7</v>
      </c>
      <c r="B121" s="7" t="s">
        <v>409</v>
      </c>
      <c r="C121" s="7" t="s">
        <v>197</v>
      </c>
      <c r="D121" s="7" t="s">
        <v>410</v>
      </c>
      <c r="E121" s="7">
        <v>1</v>
      </c>
      <c r="F121" s="7">
        <v>113.5</v>
      </c>
      <c r="G121" s="11">
        <f>1*F121*GiaDinh!$C$18*GiaDinh!$C$17</f>
        <v>95.339999999999989</v>
      </c>
      <c r="H121" s="7">
        <v>13</v>
      </c>
      <c r="I121" s="11">
        <f>H121*GiaDinh!$C$16</f>
        <v>91</v>
      </c>
      <c r="J121" s="7">
        <f t="shared" si="5"/>
        <v>2</v>
      </c>
      <c r="K121" s="7">
        <v>2</v>
      </c>
      <c r="L121" s="7" t="str">
        <f t="shared" si="6"/>
        <v>ĐỦ</v>
      </c>
      <c r="M121" s="11">
        <v>30</v>
      </c>
      <c r="N121" s="7">
        <f>ROUNDUP(15/GiaDinh!$C$5-0.0005,0)+ROUNDUP(15/GiaDinh!$C$5-0.0005,0)</f>
        <v>6</v>
      </c>
      <c r="O121" s="7">
        <f t="shared" si="7"/>
        <v>4</v>
      </c>
      <c r="P121" s="7">
        <v>26</v>
      </c>
      <c r="Q121" s="7">
        <f t="shared" si="8"/>
        <v>52</v>
      </c>
      <c r="R121" s="7">
        <f t="shared" si="9"/>
        <v>26</v>
      </c>
      <c r="S121" s="12">
        <f>M121*GiaDinh!$C$7</f>
        <v>90.3</v>
      </c>
    </row>
    <row r="122" spans="1:19" ht="15.5" x14ac:dyDescent="0.35">
      <c r="A122" s="7" t="s">
        <v>7</v>
      </c>
      <c r="B122" s="7" t="s">
        <v>411</v>
      </c>
      <c r="C122" s="7" t="s">
        <v>197</v>
      </c>
      <c r="D122" s="7" t="s">
        <v>412</v>
      </c>
      <c r="E122" s="7">
        <v>1</v>
      </c>
      <c r="F122" s="7">
        <v>113.5</v>
      </c>
      <c r="G122" s="11">
        <f>1*F122*GiaDinh!$C$18*GiaDinh!$C$17</f>
        <v>95.339999999999989</v>
      </c>
      <c r="H122" s="7">
        <v>8</v>
      </c>
      <c r="I122" s="11">
        <f>H122*GiaDinh!$C$16</f>
        <v>56</v>
      </c>
      <c r="J122" s="7">
        <f t="shared" si="5"/>
        <v>2</v>
      </c>
      <c r="K122" s="7">
        <v>2</v>
      </c>
      <c r="L122" s="7" t="str">
        <f t="shared" si="6"/>
        <v>ĐỦ</v>
      </c>
      <c r="M122" s="11">
        <v>18.082000000000001</v>
      </c>
      <c r="N122" s="7">
        <f>ROUNDUP(9.041/GiaDinh!$C$5-0.0005,0)+ROUNDUP(9.041/GiaDinh!$C$5-0.0005,0)</f>
        <v>4</v>
      </c>
      <c r="O122" s="7">
        <f t="shared" si="7"/>
        <v>2</v>
      </c>
      <c r="P122" s="7">
        <v>16</v>
      </c>
      <c r="Q122" s="7">
        <f t="shared" si="8"/>
        <v>32</v>
      </c>
      <c r="R122" s="7">
        <f t="shared" si="9"/>
        <v>16</v>
      </c>
      <c r="S122" s="12">
        <f>M122*GiaDinh!$C$7</f>
        <v>54.426819999999999</v>
      </c>
    </row>
    <row r="123" spans="1:19" ht="15.5" x14ac:dyDescent="0.35">
      <c r="A123" s="7" t="s">
        <v>7</v>
      </c>
      <c r="B123" s="7" t="s">
        <v>413</v>
      </c>
      <c r="C123" s="7" t="s">
        <v>197</v>
      </c>
      <c r="D123" s="7" t="s">
        <v>414</v>
      </c>
      <c r="E123" s="7">
        <v>1</v>
      </c>
      <c r="F123" s="7">
        <v>113.5</v>
      </c>
      <c r="G123" s="11">
        <f>1*F123*GiaDinh!$C$18*GiaDinh!$C$17</f>
        <v>95.339999999999989</v>
      </c>
      <c r="H123" s="7">
        <v>8</v>
      </c>
      <c r="I123" s="11">
        <f>H123*GiaDinh!$C$16</f>
        <v>56</v>
      </c>
      <c r="J123" s="7">
        <f t="shared" si="5"/>
        <v>2</v>
      </c>
      <c r="K123" s="7">
        <v>2</v>
      </c>
      <c r="L123" s="7" t="str">
        <f t="shared" si="6"/>
        <v>ĐỦ</v>
      </c>
      <c r="M123" s="11">
        <v>24.041</v>
      </c>
      <c r="N123" s="7">
        <f>ROUNDUP(15/GiaDinh!$C$5-0.0005,0)+ROUNDUP(9.041/GiaDinh!$C$5-0.0005,0)</f>
        <v>5</v>
      </c>
      <c r="O123" s="7">
        <f t="shared" si="7"/>
        <v>3</v>
      </c>
      <c r="P123" s="7">
        <v>20</v>
      </c>
      <c r="Q123" s="7">
        <f t="shared" si="8"/>
        <v>40</v>
      </c>
      <c r="R123" s="7">
        <f t="shared" si="9"/>
        <v>20</v>
      </c>
      <c r="S123" s="12">
        <f>M123*GiaDinh!$C$7</f>
        <v>72.363410000000002</v>
      </c>
    </row>
    <row r="124" spans="1:19" ht="15.5" x14ac:dyDescent="0.35">
      <c r="A124" s="7" t="s">
        <v>8</v>
      </c>
      <c r="B124" s="7" t="s">
        <v>415</v>
      </c>
      <c r="C124" s="7" t="s">
        <v>174</v>
      </c>
      <c r="D124" s="7" t="s">
        <v>416</v>
      </c>
      <c r="E124" s="7">
        <v>2</v>
      </c>
      <c r="F124" s="7">
        <v>76.5</v>
      </c>
      <c r="G124" s="11">
        <f>2*F124*GiaDinh!$C$18*GiaDinh!$C$17</f>
        <v>128.51999999999998</v>
      </c>
      <c r="H124" s="7">
        <v>12</v>
      </c>
      <c r="I124" s="11">
        <f>H124*GiaDinh!$C$16</f>
        <v>84</v>
      </c>
      <c r="J124" s="7">
        <f t="shared" si="5"/>
        <v>2</v>
      </c>
      <c r="K124" s="7">
        <v>2</v>
      </c>
      <c r="L124" s="7" t="str">
        <f t="shared" si="6"/>
        <v>ĐỦ</v>
      </c>
      <c r="M124" s="11">
        <v>30</v>
      </c>
      <c r="N124" s="7">
        <f>ROUNDUP(15/GiaDinh!$C$5-0.0005,0)+ROUNDUP(15/GiaDinh!$C$5-0.0005,0)</f>
        <v>6</v>
      </c>
      <c r="O124" s="7">
        <f t="shared" si="7"/>
        <v>4</v>
      </c>
      <c r="P124" s="7">
        <v>24</v>
      </c>
      <c r="Q124" s="7">
        <f t="shared" si="8"/>
        <v>48</v>
      </c>
      <c r="R124" s="7">
        <f t="shared" si="9"/>
        <v>24</v>
      </c>
      <c r="S124" s="12">
        <f>M124*GiaDinh!$C$7</f>
        <v>90.3</v>
      </c>
    </row>
    <row r="125" spans="1:19" ht="15.5" x14ac:dyDescent="0.35">
      <c r="A125" s="7" t="s">
        <v>8</v>
      </c>
      <c r="B125" s="7" t="s">
        <v>417</v>
      </c>
      <c r="C125" s="7" t="s">
        <v>174</v>
      </c>
      <c r="D125" s="7" t="s">
        <v>418</v>
      </c>
      <c r="E125" s="7">
        <v>2</v>
      </c>
      <c r="F125" s="7">
        <v>76.5</v>
      </c>
      <c r="G125" s="11">
        <f>2*F125*GiaDinh!$C$18*GiaDinh!$C$17</f>
        <v>128.51999999999998</v>
      </c>
      <c r="H125" s="7">
        <v>12</v>
      </c>
      <c r="I125" s="11">
        <f>H125*GiaDinh!$C$16</f>
        <v>84</v>
      </c>
      <c r="J125" s="7">
        <f t="shared" si="5"/>
        <v>2</v>
      </c>
      <c r="K125" s="7">
        <v>2</v>
      </c>
      <c r="L125" s="7" t="str">
        <f t="shared" si="6"/>
        <v>ĐỦ</v>
      </c>
      <c r="M125" s="11">
        <v>30</v>
      </c>
      <c r="N125" s="7">
        <f>ROUNDUP(15/GiaDinh!$C$5-0.0005,0)+ROUNDUP(15/GiaDinh!$C$5-0.0005,0)</f>
        <v>6</v>
      </c>
      <c r="O125" s="7">
        <f t="shared" si="7"/>
        <v>4</v>
      </c>
      <c r="P125" s="7">
        <v>24</v>
      </c>
      <c r="Q125" s="7">
        <f t="shared" si="8"/>
        <v>48</v>
      </c>
      <c r="R125" s="7">
        <f t="shared" si="9"/>
        <v>24</v>
      </c>
      <c r="S125" s="12">
        <f>M125*GiaDinh!$C$7</f>
        <v>90.3</v>
      </c>
    </row>
    <row r="126" spans="1:19" ht="15.5" x14ac:dyDescent="0.35">
      <c r="A126" s="7" t="s">
        <v>8</v>
      </c>
      <c r="B126" s="7" t="s">
        <v>419</v>
      </c>
      <c r="C126" s="7" t="s">
        <v>174</v>
      </c>
      <c r="D126" s="7" t="s">
        <v>420</v>
      </c>
      <c r="E126" s="7">
        <v>2</v>
      </c>
      <c r="F126" s="7">
        <v>76.5</v>
      </c>
      <c r="G126" s="11">
        <f>2*F126*GiaDinh!$C$18*GiaDinh!$C$17</f>
        <v>128.51999999999998</v>
      </c>
      <c r="H126" s="7">
        <v>13</v>
      </c>
      <c r="I126" s="11">
        <f>H126*GiaDinh!$C$16</f>
        <v>91</v>
      </c>
      <c r="J126" s="7">
        <f t="shared" si="5"/>
        <v>2</v>
      </c>
      <c r="K126" s="7">
        <v>2</v>
      </c>
      <c r="L126" s="7" t="str">
        <f t="shared" si="6"/>
        <v>ĐỦ</v>
      </c>
      <c r="M126" s="11">
        <v>30</v>
      </c>
      <c r="N126" s="7">
        <f>ROUNDUP(15/GiaDinh!$C$5-0.0005,0)+ROUNDUP(15/GiaDinh!$C$5-0.0005,0)</f>
        <v>6</v>
      </c>
      <c r="O126" s="7">
        <f t="shared" si="7"/>
        <v>4</v>
      </c>
      <c r="P126" s="7">
        <v>26</v>
      </c>
      <c r="Q126" s="7">
        <f t="shared" si="8"/>
        <v>52</v>
      </c>
      <c r="R126" s="7">
        <f t="shared" si="9"/>
        <v>26</v>
      </c>
      <c r="S126" s="12">
        <f>M126*GiaDinh!$C$7</f>
        <v>90.3</v>
      </c>
    </row>
    <row r="127" spans="1:19" ht="15.5" x14ac:dyDescent="0.35">
      <c r="A127" s="7" t="s">
        <v>8</v>
      </c>
      <c r="B127" s="7" t="s">
        <v>421</v>
      </c>
      <c r="C127" s="7" t="s">
        <v>174</v>
      </c>
      <c r="D127" s="7" t="s">
        <v>422</v>
      </c>
      <c r="E127" s="7">
        <v>2</v>
      </c>
      <c r="F127" s="7">
        <v>76.5</v>
      </c>
      <c r="G127" s="11">
        <f>2*F127*GiaDinh!$C$18*GiaDinh!$C$17</f>
        <v>128.51999999999998</v>
      </c>
      <c r="H127" s="7">
        <v>12</v>
      </c>
      <c r="I127" s="11">
        <f>H127*GiaDinh!$C$16</f>
        <v>84</v>
      </c>
      <c r="J127" s="7">
        <f t="shared" si="5"/>
        <v>2</v>
      </c>
      <c r="K127" s="7">
        <v>2</v>
      </c>
      <c r="L127" s="7" t="str">
        <f t="shared" si="6"/>
        <v>ĐỦ</v>
      </c>
      <c r="M127" s="11">
        <v>30</v>
      </c>
      <c r="N127" s="7">
        <f>ROUNDUP(15/GiaDinh!$C$5-0.0005,0)+ROUNDUP(15/GiaDinh!$C$5-0.0005,0)</f>
        <v>6</v>
      </c>
      <c r="O127" s="7">
        <f t="shared" si="7"/>
        <v>4</v>
      </c>
      <c r="P127" s="7">
        <v>24</v>
      </c>
      <c r="Q127" s="7">
        <f t="shared" si="8"/>
        <v>48</v>
      </c>
      <c r="R127" s="7">
        <f t="shared" si="9"/>
        <v>24</v>
      </c>
      <c r="S127" s="12">
        <f>M127*GiaDinh!$C$7</f>
        <v>90.3</v>
      </c>
    </row>
    <row r="128" spans="1:19" ht="31" x14ac:dyDescent="0.35">
      <c r="A128" s="7" t="s">
        <v>8</v>
      </c>
      <c r="B128" s="7" t="s">
        <v>423</v>
      </c>
      <c r="C128" s="7" t="s">
        <v>174</v>
      </c>
      <c r="D128" s="7" t="s">
        <v>424</v>
      </c>
      <c r="E128" s="7">
        <v>4</v>
      </c>
      <c r="F128" s="7">
        <v>76.5</v>
      </c>
      <c r="G128" s="11">
        <f>4*F128*GiaDinh!$C$18*GiaDinh!$C$17</f>
        <v>257.03999999999996</v>
      </c>
      <c r="H128" s="7">
        <v>11</v>
      </c>
      <c r="I128" s="11">
        <f>H128*GiaDinh!$C$16</f>
        <v>77</v>
      </c>
      <c r="J128" s="7">
        <f t="shared" si="5"/>
        <v>4</v>
      </c>
      <c r="K128" s="7">
        <v>4</v>
      </c>
      <c r="L128" s="7" t="str">
        <f t="shared" si="6"/>
        <v>ĐỦ</v>
      </c>
      <c r="M128" s="11">
        <v>60</v>
      </c>
      <c r="N128" s="7">
        <f>ROUNDUP(15/GiaDinh!$C$5-0.0005,0)+ROUNDUP(15/GiaDinh!$C$5-0.0005,0)+ROUNDUP(15/GiaDinh!$C$5-0.0005,0)+ROUNDUP(15/GiaDinh!$C$5-0.0005,0)</f>
        <v>12</v>
      </c>
      <c r="O128" s="7">
        <f t="shared" si="7"/>
        <v>8</v>
      </c>
      <c r="P128" s="7">
        <v>44</v>
      </c>
      <c r="Q128" s="7">
        <f t="shared" si="8"/>
        <v>88</v>
      </c>
      <c r="R128" s="7">
        <f t="shared" si="9"/>
        <v>44</v>
      </c>
      <c r="S128" s="12">
        <f>M128*GiaDinh!$C$7</f>
        <v>180.6</v>
      </c>
    </row>
    <row r="129" spans="1:19" ht="15.5" x14ac:dyDescent="0.35">
      <c r="A129" s="7" t="s">
        <v>8</v>
      </c>
      <c r="B129" s="7" t="s">
        <v>425</v>
      </c>
      <c r="C129" s="7" t="s">
        <v>174</v>
      </c>
      <c r="D129" s="7" t="s">
        <v>426</v>
      </c>
      <c r="E129" s="7">
        <v>2</v>
      </c>
      <c r="F129" s="7">
        <v>76.5</v>
      </c>
      <c r="G129" s="11">
        <f>2*F129*GiaDinh!$C$18*GiaDinh!$C$17</f>
        <v>128.51999999999998</v>
      </c>
      <c r="H129" s="7">
        <v>13</v>
      </c>
      <c r="I129" s="11">
        <f>H129*GiaDinh!$C$16</f>
        <v>91</v>
      </c>
      <c r="J129" s="7">
        <f t="shared" si="5"/>
        <v>2</v>
      </c>
      <c r="K129" s="7">
        <v>2</v>
      </c>
      <c r="L129" s="7" t="str">
        <f t="shared" si="6"/>
        <v>ĐỦ</v>
      </c>
      <c r="M129" s="11">
        <v>30</v>
      </c>
      <c r="N129" s="7">
        <f>ROUNDUP(15/GiaDinh!$C$5-0.0005,0)+ROUNDUP(15/GiaDinh!$C$5-0.0005,0)</f>
        <v>6</v>
      </c>
      <c r="O129" s="7">
        <f t="shared" si="7"/>
        <v>4</v>
      </c>
      <c r="P129" s="7">
        <v>26</v>
      </c>
      <c r="Q129" s="7">
        <f t="shared" si="8"/>
        <v>52</v>
      </c>
      <c r="R129" s="7">
        <f t="shared" si="9"/>
        <v>26</v>
      </c>
      <c r="S129" s="12">
        <f>M129*GiaDinh!$C$7</f>
        <v>90.3</v>
      </c>
    </row>
    <row r="130" spans="1:19" ht="15.5" x14ac:dyDescent="0.35">
      <c r="A130" s="7" t="s">
        <v>8</v>
      </c>
      <c r="B130" s="7" t="s">
        <v>427</v>
      </c>
      <c r="C130" s="7" t="s">
        <v>197</v>
      </c>
      <c r="D130" s="7" t="s">
        <v>428</v>
      </c>
      <c r="E130" s="7">
        <v>1</v>
      </c>
      <c r="F130" s="7">
        <v>76.5</v>
      </c>
      <c r="G130" s="11">
        <f>1*F130*GiaDinh!$C$18*GiaDinh!$C$17</f>
        <v>64.259999999999991</v>
      </c>
      <c r="H130" s="7">
        <v>13</v>
      </c>
      <c r="I130" s="11">
        <f>H130*GiaDinh!$C$16</f>
        <v>91</v>
      </c>
      <c r="J130" s="7">
        <f t="shared" si="5"/>
        <v>1</v>
      </c>
      <c r="K130" s="7">
        <v>1</v>
      </c>
      <c r="L130" s="7" t="str">
        <f t="shared" si="6"/>
        <v>ĐỦ</v>
      </c>
      <c r="M130" s="11">
        <v>15</v>
      </c>
      <c r="N130" s="7">
        <f>ROUNDUP(15/GiaDinh!$C$5-0.0005,0)</f>
        <v>3</v>
      </c>
      <c r="O130" s="7">
        <f t="shared" si="7"/>
        <v>2</v>
      </c>
      <c r="P130" s="7">
        <v>13</v>
      </c>
      <c r="Q130" s="7">
        <f t="shared" si="8"/>
        <v>26</v>
      </c>
      <c r="R130" s="7">
        <f t="shared" si="9"/>
        <v>13</v>
      </c>
      <c r="S130" s="12">
        <f>M130*GiaDinh!$C$7</f>
        <v>45.15</v>
      </c>
    </row>
    <row r="131" spans="1:19" ht="15.5" x14ac:dyDescent="0.35">
      <c r="A131" s="7" t="s">
        <v>8</v>
      </c>
      <c r="B131" s="7" t="s">
        <v>429</v>
      </c>
      <c r="C131" s="7" t="s">
        <v>197</v>
      </c>
      <c r="D131" s="7" t="s">
        <v>430</v>
      </c>
      <c r="E131" s="7">
        <v>1</v>
      </c>
      <c r="F131" s="7">
        <v>76.5</v>
      </c>
      <c r="G131" s="11">
        <f>1*F131*GiaDinh!$C$18*GiaDinh!$C$17</f>
        <v>64.259999999999991</v>
      </c>
      <c r="H131" s="7">
        <v>13</v>
      </c>
      <c r="I131" s="11">
        <f>H131*GiaDinh!$C$16</f>
        <v>91</v>
      </c>
      <c r="J131" s="7">
        <f t="shared" si="5"/>
        <v>1</v>
      </c>
      <c r="K131" s="7">
        <v>1</v>
      </c>
      <c r="L131" s="7" t="str">
        <f t="shared" si="6"/>
        <v>ĐỦ</v>
      </c>
      <c r="M131" s="11">
        <v>15</v>
      </c>
      <c r="N131" s="7">
        <f>ROUNDUP(15/GiaDinh!$C$5-0.0005,0)</f>
        <v>3</v>
      </c>
      <c r="O131" s="7">
        <f t="shared" si="7"/>
        <v>2</v>
      </c>
      <c r="P131" s="7">
        <v>13</v>
      </c>
      <c r="Q131" s="7">
        <f t="shared" si="8"/>
        <v>26</v>
      </c>
      <c r="R131" s="7">
        <f t="shared" si="9"/>
        <v>13</v>
      </c>
      <c r="S131" s="12">
        <f>M131*GiaDinh!$C$7</f>
        <v>45.15</v>
      </c>
    </row>
    <row r="132" spans="1:19" ht="15.5" x14ac:dyDescent="0.35">
      <c r="A132" s="7" t="s">
        <v>8</v>
      </c>
      <c r="B132" s="7" t="s">
        <v>431</v>
      </c>
      <c r="C132" s="7" t="s">
        <v>197</v>
      </c>
      <c r="D132" s="7" t="s">
        <v>432</v>
      </c>
      <c r="E132" s="7">
        <v>1</v>
      </c>
      <c r="F132" s="7">
        <v>76.5</v>
      </c>
      <c r="G132" s="11">
        <f>1*F132*GiaDinh!$C$18*GiaDinh!$C$17</f>
        <v>64.259999999999991</v>
      </c>
      <c r="H132" s="7">
        <v>13</v>
      </c>
      <c r="I132" s="11">
        <f>H132*GiaDinh!$C$16</f>
        <v>91</v>
      </c>
      <c r="J132" s="7">
        <f t="shared" ref="J132:J195" si="10">MAX(1,ROUNDUP(G132/I132-0.0005,0))</f>
        <v>1</v>
      </c>
      <c r="K132" s="7">
        <v>1</v>
      </c>
      <c r="L132" s="7" t="str">
        <f t="shared" ref="L132:L195" si="11">IF(K132&gt;=J132,"ĐỦ","THIẾU")</f>
        <v>ĐỦ</v>
      </c>
      <c r="M132" s="11">
        <v>15</v>
      </c>
      <c r="N132" s="7">
        <f>ROUNDUP(15/GiaDinh!$C$5-0.0005,0)</f>
        <v>3</v>
      </c>
      <c r="O132" s="7">
        <f t="shared" ref="O132:O195" si="12">N132-K132</f>
        <v>2</v>
      </c>
      <c r="P132" s="7">
        <v>13</v>
      </c>
      <c r="Q132" s="7">
        <f t="shared" ref="Q132:Q195" si="13">2*P132</f>
        <v>26</v>
      </c>
      <c r="R132" s="7">
        <f t="shared" ref="R132:R195" si="14">P132</f>
        <v>13</v>
      </c>
      <c r="S132" s="12">
        <f>M132*GiaDinh!$C$7</f>
        <v>45.15</v>
      </c>
    </row>
    <row r="133" spans="1:19" ht="15.5" x14ac:dyDescent="0.35">
      <c r="A133" s="7" t="s">
        <v>8</v>
      </c>
      <c r="B133" s="7" t="s">
        <v>433</v>
      </c>
      <c r="C133" s="7" t="s">
        <v>197</v>
      </c>
      <c r="D133" s="7" t="s">
        <v>434</v>
      </c>
      <c r="E133" s="7">
        <v>1</v>
      </c>
      <c r="F133" s="7">
        <v>76.5</v>
      </c>
      <c r="G133" s="11">
        <f>1*F133*GiaDinh!$C$18*GiaDinh!$C$17</f>
        <v>64.259999999999991</v>
      </c>
      <c r="H133" s="7">
        <v>13</v>
      </c>
      <c r="I133" s="11">
        <f>H133*GiaDinh!$C$16</f>
        <v>91</v>
      </c>
      <c r="J133" s="7">
        <f t="shared" si="10"/>
        <v>1</v>
      </c>
      <c r="K133" s="7">
        <v>1</v>
      </c>
      <c r="L133" s="7" t="str">
        <f t="shared" si="11"/>
        <v>ĐỦ</v>
      </c>
      <c r="M133" s="11">
        <v>15</v>
      </c>
      <c r="N133" s="7">
        <f>ROUNDUP(15/GiaDinh!$C$5-0.0005,0)</f>
        <v>3</v>
      </c>
      <c r="O133" s="7">
        <f t="shared" si="12"/>
        <v>2</v>
      </c>
      <c r="P133" s="7">
        <v>13</v>
      </c>
      <c r="Q133" s="7">
        <f t="shared" si="13"/>
        <v>26</v>
      </c>
      <c r="R133" s="7">
        <f t="shared" si="14"/>
        <v>13</v>
      </c>
      <c r="S133" s="12">
        <f>M133*GiaDinh!$C$7</f>
        <v>45.15</v>
      </c>
    </row>
    <row r="134" spans="1:19" ht="15.5" x14ac:dyDescent="0.35">
      <c r="A134" s="7" t="s">
        <v>8</v>
      </c>
      <c r="B134" s="7" t="s">
        <v>435</v>
      </c>
      <c r="C134" s="7" t="s">
        <v>197</v>
      </c>
      <c r="D134" s="7" t="s">
        <v>436</v>
      </c>
      <c r="E134" s="7">
        <v>1</v>
      </c>
      <c r="F134" s="7">
        <v>76.5</v>
      </c>
      <c r="G134" s="11">
        <f>1*F134*GiaDinh!$C$18*GiaDinh!$C$17</f>
        <v>64.259999999999991</v>
      </c>
      <c r="H134" s="7">
        <v>13</v>
      </c>
      <c r="I134" s="11">
        <f>H134*GiaDinh!$C$16</f>
        <v>91</v>
      </c>
      <c r="J134" s="7">
        <f t="shared" si="10"/>
        <v>1</v>
      </c>
      <c r="K134" s="7">
        <v>1</v>
      </c>
      <c r="L134" s="7" t="str">
        <f t="shared" si="11"/>
        <v>ĐỦ</v>
      </c>
      <c r="M134" s="11">
        <v>15</v>
      </c>
      <c r="N134" s="7">
        <f>ROUNDUP(15/GiaDinh!$C$5-0.0005,0)</f>
        <v>3</v>
      </c>
      <c r="O134" s="7">
        <f t="shared" si="12"/>
        <v>2</v>
      </c>
      <c r="P134" s="7">
        <v>13</v>
      </c>
      <c r="Q134" s="7">
        <f t="shared" si="13"/>
        <v>26</v>
      </c>
      <c r="R134" s="7">
        <f t="shared" si="14"/>
        <v>13</v>
      </c>
      <c r="S134" s="12">
        <f>M134*GiaDinh!$C$7</f>
        <v>45.15</v>
      </c>
    </row>
    <row r="135" spans="1:19" ht="15.5" x14ac:dyDescent="0.35">
      <c r="A135" s="7" t="s">
        <v>8</v>
      </c>
      <c r="B135" s="7" t="s">
        <v>437</v>
      </c>
      <c r="C135" s="7" t="s">
        <v>197</v>
      </c>
      <c r="D135" s="7" t="s">
        <v>438</v>
      </c>
      <c r="E135" s="7">
        <v>1</v>
      </c>
      <c r="F135" s="7">
        <v>76.5</v>
      </c>
      <c r="G135" s="11">
        <f>1*F135*GiaDinh!$C$18*GiaDinh!$C$17</f>
        <v>64.259999999999991</v>
      </c>
      <c r="H135" s="7">
        <v>13</v>
      </c>
      <c r="I135" s="11">
        <f>H135*GiaDinh!$C$16</f>
        <v>91</v>
      </c>
      <c r="J135" s="7">
        <f t="shared" si="10"/>
        <v>1</v>
      </c>
      <c r="K135" s="7">
        <v>1</v>
      </c>
      <c r="L135" s="7" t="str">
        <f t="shared" si="11"/>
        <v>ĐỦ</v>
      </c>
      <c r="M135" s="11">
        <v>15</v>
      </c>
      <c r="N135" s="7">
        <f>ROUNDUP(15/GiaDinh!$C$5-0.0005,0)</f>
        <v>3</v>
      </c>
      <c r="O135" s="7">
        <f t="shared" si="12"/>
        <v>2</v>
      </c>
      <c r="P135" s="7">
        <v>13</v>
      </c>
      <c r="Q135" s="7">
        <f t="shared" si="13"/>
        <v>26</v>
      </c>
      <c r="R135" s="7">
        <f t="shared" si="14"/>
        <v>13</v>
      </c>
      <c r="S135" s="12">
        <f>M135*GiaDinh!$C$7</f>
        <v>45.15</v>
      </c>
    </row>
    <row r="136" spans="1:19" ht="15.5" x14ac:dyDescent="0.35">
      <c r="A136" s="7" t="s">
        <v>8</v>
      </c>
      <c r="B136" s="7" t="s">
        <v>439</v>
      </c>
      <c r="C136" s="7" t="s">
        <v>197</v>
      </c>
      <c r="D136" s="7" t="s">
        <v>440</v>
      </c>
      <c r="E136" s="7">
        <v>1</v>
      </c>
      <c r="F136" s="7">
        <v>76.5</v>
      </c>
      <c r="G136" s="11">
        <f>1*F136*GiaDinh!$C$18*GiaDinh!$C$17</f>
        <v>64.259999999999991</v>
      </c>
      <c r="H136" s="7">
        <v>13</v>
      </c>
      <c r="I136" s="11">
        <f>H136*GiaDinh!$C$16</f>
        <v>91</v>
      </c>
      <c r="J136" s="7">
        <f t="shared" si="10"/>
        <v>1</v>
      </c>
      <c r="K136" s="7">
        <v>1</v>
      </c>
      <c r="L136" s="7" t="str">
        <f t="shared" si="11"/>
        <v>ĐỦ</v>
      </c>
      <c r="M136" s="11">
        <v>15</v>
      </c>
      <c r="N136" s="7">
        <f>ROUNDUP(15/GiaDinh!$C$5-0.0005,0)</f>
        <v>3</v>
      </c>
      <c r="O136" s="7">
        <f t="shared" si="12"/>
        <v>2</v>
      </c>
      <c r="P136" s="7">
        <v>13</v>
      </c>
      <c r="Q136" s="7">
        <f t="shared" si="13"/>
        <v>26</v>
      </c>
      <c r="R136" s="7">
        <f t="shared" si="14"/>
        <v>13</v>
      </c>
      <c r="S136" s="12">
        <f>M136*GiaDinh!$C$7</f>
        <v>45.15</v>
      </c>
    </row>
    <row r="137" spans="1:19" ht="15.5" x14ac:dyDescent="0.35">
      <c r="A137" s="7" t="s">
        <v>8</v>
      </c>
      <c r="B137" s="7" t="s">
        <v>441</v>
      </c>
      <c r="C137" s="7" t="s">
        <v>197</v>
      </c>
      <c r="D137" s="7" t="s">
        <v>442</v>
      </c>
      <c r="E137" s="7">
        <v>1</v>
      </c>
      <c r="F137" s="7">
        <v>76.5</v>
      </c>
      <c r="G137" s="11">
        <f>1*F137*GiaDinh!$C$18*GiaDinh!$C$17</f>
        <v>64.259999999999991</v>
      </c>
      <c r="H137" s="7">
        <v>13</v>
      </c>
      <c r="I137" s="11">
        <f>H137*GiaDinh!$C$16</f>
        <v>91</v>
      </c>
      <c r="J137" s="7">
        <f t="shared" si="10"/>
        <v>1</v>
      </c>
      <c r="K137" s="7">
        <v>1</v>
      </c>
      <c r="L137" s="7" t="str">
        <f t="shared" si="11"/>
        <v>ĐỦ</v>
      </c>
      <c r="M137" s="11">
        <v>15</v>
      </c>
      <c r="N137" s="7">
        <f>ROUNDUP(15/GiaDinh!$C$5-0.0005,0)</f>
        <v>3</v>
      </c>
      <c r="O137" s="7">
        <f t="shared" si="12"/>
        <v>2</v>
      </c>
      <c r="P137" s="7">
        <v>13</v>
      </c>
      <c r="Q137" s="7">
        <f t="shared" si="13"/>
        <v>26</v>
      </c>
      <c r="R137" s="7">
        <f t="shared" si="14"/>
        <v>13</v>
      </c>
      <c r="S137" s="12">
        <f>M137*GiaDinh!$C$7</f>
        <v>45.15</v>
      </c>
    </row>
    <row r="138" spans="1:19" ht="15.5" x14ac:dyDescent="0.35">
      <c r="A138" s="7" t="s">
        <v>8</v>
      </c>
      <c r="B138" s="7" t="s">
        <v>443</v>
      </c>
      <c r="C138" s="7" t="s">
        <v>197</v>
      </c>
      <c r="D138" s="7" t="s">
        <v>444</v>
      </c>
      <c r="E138" s="7">
        <v>1</v>
      </c>
      <c r="F138" s="7">
        <v>76.5</v>
      </c>
      <c r="G138" s="11">
        <f>1*F138*GiaDinh!$C$18*GiaDinh!$C$17</f>
        <v>64.259999999999991</v>
      </c>
      <c r="H138" s="7">
        <v>13</v>
      </c>
      <c r="I138" s="11">
        <f>H138*GiaDinh!$C$16</f>
        <v>91</v>
      </c>
      <c r="J138" s="7">
        <f t="shared" si="10"/>
        <v>1</v>
      </c>
      <c r="K138" s="7">
        <v>1</v>
      </c>
      <c r="L138" s="7" t="str">
        <f t="shared" si="11"/>
        <v>ĐỦ</v>
      </c>
      <c r="M138" s="11">
        <v>15</v>
      </c>
      <c r="N138" s="7">
        <f>ROUNDUP(15/GiaDinh!$C$5-0.0005,0)</f>
        <v>3</v>
      </c>
      <c r="O138" s="7">
        <f t="shared" si="12"/>
        <v>2</v>
      </c>
      <c r="P138" s="7">
        <v>13</v>
      </c>
      <c r="Q138" s="7">
        <f t="shared" si="13"/>
        <v>26</v>
      </c>
      <c r="R138" s="7">
        <f t="shared" si="14"/>
        <v>13</v>
      </c>
      <c r="S138" s="12">
        <f>M138*GiaDinh!$C$7</f>
        <v>45.15</v>
      </c>
    </row>
    <row r="139" spans="1:19" ht="15.5" x14ac:dyDescent="0.35">
      <c r="A139" s="7" t="s">
        <v>8</v>
      </c>
      <c r="B139" s="7" t="s">
        <v>445</v>
      </c>
      <c r="C139" s="7" t="s">
        <v>197</v>
      </c>
      <c r="D139" s="7" t="s">
        <v>446</v>
      </c>
      <c r="E139" s="7">
        <v>1</v>
      </c>
      <c r="F139" s="7">
        <v>76.5</v>
      </c>
      <c r="G139" s="11">
        <f>1*F139*GiaDinh!$C$18*GiaDinh!$C$17</f>
        <v>64.259999999999991</v>
      </c>
      <c r="H139" s="7">
        <v>13</v>
      </c>
      <c r="I139" s="11">
        <f>H139*GiaDinh!$C$16</f>
        <v>91</v>
      </c>
      <c r="J139" s="7">
        <f t="shared" si="10"/>
        <v>1</v>
      </c>
      <c r="K139" s="7">
        <v>1</v>
      </c>
      <c r="L139" s="7" t="str">
        <f t="shared" si="11"/>
        <v>ĐỦ</v>
      </c>
      <c r="M139" s="11">
        <v>15</v>
      </c>
      <c r="N139" s="7">
        <f>ROUNDUP(15/GiaDinh!$C$5-0.0005,0)</f>
        <v>3</v>
      </c>
      <c r="O139" s="7">
        <f t="shared" si="12"/>
        <v>2</v>
      </c>
      <c r="P139" s="7">
        <v>13</v>
      </c>
      <c r="Q139" s="7">
        <f t="shared" si="13"/>
        <v>26</v>
      </c>
      <c r="R139" s="7">
        <f t="shared" si="14"/>
        <v>13</v>
      </c>
      <c r="S139" s="12">
        <f>M139*GiaDinh!$C$7</f>
        <v>45.15</v>
      </c>
    </row>
    <row r="140" spans="1:19" ht="15.5" x14ac:dyDescent="0.35">
      <c r="A140" s="7" t="s">
        <v>8</v>
      </c>
      <c r="B140" s="7" t="s">
        <v>447</v>
      </c>
      <c r="C140" s="7" t="s">
        <v>197</v>
      </c>
      <c r="D140" s="7" t="s">
        <v>448</v>
      </c>
      <c r="E140" s="7">
        <v>1</v>
      </c>
      <c r="F140" s="7">
        <v>76.5</v>
      </c>
      <c r="G140" s="11">
        <f>1*F140*GiaDinh!$C$18*GiaDinh!$C$17</f>
        <v>64.259999999999991</v>
      </c>
      <c r="H140" s="7">
        <v>12</v>
      </c>
      <c r="I140" s="11">
        <f>H140*GiaDinh!$C$16</f>
        <v>84</v>
      </c>
      <c r="J140" s="7">
        <f t="shared" si="10"/>
        <v>1</v>
      </c>
      <c r="K140" s="7">
        <v>1</v>
      </c>
      <c r="L140" s="7" t="str">
        <f t="shared" si="11"/>
        <v>ĐỦ</v>
      </c>
      <c r="M140" s="11">
        <v>15</v>
      </c>
      <c r="N140" s="7">
        <f>ROUNDUP(15/GiaDinh!$C$5-0.0005,0)</f>
        <v>3</v>
      </c>
      <c r="O140" s="7">
        <f t="shared" si="12"/>
        <v>2</v>
      </c>
      <c r="P140" s="7">
        <v>12</v>
      </c>
      <c r="Q140" s="7">
        <f t="shared" si="13"/>
        <v>24</v>
      </c>
      <c r="R140" s="7">
        <f t="shared" si="14"/>
        <v>12</v>
      </c>
      <c r="S140" s="12">
        <f>M140*GiaDinh!$C$7</f>
        <v>45.15</v>
      </c>
    </row>
    <row r="141" spans="1:19" ht="15.5" x14ac:dyDescent="0.35">
      <c r="A141" s="7" t="s">
        <v>8</v>
      </c>
      <c r="B141" s="7" t="s">
        <v>449</v>
      </c>
      <c r="C141" s="7" t="s">
        <v>197</v>
      </c>
      <c r="D141" s="7" t="s">
        <v>450</v>
      </c>
      <c r="E141" s="7">
        <v>1</v>
      </c>
      <c r="F141" s="7">
        <v>76.5</v>
      </c>
      <c r="G141" s="11">
        <f>1*F141*GiaDinh!$C$18*GiaDinh!$C$17</f>
        <v>64.259999999999991</v>
      </c>
      <c r="H141" s="7">
        <v>12</v>
      </c>
      <c r="I141" s="11">
        <f>H141*GiaDinh!$C$16</f>
        <v>84</v>
      </c>
      <c r="J141" s="7">
        <f t="shared" si="10"/>
        <v>1</v>
      </c>
      <c r="K141" s="7">
        <v>1</v>
      </c>
      <c r="L141" s="7" t="str">
        <f t="shared" si="11"/>
        <v>ĐỦ</v>
      </c>
      <c r="M141" s="11">
        <v>15</v>
      </c>
      <c r="N141" s="7">
        <f>ROUNDUP(15/GiaDinh!$C$5-0.0005,0)</f>
        <v>3</v>
      </c>
      <c r="O141" s="7">
        <f t="shared" si="12"/>
        <v>2</v>
      </c>
      <c r="P141" s="7">
        <v>12</v>
      </c>
      <c r="Q141" s="7">
        <f t="shared" si="13"/>
        <v>24</v>
      </c>
      <c r="R141" s="7">
        <f t="shared" si="14"/>
        <v>12</v>
      </c>
      <c r="S141" s="12">
        <f>M141*GiaDinh!$C$7</f>
        <v>45.15</v>
      </c>
    </row>
    <row r="142" spans="1:19" ht="15.5" x14ac:dyDescent="0.35">
      <c r="A142" s="7" t="s">
        <v>8</v>
      </c>
      <c r="B142" s="7" t="s">
        <v>451</v>
      </c>
      <c r="C142" s="7" t="s">
        <v>197</v>
      </c>
      <c r="D142" s="7" t="s">
        <v>452</v>
      </c>
      <c r="E142" s="7">
        <v>1</v>
      </c>
      <c r="F142" s="7">
        <v>76.5</v>
      </c>
      <c r="G142" s="11">
        <f>1*F142*GiaDinh!$C$18*GiaDinh!$C$17</f>
        <v>64.259999999999991</v>
      </c>
      <c r="H142" s="7">
        <v>12</v>
      </c>
      <c r="I142" s="11">
        <f>H142*GiaDinh!$C$16</f>
        <v>84</v>
      </c>
      <c r="J142" s="7">
        <f t="shared" si="10"/>
        <v>1</v>
      </c>
      <c r="K142" s="7">
        <v>1</v>
      </c>
      <c r="L142" s="7" t="str">
        <f t="shared" si="11"/>
        <v>ĐỦ</v>
      </c>
      <c r="M142" s="11">
        <v>15</v>
      </c>
      <c r="N142" s="7">
        <f>ROUNDUP(15/GiaDinh!$C$5-0.0005,0)</f>
        <v>3</v>
      </c>
      <c r="O142" s="7">
        <f t="shared" si="12"/>
        <v>2</v>
      </c>
      <c r="P142" s="7">
        <v>12</v>
      </c>
      <c r="Q142" s="7">
        <f t="shared" si="13"/>
        <v>24</v>
      </c>
      <c r="R142" s="7">
        <f t="shared" si="14"/>
        <v>12</v>
      </c>
      <c r="S142" s="12">
        <f>M142*GiaDinh!$C$7</f>
        <v>45.15</v>
      </c>
    </row>
    <row r="143" spans="1:19" ht="15.5" x14ac:dyDescent="0.35">
      <c r="A143" s="7" t="s">
        <v>8</v>
      </c>
      <c r="B143" s="7" t="s">
        <v>453</v>
      </c>
      <c r="C143" s="7" t="s">
        <v>197</v>
      </c>
      <c r="D143" s="7" t="s">
        <v>454</v>
      </c>
      <c r="E143" s="7">
        <v>1</v>
      </c>
      <c r="F143" s="7">
        <v>76.5</v>
      </c>
      <c r="G143" s="11">
        <f>1*F143*GiaDinh!$C$18*GiaDinh!$C$17</f>
        <v>64.259999999999991</v>
      </c>
      <c r="H143" s="7">
        <v>12</v>
      </c>
      <c r="I143" s="11">
        <f>H143*GiaDinh!$C$16</f>
        <v>84</v>
      </c>
      <c r="J143" s="7">
        <f t="shared" si="10"/>
        <v>1</v>
      </c>
      <c r="K143" s="7">
        <v>1</v>
      </c>
      <c r="L143" s="7" t="str">
        <f t="shared" si="11"/>
        <v>ĐỦ</v>
      </c>
      <c r="M143" s="11">
        <v>15</v>
      </c>
      <c r="N143" s="7">
        <f>ROUNDUP(15/GiaDinh!$C$5-0.0005,0)</f>
        <v>3</v>
      </c>
      <c r="O143" s="7">
        <f t="shared" si="12"/>
        <v>2</v>
      </c>
      <c r="P143" s="7">
        <v>12</v>
      </c>
      <c r="Q143" s="7">
        <f t="shared" si="13"/>
        <v>24</v>
      </c>
      <c r="R143" s="7">
        <f t="shared" si="14"/>
        <v>12</v>
      </c>
      <c r="S143" s="12">
        <f>M143*GiaDinh!$C$7</f>
        <v>45.15</v>
      </c>
    </row>
    <row r="144" spans="1:19" ht="15.5" x14ac:dyDescent="0.35">
      <c r="A144" s="7" t="s">
        <v>8</v>
      </c>
      <c r="B144" s="7" t="s">
        <v>455</v>
      </c>
      <c r="C144" s="7" t="s">
        <v>197</v>
      </c>
      <c r="D144" s="7" t="s">
        <v>456</v>
      </c>
      <c r="E144" s="7">
        <v>1</v>
      </c>
      <c r="F144" s="7">
        <v>76.5</v>
      </c>
      <c r="G144" s="11">
        <f>1*F144*GiaDinh!$C$18*GiaDinh!$C$17</f>
        <v>64.259999999999991</v>
      </c>
      <c r="H144" s="7">
        <v>12</v>
      </c>
      <c r="I144" s="11">
        <f>H144*GiaDinh!$C$16</f>
        <v>84</v>
      </c>
      <c r="J144" s="7">
        <f t="shared" si="10"/>
        <v>1</v>
      </c>
      <c r="K144" s="7">
        <v>1</v>
      </c>
      <c r="L144" s="7" t="str">
        <f t="shared" si="11"/>
        <v>ĐỦ</v>
      </c>
      <c r="M144" s="11">
        <v>15</v>
      </c>
      <c r="N144" s="7">
        <f>ROUNDUP(15/GiaDinh!$C$5-0.0005,0)</f>
        <v>3</v>
      </c>
      <c r="O144" s="7">
        <f t="shared" si="12"/>
        <v>2</v>
      </c>
      <c r="P144" s="7">
        <v>12</v>
      </c>
      <c r="Q144" s="7">
        <f t="shared" si="13"/>
        <v>24</v>
      </c>
      <c r="R144" s="7">
        <f t="shared" si="14"/>
        <v>12</v>
      </c>
      <c r="S144" s="12">
        <f>M144*GiaDinh!$C$7</f>
        <v>45.15</v>
      </c>
    </row>
    <row r="145" spans="1:19" ht="15.5" x14ac:dyDescent="0.35">
      <c r="A145" s="7" t="s">
        <v>8</v>
      </c>
      <c r="B145" s="7" t="s">
        <v>457</v>
      </c>
      <c r="C145" s="7" t="s">
        <v>197</v>
      </c>
      <c r="D145" s="7" t="s">
        <v>458</v>
      </c>
      <c r="E145" s="7">
        <v>1</v>
      </c>
      <c r="F145" s="7">
        <v>76.5</v>
      </c>
      <c r="G145" s="11">
        <f>1*F145*GiaDinh!$C$18*GiaDinh!$C$17</f>
        <v>64.259999999999991</v>
      </c>
      <c r="H145" s="7">
        <v>12</v>
      </c>
      <c r="I145" s="11">
        <f>H145*GiaDinh!$C$16</f>
        <v>84</v>
      </c>
      <c r="J145" s="7">
        <f t="shared" si="10"/>
        <v>1</v>
      </c>
      <c r="K145" s="7">
        <v>1</v>
      </c>
      <c r="L145" s="7" t="str">
        <f t="shared" si="11"/>
        <v>ĐỦ</v>
      </c>
      <c r="M145" s="11">
        <v>15</v>
      </c>
      <c r="N145" s="7">
        <f>ROUNDUP(15/GiaDinh!$C$5-0.0005,0)</f>
        <v>3</v>
      </c>
      <c r="O145" s="7">
        <f t="shared" si="12"/>
        <v>2</v>
      </c>
      <c r="P145" s="7">
        <v>12</v>
      </c>
      <c r="Q145" s="7">
        <f t="shared" si="13"/>
        <v>24</v>
      </c>
      <c r="R145" s="7">
        <f t="shared" si="14"/>
        <v>12</v>
      </c>
      <c r="S145" s="12">
        <f>M145*GiaDinh!$C$7</f>
        <v>45.15</v>
      </c>
    </row>
    <row r="146" spans="1:19" ht="15.5" x14ac:dyDescent="0.35">
      <c r="A146" s="7" t="s">
        <v>8</v>
      </c>
      <c r="B146" s="7" t="s">
        <v>459</v>
      </c>
      <c r="C146" s="7" t="s">
        <v>197</v>
      </c>
      <c r="D146" s="7" t="s">
        <v>460</v>
      </c>
      <c r="E146" s="7">
        <v>1</v>
      </c>
      <c r="F146" s="7">
        <v>76.5</v>
      </c>
      <c r="G146" s="11">
        <f>1*F146*GiaDinh!$C$18*GiaDinh!$C$17</f>
        <v>64.259999999999991</v>
      </c>
      <c r="H146" s="7">
        <v>12</v>
      </c>
      <c r="I146" s="11">
        <f>H146*GiaDinh!$C$16</f>
        <v>84</v>
      </c>
      <c r="J146" s="7">
        <f t="shared" si="10"/>
        <v>1</v>
      </c>
      <c r="K146" s="7">
        <v>1</v>
      </c>
      <c r="L146" s="7" t="str">
        <f t="shared" si="11"/>
        <v>ĐỦ</v>
      </c>
      <c r="M146" s="11">
        <v>15</v>
      </c>
      <c r="N146" s="7">
        <f>ROUNDUP(15/GiaDinh!$C$5-0.0005,0)</f>
        <v>3</v>
      </c>
      <c r="O146" s="7">
        <f t="shared" si="12"/>
        <v>2</v>
      </c>
      <c r="P146" s="7">
        <v>12</v>
      </c>
      <c r="Q146" s="7">
        <f t="shared" si="13"/>
        <v>24</v>
      </c>
      <c r="R146" s="7">
        <f t="shared" si="14"/>
        <v>12</v>
      </c>
      <c r="S146" s="12">
        <f>M146*GiaDinh!$C$7</f>
        <v>45.15</v>
      </c>
    </row>
    <row r="147" spans="1:19" ht="15.5" x14ac:dyDescent="0.35">
      <c r="A147" s="7" t="s">
        <v>8</v>
      </c>
      <c r="B147" s="7" t="s">
        <v>461</v>
      </c>
      <c r="C147" s="7" t="s">
        <v>197</v>
      </c>
      <c r="D147" s="7" t="s">
        <v>462</v>
      </c>
      <c r="E147" s="7">
        <v>1</v>
      </c>
      <c r="F147" s="7">
        <v>76.5</v>
      </c>
      <c r="G147" s="11">
        <f>1*F147*GiaDinh!$C$18*GiaDinh!$C$17</f>
        <v>64.259999999999991</v>
      </c>
      <c r="H147" s="7">
        <v>12</v>
      </c>
      <c r="I147" s="11">
        <f>H147*GiaDinh!$C$16</f>
        <v>84</v>
      </c>
      <c r="J147" s="7">
        <f t="shared" si="10"/>
        <v>1</v>
      </c>
      <c r="K147" s="7">
        <v>1</v>
      </c>
      <c r="L147" s="7" t="str">
        <f t="shared" si="11"/>
        <v>ĐỦ</v>
      </c>
      <c r="M147" s="11">
        <v>15</v>
      </c>
      <c r="N147" s="7">
        <f>ROUNDUP(15/GiaDinh!$C$5-0.0005,0)</f>
        <v>3</v>
      </c>
      <c r="O147" s="7">
        <f t="shared" si="12"/>
        <v>2</v>
      </c>
      <c r="P147" s="7">
        <v>12</v>
      </c>
      <c r="Q147" s="7">
        <f t="shared" si="13"/>
        <v>24</v>
      </c>
      <c r="R147" s="7">
        <f t="shared" si="14"/>
        <v>12</v>
      </c>
      <c r="S147" s="12">
        <f>M147*GiaDinh!$C$7</f>
        <v>45.15</v>
      </c>
    </row>
    <row r="148" spans="1:19" ht="15.5" x14ac:dyDescent="0.35">
      <c r="A148" s="7" t="s">
        <v>8</v>
      </c>
      <c r="B148" s="7" t="s">
        <v>463</v>
      </c>
      <c r="C148" s="7" t="s">
        <v>197</v>
      </c>
      <c r="D148" s="7" t="s">
        <v>464</v>
      </c>
      <c r="E148" s="7">
        <v>1</v>
      </c>
      <c r="F148" s="7">
        <v>76.5</v>
      </c>
      <c r="G148" s="11">
        <f>1*F148*GiaDinh!$C$18*GiaDinh!$C$17</f>
        <v>64.259999999999991</v>
      </c>
      <c r="H148" s="7">
        <v>12</v>
      </c>
      <c r="I148" s="11">
        <f>H148*GiaDinh!$C$16</f>
        <v>84</v>
      </c>
      <c r="J148" s="7">
        <f t="shared" si="10"/>
        <v>1</v>
      </c>
      <c r="K148" s="7">
        <v>1</v>
      </c>
      <c r="L148" s="7" t="str">
        <f t="shared" si="11"/>
        <v>ĐỦ</v>
      </c>
      <c r="M148" s="11">
        <v>15</v>
      </c>
      <c r="N148" s="7">
        <f>ROUNDUP(15/GiaDinh!$C$5-0.0005,0)</f>
        <v>3</v>
      </c>
      <c r="O148" s="7">
        <f t="shared" si="12"/>
        <v>2</v>
      </c>
      <c r="P148" s="7">
        <v>12</v>
      </c>
      <c r="Q148" s="7">
        <f t="shared" si="13"/>
        <v>24</v>
      </c>
      <c r="R148" s="7">
        <f t="shared" si="14"/>
        <v>12</v>
      </c>
      <c r="S148" s="12">
        <f>M148*GiaDinh!$C$7</f>
        <v>45.15</v>
      </c>
    </row>
    <row r="149" spans="1:19" ht="15.5" x14ac:dyDescent="0.35">
      <c r="A149" s="7" t="s">
        <v>8</v>
      </c>
      <c r="B149" s="7" t="s">
        <v>465</v>
      </c>
      <c r="C149" s="7" t="s">
        <v>197</v>
      </c>
      <c r="D149" s="7" t="s">
        <v>466</v>
      </c>
      <c r="E149" s="7">
        <v>1</v>
      </c>
      <c r="F149" s="7">
        <v>76.5</v>
      </c>
      <c r="G149" s="11">
        <f>1*F149*GiaDinh!$C$18*GiaDinh!$C$17</f>
        <v>64.259999999999991</v>
      </c>
      <c r="H149" s="7">
        <v>12</v>
      </c>
      <c r="I149" s="11">
        <f>H149*GiaDinh!$C$16</f>
        <v>84</v>
      </c>
      <c r="J149" s="7">
        <f t="shared" si="10"/>
        <v>1</v>
      </c>
      <c r="K149" s="7">
        <v>1</v>
      </c>
      <c r="L149" s="7" t="str">
        <f t="shared" si="11"/>
        <v>ĐỦ</v>
      </c>
      <c r="M149" s="11">
        <v>15</v>
      </c>
      <c r="N149" s="7">
        <f>ROUNDUP(15/GiaDinh!$C$5-0.0005,0)</f>
        <v>3</v>
      </c>
      <c r="O149" s="7">
        <f t="shared" si="12"/>
        <v>2</v>
      </c>
      <c r="P149" s="7">
        <v>12</v>
      </c>
      <c r="Q149" s="7">
        <f t="shared" si="13"/>
        <v>24</v>
      </c>
      <c r="R149" s="7">
        <f t="shared" si="14"/>
        <v>12</v>
      </c>
      <c r="S149" s="12">
        <f>M149*GiaDinh!$C$7</f>
        <v>45.15</v>
      </c>
    </row>
    <row r="150" spans="1:19" ht="15.5" x14ac:dyDescent="0.35">
      <c r="A150" s="7" t="s">
        <v>8</v>
      </c>
      <c r="B150" s="7" t="s">
        <v>467</v>
      </c>
      <c r="C150" s="7" t="s">
        <v>197</v>
      </c>
      <c r="D150" s="7" t="s">
        <v>468</v>
      </c>
      <c r="E150" s="7">
        <v>1</v>
      </c>
      <c r="F150" s="7">
        <v>76.5</v>
      </c>
      <c r="G150" s="11">
        <f>1*F150*GiaDinh!$C$18*GiaDinh!$C$17</f>
        <v>64.259999999999991</v>
      </c>
      <c r="H150" s="7">
        <v>12</v>
      </c>
      <c r="I150" s="11">
        <f>H150*GiaDinh!$C$16</f>
        <v>84</v>
      </c>
      <c r="J150" s="7">
        <f t="shared" si="10"/>
        <v>1</v>
      </c>
      <c r="K150" s="7">
        <v>1</v>
      </c>
      <c r="L150" s="7" t="str">
        <f t="shared" si="11"/>
        <v>ĐỦ</v>
      </c>
      <c r="M150" s="11">
        <v>15</v>
      </c>
      <c r="N150" s="7">
        <f>ROUNDUP(15/GiaDinh!$C$5-0.0005,0)</f>
        <v>3</v>
      </c>
      <c r="O150" s="7">
        <f t="shared" si="12"/>
        <v>2</v>
      </c>
      <c r="P150" s="7">
        <v>12</v>
      </c>
      <c r="Q150" s="7">
        <f t="shared" si="13"/>
        <v>24</v>
      </c>
      <c r="R150" s="7">
        <f t="shared" si="14"/>
        <v>12</v>
      </c>
      <c r="S150" s="12">
        <f>M150*GiaDinh!$C$7</f>
        <v>45.15</v>
      </c>
    </row>
    <row r="151" spans="1:19" ht="15.5" x14ac:dyDescent="0.35">
      <c r="A151" s="7" t="s">
        <v>8</v>
      </c>
      <c r="B151" s="7" t="s">
        <v>469</v>
      </c>
      <c r="C151" s="7" t="s">
        <v>197</v>
      </c>
      <c r="D151" s="7" t="s">
        <v>470</v>
      </c>
      <c r="E151" s="7">
        <v>1</v>
      </c>
      <c r="F151" s="7">
        <v>76.5</v>
      </c>
      <c r="G151" s="11">
        <f>1*F151*GiaDinh!$C$18*GiaDinh!$C$17</f>
        <v>64.259999999999991</v>
      </c>
      <c r="H151" s="7">
        <v>12</v>
      </c>
      <c r="I151" s="11">
        <f>H151*GiaDinh!$C$16</f>
        <v>84</v>
      </c>
      <c r="J151" s="7">
        <f t="shared" si="10"/>
        <v>1</v>
      </c>
      <c r="K151" s="7">
        <v>1</v>
      </c>
      <c r="L151" s="7" t="str">
        <f t="shared" si="11"/>
        <v>ĐỦ</v>
      </c>
      <c r="M151" s="11">
        <v>15</v>
      </c>
      <c r="N151" s="7">
        <f>ROUNDUP(15/GiaDinh!$C$5-0.0005,0)</f>
        <v>3</v>
      </c>
      <c r="O151" s="7">
        <f t="shared" si="12"/>
        <v>2</v>
      </c>
      <c r="P151" s="7">
        <v>12</v>
      </c>
      <c r="Q151" s="7">
        <f t="shared" si="13"/>
        <v>24</v>
      </c>
      <c r="R151" s="7">
        <f t="shared" si="14"/>
        <v>12</v>
      </c>
      <c r="S151" s="12">
        <f>M151*GiaDinh!$C$7</f>
        <v>45.15</v>
      </c>
    </row>
    <row r="152" spans="1:19" ht="15.5" x14ac:dyDescent="0.35">
      <c r="A152" s="7" t="s">
        <v>8</v>
      </c>
      <c r="B152" s="7" t="s">
        <v>471</v>
      </c>
      <c r="C152" s="7" t="s">
        <v>197</v>
      </c>
      <c r="D152" s="7" t="s">
        <v>472</v>
      </c>
      <c r="E152" s="7">
        <v>1</v>
      </c>
      <c r="F152" s="7">
        <v>76.5</v>
      </c>
      <c r="G152" s="11">
        <f>1*F152*GiaDinh!$C$18*GiaDinh!$C$17</f>
        <v>64.259999999999991</v>
      </c>
      <c r="H152" s="7">
        <v>12</v>
      </c>
      <c r="I152" s="11">
        <f>H152*GiaDinh!$C$16</f>
        <v>84</v>
      </c>
      <c r="J152" s="7">
        <f t="shared" si="10"/>
        <v>1</v>
      </c>
      <c r="K152" s="7">
        <v>1</v>
      </c>
      <c r="L152" s="7" t="str">
        <f t="shared" si="11"/>
        <v>ĐỦ</v>
      </c>
      <c r="M152" s="11">
        <v>15</v>
      </c>
      <c r="N152" s="7">
        <f>ROUNDUP(15/GiaDinh!$C$5-0.0005,0)</f>
        <v>3</v>
      </c>
      <c r="O152" s="7">
        <f t="shared" si="12"/>
        <v>2</v>
      </c>
      <c r="P152" s="7">
        <v>12</v>
      </c>
      <c r="Q152" s="7">
        <f t="shared" si="13"/>
        <v>24</v>
      </c>
      <c r="R152" s="7">
        <f t="shared" si="14"/>
        <v>12</v>
      </c>
      <c r="S152" s="12">
        <f>M152*GiaDinh!$C$7</f>
        <v>45.15</v>
      </c>
    </row>
    <row r="153" spans="1:19" ht="15.5" x14ac:dyDescent="0.35">
      <c r="A153" s="7" t="s">
        <v>8</v>
      </c>
      <c r="B153" s="7" t="s">
        <v>473</v>
      </c>
      <c r="C153" s="7" t="s">
        <v>197</v>
      </c>
      <c r="D153" s="7" t="s">
        <v>474</v>
      </c>
      <c r="E153" s="7">
        <v>1</v>
      </c>
      <c r="F153" s="7">
        <v>76.5</v>
      </c>
      <c r="G153" s="11">
        <f>1*F153*GiaDinh!$C$18*GiaDinh!$C$17</f>
        <v>64.259999999999991</v>
      </c>
      <c r="H153" s="7">
        <v>12</v>
      </c>
      <c r="I153" s="11">
        <f>H153*GiaDinh!$C$16</f>
        <v>84</v>
      </c>
      <c r="J153" s="7">
        <f t="shared" si="10"/>
        <v>1</v>
      </c>
      <c r="K153" s="7">
        <v>1</v>
      </c>
      <c r="L153" s="7" t="str">
        <f t="shared" si="11"/>
        <v>ĐỦ</v>
      </c>
      <c r="M153" s="11">
        <v>15</v>
      </c>
      <c r="N153" s="7">
        <f>ROUNDUP(15/GiaDinh!$C$5-0.0005,0)</f>
        <v>3</v>
      </c>
      <c r="O153" s="7">
        <f t="shared" si="12"/>
        <v>2</v>
      </c>
      <c r="P153" s="7">
        <v>12</v>
      </c>
      <c r="Q153" s="7">
        <f t="shared" si="13"/>
        <v>24</v>
      </c>
      <c r="R153" s="7">
        <f t="shared" si="14"/>
        <v>12</v>
      </c>
      <c r="S153" s="12">
        <f>M153*GiaDinh!$C$7</f>
        <v>45.15</v>
      </c>
    </row>
    <row r="154" spans="1:19" ht="15.5" x14ac:dyDescent="0.35">
      <c r="A154" s="7" t="s">
        <v>9</v>
      </c>
      <c r="B154" s="7" t="s">
        <v>475</v>
      </c>
      <c r="C154" s="7" t="s">
        <v>174</v>
      </c>
      <c r="D154" s="7" t="s">
        <v>476</v>
      </c>
      <c r="E154" s="7">
        <v>2</v>
      </c>
      <c r="F154" s="7">
        <v>113.5</v>
      </c>
      <c r="G154" s="11">
        <f>2*F154*GiaDinh!$C$18*GiaDinh!$C$17</f>
        <v>190.67999999999998</v>
      </c>
      <c r="H154" s="7">
        <v>12</v>
      </c>
      <c r="I154" s="11">
        <f>H154*GiaDinh!$C$16</f>
        <v>84</v>
      </c>
      <c r="J154" s="7">
        <f t="shared" si="10"/>
        <v>3</v>
      </c>
      <c r="K154" s="7">
        <v>3</v>
      </c>
      <c r="L154" s="7" t="str">
        <f t="shared" si="11"/>
        <v>ĐỦ</v>
      </c>
      <c r="M154" s="11">
        <v>45</v>
      </c>
      <c r="N154" s="7">
        <f>ROUNDUP(15/GiaDinh!$C$5-0.0005,0)+ROUNDUP(15/GiaDinh!$C$5-0.0005,0)+ROUNDUP(15/GiaDinh!$C$5-0.0005,0)</f>
        <v>9</v>
      </c>
      <c r="O154" s="7">
        <f t="shared" si="12"/>
        <v>6</v>
      </c>
      <c r="P154" s="7">
        <v>36</v>
      </c>
      <c r="Q154" s="7">
        <f t="shared" si="13"/>
        <v>72</v>
      </c>
      <c r="R154" s="7">
        <f t="shared" si="14"/>
        <v>36</v>
      </c>
      <c r="S154" s="12">
        <f>M154*GiaDinh!$C$7</f>
        <v>135.44999999999999</v>
      </c>
    </row>
    <row r="155" spans="1:19" ht="15.5" x14ac:dyDescent="0.35">
      <c r="A155" s="7" t="s">
        <v>9</v>
      </c>
      <c r="B155" s="7" t="s">
        <v>477</v>
      </c>
      <c r="C155" s="7" t="s">
        <v>174</v>
      </c>
      <c r="D155" s="7" t="s">
        <v>478</v>
      </c>
      <c r="E155" s="7">
        <v>2</v>
      </c>
      <c r="F155" s="7">
        <v>113.5</v>
      </c>
      <c r="G155" s="11">
        <f>2*F155*GiaDinh!$C$18*GiaDinh!$C$17</f>
        <v>190.67999999999998</v>
      </c>
      <c r="H155" s="7">
        <v>12</v>
      </c>
      <c r="I155" s="11">
        <f>H155*GiaDinh!$C$16</f>
        <v>84</v>
      </c>
      <c r="J155" s="7">
        <f t="shared" si="10"/>
        <v>3</v>
      </c>
      <c r="K155" s="7">
        <v>3</v>
      </c>
      <c r="L155" s="7" t="str">
        <f t="shared" si="11"/>
        <v>ĐỦ</v>
      </c>
      <c r="M155" s="11">
        <v>42.555999999999997</v>
      </c>
      <c r="N155" s="7">
        <f>ROUNDUP(14.185/GiaDinh!$C$5-0.0005,0)+ROUNDUP(14.185/GiaDinh!$C$5-0.0005,0)+ROUNDUP(14.185/GiaDinh!$C$5-0.0005,0)</f>
        <v>9</v>
      </c>
      <c r="O155" s="7">
        <f t="shared" si="12"/>
        <v>6</v>
      </c>
      <c r="P155" s="7">
        <v>36</v>
      </c>
      <c r="Q155" s="7">
        <f t="shared" si="13"/>
        <v>72</v>
      </c>
      <c r="R155" s="7">
        <f t="shared" si="14"/>
        <v>36</v>
      </c>
      <c r="S155" s="12">
        <f>M155*GiaDinh!$C$7</f>
        <v>128.09356</v>
      </c>
    </row>
    <row r="156" spans="1:19" ht="15.5" x14ac:dyDescent="0.35">
      <c r="A156" s="7" t="s">
        <v>9</v>
      </c>
      <c r="B156" s="7" t="s">
        <v>479</v>
      </c>
      <c r="C156" s="7" t="s">
        <v>174</v>
      </c>
      <c r="D156" s="7" t="s">
        <v>480</v>
      </c>
      <c r="E156" s="7">
        <v>1</v>
      </c>
      <c r="F156" s="7">
        <v>113.5</v>
      </c>
      <c r="G156" s="11">
        <f>0*F156*GiaDinh!$C$18*GiaDinh!$C$17+132.1*GiaDinh!$C$17</f>
        <v>158.51999999999998</v>
      </c>
      <c r="H156" s="7">
        <v>12</v>
      </c>
      <c r="I156" s="11">
        <f>H156*GiaDinh!$C$16</f>
        <v>84</v>
      </c>
      <c r="J156" s="7">
        <f t="shared" si="10"/>
        <v>2</v>
      </c>
      <c r="K156" s="7">
        <v>2</v>
      </c>
      <c r="L156" s="7" t="str">
        <f t="shared" si="11"/>
        <v>ĐỦ</v>
      </c>
      <c r="M156" s="11">
        <v>30</v>
      </c>
      <c r="N156" s="7">
        <f>ROUNDUP(15/GiaDinh!$C$5-0.0005,0)+ROUNDUP(15/GiaDinh!$C$5-0.0005,0)</f>
        <v>6</v>
      </c>
      <c r="O156" s="7">
        <f t="shared" si="12"/>
        <v>4</v>
      </c>
      <c r="P156" s="7">
        <v>24</v>
      </c>
      <c r="Q156" s="7">
        <f t="shared" si="13"/>
        <v>48</v>
      </c>
      <c r="R156" s="7">
        <f t="shared" si="14"/>
        <v>24</v>
      </c>
      <c r="S156" s="12">
        <f>M156*GiaDinh!$C$7</f>
        <v>90.3</v>
      </c>
    </row>
    <row r="157" spans="1:19" ht="15.5" x14ac:dyDescent="0.35">
      <c r="A157" s="7" t="s">
        <v>9</v>
      </c>
      <c r="B157" s="7" t="s">
        <v>481</v>
      </c>
      <c r="C157" s="7" t="s">
        <v>174</v>
      </c>
      <c r="D157" s="7" t="s">
        <v>482</v>
      </c>
      <c r="E157" s="7">
        <v>1</v>
      </c>
      <c r="F157" s="7">
        <v>113.5</v>
      </c>
      <c r="G157" s="11">
        <f>0*F157*GiaDinh!$C$18*GiaDinh!$C$17+132.1*GiaDinh!$C$17</f>
        <v>158.51999999999998</v>
      </c>
      <c r="H157" s="7">
        <v>8</v>
      </c>
      <c r="I157" s="11">
        <f>H157*GiaDinh!$C$16</f>
        <v>56</v>
      </c>
      <c r="J157" s="7">
        <f t="shared" si="10"/>
        <v>3</v>
      </c>
      <c r="K157" s="7">
        <v>3</v>
      </c>
      <c r="L157" s="7" t="str">
        <f t="shared" si="11"/>
        <v>ĐỦ</v>
      </c>
      <c r="M157" s="11">
        <v>37.023000000000003</v>
      </c>
      <c r="N157" s="7">
        <f>ROUNDUP(11.011/GiaDinh!$C$5-0.0005,0)+ROUNDUP(11.011/GiaDinh!$C$5-0.0005,0)+ROUNDUP(15/GiaDinh!$C$5-0.0005,0)</f>
        <v>7</v>
      </c>
      <c r="O157" s="7">
        <f t="shared" si="12"/>
        <v>4</v>
      </c>
      <c r="P157" s="7">
        <v>28</v>
      </c>
      <c r="Q157" s="7">
        <f t="shared" si="13"/>
        <v>56</v>
      </c>
      <c r="R157" s="7">
        <f t="shared" si="14"/>
        <v>28</v>
      </c>
      <c r="S157" s="12">
        <f>M157*GiaDinh!$C$7</f>
        <v>111.43922999999999</v>
      </c>
    </row>
    <row r="158" spans="1:19" ht="15.5" x14ac:dyDescent="0.35">
      <c r="A158" s="7" t="s">
        <v>9</v>
      </c>
      <c r="B158" s="7" t="s">
        <v>483</v>
      </c>
      <c r="C158" s="7" t="s">
        <v>174</v>
      </c>
      <c r="D158" s="7" t="s">
        <v>484</v>
      </c>
      <c r="E158" s="7">
        <v>1</v>
      </c>
      <c r="F158" s="7">
        <v>113.5</v>
      </c>
      <c r="G158" s="11">
        <f>0*F158*GiaDinh!$C$18*GiaDinh!$C$17+132.1*GiaDinh!$C$17</f>
        <v>158.51999999999998</v>
      </c>
      <c r="H158" s="7">
        <v>12</v>
      </c>
      <c r="I158" s="11">
        <f>H158*GiaDinh!$C$16</f>
        <v>84</v>
      </c>
      <c r="J158" s="7">
        <f t="shared" si="10"/>
        <v>2</v>
      </c>
      <c r="K158" s="7">
        <v>2</v>
      </c>
      <c r="L158" s="7" t="str">
        <f t="shared" si="11"/>
        <v>ĐỦ</v>
      </c>
      <c r="M158" s="11">
        <v>30</v>
      </c>
      <c r="N158" s="7">
        <f>ROUNDUP(15/GiaDinh!$C$5-0.0005,0)+ROUNDUP(15/GiaDinh!$C$5-0.0005,0)</f>
        <v>6</v>
      </c>
      <c r="O158" s="7">
        <f t="shared" si="12"/>
        <v>4</v>
      </c>
      <c r="P158" s="7">
        <v>24</v>
      </c>
      <c r="Q158" s="7">
        <f t="shared" si="13"/>
        <v>48</v>
      </c>
      <c r="R158" s="7">
        <f t="shared" si="14"/>
        <v>24</v>
      </c>
      <c r="S158" s="12">
        <f>M158*GiaDinh!$C$7</f>
        <v>90.3</v>
      </c>
    </row>
    <row r="159" spans="1:19" ht="15.5" x14ac:dyDescent="0.35">
      <c r="A159" s="7" t="s">
        <v>9</v>
      </c>
      <c r="B159" s="7" t="s">
        <v>485</v>
      </c>
      <c r="C159" s="7" t="s">
        <v>174</v>
      </c>
      <c r="D159" s="7" t="s">
        <v>486</v>
      </c>
      <c r="E159" s="7">
        <v>2</v>
      </c>
      <c r="F159" s="7">
        <v>113.5</v>
      </c>
      <c r="G159" s="11">
        <f>0*F159*GiaDinh!$C$18*GiaDinh!$C$17+264.2*GiaDinh!$C$17</f>
        <v>317.03999999999996</v>
      </c>
      <c r="H159" s="7">
        <v>12</v>
      </c>
      <c r="I159" s="11">
        <f>H159*GiaDinh!$C$16</f>
        <v>84</v>
      </c>
      <c r="J159" s="7">
        <f t="shared" si="10"/>
        <v>4</v>
      </c>
      <c r="K159" s="7">
        <v>4</v>
      </c>
      <c r="L159" s="7" t="str">
        <f t="shared" si="11"/>
        <v>ĐỦ</v>
      </c>
      <c r="M159" s="11">
        <v>60</v>
      </c>
      <c r="N159" s="7">
        <f>ROUNDUP(15/GiaDinh!$C$5-0.0005,0)+ROUNDUP(15/GiaDinh!$C$5-0.0005,0)+ROUNDUP(15/GiaDinh!$C$5-0.0005,0)+ROUNDUP(15/GiaDinh!$C$5-0.0005,0)</f>
        <v>12</v>
      </c>
      <c r="O159" s="7">
        <f t="shared" si="12"/>
        <v>8</v>
      </c>
      <c r="P159" s="7">
        <v>48</v>
      </c>
      <c r="Q159" s="7">
        <f t="shared" si="13"/>
        <v>96</v>
      </c>
      <c r="R159" s="7">
        <f t="shared" si="14"/>
        <v>48</v>
      </c>
      <c r="S159" s="12">
        <f>M159*GiaDinh!$C$7</f>
        <v>180.6</v>
      </c>
    </row>
    <row r="160" spans="1:19" ht="15.5" x14ac:dyDescent="0.35">
      <c r="A160" s="7" t="s">
        <v>9</v>
      </c>
      <c r="B160" s="7" t="s">
        <v>487</v>
      </c>
      <c r="C160" s="7" t="s">
        <v>174</v>
      </c>
      <c r="D160" s="7" t="s">
        <v>488</v>
      </c>
      <c r="E160" s="7">
        <v>1</v>
      </c>
      <c r="F160" s="7">
        <v>113.5</v>
      </c>
      <c r="G160" s="11">
        <f>0*F160*GiaDinh!$C$18*GiaDinh!$C$17+132.1*GiaDinh!$C$17</f>
        <v>158.51999999999998</v>
      </c>
      <c r="H160" s="7">
        <v>11</v>
      </c>
      <c r="I160" s="11">
        <f>H160*GiaDinh!$C$16</f>
        <v>77</v>
      </c>
      <c r="J160" s="7">
        <f t="shared" si="10"/>
        <v>3</v>
      </c>
      <c r="K160" s="7">
        <v>3</v>
      </c>
      <c r="L160" s="7" t="str">
        <f t="shared" si="11"/>
        <v>ĐỦ</v>
      </c>
      <c r="M160" s="11">
        <v>40.645000000000003</v>
      </c>
      <c r="N160" s="7">
        <f>ROUNDUP(13.548/GiaDinh!$C$5-0.0005,0)+ROUNDUP(13.548/GiaDinh!$C$5-0.0005,0)+ROUNDUP(13.548/GiaDinh!$C$5-0.0005,0)</f>
        <v>9</v>
      </c>
      <c r="O160" s="7">
        <f t="shared" si="12"/>
        <v>6</v>
      </c>
      <c r="P160" s="7">
        <v>33</v>
      </c>
      <c r="Q160" s="7">
        <f t="shared" si="13"/>
        <v>66</v>
      </c>
      <c r="R160" s="7">
        <f t="shared" si="14"/>
        <v>33</v>
      </c>
      <c r="S160" s="12">
        <f>M160*GiaDinh!$C$7</f>
        <v>122.34144999999999</v>
      </c>
    </row>
    <row r="161" spans="1:19" ht="15.5" x14ac:dyDescent="0.35">
      <c r="A161" s="7" t="s">
        <v>9</v>
      </c>
      <c r="B161" s="7" t="s">
        <v>489</v>
      </c>
      <c r="C161" s="7" t="s">
        <v>174</v>
      </c>
      <c r="D161" s="7" t="s">
        <v>490</v>
      </c>
      <c r="E161" s="7">
        <v>2</v>
      </c>
      <c r="F161" s="7">
        <v>113.5</v>
      </c>
      <c r="G161" s="11">
        <f>2*F161*GiaDinh!$C$18*GiaDinh!$C$17</f>
        <v>190.67999999999998</v>
      </c>
      <c r="H161" s="7">
        <v>12</v>
      </c>
      <c r="I161" s="11">
        <f>H161*GiaDinh!$C$16</f>
        <v>84</v>
      </c>
      <c r="J161" s="7">
        <f t="shared" si="10"/>
        <v>3</v>
      </c>
      <c r="K161" s="7">
        <v>3</v>
      </c>
      <c r="L161" s="7" t="str">
        <f t="shared" si="11"/>
        <v>ĐỦ</v>
      </c>
      <c r="M161" s="11">
        <v>45</v>
      </c>
      <c r="N161" s="7">
        <f>ROUNDUP(15/GiaDinh!$C$5-0.0005,0)+ROUNDUP(15/GiaDinh!$C$5-0.0005,0)+ROUNDUP(15/GiaDinh!$C$5-0.0005,0)</f>
        <v>9</v>
      </c>
      <c r="O161" s="7">
        <f t="shared" si="12"/>
        <v>6</v>
      </c>
      <c r="P161" s="7">
        <v>36</v>
      </c>
      <c r="Q161" s="7">
        <f t="shared" si="13"/>
        <v>72</v>
      </c>
      <c r="R161" s="7">
        <f t="shared" si="14"/>
        <v>36</v>
      </c>
      <c r="S161" s="12">
        <f>M161*GiaDinh!$C$7</f>
        <v>135.44999999999999</v>
      </c>
    </row>
    <row r="162" spans="1:19" ht="15.5" x14ac:dyDescent="0.35">
      <c r="A162" s="7" t="s">
        <v>9</v>
      </c>
      <c r="B162" s="7" t="s">
        <v>491</v>
      </c>
      <c r="C162" s="7" t="s">
        <v>174</v>
      </c>
      <c r="D162" s="7" t="s">
        <v>492</v>
      </c>
      <c r="E162" s="7">
        <v>2</v>
      </c>
      <c r="F162" s="7">
        <v>113.5</v>
      </c>
      <c r="G162" s="11">
        <f>2*F162*GiaDinh!$C$18*GiaDinh!$C$17</f>
        <v>190.67999999999998</v>
      </c>
      <c r="H162" s="7">
        <v>11</v>
      </c>
      <c r="I162" s="11">
        <f>H162*GiaDinh!$C$16</f>
        <v>77</v>
      </c>
      <c r="J162" s="7">
        <f t="shared" si="10"/>
        <v>3</v>
      </c>
      <c r="K162" s="7">
        <v>3</v>
      </c>
      <c r="L162" s="7" t="str">
        <f t="shared" si="11"/>
        <v>ĐỦ</v>
      </c>
      <c r="M162" s="11">
        <v>42.801000000000002</v>
      </c>
      <c r="N162" s="7">
        <f>ROUNDUP(14.267/GiaDinh!$C$5-0.0005,0)+ROUNDUP(14.267/GiaDinh!$C$5-0.0005,0)+ROUNDUP(14.267/GiaDinh!$C$5-0.0005,0)</f>
        <v>9</v>
      </c>
      <c r="O162" s="7">
        <f t="shared" si="12"/>
        <v>6</v>
      </c>
      <c r="P162" s="7">
        <v>33</v>
      </c>
      <c r="Q162" s="7">
        <f t="shared" si="13"/>
        <v>66</v>
      </c>
      <c r="R162" s="7">
        <f t="shared" si="14"/>
        <v>33</v>
      </c>
      <c r="S162" s="12">
        <f>M162*GiaDinh!$C$7</f>
        <v>128.83100999999999</v>
      </c>
    </row>
    <row r="163" spans="1:19" ht="15.5" x14ac:dyDescent="0.35">
      <c r="A163" s="7" t="s">
        <v>9</v>
      </c>
      <c r="B163" s="7" t="s">
        <v>493</v>
      </c>
      <c r="C163" s="7" t="s">
        <v>174</v>
      </c>
      <c r="D163" s="7" t="s">
        <v>494</v>
      </c>
      <c r="E163" s="7">
        <v>2</v>
      </c>
      <c r="F163" s="7">
        <v>113.5</v>
      </c>
      <c r="G163" s="11">
        <f>2*F163*GiaDinh!$C$18*GiaDinh!$C$17</f>
        <v>190.67999999999998</v>
      </c>
      <c r="H163" s="7">
        <v>12</v>
      </c>
      <c r="I163" s="11">
        <f>H163*GiaDinh!$C$16</f>
        <v>84</v>
      </c>
      <c r="J163" s="7">
        <f t="shared" si="10"/>
        <v>3</v>
      </c>
      <c r="K163" s="7">
        <v>3</v>
      </c>
      <c r="L163" s="7" t="str">
        <f t="shared" si="11"/>
        <v>ĐỦ</v>
      </c>
      <c r="M163" s="11">
        <v>45</v>
      </c>
      <c r="N163" s="7">
        <f>ROUNDUP(15/GiaDinh!$C$5-0.0005,0)+ROUNDUP(15/GiaDinh!$C$5-0.0005,0)+ROUNDUP(15/GiaDinh!$C$5-0.0005,0)</f>
        <v>9</v>
      </c>
      <c r="O163" s="7">
        <f t="shared" si="12"/>
        <v>6</v>
      </c>
      <c r="P163" s="7">
        <v>36</v>
      </c>
      <c r="Q163" s="7">
        <f t="shared" si="13"/>
        <v>72</v>
      </c>
      <c r="R163" s="7">
        <f t="shared" si="14"/>
        <v>36</v>
      </c>
      <c r="S163" s="12">
        <f>M163*GiaDinh!$C$7</f>
        <v>135.44999999999999</v>
      </c>
    </row>
    <row r="164" spans="1:19" ht="15.5" x14ac:dyDescent="0.35">
      <c r="A164" s="7" t="s">
        <v>9</v>
      </c>
      <c r="B164" s="7" t="s">
        <v>495</v>
      </c>
      <c r="C164" s="7" t="s">
        <v>197</v>
      </c>
      <c r="D164" s="7" t="s">
        <v>496</v>
      </c>
      <c r="E164" s="7">
        <v>1</v>
      </c>
      <c r="F164" s="7">
        <v>113.5</v>
      </c>
      <c r="G164" s="11">
        <f>1*F164*GiaDinh!$C$18*GiaDinh!$C$17</f>
        <v>95.339999999999989</v>
      </c>
      <c r="H164" s="7">
        <v>12</v>
      </c>
      <c r="I164" s="11">
        <f>H164*GiaDinh!$C$16</f>
        <v>84</v>
      </c>
      <c r="J164" s="7">
        <f t="shared" si="10"/>
        <v>2</v>
      </c>
      <c r="K164" s="7">
        <v>2</v>
      </c>
      <c r="L164" s="7" t="str">
        <f t="shared" si="11"/>
        <v>ĐỦ</v>
      </c>
      <c r="M164" s="11">
        <v>30</v>
      </c>
      <c r="N164" s="7">
        <f>ROUNDUP(15/GiaDinh!$C$5-0.0005,0)+ROUNDUP(15/GiaDinh!$C$5-0.0005,0)</f>
        <v>6</v>
      </c>
      <c r="O164" s="7">
        <f t="shared" si="12"/>
        <v>4</v>
      </c>
      <c r="P164" s="7">
        <v>24</v>
      </c>
      <c r="Q164" s="7">
        <f t="shared" si="13"/>
        <v>48</v>
      </c>
      <c r="R164" s="7">
        <f t="shared" si="14"/>
        <v>24</v>
      </c>
      <c r="S164" s="12">
        <f>M164*GiaDinh!$C$7</f>
        <v>90.3</v>
      </c>
    </row>
    <row r="165" spans="1:19" ht="15.5" x14ac:dyDescent="0.35">
      <c r="A165" s="7" t="s">
        <v>9</v>
      </c>
      <c r="B165" s="7" t="s">
        <v>497</v>
      </c>
      <c r="C165" s="7" t="s">
        <v>197</v>
      </c>
      <c r="D165" s="7" t="s">
        <v>498</v>
      </c>
      <c r="E165" s="7">
        <v>1</v>
      </c>
      <c r="F165" s="7">
        <v>113.5</v>
      </c>
      <c r="G165" s="11">
        <f>1*F165*GiaDinh!$C$18*GiaDinh!$C$17</f>
        <v>95.339999999999989</v>
      </c>
      <c r="H165" s="7">
        <v>12</v>
      </c>
      <c r="I165" s="11">
        <f>H165*GiaDinh!$C$16</f>
        <v>84</v>
      </c>
      <c r="J165" s="7">
        <f t="shared" si="10"/>
        <v>2</v>
      </c>
      <c r="K165" s="7">
        <v>2</v>
      </c>
      <c r="L165" s="7" t="str">
        <f t="shared" si="11"/>
        <v>ĐỦ</v>
      </c>
      <c r="M165" s="11">
        <v>30</v>
      </c>
      <c r="N165" s="7">
        <f>ROUNDUP(15/GiaDinh!$C$5-0.0005,0)+ROUNDUP(15/GiaDinh!$C$5-0.0005,0)</f>
        <v>6</v>
      </c>
      <c r="O165" s="7">
        <f t="shared" si="12"/>
        <v>4</v>
      </c>
      <c r="P165" s="7">
        <v>24</v>
      </c>
      <c r="Q165" s="7">
        <f t="shared" si="13"/>
        <v>48</v>
      </c>
      <c r="R165" s="7">
        <f t="shared" si="14"/>
        <v>24</v>
      </c>
      <c r="S165" s="12">
        <f>M165*GiaDinh!$C$7</f>
        <v>90.3</v>
      </c>
    </row>
    <row r="166" spans="1:19" ht="15.5" x14ac:dyDescent="0.35">
      <c r="A166" s="7" t="s">
        <v>9</v>
      </c>
      <c r="B166" s="7" t="s">
        <v>499</v>
      </c>
      <c r="C166" s="7" t="s">
        <v>197</v>
      </c>
      <c r="D166" s="7" t="s">
        <v>500</v>
      </c>
      <c r="E166" s="7">
        <v>1</v>
      </c>
      <c r="F166" s="7">
        <v>113.5</v>
      </c>
      <c r="G166" s="11">
        <f>1*F166*GiaDinh!$C$18*GiaDinh!$C$17</f>
        <v>95.339999999999989</v>
      </c>
      <c r="H166" s="7">
        <v>12</v>
      </c>
      <c r="I166" s="11">
        <f>H166*GiaDinh!$C$16</f>
        <v>84</v>
      </c>
      <c r="J166" s="7">
        <f t="shared" si="10"/>
        <v>2</v>
      </c>
      <c r="K166" s="7">
        <v>2</v>
      </c>
      <c r="L166" s="7" t="str">
        <f t="shared" si="11"/>
        <v>ĐỦ</v>
      </c>
      <c r="M166" s="11">
        <v>30</v>
      </c>
      <c r="N166" s="7">
        <f>ROUNDUP(15/GiaDinh!$C$5-0.0005,0)+ROUNDUP(15/GiaDinh!$C$5-0.0005,0)</f>
        <v>6</v>
      </c>
      <c r="O166" s="7">
        <f t="shared" si="12"/>
        <v>4</v>
      </c>
      <c r="P166" s="7">
        <v>24</v>
      </c>
      <c r="Q166" s="7">
        <f t="shared" si="13"/>
        <v>48</v>
      </c>
      <c r="R166" s="7">
        <f t="shared" si="14"/>
        <v>24</v>
      </c>
      <c r="S166" s="12">
        <f>M166*GiaDinh!$C$7</f>
        <v>90.3</v>
      </c>
    </row>
    <row r="167" spans="1:19" ht="15.5" x14ac:dyDescent="0.35">
      <c r="A167" s="7" t="s">
        <v>9</v>
      </c>
      <c r="B167" s="7" t="s">
        <v>501</v>
      </c>
      <c r="C167" s="7" t="s">
        <v>197</v>
      </c>
      <c r="D167" s="7" t="s">
        <v>502</v>
      </c>
      <c r="E167" s="7">
        <v>1</v>
      </c>
      <c r="F167" s="7">
        <v>113.5</v>
      </c>
      <c r="G167" s="11">
        <f>1*F167*GiaDinh!$C$18*GiaDinh!$C$17</f>
        <v>95.339999999999989</v>
      </c>
      <c r="H167" s="7">
        <v>12</v>
      </c>
      <c r="I167" s="11">
        <f>H167*GiaDinh!$C$16</f>
        <v>84</v>
      </c>
      <c r="J167" s="7">
        <f t="shared" si="10"/>
        <v>2</v>
      </c>
      <c r="K167" s="7">
        <v>2</v>
      </c>
      <c r="L167" s="7" t="str">
        <f t="shared" si="11"/>
        <v>ĐỦ</v>
      </c>
      <c r="M167" s="11">
        <v>30</v>
      </c>
      <c r="N167" s="7">
        <f>ROUNDUP(15/GiaDinh!$C$5-0.0005,0)+ROUNDUP(15/GiaDinh!$C$5-0.0005,0)</f>
        <v>6</v>
      </c>
      <c r="O167" s="7">
        <f t="shared" si="12"/>
        <v>4</v>
      </c>
      <c r="P167" s="7">
        <v>24</v>
      </c>
      <c r="Q167" s="7">
        <f t="shared" si="13"/>
        <v>48</v>
      </c>
      <c r="R167" s="7">
        <f t="shared" si="14"/>
        <v>24</v>
      </c>
      <c r="S167" s="12">
        <f>M167*GiaDinh!$C$7</f>
        <v>90.3</v>
      </c>
    </row>
    <row r="168" spans="1:19" ht="15.5" x14ac:dyDescent="0.35">
      <c r="A168" s="7" t="s">
        <v>9</v>
      </c>
      <c r="B168" s="7" t="s">
        <v>503</v>
      </c>
      <c r="C168" s="7" t="s">
        <v>197</v>
      </c>
      <c r="D168" s="7" t="s">
        <v>504</v>
      </c>
      <c r="E168" s="7">
        <v>1</v>
      </c>
      <c r="F168" s="7">
        <v>113.5</v>
      </c>
      <c r="G168" s="11">
        <f>1*F168*GiaDinh!$C$18*GiaDinh!$C$17</f>
        <v>95.339999999999989</v>
      </c>
      <c r="H168" s="7">
        <v>12</v>
      </c>
      <c r="I168" s="11">
        <f>H168*GiaDinh!$C$16</f>
        <v>84</v>
      </c>
      <c r="J168" s="7">
        <f t="shared" si="10"/>
        <v>2</v>
      </c>
      <c r="K168" s="7">
        <v>2</v>
      </c>
      <c r="L168" s="7" t="str">
        <f t="shared" si="11"/>
        <v>ĐỦ</v>
      </c>
      <c r="M168" s="11">
        <v>30</v>
      </c>
      <c r="N168" s="7">
        <f>ROUNDUP(15/GiaDinh!$C$5-0.0005,0)+ROUNDUP(15/GiaDinh!$C$5-0.0005,0)</f>
        <v>6</v>
      </c>
      <c r="O168" s="7">
        <f t="shared" si="12"/>
        <v>4</v>
      </c>
      <c r="P168" s="7">
        <v>24</v>
      </c>
      <c r="Q168" s="7">
        <f t="shared" si="13"/>
        <v>48</v>
      </c>
      <c r="R168" s="7">
        <f t="shared" si="14"/>
        <v>24</v>
      </c>
      <c r="S168" s="12">
        <f>M168*GiaDinh!$C$7</f>
        <v>90.3</v>
      </c>
    </row>
    <row r="169" spans="1:19" ht="15.5" x14ac:dyDescent="0.35">
      <c r="A169" s="7" t="s">
        <v>9</v>
      </c>
      <c r="B169" s="7" t="s">
        <v>505</v>
      </c>
      <c r="C169" s="7" t="s">
        <v>197</v>
      </c>
      <c r="D169" s="7" t="s">
        <v>506</v>
      </c>
      <c r="E169" s="7">
        <v>1</v>
      </c>
      <c r="F169" s="7">
        <v>113.5</v>
      </c>
      <c r="G169" s="11">
        <f>1*F169*GiaDinh!$C$18*GiaDinh!$C$17</f>
        <v>95.339999999999989</v>
      </c>
      <c r="H169" s="7">
        <v>12</v>
      </c>
      <c r="I169" s="11">
        <f>H169*GiaDinh!$C$16</f>
        <v>84</v>
      </c>
      <c r="J169" s="7">
        <f t="shared" si="10"/>
        <v>2</v>
      </c>
      <c r="K169" s="7">
        <v>2</v>
      </c>
      <c r="L169" s="7" t="str">
        <f t="shared" si="11"/>
        <v>ĐỦ</v>
      </c>
      <c r="M169" s="11">
        <v>30</v>
      </c>
      <c r="N169" s="7">
        <f>ROUNDUP(15/GiaDinh!$C$5-0.0005,0)+ROUNDUP(15/GiaDinh!$C$5-0.0005,0)</f>
        <v>6</v>
      </c>
      <c r="O169" s="7">
        <f t="shared" si="12"/>
        <v>4</v>
      </c>
      <c r="P169" s="7">
        <v>24</v>
      </c>
      <c r="Q169" s="7">
        <f t="shared" si="13"/>
        <v>48</v>
      </c>
      <c r="R169" s="7">
        <f t="shared" si="14"/>
        <v>24</v>
      </c>
      <c r="S169" s="12">
        <f>M169*GiaDinh!$C$7</f>
        <v>90.3</v>
      </c>
    </row>
    <row r="170" spans="1:19" ht="15.5" x14ac:dyDescent="0.35">
      <c r="A170" s="7" t="s">
        <v>9</v>
      </c>
      <c r="B170" s="7" t="s">
        <v>507</v>
      </c>
      <c r="C170" s="7" t="s">
        <v>197</v>
      </c>
      <c r="D170" s="7" t="s">
        <v>508</v>
      </c>
      <c r="E170" s="7">
        <v>1</v>
      </c>
      <c r="F170" s="7">
        <v>113.5</v>
      </c>
      <c r="G170" s="11">
        <f>1*F170*GiaDinh!$C$18*GiaDinh!$C$17</f>
        <v>95.339999999999989</v>
      </c>
      <c r="H170" s="7">
        <v>13</v>
      </c>
      <c r="I170" s="11">
        <f>H170*GiaDinh!$C$16</f>
        <v>91</v>
      </c>
      <c r="J170" s="7">
        <f t="shared" si="10"/>
        <v>2</v>
      </c>
      <c r="K170" s="7">
        <v>2</v>
      </c>
      <c r="L170" s="7" t="str">
        <f t="shared" si="11"/>
        <v>ĐỦ</v>
      </c>
      <c r="M170" s="11">
        <v>30</v>
      </c>
      <c r="N170" s="7">
        <f>ROUNDUP(15/GiaDinh!$C$5-0.0005,0)+ROUNDUP(15/GiaDinh!$C$5-0.0005,0)</f>
        <v>6</v>
      </c>
      <c r="O170" s="7">
        <f t="shared" si="12"/>
        <v>4</v>
      </c>
      <c r="P170" s="7">
        <v>26</v>
      </c>
      <c r="Q170" s="7">
        <f t="shared" si="13"/>
        <v>52</v>
      </c>
      <c r="R170" s="7">
        <f t="shared" si="14"/>
        <v>26</v>
      </c>
      <c r="S170" s="12">
        <f>M170*GiaDinh!$C$7</f>
        <v>90.3</v>
      </c>
    </row>
    <row r="171" spans="1:19" ht="15.5" x14ac:dyDescent="0.35">
      <c r="A171" s="7" t="s">
        <v>9</v>
      </c>
      <c r="B171" s="7" t="s">
        <v>509</v>
      </c>
      <c r="C171" s="7" t="s">
        <v>197</v>
      </c>
      <c r="D171" s="7" t="s">
        <v>510</v>
      </c>
      <c r="E171" s="7">
        <v>1</v>
      </c>
      <c r="F171" s="7">
        <v>113.5</v>
      </c>
      <c r="G171" s="11">
        <f>1*F171*GiaDinh!$C$18*GiaDinh!$C$17</f>
        <v>95.339999999999989</v>
      </c>
      <c r="H171" s="7">
        <v>13</v>
      </c>
      <c r="I171" s="11">
        <f>H171*GiaDinh!$C$16</f>
        <v>91</v>
      </c>
      <c r="J171" s="7">
        <f t="shared" si="10"/>
        <v>2</v>
      </c>
      <c r="K171" s="7">
        <v>2</v>
      </c>
      <c r="L171" s="7" t="str">
        <f t="shared" si="11"/>
        <v>ĐỦ</v>
      </c>
      <c r="M171" s="11">
        <v>30</v>
      </c>
      <c r="N171" s="7">
        <f>ROUNDUP(15/GiaDinh!$C$5-0.0005,0)+ROUNDUP(15/GiaDinh!$C$5-0.0005,0)</f>
        <v>6</v>
      </c>
      <c r="O171" s="7">
        <f t="shared" si="12"/>
        <v>4</v>
      </c>
      <c r="P171" s="7">
        <v>26</v>
      </c>
      <c r="Q171" s="7">
        <f t="shared" si="13"/>
        <v>52</v>
      </c>
      <c r="R171" s="7">
        <f t="shared" si="14"/>
        <v>26</v>
      </c>
      <c r="S171" s="12">
        <f>M171*GiaDinh!$C$7</f>
        <v>90.3</v>
      </c>
    </row>
    <row r="172" spans="1:19" ht="15.5" x14ac:dyDescent="0.35">
      <c r="A172" s="7" t="s">
        <v>9</v>
      </c>
      <c r="B172" s="7" t="s">
        <v>511</v>
      </c>
      <c r="C172" s="7" t="s">
        <v>197</v>
      </c>
      <c r="D172" s="7" t="s">
        <v>512</v>
      </c>
      <c r="E172" s="7">
        <v>1</v>
      </c>
      <c r="F172" s="7">
        <v>113.5</v>
      </c>
      <c r="G172" s="11">
        <f>1*F172*GiaDinh!$C$18*GiaDinh!$C$17</f>
        <v>95.339999999999989</v>
      </c>
      <c r="H172" s="7">
        <v>13</v>
      </c>
      <c r="I172" s="11">
        <f>H172*GiaDinh!$C$16</f>
        <v>91</v>
      </c>
      <c r="J172" s="7">
        <f t="shared" si="10"/>
        <v>2</v>
      </c>
      <c r="K172" s="7">
        <v>2</v>
      </c>
      <c r="L172" s="7" t="str">
        <f t="shared" si="11"/>
        <v>ĐỦ</v>
      </c>
      <c r="M172" s="11">
        <v>30</v>
      </c>
      <c r="N172" s="7">
        <f>ROUNDUP(15/GiaDinh!$C$5-0.0005,0)+ROUNDUP(15/GiaDinh!$C$5-0.0005,0)</f>
        <v>6</v>
      </c>
      <c r="O172" s="7">
        <f t="shared" si="12"/>
        <v>4</v>
      </c>
      <c r="P172" s="7">
        <v>26</v>
      </c>
      <c r="Q172" s="7">
        <f t="shared" si="13"/>
        <v>52</v>
      </c>
      <c r="R172" s="7">
        <f t="shared" si="14"/>
        <v>26</v>
      </c>
      <c r="S172" s="12">
        <f>M172*GiaDinh!$C$7</f>
        <v>90.3</v>
      </c>
    </row>
    <row r="173" spans="1:19" ht="15.5" x14ac:dyDescent="0.35">
      <c r="A173" s="7" t="s">
        <v>9</v>
      </c>
      <c r="B173" s="7" t="s">
        <v>513</v>
      </c>
      <c r="C173" s="7" t="s">
        <v>197</v>
      </c>
      <c r="D173" s="7" t="s">
        <v>514</v>
      </c>
      <c r="E173" s="7">
        <v>1</v>
      </c>
      <c r="F173" s="7">
        <v>113.5</v>
      </c>
      <c r="G173" s="11">
        <f>1*F173*GiaDinh!$C$18*GiaDinh!$C$17</f>
        <v>95.339999999999989</v>
      </c>
      <c r="H173" s="7">
        <v>13</v>
      </c>
      <c r="I173" s="11">
        <f>H173*GiaDinh!$C$16</f>
        <v>91</v>
      </c>
      <c r="J173" s="7">
        <f t="shared" si="10"/>
        <v>2</v>
      </c>
      <c r="K173" s="7">
        <v>2</v>
      </c>
      <c r="L173" s="7" t="str">
        <f t="shared" si="11"/>
        <v>ĐỦ</v>
      </c>
      <c r="M173" s="11">
        <v>30</v>
      </c>
      <c r="N173" s="7">
        <f>ROUNDUP(15/GiaDinh!$C$5-0.0005,0)+ROUNDUP(15/GiaDinh!$C$5-0.0005,0)</f>
        <v>6</v>
      </c>
      <c r="O173" s="7">
        <f t="shared" si="12"/>
        <v>4</v>
      </c>
      <c r="P173" s="7">
        <v>26</v>
      </c>
      <c r="Q173" s="7">
        <f t="shared" si="13"/>
        <v>52</v>
      </c>
      <c r="R173" s="7">
        <f t="shared" si="14"/>
        <v>26</v>
      </c>
      <c r="S173" s="12">
        <f>M173*GiaDinh!$C$7</f>
        <v>90.3</v>
      </c>
    </row>
    <row r="174" spans="1:19" ht="15.5" x14ac:dyDescent="0.35">
      <c r="A174" s="7" t="s">
        <v>9</v>
      </c>
      <c r="B174" s="7" t="s">
        <v>515</v>
      </c>
      <c r="C174" s="7" t="s">
        <v>197</v>
      </c>
      <c r="D174" s="7" t="s">
        <v>516</v>
      </c>
      <c r="E174" s="7">
        <v>1</v>
      </c>
      <c r="F174" s="7">
        <v>113.5</v>
      </c>
      <c r="G174" s="11">
        <f>1*F174*GiaDinh!$C$18*GiaDinh!$C$17</f>
        <v>95.339999999999989</v>
      </c>
      <c r="H174" s="7">
        <v>13</v>
      </c>
      <c r="I174" s="11">
        <f>H174*GiaDinh!$C$16</f>
        <v>91</v>
      </c>
      <c r="J174" s="7">
        <f t="shared" si="10"/>
        <v>2</v>
      </c>
      <c r="K174" s="7">
        <v>2</v>
      </c>
      <c r="L174" s="7" t="str">
        <f t="shared" si="11"/>
        <v>ĐỦ</v>
      </c>
      <c r="M174" s="11">
        <v>30</v>
      </c>
      <c r="N174" s="7">
        <f>ROUNDUP(15/GiaDinh!$C$5-0.0005,0)+ROUNDUP(15/GiaDinh!$C$5-0.0005,0)</f>
        <v>6</v>
      </c>
      <c r="O174" s="7">
        <f t="shared" si="12"/>
        <v>4</v>
      </c>
      <c r="P174" s="7">
        <v>26</v>
      </c>
      <c r="Q174" s="7">
        <f t="shared" si="13"/>
        <v>52</v>
      </c>
      <c r="R174" s="7">
        <f t="shared" si="14"/>
        <v>26</v>
      </c>
      <c r="S174" s="12">
        <f>M174*GiaDinh!$C$7</f>
        <v>90.3</v>
      </c>
    </row>
    <row r="175" spans="1:19" ht="15.5" x14ac:dyDescent="0.35">
      <c r="A175" s="7" t="s">
        <v>9</v>
      </c>
      <c r="B175" s="7" t="s">
        <v>517</v>
      </c>
      <c r="C175" s="7" t="s">
        <v>197</v>
      </c>
      <c r="D175" s="7" t="s">
        <v>518</v>
      </c>
      <c r="E175" s="7">
        <v>1</v>
      </c>
      <c r="F175" s="7">
        <v>113.5</v>
      </c>
      <c r="G175" s="11">
        <f>1*F175*GiaDinh!$C$18*GiaDinh!$C$17</f>
        <v>95.339999999999989</v>
      </c>
      <c r="H175" s="7">
        <v>13</v>
      </c>
      <c r="I175" s="11">
        <f>H175*GiaDinh!$C$16</f>
        <v>91</v>
      </c>
      <c r="J175" s="7">
        <f t="shared" si="10"/>
        <v>2</v>
      </c>
      <c r="K175" s="7">
        <v>2</v>
      </c>
      <c r="L175" s="7" t="str">
        <f t="shared" si="11"/>
        <v>ĐỦ</v>
      </c>
      <c r="M175" s="11">
        <v>30</v>
      </c>
      <c r="N175" s="7">
        <f>ROUNDUP(15/GiaDinh!$C$5-0.0005,0)+ROUNDUP(15/GiaDinh!$C$5-0.0005,0)</f>
        <v>6</v>
      </c>
      <c r="O175" s="7">
        <f t="shared" si="12"/>
        <v>4</v>
      </c>
      <c r="P175" s="7">
        <v>26</v>
      </c>
      <c r="Q175" s="7">
        <f t="shared" si="13"/>
        <v>52</v>
      </c>
      <c r="R175" s="7">
        <f t="shared" si="14"/>
        <v>26</v>
      </c>
      <c r="S175" s="12">
        <f>M175*GiaDinh!$C$7</f>
        <v>90.3</v>
      </c>
    </row>
    <row r="176" spans="1:19" ht="15.5" x14ac:dyDescent="0.35">
      <c r="A176" s="7" t="s">
        <v>9</v>
      </c>
      <c r="B176" s="7" t="s">
        <v>519</v>
      </c>
      <c r="C176" s="7" t="s">
        <v>197</v>
      </c>
      <c r="D176" s="7" t="s">
        <v>520</v>
      </c>
      <c r="E176" s="7">
        <v>1</v>
      </c>
      <c r="F176" s="7">
        <v>113.5</v>
      </c>
      <c r="G176" s="11">
        <f>1*F176*GiaDinh!$C$18*GiaDinh!$C$17</f>
        <v>95.339999999999989</v>
      </c>
      <c r="H176" s="7">
        <v>13</v>
      </c>
      <c r="I176" s="11">
        <f>H176*GiaDinh!$C$16</f>
        <v>91</v>
      </c>
      <c r="J176" s="7">
        <f t="shared" si="10"/>
        <v>2</v>
      </c>
      <c r="K176" s="7">
        <v>2</v>
      </c>
      <c r="L176" s="7" t="str">
        <f t="shared" si="11"/>
        <v>ĐỦ</v>
      </c>
      <c r="M176" s="11">
        <v>30</v>
      </c>
      <c r="N176" s="7">
        <f>ROUNDUP(15/GiaDinh!$C$5-0.0005,0)+ROUNDUP(15/GiaDinh!$C$5-0.0005,0)</f>
        <v>6</v>
      </c>
      <c r="O176" s="7">
        <f t="shared" si="12"/>
        <v>4</v>
      </c>
      <c r="P176" s="7">
        <v>26</v>
      </c>
      <c r="Q176" s="7">
        <f t="shared" si="13"/>
        <v>52</v>
      </c>
      <c r="R176" s="7">
        <f t="shared" si="14"/>
        <v>26</v>
      </c>
      <c r="S176" s="12">
        <f>M176*GiaDinh!$C$7</f>
        <v>90.3</v>
      </c>
    </row>
    <row r="177" spans="1:19" ht="15.5" x14ac:dyDescent="0.35">
      <c r="A177" s="7" t="s">
        <v>9</v>
      </c>
      <c r="B177" s="7" t="s">
        <v>521</v>
      </c>
      <c r="C177" s="7" t="s">
        <v>197</v>
      </c>
      <c r="D177" s="7" t="s">
        <v>522</v>
      </c>
      <c r="E177" s="7">
        <v>1</v>
      </c>
      <c r="F177" s="7">
        <v>113.5</v>
      </c>
      <c r="G177" s="11">
        <f>1*F177*GiaDinh!$C$18*GiaDinh!$C$17</f>
        <v>95.339999999999989</v>
      </c>
      <c r="H177" s="7">
        <v>13</v>
      </c>
      <c r="I177" s="11">
        <f>H177*GiaDinh!$C$16</f>
        <v>91</v>
      </c>
      <c r="J177" s="7">
        <f t="shared" si="10"/>
        <v>2</v>
      </c>
      <c r="K177" s="7">
        <v>2</v>
      </c>
      <c r="L177" s="7" t="str">
        <f t="shared" si="11"/>
        <v>ĐỦ</v>
      </c>
      <c r="M177" s="11">
        <v>30</v>
      </c>
      <c r="N177" s="7">
        <f>ROUNDUP(15/GiaDinh!$C$5-0.0005,0)+ROUNDUP(15/GiaDinh!$C$5-0.0005,0)</f>
        <v>6</v>
      </c>
      <c r="O177" s="7">
        <f t="shared" si="12"/>
        <v>4</v>
      </c>
      <c r="P177" s="7">
        <v>26</v>
      </c>
      <c r="Q177" s="7">
        <f t="shared" si="13"/>
        <v>52</v>
      </c>
      <c r="R177" s="7">
        <f t="shared" si="14"/>
        <v>26</v>
      </c>
      <c r="S177" s="12">
        <f>M177*GiaDinh!$C$7</f>
        <v>90.3</v>
      </c>
    </row>
    <row r="178" spans="1:19" ht="15.5" x14ac:dyDescent="0.35">
      <c r="A178" s="7" t="s">
        <v>9</v>
      </c>
      <c r="B178" s="7" t="s">
        <v>523</v>
      </c>
      <c r="C178" s="7" t="s">
        <v>197</v>
      </c>
      <c r="D178" s="7" t="s">
        <v>524</v>
      </c>
      <c r="E178" s="7">
        <v>1</v>
      </c>
      <c r="F178" s="7">
        <v>113.5</v>
      </c>
      <c r="G178" s="11">
        <f>1*F178*GiaDinh!$C$18*GiaDinh!$C$17</f>
        <v>95.339999999999989</v>
      </c>
      <c r="H178" s="7">
        <v>13</v>
      </c>
      <c r="I178" s="11">
        <f>H178*GiaDinh!$C$16</f>
        <v>91</v>
      </c>
      <c r="J178" s="7">
        <f t="shared" si="10"/>
        <v>2</v>
      </c>
      <c r="K178" s="7">
        <v>2</v>
      </c>
      <c r="L178" s="7" t="str">
        <f t="shared" si="11"/>
        <v>ĐỦ</v>
      </c>
      <c r="M178" s="11">
        <v>30</v>
      </c>
      <c r="N178" s="7">
        <f>ROUNDUP(15/GiaDinh!$C$5-0.0005,0)+ROUNDUP(15/GiaDinh!$C$5-0.0005,0)</f>
        <v>6</v>
      </c>
      <c r="O178" s="7">
        <f t="shared" si="12"/>
        <v>4</v>
      </c>
      <c r="P178" s="7">
        <v>26</v>
      </c>
      <c r="Q178" s="7">
        <f t="shared" si="13"/>
        <v>52</v>
      </c>
      <c r="R178" s="7">
        <f t="shared" si="14"/>
        <v>26</v>
      </c>
      <c r="S178" s="12">
        <f>M178*GiaDinh!$C$7</f>
        <v>90.3</v>
      </c>
    </row>
    <row r="179" spans="1:19" ht="15.5" x14ac:dyDescent="0.35">
      <c r="A179" s="7" t="s">
        <v>9</v>
      </c>
      <c r="B179" s="7" t="s">
        <v>525</v>
      </c>
      <c r="C179" s="7" t="s">
        <v>197</v>
      </c>
      <c r="D179" s="7" t="s">
        <v>526</v>
      </c>
      <c r="E179" s="7">
        <v>1</v>
      </c>
      <c r="F179" s="7">
        <v>113.5</v>
      </c>
      <c r="G179" s="11">
        <f>1*F179*GiaDinh!$C$18*GiaDinh!$C$17</f>
        <v>95.339999999999989</v>
      </c>
      <c r="H179" s="7">
        <v>13</v>
      </c>
      <c r="I179" s="11">
        <f>H179*GiaDinh!$C$16</f>
        <v>91</v>
      </c>
      <c r="J179" s="7">
        <f t="shared" si="10"/>
        <v>2</v>
      </c>
      <c r="K179" s="7">
        <v>2</v>
      </c>
      <c r="L179" s="7" t="str">
        <f t="shared" si="11"/>
        <v>ĐỦ</v>
      </c>
      <c r="M179" s="11">
        <v>30</v>
      </c>
      <c r="N179" s="7">
        <f>ROUNDUP(15/GiaDinh!$C$5-0.0005,0)+ROUNDUP(15/GiaDinh!$C$5-0.0005,0)</f>
        <v>6</v>
      </c>
      <c r="O179" s="7">
        <f t="shared" si="12"/>
        <v>4</v>
      </c>
      <c r="P179" s="7">
        <v>26</v>
      </c>
      <c r="Q179" s="7">
        <f t="shared" si="13"/>
        <v>52</v>
      </c>
      <c r="R179" s="7">
        <f t="shared" si="14"/>
        <v>26</v>
      </c>
      <c r="S179" s="12">
        <f>M179*GiaDinh!$C$7</f>
        <v>90.3</v>
      </c>
    </row>
    <row r="180" spans="1:19" ht="15.5" x14ac:dyDescent="0.35">
      <c r="A180" s="7" t="s">
        <v>9</v>
      </c>
      <c r="B180" s="7" t="s">
        <v>527</v>
      </c>
      <c r="C180" s="7" t="s">
        <v>197</v>
      </c>
      <c r="D180" s="7" t="s">
        <v>528</v>
      </c>
      <c r="E180" s="7">
        <v>1</v>
      </c>
      <c r="F180" s="7">
        <v>113.5</v>
      </c>
      <c r="G180" s="11">
        <f>1*F180*GiaDinh!$C$18*GiaDinh!$C$17</f>
        <v>95.339999999999989</v>
      </c>
      <c r="H180" s="7">
        <v>13</v>
      </c>
      <c r="I180" s="11">
        <f>H180*GiaDinh!$C$16</f>
        <v>91</v>
      </c>
      <c r="J180" s="7">
        <f t="shared" si="10"/>
        <v>2</v>
      </c>
      <c r="K180" s="7">
        <v>2</v>
      </c>
      <c r="L180" s="7" t="str">
        <f t="shared" si="11"/>
        <v>ĐỦ</v>
      </c>
      <c r="M180" s="11">
        <v>30</v>
      </c>
      <c r="N180" s="7">
        <f>ROUNDUP(15/GiaDinh!$C$5-0.0005,0)+ROUNDUP(15/GiaDinh!$C$5-0.0005,0)</f>
        <v>6</v>
      </c>
      <c r="O180" s="7">
        <f t="shared" si="12"/>
        <v>4</v>
      </c>
      <c r="P180" s="7">
        <v>26</v>
      </c>
      <c r="Q180" s="7">
        <f t="shared" si="13"/>
        <v>52</v>
      </c>
      <c r="R180" s="7">
        <f t="shared" si="14"/>
        <v>26</v>
      </c>
      <c r="S180" s="12">
        <f>M180*GiaDinh!$C$7</f>
        <v>90.3</v>
      </c>
    </row>
    <row r="181" spans="1:19" ht="15.5" x14ac:dyDescent="0.35">
      <c r="A181" s="7" t="s">
        <v>9</v>
      </c>
      <c r="B181" s="7" t="s">
        <v>529</v>
      </c>
      <c r="C181" s="7" t="s">
        <v>197</v>
      </c>
      <c r="D181" s="7" t="s">
        <v>530</v>
      </c>
      <c r="E181" s="7">
        <v>1</v>
      </c>
      <c r="F181" s="7">
        <v>113.5</v>
      </c>
      <c r="G181" s="11">
        <f>1*F181*GiaDinh!$C$18*GiaDinh!$C$17</f>
        <v>95.339999999999989</v>
      </c>
      <c r="H181" s="7">
        <v>13</v>
      </c>
      <c r="I181" s="11">
        <f>H181*GiaDinh!$C$16</f>
        <v>91</v>
      </c>
      <c r="J181" s="7">
        <f t="shared" si="10"/>
        <v>2</v>
      </c>
      <c r="K181" s="7">
        <v>2</v>
      </c>
      <c r="L181" s="7" t="str">
        <f t="shared" si="11"/>
        <v>ĐỦ</v>
      </c>
      <c r="M181" s="11">
        <v>30</v>
      </c>
      <c r="N181" s="7">
        <f>ROUNDUP(15/GiaDinh!$C$5-0.0005,0)+ROUNDUP(15/GiaDinh!$C$5-0.0005,0)</f>
        <v>6</v>
      </c>
      <c r="O181" s="7">
        <f t="shared" si="12"/>
        <v>4</v>
      </c>
      <c r="P181" s="7">
        <v>26</v>
      </c>
      <c r="Q181" s="7">
        <f t="shared" si="13"/>
        <v>52</v>
      </c>
      <c r="R181" s="7">
        <f t="shared" si="14"/>
        <v>26</v>
      </c>
      <c r="S181" s="12">
        <f>M181*GiaDinh!$C$7</f>
        <v>90.3</v>
      </c>
    </row>
    <row r="182" spans="1:19" ht="15.5" x14ac:dyDescent="0.35">
      <c r="A182" s="7" t="s">
        <v>9</v>
      </c>
      <c r="B182" s="7" t="s">
        <v>531</v>
      </c>
      <c r="C182" s="7" t="s">
        <v>197</v>
      </c>
      <c r="D182" s="7" t="s">
        <v>532</v>
      </c>
      <c r="E182" s="7">
        <v>1</v>
      </c>
      <c r="F182" s="7">
        <v>113.5</v>
      </c>
      <c r="G182" s="11">
        <f>1*F182*GiaDinh!$C$18*GiaDinh!$C$17</f>
        <v>95.339999999999989</v>
      </c>
      <c r="H182" s="7">
        <v>13</v>
      </c>
      <c r="I182" s="11">
        <f>H182*GiaDinh!$C$16</f>
        <v>91</v>
      </c>
      <c r="J182" s="7">
        <f t="shared" si="10"/>
        <v>2</v>
      </c>
      <c r="K182" s="7">
        <v>2</v>
      </c>
      <c r="L182" s="7" t="str">
        <f t="shared" si="11"/>
        <v>ĐỦ</v>
      </c>
      <c r="M182" s="11">
        <v>30</v>
      </c>
      <c r="N182" s="7">
        <f>ROUNDUP(15/GiaDinh!$C$5-0.0005,0)+ROUNDUP(15/GiaDinh!$C$5-0.0005,0)</f>
        <v>6</v>
      </c>
      <c r="O182" s="7">
        <f t="shared" si="12"/>
        <v>4</v>
      </c>
      <c r="P182" s="7">
        <v>26</v>
      </c>
      <c r="Q182" s="7">
        <f t="shared" si="13"/>
        <v>52</v>
      </c>
      <c r="R182" s="7">
        <f t="shared" si="14"/>
        <v>26</v>
      </c>
      <c r="S182" s="12">
        <f>M182*GiaDinh!$C$7</f>
        <v>90.3</v>
      </c>
    </row>
    <row r="183" spans="1:19" ht="15.5" x14ac:dyDescent="0.35">
      <c r="A183" s="7" t="s">
        <v>9</v>
      </c>
      <c r="B183" s="7" t="s">
        <v>533</v>
      </c>
      <c r="C183" s="7" t="s">
        <v>197</v>
      </c>
      <c r="D183" s="7" t="s">
        <v>534</v>
      </c>
      <c r="E183" s="7">
        <v>1</v>
      </c>
      <c r="F183" s="7">
        <v>113.5</v>
      </c>
      <c r="G183" s="11">
        <f>1*F183*GiaDinh!$C$18*GiaDinh!$C$17</f>
        <v>95.339999999999989</v>
      </c>
      <c r="H183" s="7">
        <v>13</v>
      </c>
      <c r="I183" s="11">
        <f>H183*GiaDinh!$C$16</f>
        <v>91</v>
      </c>
      <c r="J183" s="7">
        <f t="shared" si="10"/>
        <v>2</v>
      </c>
      <c r="K183" s="7">
        <v>2</v>
      </c>
      <c r="L183" s="7" t="str">
        <f t="shared" si="11"/>
        <v>ĐỦ</v>
      </c>
      <c r="M183" s="11">
        <v>30</v>
      </c>
      <c r="N183" s="7">
        <f>ROUNDUP(15/GiaDinh!$C$5-0.0005,0)+ROUNDUP(15/GiaDinh!$C$5-0.0005,0)</f>
        <v>6</v>
      </c>
      <c r="O183" s="7">
        <f t="shared" si="12"/>
        <v>4</v>
      </c>
      <c r="P183" s="7">
        <v>26</v>
      </c>
      <c r="Q183" s="7">
        <f t="shared" si="13"/>
        <v>52</v>
      </c>
      <c r="R183" s="7">
        <f t="shared" si="14"/>
        <v>26</v>
      </c>
      <c r="S183" s="12">
        <f>M183*GiaDinh!$C$7</f>
        <v>90.3</v>
      </c>
    </row>
    <row r="184" spans="1:19" ht="15.5" x14ac:dyDescent="0.35">
      <c r="A184" s="7" t="s">
        <v>9</v>
      </c>
      <c r="B184" s="7" t="s">
        <v>535</v>
      </c>
      <c r="C184" s="7" t="s">
        <v>197</v>
      </c>
      <c r="D184" s="7" t="s">
        <v>536</v>
      </c>
      <c r="E184" s="7">
        <v>1</v>
      </c>
      <c r="F184" s="7">
        <v>113.5</v>
      </c>
      <c r="G184" s="11">
        <f>1*F184*GiaDinh!$C$18*GiaDinh!$C$17</f>
        <v>95.339999999999989</v>
      </c>
      <c r="H184" s="7">
        <v>13</v>
      </c>
      <c r="I184" s="11">
        <f>H184*GiaDinh!$C$16</f>
        <v>91</v>
      </c>
      <c r="J184" s="7">
        <f t="shared" si="10"/>
        <v>2</v>
      </c>
      <c r="K184" s="7">
        <v>2</v>
      </c>
      <c r="L184" s="7" t="str">
        <f t="shared" si="11"/>
        <v>ĐỦ</v>
      </c>
      <c r="M184" s="11">
        <v>30</v>
      </c>
      <c r="N184" s="7">
        <f>ROUNDUP(15/GiaDinh!$C$5-0.0005,0)+ROUNDUP(15/GiaDinh!$C$5-0.0005,0)</f>
        <v>6</v>
      </c>
      <c r="O184" s="7">
        <f t="shared" si="12"/>
        <v>4</v>
      </c>
      <c r="P184" s="7">
        <v>26</v>
      </c>
      <c r="Q184" s="7">
        <f t="shared" si="13"/>
        <v>52</v>
      </c>
      <c r="R184" s="7">
        <f t="shared" si="14"/>
        <v>26</v>
      </c>
      <c r="S184" s="12">
        <f>M184*GiaDinh!$C$7</f>
        <v>90.3</v>
      </c>
    </row>
    <row r="185" spans="1:19" ht="15.5" x14ac:dyDescent="0.35">
      <c r="A185" s="7" t="s">
        <v>9</v>
      </c>
      <c r="B185" s="7" t="s">
        <v>537</v>
      </c>
      <c r="C185" s="7" t="s">
        <v>197</v>
      </c>
      <c r="D185" s="7" t="s">
        <v>538</v>
      </c>
      <c r="E185" s="7">
        <v>1</v>
      </c>
      <c r="F185" s="7">
        <v>113.5</v>
      </c>
      <c r="G185" s="11">
        <f>1*F185*GiaDinh!$C$18*GiaDinh!$C$17</f>
        <v>95.339999999999989</v>
      </c>
      <c r="H185" s="7">
        <v>13</v>
      </c>
      <c r="I185" s="11">
        <f>H185*GiaDinh!$C$16</f>
        <v>91</v>
      </c>
      <c r="J185" s="7">
        <f t="shared" si="10"/>
        <v>2</v>
      </c>
      <c r="K185" s="7">
        <v>2</v>
      </c>
      <c r="L185" s="7" t="str">
        <f t="shared" si="11"/>
        <v>ĐỦ</v>
      </c>
      <c r="M185" s="11">
        <v>30</v>
      </c>
      <c r="N185" s="7">
        <f>ROUNDUP(15/GiaDinh!$C$5-0.0005,0)+ROUNDUP(15/GiaDinh!$C$5-0.0005,0)</f>
        <v>6</v>
      </c>
      <c r="O185" s="7">
        <f t="shared" si="12"/>
        <v>4</v>
      </c>
      <c r="P185" s="7">
        <v>26</v>
      </c>
      <c r="Q185" s="7">
        <f t="shared" si="13"/>
        <v>52</v>
      </c>
      <c r="R185" s="7">
        <f t="shared" si="14"/>
        <v>26</v>
      </c>
      <c r="S185" s="12">
        <f>M185*GiaDinh!$C$7</f>
        <v>90.3</v>
      </c>
    </row>
    <row r="186" spans="1:19" ht="15.5" x14ac:dyDescent="0.35">
      <c r="A186" s="7" t="s">
        <v>9</v>
      </c>
      <c r="B186" s="7" t="s">
        <v>539</v>
      </c>
      <c r="C186" s="7" t="s">
        <v>197</v>
      </c>
      <c r="D186" s="7" t="s">
        <v>540</v>
      </c>
      <c r="E186" s="7">
        <v>1</v>
      </c>
      <c r="F186" s="7">
        <v>113.5</v>
      </c>
      <c r="G186" s="11">
        <f>1*F186*GiaDinh!$C$18*GiaDinh!$C$17</f>
        <v>95.339999999999989</v>
      </c>
      <c r="H186" s="7">
        <v>9</v>
      </c>
      <c r="I186" s="11">
        <f>H186*GiaDinh!$C$16</f>
        <v>63</v>
      </c>
      <c r="J186" s="7">
        <f t="shared" si="10"/>
        <v>2</v>
      </c>
      <c r="K186" s="7">
        <v>2</v>
      </c>
      <c r="L186" s="7" t="str">
        <f t="shared" si="11"/>
        <v>ĐỦ</v>
      </c>
      <c r="M186" s="11">
        <v>26.111000000000001</v>
      </c>
      <c r="N186" s="7">
        <f>ROUNDUP(15/GiaDinh!$C$5-0.0005,0)+ROUNDUP(11.111/GiaDinh!$C$5-0.0005,0)</f>
        <v>5</v>
      </c>
      <c r="O186" s="7">
        <f t="shared" si="12"/>
        <v>3</v>
      </c>
      <c r="P186" s="7">
        <v>21</v>
      </c>
      <c r="Q186" s="7">
        <f t="shared" si="13"/>
        <v>42</v>
      </c>
      <c r="R186" s="7">
        <f t="shared" si="14"/>
        <v>21</v>
      </c>
      <c r="S186" s="12">
        <f>M186*GiaDinh!$C$7</f>
        <v>78.594110000000001</v>
      </c>
    </row>
    <row r="187" spans="1:19" ht="15.5" x14ac:dyDescent="0.35">
      <c r="A187" s="7" t="s">
        <v>9</v>
      </c>
      <c r="B187" s="7" t="s">
        <v>541</v>
      </c>
      <c r="C187" s="7" t="s">
        <v>197</v>
      </c>
      <c r="D187" s="7" t="s">
        <v>542</v>
      </c>
      <c r="E187" s="7">
        <v>1</v>
      </c>
      <c r="F187" s="7">
        <v>113.5</v>
      </c>
      <c r="G187" s="11">
        <f>1*F187*GiaDinh!$C$18*GiaDinh!$C$17</f>
        <v>95.339999999999989</v>
      </c>
      <c r="H187" s="7">
        <v>12</v>
      </c>
      <c r="I187" s="11">
        <f>H187*GiaDinh!$C$16</f>
        <v>84</v>
      </c>
      <c r="J187" s="7">
        <f t="shared" si="10"/>
        <v>2</v>
      </c>
      <c r="K187" s="7">
        <v>2</v>
      </c>
      <c r="L187" s="7" t="str">
        <f t="shared" si="11"/>
        <v>ĐỦ</v>
      </c>
      <c r="M187" s="11">
        <v>30</v>
      </c>
      <c r="N187" s="7">
        <f>ROUNDUP(15/GiaDinh!$C$5-0.0005,0)+ROUNDUP(15/GiaDinh!$C$5-0.0005,0)</f>
        <v>6</v>
      </c>
      <c r="O187" s="7">
        <f t="shared" si="12"/>
        <v>4</v>
      </c>
      <c r="P187" s="7">
        <v>24</v>
      </c>
      <c r="Q187" s="7">
        <f t="shared" si="13"/>
        <v>48</v>
      </c>
      <c r="R187" s="7">
        <f t="shared" si="14"/>
        <v>24</v>
      </c>
      <c r="S187" s="12">
        <f>M187*GiaDinh!$C$7</f>
        <v>90.3</v>
      </c>
    </row>
    <row r="188" spans="1:19" ht="15.5" x14ac:dyDescent="0.35">
      <c r="A188" s="7" t="s">
        <v>9</v>
      </c>
      <c r="B188" s="7" t="s">
        <v>543</v>
      </c>
      <c r="C188" s="7" t="s">
        <v>197</v>
      </c>
      <c r="D188" s="7" t="s">
        <v>544</v>
      </c>
      <c r="E188" s="7">
        <v>1</v>
      </c>
      <c r="F188" s="7">
        <v>113.5</v>
      </c>
      <c r="G188" s="11">
        <f>1*F188*GiaDinh!$C$18*GiaDinh!$C$17</f>
        <v>95.339999999999989</v>
      </c>
      <c r="H188" s="7">
        <v>12</v>
      </c>
      <c r="I188" s="11">
        <f>H188*GiaDinh!$C$16</f>
        <v>84</v>
      </c>
      <c r="J188" s="7">
        <f t="shared" si="10"/>
        <v>2</v>
      </c>
      <c r="K188" s="7">
        <v>2</v>
      </c>
      <c r="L188" s="7" t="str">
        <f t="shared" si="11"/>
        <v>ĐỦ</v>
      </c>
      <c r="M188" s="11">
        <v>30</v>
      </c>
      <c r="N188" s="7">
        <f>ROUNDUP(15/GiaDinh!$C$5-0.0005,0)+ROUNDUP(15/GiaDinh!$C$5-0.0005,0)</f>
        <v>6</v>
      </c>
      <c r="O188" s="7">
        <f t="shared" si="12"/>
        <v>4</v>
      </c>
      <c r="P188" s="7">
        <v>24</v>
      </c>
      <c r="Q188" s="7">
        <f t="shared" si="13"/>
        <v>48</v>
      </c>
      <c r="R188" s="7">
        <f t="shared" si="14"/>
        <v>24</v>
      </c>
      <c r="S188" s="12">
        <f>M188*GiaDinh!$C$7</f>
        <v>90.3</v>
      </c>
    </row>
    <row r="189" spans="1:19" ht="15.5" x14ac:dyDescent="0.35">
      <c r="A189" s="7" t="s">
        <v>9</v>
      </c>
      <c r="B189" s="7" t="s">
        <v>545</v>
      </c>
      <c r="C189" s="7" t="s">
        <v>197</v>
      </c>
      <c r="D189" s="7" t="s">
        <v>546</v>
      </c>
      <c r="E189" s="7">
        <v>1</v>
      </c>
      <c r="F189" s="7">
        <v>113.5</v>
      </c>
      <c r="G189" s="11">
        <f>1*F189*GiaDinh!$C$18*GiaDinh!$C$17</f>
        <v>95.339999999999989</v>
      </c>
      <c r="H189" s="7">
        <v>12</v>
      </c>
      <c r="I189" s="11">
        <f>H189*GiaDinh!$C$16</f>
        <v>84</v>
      </c>
      <c r="J189" s="7">
        <f t="shared" si="10"/>
        <v>2</v>
      </c>
      <c r="K189" s="7">
        <v>2</v>
      </c>
      <c r="L189" s="7" t="str">
        <f t="shared" si="11"/>
        <v>ĐỦ</v>
      </c>
      <c r="M189" s="11">
        <v>30</v>
      </c>
      <c r="N189" s="7">
        <f>ROUNDUP(15/GiaDinh!$C$5-0.0005,0)+ROUNDUP(15/GiaDinh!$C$5-0.0005,0)</f>
        <v>6</v>
      </c>
      <c r="O189" s="7">
        <f t="shared" si="12"/>
        <v>4</v>
      </c>
      <c r="P189" s="7">
        <v>24</v>
      </c>
      <c r="Q189" s="7">
        <f t="shared" si="13"/>
        <v>48</v>
      </c>
      <c r="R189" s="7">
        <f t="shared" si="14"/>
        <v>24</v>
      </c>
      <c r="S189" s="12">
        <f>M189*GiaDinh!$C$7</f>
        <v>90.3</v>
      </c>
    </row>
    <row r="190" spans="1:19" ht="15.5" x14ac:dyDescent="0.35">
      <c r="A190" s="7" t="s">
        <v>9</v>
      </c>
      <c r="B190" s="7" t="s">
        <v>547</v>
      </c>
      <c r="C190" s="7" t="s">
        <v>197</v>
      </c>
      <c r="D190" s="7" t="s">
        <v>548</v>
      </c>
      <c r="E190" s="7">
        <v>1</v>
      </c>
      <c r="F190" s="7">
        <v>113.5</v>
      </c>
      <c r="G190" s="11">
        <f>1*F190*GiaDinh!$C$18*GiaDinh!$C$17</f>
        <v>95.339999999999989</v>
      </c>
      <c r="H190" s="7">
        <v>12</v>
      </c>
      <c r="I190" s="11">
        <f>H190*GiaDinh!$C$16</f>
        <v>84</v>
      </c>
      <c r="J190" s="7">
        <f t="shared" si="10"/>
        <v>2</v>
      </c>
      <c r="K190" s="7">
        <v>2</v>
      </c>
      <c r="L190" s="7" t="str">
        <f t="shared" si="11"/>
        <v>ĐỦ</v>
      </c>
      <c r="M190" s="11">
        <v>30</v>
      </c>
      <c r="N190" s="7">
        <f>ROUNDUP(15/GiaDinh!$C$5-0.0005,0)+ROUNDUP(15/GiaDinh!$C$5-0.0005,0)</f>
        <v>6</v>
      </c>
      <c r="O190" s="7">
        <f t="shared" si="12"/>
        <v>4</v>
      </c>
      <c r="P190" s="7">
        <v>24</v>
      </c>
      <c r="Q190" s="7">
        <f t="shared" si="13"/>
        <v>48</v>
      </c>
      <c r="R190" s="7">
        <f t="shared" si="14"/>
        <v>24</v>
      </c>
      <c r="S190" s="12">
        <f>M190*GiaDinh!$C$7</f>
        <v>90.3</v>
      </c>
    </row>
    <row r="191" spans="1:19" ht="15.5" x14ac:dyDescent="0.35">
      <c r="A191" s="7" t="s">
        <v>9</v>
      </c>
      <c r="B191" s="7" t="s">
        <v>549</v>
      </c>
      <c r="C191" s="7" t="s">
        <v>197</v>
      </c>
      <c r="D191" s="7" t="s">
        <v>550</v>
      </c>
      <c r="E191" s="7">
        <v>1</v>
      </c>
      <c r="F191" s="7">
        <v>113.5</v>
      </c>
      <c r="G191" s="11">
        <f>1*F191*GiaDinh!$C$18*GiaDinh!$C$17</f>
        <v>95.339999999999989</v>
      </c>
      <c r="H191" s="7">
        <v>12</v>
      </c>
      <c r="I191" s="11">
        <f>H191*GiaDinh!$C$16</f>
        <v>84</v>
      </c>
      <c r="J191" s="7">
        <f t="shared" si="10"/>
        <v>2</v>
      </c>
      <c r="K191" s="7">
        <v>2</v>
      </c>
      <c r="L191" s="7" t="str">
        <f t="shared" si="11"/>
        <v>ĐỦ</v>
      </c>
      <c r="M191" s="11">
        <v>30</v>
      </c>
      <c r="N191" s="7">
        <f>ROUNDUP(15/GiaDinh!$C$5-0.0005,0)+ROUNDUP(15/GiaDinh!$C$5-0.0005,0)</f>
        <v>6</v>
      </c>
      <c r="O191" s="7">
        <f t="shared" si="12"/>
        <v>4</v>
      </c>
      <c r="P191" s="7">
        <v>24</v>
      </c>
      <c r="Q191" s="7">
        <f t="shared" si="13"/>
        <v>48</v>
      </c>
      <c r="R191" s="7">
        <f t="shared" si="14"/>
        <v>24</v>
      </c>
      <c r="S191" s="12">
        <f>M191*GiaDinh!$C$7</f>
        <v>90.3</v>
      </c>
    </row>
    <row r="192" spans="1:19" ht="15.5" x14ac:dyDescent="0.35">
      <c r="A192" s="7" t="s">
        <v>9</v>
      </c>
      <c r="B192" s="7" t="s">
        <v>551</v>
      </c>
      <c r="C192" s="7" t="s">
        <v>197</v>
      </c>
      <c r="D192" s="7" t="s">
        <v>552</v>
      </c>
      <c r="E192" s="7">
        <v>1</v>
      </c>
      <c r="F192" s="7">
        <v>113.5</v>
      </c>
      <c r="G192" s="11">
        <f>1*F192*GiaDinh!$C$18*GiaDinh!$C$17</f>
        <v>95.339999999999989</v>
      </c>
      <c r="H192" s="7">
        <v>12</v>
      </c>
      <c r="I192" s="11">
        <f>H192*GiaDinh!$C$16</f>
        <v>84</v>
      </c>
      <c r="J192" s="7">
        <f t="shared" si="10"/>
        <v>2</v>
      </c>
      <c r="K192" s="7">
        <v>2</v>
      </c>
      <c r="L192" s="7" t="str">
        <f t="shared" si="11"/>
        <v>ĐỦ</v>
      </c>
      <c r="M192" s="11">
        <v>30</v>
      </c>
      <c r="N192" s="7">
        <f>ROUNDUP(15/GiaDinh!$C$5-0.0005,0)+ROUNDUP(15/GiaDinh!$C$5-0.0005,0)</f>
        <v>6</v>
      </c>
      <c r="O192" s="7">
        <f t="shared" si="12"/>
        <v>4</v>
      </c>
      <c r="P192" s="7">
        <v>24</v>
      </c>
      <c r="Q192" s="7">
        <f t="shared" si="13"/>
        <v>48</v>
      </c>
      <c r="R192" s="7">
        <f t="shared" si="14"/>
        <v>24</v>
      </c>
      <c r="S192" s="12">
        <f>M192*GiaDinh!$C$7</f>
        <v>90.3</v>
      </c>
    </row>
    <row r="193" spans="1:19" ht="15.5" x14ac:dyDescent="0.35">
      <c r="A193" s="7" t="s">
        <v>9</v>
      </c>
      <c r="B193" s="7" t="s">
        <v>553</v>
      </c>
      <c r="C193" s="7" t="s">
        <v>197</v>
      </c>
      <c r="D193" s="7" t="s">
        <v>554</v>
      </c>
      <c r="E193" s="7">
        <v>1</v>
      </c>
      <c r="F193" s="7">
        <v>113.5</v>
      </c>
      <c r="G193" s="11">
        <f>1*F193*GiaDinh!$C$18*GiaDinh!$C$17</f>
        <v>95.339999999999989</v>
      </c>
      <c r="H193" s="7">
        <v>12</v>
      </c>
      <c r="I193" s="11">
        <f>H193*GiaDinh!$C$16</f>
        <v>84</v>
      </c>
      <c r="J193" s="7">
        <f t="shared" si="10"/>
        <v>2</v>
      </c>
      <c r="K193" s="7">
        <v>2</v>
      </c>
      <c r="L193" s="7" t="str">
        <f t="shared" si="11"/>
        <v>ĐỦ</v>
      </c>
      <c r="M193" s="11">
        <v>30</v>
      </c>
      <c r="N193" s="7">
        <f>ROUNDUP(15/GiaDinh!$C$5-0.0005,0)+ROUNDUP(15/GiaDinh!$C$5-0.0005,0)</f>
        <v>6</v>
      </c>
      <c r="O193" s="7">
        <f t="shared" si="12"/>
        <v>4</v>
      </c>
      <c r="P193" s="7">
        <v>24</v>
      </c>
      <c r="Q193" s="7">
        <f t="shared" si="13"/>
        <v>48</v>
      </c>
      <c r="R193" s="7">
        <f t="shared" si="14"/>
        <v>24</v>
      </c>
      <c r="S193" s="12">
        <f>M193*GiaDinh!$C$7</f>
        <v>90.3</v>
      </c>
    </row>
    <row r="194" spans="1:19" ht="15.5" x14ac:dyDescent="0.35">
      <c r="A194" s="7" t="s">
        <v>9</v>
      </c>
      <c r="B194" s="7" t="s">
        <v>555</v>
      </c>
      <c r="C194" s="7" t="s">
        <v>197</v>
      </c>
      <c r="D194" s="7" t="s">
        <v>556</v>
      </c>
      <c r="E194" s="7">
        <v>1</v>
      </c>
      <c r="F194" s="7">
        <v>113.5</v>
      </c>
      <c r="G194" s="11">
        <f>1*F194*GiaDinh!$C$18*GiaDinh!$C$17</f>
        <v>95.339999999999989</v>
      </c>
      <c r="H194" s="7">
        <v>12</v>
      </c>
      <c r="I194" s="11">
        <f>H194*GiaDinh!$C$16</f>
        <v>84</v>
      </c>
      <c r="J194" s="7">
        <f t="shared" si="10"/>
        <v>2</v>
      </c>
      <c r="K194" s="7">
        <v>2</v>
      </c>
      <c r="L194" s="7" t="str">
        <f t="shared" si="11"/>
        <v>ĐỦ</v>
      </c>
      <c r="M194" s="11">
        <v>30</v>
      </c>
      <c r="N194" s="7">
        <f>ROUNDUP(15/GiaDinh!$C$5-0.0005,0)+ROUNDUP(15/GiaDinh!$C$5-0.0005,0)</f>
        <v>6</v>
      </c>
      <c r="O194" s="7">
        <f t="shared" si="12"/>
        <v>4</v>
      </c>
      <c r="P194" s="7">
        <v>24</v>
      </c>
      <c r="Q194" s="7">
        <f t="shared" si="13"/>
        <v>48</v>
      </c>
      <c r="R194" s="7">
        <f t="shared" si="14"/>
        <v>24</v>
      </c>
      <c r="S194" s="12">
        <f>M194*GiaDinh!$C$7</f>
        <v>90.3</v>
      </c>
    </row>
    <row r="195" spans="1:19" ht="15.5" x14ac:dyDescent="0.35">
      <c r="A195" s="7" t="s">
        <v>9</v>
      </c>
      <c r="B195" s="7" t="s">
        <v>557</v>
      </c>
      <c r="C195" s="7" t="s">
        <v>197</v>
      </c>
      <c r="D195" s="7" t="s">
        <v>558</v>
      </c>
      <c r="E195" s="7">
        <v>1</v>
      </c>
      <c r="F195" s="7">
        <v>113.5</v>
      </c>
      <c r="G195" s="11">
        <f>1*F195*GiaDinh!$C$18*GiaDinh!$C$17</f>
        <v>95.339999999999989</v>
      </c>
      <c r="H195" s="7">
        <v>12</v>
      </c>
      <c r="I195" s="11">
        <f>H195*GiaDinh!$C$16</f>
        <v>84</v>
      </c>
      <c r="J195" s="7">
        <f t="shared" si="10"/>
        <v>2</v>
      </c>
      <c r="K195" s="7">
        <v>2</v>
      </c>
      <c r="L195" s="7" t="str">
        <f t="shared" si="11"/>
        <v>ĐỦ</v>
      </c>
      <c r="M195" s="11">
        <v>30</v>
      </c>
      <c r="N195" s="7">
        <f>ROUNDUP(15/GiaDinh!$C$5-0.0005,0)+ROUNDUP(15/GiaDinh!$C$5-0.0005,0)</f>
        <v>6</v>
      </c>
      <c r="O195" s="7">
        <f t="shared" si="12"/>
        <v>4</v>
      </c>
      <c r="P195" s="7">
        <v>24</v>
      </c>
      <c r="Q195" s="7">
        <f t="shared" si="13"/>
        <v>48</v>
      </c>
      <c r="R195" s="7">
        <f t="shared" si="14"/>
        <v>24</v>
      </c>
      <c r="S195" s="12">
        <f>M195*GiaDinh!$C$7</f>
        <v>90.3</v>
      </c>
    </row>
    <row r="196" spans="1:19" ht="15.5" x14ac:dyDescent="0.35">
      <c r="A196" s="7" t="s">
        <v>9</v>
      </c>
      <c r="B196" s="7" t="s">
        <v>559</v>
      </c>
      <c r="C196" s="7" t="s">
        <v>197</v>
      </c>
      <c r="D196" s="7" t="s">
        <v>560</v>
      </c>
      <c r="E196" s="7">
        <v>1</v>
      </c>
      <c r="F196" s="7">
        <v>113.5</v>
      </c>
      <c r="G196" s="11">
        <f>1*F196*GiaDinh!$C$18*GiaDinh!$C$17</f>
        <v>95.339999999999989</v>
      </c>
      <c r="H196" s="7">
        <v>12</v>
      </c>
      <c r="I196" s="11">
        <f>H196*GiaDinh!$C$16</f>
        <v>84</v>
      </c>
      <c r="J196" s="7">
        <f t="shared" ref="J196:J259" si="15">MAX(1,ROUNDUP(G196/I196-0.0005,0))</f>
        <v>2</v>
      </c>
      <c r="K196" s="7">
        <v>2</v>
      </c>
      <c r="L196" s="7" t="str">
        <f t="shared" ref="L196:L259" si="16">IF(K196&gt;=J196,"ĐỦ","THIẾU")</f>
        <v>ĐỦ</v>
      </c>
      <c r="M196" s="11">
        <v>30</v>
      </c>
      <c r="N196" s="7">
        <f>ROUNDUP(15/GiaDinh!$C$5-0.0005,0)+ROUNDUP(15/GiaDinh!$C$5-0.0005,0)</f>
        <v>6</v>
      </c>
      <c r="O196" s="7">
        <f t="shared" ref="O196:O259" si="17">N196-K196</f>
        <v>4</v>
      </c>
      <c r="P196" s="7">
        <v>24</v>
      </c>
      <c r="Q196" s="7">
        <f t="shared" ref="Q196:Q259" si="18">2*P196</f>
        <v>48</v>
      </c>
      <c r="R196" s="7">
        <f t="shared" ref="R196:R259" si="19">P196</f>
        <v>24</v>
      </c>
      <c r="S196" s="12">
        <f>M196*GiaDinh!$C$7</f>
        <v>90.3</v>
      </c>
    </row>
    <row r="197" spans="1:19" ht="15.5" x14ac:dyDescent="0.35">
      <c r="A197" s="7" t="s">
        <v>9</v>
      </c>
      <c r="B197" s="7" t="s">
        <v>561</v>
      </c>
      <c r="C197" s="7" t="s">
        <v>197</v>
      </c>
      <c r="D197" s="7" t="s">
        <v>562</v>
      </c>
      <c r="E197" s="7">
        <v>1</v>
      </c>
      <c r="F197" s="7">
        <v>113.5</v>
      </c>
      <c r="G197" s="11">
        <f>1*F197*GiaDinh!$C$18*GiaDinh!$C$17</f>
        <v>95.339999999999989</v>
      </c>
      <c r="H197" s="7">
        <v>12</v>
      </c>
      <c r="I197" s="11">
        <f>H197*GiaDinh!$C$16</f>
        <v>84</v>
      </c>
      <c r="J197" s="7">
        <f t="shared" si="15"/>
        <v>2</v>
      </c>
      <c r="K197" s="7">
        <v>2</v>
      </c>
      <c r="L197" s="7" t="str">
        <f t="shared" si="16"/>
        <v>ĐỦ</v>
      </c>
      <c r="M197" s="11">
        <v>30</v>
      </c>
      <c r="N197" s="7">
        <f>ROUNDUP(15/GiaDinh!$C$5-0.0005,0)+ROUNDUP(15/GiaDinh!$C$5-0.0005,0)</f>
        <v>6</v>
      </c>
      <c r="O197" s="7">
        <f t="shared" si="17"/>
        <v>4</v>
      </c>
      <c r="P197" s="7">
        <v>24</v>
      </c>
      <c r="Q197" s="7">
        <f t="shared" si="18"/>
        <v>48</v>
      </c>
      <c r="R197" s="7">
        <f t="shared" si="19"/>
        <v>24</v>
      </c>
      <c r="S197" s="12">
        <f>M197*GiaDinh!$C$7</f>
        <v>90.3</v>
      </c>
    </row>
    <row r="198" spans="1:19" ht="15.5" x14ac:dyDescent="0.35">
      <c r="A198" s="7" t="s">
        <v>9</v>
      </c>
      <c r="B198" s="7" t="s">
        <v>563</v>
      </c>
      <c r="C198" s="7" t="s">
        <v>197</v>
      </c>
      <c r="D198" s="7" t="s">
        <v>564</v>
      </c>
      <c r="E198" s="7">
        <v>1</v>
      </c>
      <c r="F198" s="7">
        <v>113.5</v>
      </c>
      <c r="G198" s="11">
        <f>1*F198*GiaDinh!$C$18*GiaDinh!$C$17</f>
        <v>95.339999999999989</v>
      </c>
      <c r="H198" s="7">
        <v>12</v>
      </c>
      <c r="I198" s="11">
        <f>H198*GiaDinh!$C$16</f>
        <v>84</v>
      </c>
      <c r="J198" s="7">
        <f t="shared" si="15"/>
        <v>2</v>
      </c>
      <c r="K198" s="7">
        <v>2</v>
      </c>
      <c r="L198" s="7" t="str">
        <f t="shared" si="16"/>
        <v>ĐỦ</v>
      </c>
      <c r="M198" s="11">
        <v>30</v>
      </c>
      <c r="N198" s="7">
        <f>ROUNDUP(15/GiaDinh!$C$5-0.0005,0)+ROUNDUP(15/GiaDinh!$C$5-0.0005,0)</f>
        <v>6</v>
      </c>
      <c r="O198" s="7">
        <f t="shared" si="17"/>
        <v>4</v>
      </c>
      <c r="P198" s="7">
        <v>24</v>
      </c>
      <c r="Q198" s="7">
        <f t="shared" si="18"/>
        <v>48</v>
      </c>
      <c r="R198" s="7">
        <f t="shared" si="19"/>
        <v>24</v>
      </c>
      <c r="S198" s="12">
        <f>M198*GiaDinh!$C$7</f>
        <v>90.3</v>
      </c>
    </row>
    <row r="199" spans="1:19" ht="15.5" x14ac:dyDescent="0.35">
      <c r="A199" s="7" t="s">
        <v>9</v>
      </c>
      <c r="B199" s="7" t="s">
        <v>565</v>
      </c>
      <c r="C199" s="7" t="s">
        <v>197</v>
      </c>
      <c r="D199" s="7" t="s">
        <v>566</v>
      </c>
      <c r="E199" s="7">
        <v>1</v>
      </c>
      <c r="F199" s="7">
        <v>113.5</v>
      </c>
      <c r="G199" s="11">
        <f>1*F199*GiaDinh!$C$18*GiaDinh!$C$17</f>
        <v>95.339999999999989</v>
      </c>
      <c r="H199" s="7">
        <v>12</v>
      </c>
      <c r="I199" s="11">
        <f>H199*GiaDinh!$C$16</f>
        <v>84</v>
      </c>
      <c r="J199" s="7">
        <f t="shared" si="15"/>
        <v>2</v>
      </c>
      <c r="K199" s="7">
        <v>2</v>
      </c>
      <c r="L199" s="7" t="str">
        <f t="shared" si="16"/>
        <v>ĐỦ</v>
      </c>
      <c r="M199" s="11">
        <v>30</v>
      </c>
      <c r="N199" s="7">
        <f>ROUNDUP(15/GiaDinh!$C$5-0.0005,0)+ROUNDUP(15/GiaDinh!$C$5-0.0005,0)</f>
        <v>6</v>
      </c>
      <c r="O199" s="7">
        <f t="shared" si="17"/>
        <v>4</v>
      </c>
      <c r="P199" s="7">
        <v>24</v>
      </c>
      <c r="Q199" s="7">
        <f t="shared" si="18"/>
        <v>48</v>
      </c>
      <c r="R199" s="7">
        <f t="shared" si="19"/>
        <v>24</v>
      </c>
      <c r="S199" s="12">
        <f>M199*GiaDinh!$C$7</f>
        <v>90.3</v>
      </c>
    </row>
    <row r="200" spans="1:19" ht="15.5" x14ac:dyDescent="0.35">
      <c r="A200" s="7" t="s">
        <v>9</v>
      </c>
      <c r="B200" s="7" t="s">
        <v>567</v>
      </c>
      <c r="C200" s="7" t="s">
        <v>197</v>
      </c>
      <c r="D200" s="7" t="s">
        <v>568</v>
      </c>
      <c r="E200" s="7">
        <v>1</v>
      </c>
      <c r="F200" s="7">
        <v>113.5</v>
      </c>
      <c r="G200" s="11">
        <f>1*F200*GiaDinh!$C$18*GiaDinh!$C$17</f>
        <v>95.339999999999989</v>
      </c>
      <c r="H200" s="7">
        <v>12</v>
      </c>
      <c r="I200" s="11">
        <f>H200*GiaDinh!$C$16</f>
        <v>84</v>
      </c>
      <c r="J200" s="7">
        <f t="shared" si="15"/>
        <v>2</v>
      </c>
      <c r="K200" s="7">
        <v>2</v>
      </c>
      <c r="L200" s="7" t="str">
        <f t="shared" si="16"/>
        <v>ĐỦ</v>
      </c>
      <c r="M200" s="11">
        <v>30</v>
      </c>
      <c r="N200" s="7">
        <f>ROUNDUP(15/GiaDinh!$C$5-0.0005,0)+ROUNDUP(15/GiaDinh!$C$5-0.0005,0)</f>
        <v>6</v>
      </c>
      <c r="O200" s="7">
        <f t="shared" si="17"/>
        <v>4</v>
      </c>
      <c r="P200" s="7">
        <v>24</v>
      </c>
      <c r="Q200" s="7">
        <f t="shared" si="18"/>
        <v>48</v>
      </c>
      <c r="R200" s="7">
        <f t="shared" si="19"/>
        <v>24</v>
      </c>
      <c r="S200" s="12">
        <f>M200*GiaDinh!$C$7</f>
        <v>90.3</v>
      </c>
    </row>
    <row r="201" spans="1:19" ht="15.5" x14ac:dyDescent="0.35">
      <c r="A201" s="7" t="s">
        <v>9</v>
      </c>
      <c r="B201" s="7" t="s">
        <v>569</v>
      </c>
      <c r="C201" s="7" t="s">
        <v>197</v>
      </c>
      <c r="D201" s="7" t="s">
        <v>570</v>
      </c>
      <c r="E201" s="7">
        <v>1</v>
      </c>
      <c r="F201" s="7">
        <v>113.5</v>
      </c>
      <c r="G201" s="11">
        <f>1*F201*GiaDinh!$C$18*GiaDinh!$C$17</f>
        <v>95.339999999999989</v>
      </c>
      <c r="H201" s="7">
        <v>12</v>
      </c>
      <c r="I201" s="11">
        <f>H201*GiaDinh!$C$16</f>
        <v>84</v>
      </c>
      <c r="J201" s="7">
        <f t="shared" si="15"/>
        <v>2</v>
      </c>
      <c r="K201" s="7">
        <v>2</v>
      </c>
      <c r="L201" s="7" t="str">
        <f t="shared" si="16"/>
        <v>ĐỦ</v>
      </c>
      <c r="M201" s="11">
        <v>30</v>
      </c>
      <c r="N201" s="7">
        <f>ROUNDUP(15/GiaDinh!$C$5-0.0005,0)+ROUNDUP(15/GiaDinh!$C$5-0.0005,0)</f>
        <v>6</v>
      </c>
      <c r="O201" s="7">
        <f t="shared" si="17"/>
        <v>4</v>
      </c>
      <c r="P201" s="7">
        <v>24</v>
      </c>
      <c r="Q201" s="7">
        <f t="shared" si="18"/>
        <v>48</v>
      </c>
      <c r="R201" s="7">
        <f t="shared" si="19"/>
        <v>24</v>
      </c>
      <c r="S201" s="12">
        <f>M201*GiaDinh!$C$7</f>
        <v>90.3</v>
      </c>
    </row>
    <row r="202" spans="1:19" ht="15.5" x14ac:dyDescent="0.35">
      <c r="A202" s="7" t="s">
        <v>9</v>
      </c>
      <c r="B202" s="7" t="s">
        <v>571</v>
      </c>
      <c r="C202" s="7" t="s">
        <v>197</v>
      </c>
      <c r="D202" s="7" t="s">
        <v>572</v>
      </c>
      <c r="E202" s="7">
        <v>1</v>
      </c>
      <c r="F202" s="7">
        <v>113.5</v>
      </c>
      <c r="G202" s="11">
        <f>1*F202*GiaDinh!$C$18*GiaDinh!$C$17</f>
        <v>95.339999999999989</v>
      </c>
      <c r="H202" s="7">
        <v>12</v>
      </c>
      <c r="I202" s="11">
        <f>H202*GiaDinh!$C$16</f>
        <v>84</v>
      </c>
      <c r="J202" s="7">
        <f t="shared" si="15"/>
        <v>2</v>
      </c>
      <c r="K202" s="7">
        <v>2</v>
      </c>
      <c r="L202" s="7" t="str">
        <f t="shared" si="16"/>
        <v>ĐỦ</v>
      </c>
      <c r="M202" s="11">
        <v>30</v>
      </c>
      <c r="N202" s="7">
        <f>ROUNDUP(15/GiaDinh!$C$5-0.0005,0)+ROUNDUP(15/GiaDinh!$C$5-0.0005,0)</f>
        <v>6</v>
      </c>
      <c r="O202" s="7">
        <f t="shared" si="17"/>
        <v>4</v>
      </c>
      <c r="P202" s="7">
        <v>24</v>
      </c>
      <c r="Q202" s="7">
        <f t="shared" si="18"/>
        <v>48</v>
      </c>
      <c r="R202" s="7">
        <f t="shared" si="19"/>
        <v>24</v>
      </c>
      <c r="S202" s="12">
        <f>M202*GiaDinh!$C$7</f>
        <v>90.3</v>
      </c>
    </row>
    <row r="203" spans="1:19" ht="15.5" x14ac:dyDescent="0.35">
      <c r="A203" s="7" t="s">
        <v>9</v>
      </c>
      <c r="B203" s="7" t="s">
        <v>573</v>
      </c>
      <c r="C203" s="7" t="s">
        <v>197</v>
      </c>
      <c r="D203" s="7" t="s">
        <v>574</v>
      </c>
      <c r="E203" s="7">
        <v>1</v>
      </c>
      <c r="F203" s="7">
        <v>113.5</v>
      </c>
      <c r="G203" s="11">
        <f>1*F203*GiaDinh!$C$18*GiaDinh!$C$17</f>
        <v>95.339999999999989</v>
      </c>
      <c r="H203" s="7">
        <v>12</v>
      </c>
      <c r="I203" s="11">
        <f>H203*GiaDinh!$C$16</f>
        <v>84</v>
      </c>
      <c r="J203" s="7">
        <f t="shared" si="15"/>
        <v>2</v>
      </c>
      <c r="K203" s="7">
        <v>2</v>
      </c>
      <c r="L203" s="7" t="str">
        <f t="shared" si="16"/>
        <v>ĐỦ</v>
      </c>
      <c r="M203" s="11">
        <v>30</v>
      </c>
      <c r="N203" s="7">
        <f>ROUNDUP(15/GiaDinh!$C$5-0.0005,0)+ROUNDUP(15/GiaDinh!$C$5-0.0005,0)</f>
        <v>6</v>
      </c>
      <c r="O203" s="7">
        <f t="shared" si="17"/>
        <v>4</v>
      </c>
      <c r="P203" s="7">
        <v>24</v>
      </c>
      <c r="Q203" s="7">
        <f t="shared" si="18"/>
        <v>48</v>
      </c>
      <c r="R203" s="7">
        <f t="shared" si="19"/>
        <v>24</v>
      </c>
      <c r="S203" s="12">
        <f>M203*GiaDinh!$C$7</f>
        <v>90.3</v>
      </c>
    </row>
    <row r="204" spans="1:19" ht="15.5" x14ac:dyDescent="0.35">
      <c r="A204" s="7" t="s">
        <v>9</v>
      </c>
      <c r="B204" s="7" t="s">
        <v>575</v>
      </c>
      <c r="C204" s="7" t="s">
        <v>197</v>
      </c>
      <c r="D204" s="7" t="s">
        <v>576</v>
      </c>
      <c r="E204" s="7">
        <v>1</v>
      </c>
      <c r="F204" s="7">
        <v>113.5</v>
      </c>
      <c r="G204" s="11">
        <f>1*F204*GiaDinh!$C$18*GiaDinh!$C$17</f>
        <v>95.339999999999989</v>
      </c>
      <c r="H204" s="7">
        <v>12</v>
      </c>
      <c r="I204" s="11">
        <f>H204*GiaDinh!$C$16</f>
        <v>84</v>
      </c>
      <c r="J204" s="7">
        <f t="shared" si="15"/>
        <v>2</v>
      </c>
      <c r="K204" s="7">
        <v>2</v>
      </c>
      <c r="L204" s="7" t="str">
        <f t="shared" si="16"/>
        <v>ĐỦ</v>
      </c>
      <c r="M204" s="11">
        <v>30</v>
      </c>
      <c r="N204" s="7">
        <f>ROUNDUP(15/GiaDinh!$C$5-0.0005,0)+ROUNDUP(15/GiaDinh!$C$5-0.0005,0)</f>
        <v>6</v>
      </c>
      <c r="O204" s="7">
        <f t="shared" si="17"/>
        <v>4</v>
      </c>
      <c r="P204" s="7">
        <v>24</v>
      </c>
      <c r="Q204" s="7">
        <f t="shared" si="18"/>
        <v>48</v>
      </c>
      <c r="R204" s="7">
        <f t="shared" si="19"/>
        <v>24</v>
      </c>
      <c r="S204" s="12">
        <f>M204*GiaDinh!$C$7</f>
        <v>90.3</v>
      </c>
    </row>
    <row r="205" spans="1:19" ht="15.5" x14ac:dyDescent="0.35">
      <c r="A205" s="7" t="s">
        <v>9</v>
      </c>
      <c r="B205" s="7" t="s">
        <v>577</v>
      </c>
      <c r="C205" s="7" t="s">
        <v>197</v>
      </c>
      <c r="D205" s="7" t="s">
        <v>578</v>
      </c>
      <c r="E205" s="7">
        <v>1</v>
      </c>
      <c r="F205" s="7">
        <v>113.5</v>
      </c>
      <c r="G205" s="11">
        <f>1*F205*GiaDinh!$C$18*GiaDinh!$C$17</f>
        <v>95.339999999999989</v>
      </c>
      <c r="H205" s="7">
        <v>12</v>
      </c>
      <c r="I205" s="11">
        <f>H205*GiaDinh!$C$16</f>
        <v>84</v>
      </c>
      <c r="J205" s="7">
        <f t="shared" si="15"/>
        <v>2</v>
      </c>
      <c r="K205" s="7">
        <v>2</v>
      </c>
      <c r="L205" s="7" t="str">
        <f t="shared" si="16"/>
        <v>ĐỦ</v>
      </c>
      <c r="M205" s="11">
        <v>30</v>
      </c>
      <c r="N205" s="7">
        <f>ROUNDUP(15/GiaDinh!$C$5-0.0005,0)+ROUNDUP(15/GiaDinh!$C$5-0.0005,0)</f>
        <v>6</v>
      </c>
      <c r="O205" s="7">
        <f t="shared" si="17"/>
        <v>4</v>
      </c>
      <c r="P205" s="7">
        <v>24</v>
      </c>
      <c r="Q205" s="7">
        <f t="shared" si="18"/>
        <v>48</v>
      </c>
      <c r="R205" s="7">
        <f t="shared" si="19"/>
        <v>24</v>
      </c>
      <c r="S205" s="12">
        <f>M205*GiaDinh!$C$7</f>
        <v>90.3</v>
      </c>
    </row>
    <row r="206" spans="1:19" ht="15.5" x14ac:dyDescent="0.35">
      <c r="A206" s="7" t="s">
        <v>9</v>
      </c>
      <c r="B206" s="7" t="s">
        <v>579</v>
      </c>
      <c r="C206" s="7" t="s">
        <v>197</v>
      </c>
      <c r="D206" s="7" t="s">
        <v>580</v>
      </c>
      <c r="E206" s="7">
        <v>1</v>
      </c>
      <c r="F206" s="7">
        <v>113.5</v>
      </c>
      <c r="G206" s="11">
        <f>1*F206*GiaDinh!$C$18*GiaDinh!$C$17</f>
        <v>95.339999999999989</v>
      </c>
      <c r="H206" s="7">
        <v>12</v>
      </c>
      <c r="I206" s="11">
        <f>H206*GiaDinh!$C$16</f>
        <v>84</v>
      </c>
      <c r="J206" s="7">
        <f t="shared" si="15"/>
        <v>2</v>
      </c>
      <c r="K206" s="7">
        <v>2</v>
      </c>
      <c r="L206" s="7" t="str">
        <f t="shared" si="16"/>
        <v>ĐỦ</v>
      </c>
      <c r="M206" s="11">
        <v>30</v>
      </c>
      <c r="N206" s="7">
        <f>ROUNDUP(15/GiaDinh!$C$5-0.0005,0)+ROUNDUP(15/GiaDinh!$C$5-0.0005,0)</f>
        <v>6</v>
      </c>
      <c r="O206" s="7">
        <f t="shared" si="17"/>
        <v>4</v>
      </c>
      <c r="P206" s="7">
        <v>24</v>
      </c>
      <c r="Q206" s="7">
        <f t="shared" si="18"/>
        <v>48</v>
      </c>
      <c r="R206" s="7">
        <f t="shared" si="19"/>
        <v>24</v>
      </c>
      <c r="S206" s="12">
        <f>M206*GiaDinh!$C$7</f>
        <v>90.3</v>
      </c>
    </row>
    <row r="207" spans="1:19" ht="15.5" x14ac:dyDescent="0.35">
      <c r="A207" s="7" t="s">
        <v>9</v>
      </c>
      <c r="B207" s="7" t="s">
        <v>581</v>
      </c>
      <c r="C207" s="7" t="s">
        <v>197</v>
      </c>
      <c r="D207" s="7" t="s">
        <v>582</v>
      </c>
      <c r="E207" s="7">
        <v>1</v>
      </c>
      <c r="F207" s="7">
        <v>113.5</v>
      </c>
      <c r="G207" s="11">
        <f>1*F207*GiaDinh!$C$18*GiaDinh!$C$17</f>
        <v>95.339999999999989</v>
      </c>
      <c r="H207" s="7">
        <v>12</v>
      </c>
      <c r="I207" s="11">
        <f>H207*GiaDinh!$C$16</f>
        <v>84</v>
      </c>
      <c r="J207" s="7">
        <f t="shared" si="15"/>
        <v>2</v>
      </c>
      <c r="K207" s="7">
        <v>2</v>
      </c>
      <c r="L207" s="7" t="str">
        <f t="shared" si="16"/>
        <v>ĐỦ</v>
      </c>
      <c r="M207" s="11">
        <v>30</v>
      </c>
      <c r="N207" s="7">
        <f>ROUNDUP(15/GiaDinh!$C$5-0.0005,0)+ROUNDUP(15/GiaDinh!$C$5-0.0005,0)</f>
        <v>6</v>
      </c>
      <c r="O207" s="7">
        <f t="shared" si="17"/>
        <v>4</v>
      </c>
      <c r="P207" s="7">
        <v>24</v>
      </c>
      <c r="Q207" s="7">
        <f t="shared" si="18"/>
        <v>48</v>
      </c>
      <c r="R207" s="7">
        <f t="shared" si="19"/>
        <v>24</v>
      </c>
      <c r="S207" s="12">
        <f>M207*GiaDinh!$C$7</f>
        <v>90.3</v>
      </c>
    </row>
    <row r="208" spans="1:19" ht="15.5" x14ac:dyDescent="0.35">
      <c r="A208" s="7" t="s">
        <v>9</v>
      </c>
      <c r="B208" s="7" t="s">
        <v>583</v>
      </c>
      <c r="C208" s="7" t="s">
        <v>197</v>
      </c>
      <c r="D208" s="7" t="s">
        <v>584</v>
      </c>
      <c r="E208" s="7">
        <v>1</v>
      </c>
      <c r="F208" s="7">
        <v>113.5</v>
      </c>
      <c r="G208" s="11">
        <f>1*F208*GiaDinh!$C$18*GiaDinh!$C$17</f>
        <v>95.339999999999989</v>
      </c>
      <c r="H208" s="7">
        <v>12</v>
      </c>
      <c r="I208" s="11">
        <f>H208*GiaDinh!$C$16</f>
        <v>84</v>
      </c>
      <c r="J208" s="7">
        <f t="shared" si="15"/>
        <v>2</v>
      </c>
      <c r="K208" s="7">
        <v>2</v>
      </c>
      <c r="L208" s="7" t="str">
        <f t="shared" si="16"/>
        <v>ĐỦ</v>
      </c>
      <c r="M208" s="11">
        <v>30</v>
      </c>
      <c r="N208" s="7">
        <f>ROUNDUP(15/GiaDinh!$C$5-0.0005,0)+ROUNDUP(15/GiaDinh!$C$5-0.0005,0)</f>
        <v>6</v>
      </c>
      <c r="O208" s="7">
        <f t="shared" si="17"/>
        <v>4</v>
      </c>
      <c r="P208" s="7">
        <v>24</v>
      </c>
      <c r="Q208" s="7">
        <f t="shared" si="18"/>
        <v>48</v>
      </c>
      <c r="R208" s="7">
        <f t="shared" si="19"/>
        <v>24</v>
      </c>
      <c r="S208" s="12">
        <f>M208*GiaDinh!$C$7</f>
        <v>90.3</v>
      </c>
    </row>
    <row r="209" spans="1:19" ht="15.5" x14ac:dyDescent="0.35">
      <c r="A209" s="7" t="s">
        <v>9</v>
      </c>
      <c r="B209" s="7" t="s">
        <v>585</v>
      </c>
      <c r="C209" s="7" t="s">
        <v>197</v>
      </c>
      <c r="D209" s="7" t="s">
        <v>586</v>
      </c>
      <c r="E209" s="7">
        <v>1</v>
      </c>
      <c r="F209" s="7">
        <v>113.5</v>
      </c>
      <c r="G209" s="11">
        <f>1*F209*GiaDinh!$C$18*GiaDinh!$C$17</f>
        <v>95.339999999999989</v>
      </c>
      <c r="H209" s="7">
        <v>12</v>
      </c>
      <c r="I209" s="11">
        <f>H209*GiaDinh!$C$16</f>
        <v>84</v>
      </c>
      <c r="J209" s="7">
        <f t="shared" si="15"/>
        <v>2</v>
      </c>
      <c r="K209" s="7">
        <v>2</v>
      </c>
      <c r="L209" s="7" t="str">
        <f t="shared" si="16"/>
        <v>ĐỦ</v>
      </c>
      <c r="M209" s="11">
        <v>30</v>
      </c>
      <c r="N209" s="7">
        <f>ROUNDUP(15/GiaDinh!$C$5-0.0005,0)+ROUNDUP(15/GiaDinh!$C$5-0.0005,0)</f>
        <v>6</v>
      </c>
      <c r="O209" s="7">
        <f t="shared" si="17"/>
        <v>4</v>
      </c>
      <c r="P209" s="7">
        <v>24</v>
      </c>
      <c r="Q209" s="7">
        <f t="shared" si="18"/>
        <v>48</v>
      </c>
      <c r="R209" s="7">
        <f t="shared" si="19"/>
        <v>24</v>
      </c>
      <c r="S209" s="12">
        <f>M209*GiaDinh!$C$7</f>
        <v>90.3</v>
      </c>
    </row>
    <row r="210" spans="1:19" ht="15.5" x14ac:dyDescent="0.35">
      <c r="A210" s="7" t="s">
        <v>9</v>
      </c>
      <c r="B210" s="7" t="s">
        <v>587</v>
      </c>
      <c r="C210" s="7" t="s">
        <v>197</v>
      </c>
      <c r="D210" s="7" t="s">
        <v>588</v>
      </c>
      <c r="E210" s="7">
        <v>1</v>
      </c>
      <c r="F210" s="7">
        <v>113.5</v>
      </c>
      <c r="G210" s="11">
        <f>1*F210*GiaDinh!$C$18*GiaDinh!$C$17</f>
        <v>95.339999999999989</v>
      </c>
      <c r="H210" s="7">
        <v>12</v>
      </c>
      <c r="I210" s="11">
        <f>H210*GiaDinh!$C$16</f>
        <v>84</v>
      </c>
      <c r="J210" s="7">
        <f t="shared" si="15"/>
        <v>2</v>
      </c>
      <c r="K210" s="7">
        <v>2</v>
      </c>
      <c r="L210" s="7" t="str">
        <f t="shared" si="16"/>
        <v>ĐỦ</v>
      </c>
      <c r="M210" s="11">
        <v>30</v>
      </c>
      <c r="N210" s="7">
        <f>ROUNDUP(15/GiaDinh!$C$5-0.0005,0)+ROUNDUP(15/GiaDinh!$C$5-0.0005,0)</f>
        <v>6</v>
      </c>
      <c r="O210" s="7">
        <f t="shared" si="17"/>
        <v>4</v>
      </c>
      <c r="P210" s="7">
        <v>24</v>
      </c>
      <c r="Q210" s="7">
        <f t="shared" si="18"/>
        <v>48</v>
      </c>
      <c r="R210" s="7">
        <f t="shared" si="19"/>
        <v>24</v>
      </c>
      <c r="S210" s="12">
        <f>M210*GiaDinh!$C$7</f>
        <v>90.3</v>
      </c>
    </row>
    <row r="211" spans="1:19" ht="15.5" x14ac:dyDescent="0.35">
      <c r="A211" s="7" t="s">
        <v>9</v>
      </c>
      <c r="B211" s="7" t="s">
        <v>589</v>
      </c>
      <c r="C211" s="7" t="s">
        <v>197</v>
      </c>
      <c r="D211" s="7" t="s">
        <v>590</v>
      </c>
      <c r="E211" s="7">
        <v>1</v>
      </c>
      <c r="F211" s="7">
        <v>113.5</v>
      </c>
      <c r="G211" s="11">
        <f>1*F211*GiaDinh!$C$18*GiaDinh!$C$17</f>
        <v>95.339999999999989</v>
      </c>
      <c r="H211" s="7">
        <v>12</v>
      </c>
      <c r="I211" s="11">
        <f>H211*GiaDinh!$C$16</f>
        <v>84</v>
      </c>
      <c r="J211" s="7">
        <f t="shared" si="15"/>
        <v>2</v>
      </c>
      <c r="K211" s="7">
        <v>2</v>
      </c>
      <c r="L211" s="7" t="str">
        <f t="shared" si="16"/>
        <v>ĐỦ</v>
      </c>
      <c r="M211" s="11">
        <v>30</v>
      </c>
      <c r="N211" s="7">
        <f>ROUNDUP(15/GiaDinh!$C$5-0.0005,0)+ROUNDUP(15/GiaDinh!$C$5-0.0005,0)</f>
        <v>6</v>
      </c>
      <c r="O211" s="7">
        <f t="shared" si="17"/>
        <v>4</v>
      </c>
      <c r="P211" s="7">
        <v>24</v>
      </c>
      <c r="Q211" s="7">
        <f t="shared" si="18"/>
        <v>48</v>
      </c>
      <c r="R211" s="7">
        <f t="shared" si="19"/>
        <v>24</v>
      </c>
      <c r="S211" s="12">
        <f>M211*GiaDinh!$C$7</f>
        <v>90.3</v>
      </c>
    </row>
    <row r="212" spans="1:19" ht="15.5" x14ac:dyDescent="0.35">
      <c r="A212" s="7" t="s">
        <v>9</v>
      </c>
      <c r="B212" s="7" t="s">
        <v>591</v>
      </c>
      <c r="C212" s="7" t="s">
        <v>197</v>
      </c>
      <c r="D212" s="7" t="s">
        <v>592</v>
      </c>
      <c r="E212" s="7">
        <v>1</v>
      </c>
      <c r="F212" s="7">
        <v>113.5</v>
      </c>
      <c r="G212" s="11">
        <f>1*F212*GiaDinh!$C$18*GiaDinh!$C$17</f>
        <v>95.339999999999989</v>
      </c>
      <c r="H212" s="7">
        <v>12</v>
      </c>
      <c r="I212" s="11">
        <f>H212*GiaDinh!$C$16</f>
        <v>84</v>
      </c>
      <c r="J212" s="7">
        <f t="shared" si="15"/>
        <v>2</v>
      </c>
      <c r="K212" s="7">
        <v>2</v>
      </c>
      <c r="L212" s="7" t="str">
        <f t="shared" si="16"/>
        <v>ĐỦ</v>
      </c>
      <c r="M212" s="11">
        <v>30</v>
      </c>
      <c r="N212" s="7">
        <f>ROUNDUP(15/GiaDinh!$C$5-0.0005,0)+ROUNDUP(15/GiaDinh!$C$5-0.0005,0)</f>
        <v>6</v>
      </c>
      <c r="O212" s="7">
        <f t="shared" si="17"/>
        <v>4</v>
      </c>
      <c r="P212" s="7">
        <v>24</v>
      </c>
      <c r="Q212" s="7">
        <f t="shared" si="18"/>
        <v>48</v>
      </c>
      <c r="R212" s="7">
        <f t="shared" si="19"/>
        <v>24</v>
      </c>
      <c r="S212" s="12">
        <f>M212*GiaDinh!$C$7</f>
        <v>90.3</v>
      </c>
    </row>
    <row r="213" spans="1:19" ht="15.5" x14ac:dyDescent="0.35">
      <c r="A213" s="7" t="s">
        <v>9</v>
      </c>
      <c r="B213" s="7" t="s">
        <v>593</v>
      </c>
      <c r="C213" s="7" t="s">
        <v>197</v>
      </c>
      <c r="D213" s="7" t="s">
        <v>594</v>
      </c>
      <c r="E213" s="7">
        <v>1</v>
      </c>
      <c r="F213" s="7">
        <v>113.5</v>
      </c>
      <c r="G213" s="11">
        <f>1*F213*GiaDinh!$C$18*GiaDinh!$C$17</f>
        <v>95.339999999999989</v>
      </c>
      <c r="H213" s="7">
        <v>12</v>
      </c>
      <c r="I213" s="11">
        <f>H213*GiaDinh!$C$16</f>
        <v>84</v>
      </c>
      <c r="J213" s="7">
        <f t="shared" si="15"/>
        <v>2</v>
      </c>
      <c r="K213" s="7">
        <v>2</v>
      </c>
      <c r="L213" s="7" t="str">
        <f t="shared" si="16"/>
        <v>ĐỦ</v>
      </c>
      <c r="M213" s="11">
        <v>30</v>
      </c>
      <c r="N213" s="7">
        <f>ROUNDUP(15/GiaDinh!$C$5-0.0005,0)+ROUNDUP(15/GiaDinh!$C$5-0.0005,0)</f>
        <v>6</v>
      </c>
      <c r="O213" s="7">
        <f t="shared" si="17"/>
        <v>4</v>
      </c>
      <c r="P213" s="7">
        <v>24</v>
      </c>
      <c r="Q213" s="7">
        <f t="shared" si="18"/>
        <v>48</v>
      </c>
      <c r="R213" s="7">
        <f t="shared" si="19"/>
        <v>24</v>
      </c>
      <c r="S213" s="12">
        <f>M213*GiaDinh!$C$7</f>
        <v>90.3</v>
      </c>
    </row>
    <row r="214" spans="1:19" ht="15.5" x14ac:dyDescent="0.35">
      <c r="A214" s="7" t="s">
        <v>10</v>
      </c>
      <c r="B214" s="7" t="s">
        <v>595</v>
      </c>
      <c r="C214" s="7" t="s">
        <v>174</v>
      </c>
      <c r="D214" s="7" t="s">
        <v>596</v>
      </c>
      <c r="E214" s="7">
        <v>2</v>
      </c>
      <c r="F214" s="7">
        <v>105.9</v>
      </c>
      <c r="G214" s="11">
        <f>2*F214*GiaDinh!$C$18*GiaDinh!$C$17</f>
        <v>177.91199999999998</v>
      </c>
      <c r="H214" s="7">
        <v>13</v>
      </c>
      <c r="I214" s="11">
        <f>H214*GiaDinh!$C$16</f>
        <v>91</v>
      </c>
      <c r="J214" s="7">
        <f t="shared" si="15"/>
        <v>2</v>
      </c>
      <c r="K214" s="7">
        <v>2</v>
      </c>
      <c r="L214" s="7" t="str">
        <f t="shared" si="16"/>
        <v>ĐỦ</v>
      </c>
      <c r="M214" s="11">
        <v>30</v>
      </c>
      <c r="N214" s="7">
        <f>ROUNDUP(15/GiaDinh!$C$5-0.0005,0)+ROUNDUP(15/GiaDinh!$C$5-0.0005,0)</f>
        <v>6</v>
      </c>
      <c r="O214" s="7">
        <f t="shared" si="17"/>
        <v>4</v>
      </c>
      <c r="P214" s="7">
        <v>26</v>
      </c>
      <c r="Q214" s="7">
        <f t="shared" si="18"/>
        <v>52</v>
      </c>
      <c r="R214" s="7">
        <f t="shared" si="19"/>
        <v>26</v>
      </c>
      <c r="S214" s="12">
        <f>M214*GiaDinh!$C$7</f>
        <v>90.3</v>
      </c>
    </row>
    <row r="215" spans="1:19" ht="15.5" x14ac:dyDescent="0.35">
      <c r="A215" s="7" t="s">
        <v>10</v>
      </c>
      <c r="B215" s="7" t="s">
        <v>597</v>
      </c>
      <c r="C215" s="7" t="s">
        <v>174</v>
      </c>
      <c r="D215" s="7" t="s">
        <v>598</v>
      </c>
      <c r="E215" s="7">
        <v>2</v>
      </c>
      <c r="F215" s="7">
        <v>105.9</v>
      </c>
      <c r="G215" s="11">
        <f>2*F215*GiaDinh!$C$18*GiaDinh!$C$17</f>
        <v>177.91199999999998</v>
      </c>
      <c r="H215" s="7">
        <v>12</v>
      </c>
      <c r="I215" s="11">
        <f>H215*GiaDinh!$C$16</f>
        <v>84</v>
      </c>
      <c r="J215" s="7">
        <f t="shared" si="15"/>
        <v>3</v>
      </c>
      <c r="K215" s="7">
        <v>3</v>
      </c>
      <c r="L215" s="7" t="str">
        <f t="shared" si="16"/>
        <v>ĐỦ</v>
      </c>
      <c r="M215" s="11">
        <v>45</v>
      </c>
      <c r="N215" s="7">
        <f>ROUNDUP(15/GiaDinh!$C$5-0.0005,0)+ROUNDUP(15/GiaDinh!$C$5-0.0005,0)+ROUNDUP(15/GiaDinh!$C$5-0.0005,0)</f>
        <v>9</v>
      </c>
      <c r="O215" s="7">
        <f t="shared" si="17"/>
        <v>6</v>
      </c>
      <c r="P215" s="7">
        <v>36</v>
      </c>
      <c r="Q215" s="7">
        <f t="shared" si="18"/>
        <v>72</v>
      </c>
      <c r="R215" s="7">
        <f t="shared" si="19"/>
        <v>36</v>
      </c>
      <c r="S215" s="12">
        <f>M215*GiaDinh!$C$7</f>
        <v>135.44999999999999</v>
      </c>
    </row>
    <row r="216" spans="1:19" ht="15.5" x14ac:dyDescent="0.35">
      <c r="A216" s="7" t="s">
        <v>10</v>
      </c>
      <c r="B216" s="7" t="s">
        <v>599</v>
      </c>
      <c r="C216" s="7" t="s">
        <v>174</v>
      </c>
      <c r="D216" s="7" t="s">
        <v>600</v>
      </c>
      <c r="E216" s="7">
        <v>2</v>
      </c>
      <c r="F216" s="7">
        <v>105.9</v>
      </c>
      <c r="G216" s="11">
        <f>2*F216*GiaDinh!$C$18*GiaDinh!$C$17</f>
        <v>177.91199999999998</v>
      </c>
      <c r="H216" s="7">
        <v>14</v>
      </c>
      <c r="I216" s="11">
        <f>H216*GiaDinh!$C$16</f>
        <v>98</v>
      </c>
      <c r="J216" s="7">
        <f t="shared" si="15"/>
        <v>2</v>
      </c>
      <c r="K216" s="7">
        <v>2</v>
      </c>
      <c r="L216" s="7" t="str">
        <f t="shared" si="16"/>
        <v>ĐỦ</v>
      </c>
      <c r="M216" s="11">
        <v>30</v>
      </c>
      <c r="N216" s="7">
        <f>ROUNDUP(15/GiaDinh!$C$5-0.0005,0)+ROUNDUP(15/GiaDinh!$C$5-0.0005,0)</f>
        <v>6</v>
      </c>
      <c r="O216" s="7">
        <f t="shared" si="17"/>
        <v>4</v>
      </c>
      <c r="P216" s="7">
        <v>28</v>
      </c>
      <c r="Q216" s="7">
        <f t="shared" si="18"/>
        <v>56</v>
      </c>
      <c r="R216" s="7">
        <f t="shared" si="19"/>
        <v>28</v>
      </c>
      <c r="S216" s="12">
        <f>M216*GiaDinh!$C$7</f>
        <v>90.3</v>
      </c>
    </row>
    <row r="217" spans="1:19" ht="15.5" x14ac:dyDescent="0.35">
      <c r="A217" s="7" t="s">
        <v>10</v>
      </c>
      <c r="B217" s="7" t="s">
        <v>601</v>
      </c>
      <c r="C217" s="7" t="s">
        <v>174</v>
      </c>
      <c r="D217" s="7" t="s">
        <v>602</v>
      </c>
      <c r="E217" s="7">
        <v>2</v>
      </c>
      <c r="F217" s="7">
        <v>105.9</v>
      </c>
      <c r="G217" s="11">
        <f>2*F217*GiaDinh!$C$18*GiaDinh!$C$17</f>
        <v>177.91199999999998</v>
      </c>
      <c r="H217" s="7">
        <v>12</v>
      </c>
      <c r="I217" s="11">
        <f>H217*GiaDinh!$C$16</f>
        <v>84</v>
      </c>
      <c r="J217" s="7">
        <f t="shared" si="15"/>
        <v>3</v>
      </c>
      <c r="K217" s="7">
        <v>3</v>
      </c>
      <c r="L217" s="7" t="str">
        <f t="shared" si="16"/>
        <v>ĐỦ</v>
      </c>
      <c r="M217" s="11">
        <v>45</v>
      </c>
      <c r="N217" s="7">
        <f>ROUNDUP(15/GiaDinh!$C$5-0.0005,0)+ROUNDUP(15/GiaDinh!$C$5-0.0005,0)+ROUNDUP(15/GiaDinh!$C$5-0.0005,0)</f>
        <v>9</v>
      </c>
      <c r="O217" s="7">
        <f t="shared" si="17"/>
        <v>6</v>
      </c>
      <c r="P217" s="7">
        <v>36</v>
      </c>
      <c r="Q217" s="7">
        <f t="shared" si="18"/>
        <v>72</v>
      </c>
      <c r="R217" s="7">
        <f t="shared" si="19"/>
        <v>36</v>
      </c>
      <c r="S217" s="12">
        <f>M217*GiaDinh!$C$7</f>
        <v>135.44999999999999</v>
      </c>
    </row>
    <row r="218" spans="1:19" ht="15.5" x14ac:dyDescent="0.35">
      <c r="A218" s="7" t="s">
        <v>10</v>
      </c>
      <c r="B218" s="7" t="s">
        <v>603</v>
      </c>
      <c r="C218" s="7" t="s">
        <v>174</v>
      </c>
      <c r="D218" s="7" t="s">
        <v>604</v>
      </c>
      <c r="E218" s="7">
        <v>2</v>
      </c>
      <c r="F218" s="7">
        <v>105.9</v>
      </c>
      <c r="G218" s="11">
        <f>2*F218*GiaDinh!$C$18*GiaDinh!$C$17</f>
        <v>177.91199999999998</v>
      </c>
      <c r="H218" s="7">
        <v>12</v>
      </c>
      <c r="I218" s="11">
        <f>H218*GiaDinh!$C$16</f>
        <v>84</v>
      </c>
      <c r="J218" s="7">
        <f t="shared" si="15"/>
        <v>3</v>
      </c>
      <c r="K218" s="7">
        <v>3</v>
      </c>
      <c r="L218" s="7" t="str">
        <f t="shared" si="16"/>
        <v>ĐỦ</v>
      </c>
      <c r="M218" s="11">
        <v>45</v>
      </c>
      <c r="N218" s="7">
        <f>ROUNDUP(15/GiaDinh!$C$5-0.0005,0)+ROUNDUP(15/GiaDinh!$C$5-0.0005,0)+ROUNDUP(15/GiaDinh!$C$5-0.0005,0)</f>
        <v>9</v>
      </c>
      <c r="O218" s="7">
        <f t="shared" si="17"/>
        <v>6</v>
      </c>
      <c r="P218" s="7">
        <v>36</v>
      </c>
      <c r="Q218" s="7">
        <f t="shared" si="18"/>
        <v>72</v>
      </c>
      <c r="R218" s="7">
        <f t="shared" si="19"/>
        <v>36</v>
      </c>
      <c r="S218" s="12">
        <f>M218*GiaDinh!$C$7</f>
        <v>135.44999999999999</v>
      </c>
    </row>
    <row r="219" spans="1:19" ht="15.5" x14ac:dyDescent="0.35">
      <c r="A219" s="7" t="s">
        <v>10</v>
      </c>
      <c r="B219" s="7" t="s">
        <v>605</v>
      </c>
      <c r="C219" s="7" t="s">
        <v>174</v>
      </c>
      <c r="D219" s="7" t="s">
        <v>606</v>
      </c>
      <c r="E219" s="7">
        <v>2</v>
      </c>
      <c r="F219" s="7">
        <v>105.9</v>
      </c>
      <c r="G219" s="11">
        <f>2*F219*GiaDinh!$C$18*GiaDinh!$C$17</f>
        <v>177.91199999999998</v>
      </c>
      <c r="H219" s="7">
        <v>14</v>
      </c>
      <c r="I219" s="11">
        <f>H219*GiaDinh!$C$16</f>
        <v>98</v>
      </c>
      <c r="J219" s="7">
        <f t="shared" si="15"/>
        <v>2</v>
      </c>
      <c r="K219" s="7">
        <v>2</v>
      </c>
      <c r="L219" s="7" t="str">
        <f t="shared" si="16"/>
        <v>ĐỦ</v>
      </c>
      <c r="M219" s="11">
        <v>30</v>
      </c>
      <c r="N219" s="7">
        <f>ROUNDUP(15/GiaDinh!$C$5-0.0005,0)+ROUNDUP(15/GiaDinh!$C$5-0.0005,0)</f>
        <v>6</v>
      </c>
      <c r="O219" s="7">
        <f t="shared" si="17"/>
        <v>4</v>
      </c>
      <c r="P219" s="7">
        <v>28</v>
      </c>
      <c r="Q219" s="7">
        <f t="shared" si="18"/>
        <v>56</v>
      </c>
      <c r="R219" s="7">
        <f t="shared" si="19"/>
        <v>28</v>
      </c>
      <c r="S219" s="12">
        <f>M219*GiaDinh!$C$7</f>
        <v>90.3</v>
      </c>
    </row>
    <row r="220" spans="1:19" ht="15.5" x14ac:dyDescent="0.35">
      <c r="A220" s="7" t="s">
        <v>10</v>
      </c>
      <c r="B220" s="7" t="s">
        <v>607</v>
      </c>
      <c r="C220" s="7" t="s">
        <v>174</v>
      </c>
      <c r="D220" s="7" t="s">
        <v>608</v>
      </c>
      <c r="E220" s="7">
        <v>2</v>
      </c>
      <c r="F220" s="7">
        <v>105.9</v>
      </c>
      <c r="G220" s="11">
        <f>2*F220*GiaDinh!$C$18*GiaDinh!$C$17</f>
        <v>177.91199999999998</v>
      </c>
      <c r="H220" s="7">
        <v>12</v>
      </c>
      <c r="I220" s="11">
        <f>H220*GiaDinh!$C$16</f>
        <v>84</v>
      </c>
      <c r="J220" s="7">
        <f t="shared" si="15"/>
        <v>3</v>
      </c>
      <c r="K220" s="7">
        <v>3</v>
      </c>
      <c r="L220" s="7" t="str">
        <f t="shared" si="16"/>
        <v>ĐỦ</v>
      </c>
      <c r="M220" s="11">
        <v>45</v>
      </c>
      <c r="N220" s="7">
        <f>ROUNDUP(15/GiaDinh!$C$5-0.0005,0)+ROUNDUP(15/GiaDinh!$C$5-0.0005,0)+ROUNDUP(15/GiaDinh!$C$5-0.0005,0)</f>
        <v>9</v>
      </c>
      <c r="O220" s="7">
        <f t="shared" si="17"/>
        <v>6</v>
      </c>
      <c r="P220" s="7">
        <v>36</v>
      </c>
      <c r="Q220" s="7">
        <f t="shared" si="18"/>
        <v>72</v>
      </c>
      <c r="R220" s="7">
        <f t="shared" si="19"/>
        <v>36</v>
      </c>
      <c r="S220" s="12">
        <f>M220*GiaDinh!$C$7</f>
        <v>135.44999999999999</v>
      </c>
    </row>
    <row r="221" spans="1:19" ht="31" x14ac:dyDescent="0.35">
      <c r="A221" s="7" t="s">
        <v>10</v>
      </c>
      <c r="B221" s="7" t="s">
        <v>609</v>
      </c>
      <c r="C221" s="7" t="s">
        <v>174</v>
      </c>
      <c r="D221" s="7" t="s">
        <v>610</v>
      </c>
      <c r="E221" s="7">
        <v>4</v>
      </c>
      <c r="F221" s="7">
        <v>105.9</v>
      </c>
      <c r="G221" s="11">
        <f>4*F221*GiaDinh!$C$18*GiaDinh!$C$17</f>
        <v>355.82399999999996</v>
      </c>
      <c r="H221" s="7">
        <v>12</v>
      </c>
      <c r="I221" s="11">
        <f>H221*GiaDinh!$C$16</f>
        <v>84</v>
      </c>
      <c r="J221" s="7">
        <f t="shared" si="15"/>
        <v>5</v>
      </c>
      <c r="K221" s="7">
        <v>5</v>
      </c>
      <c r="L221" s="7" t="str">
        <f t="shared" si="16"/>
        <v>ĐỦ</v>
      </c>
      <c r="M221" s="11">
        <v>75</v>
      </c>
      <c r="N221" s="7">
        <f>ROUNDUP(15/GiaDinh!$C$5-0.0005,0)+ROUNDUP(15/GiaDinh!$C$5-0.0005,0)+ROUNDUP(15/GiaDinh!$C$5-0.0005,0)+ROUNDUP(15/GiaDinh!$C$5-0.0005,0)+ROUNDUP(15/GiaDinh!$C$5-0.0005,0)</f>
        <v>15</v>
      </c>
      <c r="O221" s="7">
        <f t="shared" si="17"/>
        <v>10</v>
      </c>
      <c r="P221" s="7">
        <v>60</v>
      </c>
      <c r="Q221" s="7">
        <f t="shared" si="18"/>
        <v>120</v>
      </c>
      <c r="R221" s="7">
        <f t="shared" si="19"/>
        <v>60</v>
      </c>
      <c r="S221" s="12">
        <f>M221*GiaDinh!$C$7</f>
        <v>225.74999999999997</v>
      </c>
    </row>
    <row r="222" spans="1:19" ht="15.5" x14ac:dyDescent="0.35">
      <c r="A222" s="7" t="s">
        <v>10</v>
      </c>
      <c r="B222" s="7" t="s">
        <v>611</v>
      </c>
      <c r="C222" s="7" t="s">
        <v>174</v>
      </c>
      <c r="D222" s="7" t="s">
        <v>612</v>
      </c>
      <c r="E222" s="7">
        <v>2</v>
      </c>
      <c r="F222" s="7">
        <v>105.9</v>
      </c>
      <c r="G222" s="11">
        <f>2*F222*GiaDinh!$C$18*GiaDinh!$C$17</f>
        <v>177.91199999999998</v>
      </c>
      <c r="H222" s="7">
        <v>10</v>
      </c>
      <c r="I222" s="11">
        <f>H222*GiaDinh!$C$16</f>
        <v>70</v>
      </c>
      <c r="J222" s="7">
        <f t="shared" si="15"/>
        <v>3</v>
      </c>
      <c r="K222" s="7">
        <v>3</v>
      </c>
      <c r="L222" s="7" t="str">
        <f t="shared" si="16"/>
        <v>ĐỦ</v>
      </c>
      <c r="M222" s="11">
        <v>35.421999999999997</v>
      </c>
      <c r="N222" s="7">
        <f>ROUNDUP(11.807/GiaDinh!$C$5-0.0005,0)+ROUNDUP(11.807/GiaDinh!$C$5-0.0005,0)+ROUNDUP(11.807/GiaDinh!$C$5-0.0005,0)</f>
        <v>6</v>
      </c>
      <c r="O222" s="7">
        <f t="shared" si="17"/>
        <v>3</v>
      </c>
      <c r="P222" s="7">
        <v>30</v>
      </c>
      <c r="Q222" s="7">
        <f t="shared" si="18"/>
        <v>60</v>
      </c>
      <c r="R222" s="7">
        <f t="shared" si="19"/>
        <v>30</v>
      </c>
      <c r="S222" s="12">
        <f>M222*GiaDinh!$C$7</f>
        <v>106.62021999999999</v>
      </c>
    </row>
    <row r="223" spans="1:19" ht="15.5" x14ac:dyDescent="0.35">
      <c r="A223" s="7" t="s">
        <v>10</v>
      </c>
      <c r="B223" s="7" t="s">
        <v>613</v>
      </c>
      <c r="C223" s="7" t="s">
        <v>174</v>
      </c>
      <c r="D223" s="7" t="s">
        <v>614</v>
      </c>
      <c r="E223" s="7">
        <v>2</v>
      </c>
      <c r="F223" s="7">
        <v>105.9</v>
      </c>
      <c r="G223" s="11">
        <f>2*F223*GiaDinh!$C$18*GiaDinh!$C$17</f>
        <v>177.91199999999998</v>
      </c>
      <c r="H223" s="7">
        <v>12</v>
      </c>
      <c r="I223" s="11">
        <f>H223*GiaDinh!$C$16</f>
        <v>84</v>
      </c>
      <c r="J223" s="7">
        <f t="shared" si="15"/>
        <v>3</v>
      </c>
      <c r="K223" s="7">
        <v>3</v>
      </c>
      <c r="L223" s="7" t="str">
        <f t="shared" si="16"/>
        <v>ĐỦ</v>
      </c>
      <c r="M223" s="11">
        <v>44.058999999999997</v>
      </c>
      <c r="N223" s="7">
        <f>ROUNDUP(14.686/GiaDinh!$C$5-0.0005,0)+ROUNDUP(14.686/GiaDinh!$C$5-0.0005,0)+ROUNDUP(14.686/GiaDinh!$C$5-0.0005,0)</f>
        <v>9</v>
      </c>
      <c r="O223" s="7">
        <f t="shared" si="17"/>
        <v>6</v>
      </c>
      <c r="P223" s="7">
        <v>36</v>
      </c>
      <c r="Q223" s="7">
        <f t="shared" si="18"/>
        <v>72</v>
      </c>
      <c r="R223" s="7">
        <f t="shared" si="19"/>
        <v>36</v>
      </c>
      <c r="S223" s="12">
        <f>M223*GiaDinh!$C$7</f>
        <v>132.61758999999998</v>
      </c>
    </row>
    <row r="224" spans="1:19" ht="15.5" x14ac:dyDescent="0.35">
      <c r="A224" s="7" t="s">
        <v>10</v>
      </c>
      <c r="B224" s="7" t="s">
        <v>615</v>
      </c>
      <c r="C224" s="7" t="s">
        <v>174</v>
      </c>
      <c r="D224" s="7" t="s">
        <v>616</v>
      </c>
      <c r="E224" s="7">
        <v>2</v>
      </c>
      <c r="F224" s="7">
        <v>105.9</v>
      </c>
      <c r="G224" s="11">
        <f>2*F224*GiaDinh!$C$18*GiaDinh!$C$17</f>
        <v>177.91199999999998</v>
      </c>
      <c r="H224" s="7">
        <v>13</v>
      </c>
      <c r="I224" s="11">
        <f>H224*GiaDinh!$C$16</f>
        <v>91</v>
      </c>
      <c r="J224" s="7">
        <f t="shared" si="15"/>
        <v>2</v>
      </c>
      <c r="K224" s="7">
        <v>2</v>
      </c>
      <c r="L224" s="7" t="str">
        <f t="shared" si="16"/>
        <v>ĐỦ</v>
      </c>
      <c r="M224" s="11">
        <v>30</v>
      </c>
      <c r="N224" s="7">
        <f>ROUNDUP(15/GiaDinh!$C$5-0.0005,0)+ROUNDUP(15/GiaDinh!$C$5-0.0005,0)</f>
        <v>6</v>
      </c>
      <c r="O224" s="7">
        <f t="shared" si="17"/>
        <v>4</v>
      </c>
      <c r="P224" s="7">
        <v>26</v>
      </c>
      <c r="Q224" s="7">
        <f t="shared" si="18"/>
        <v>52</v>
      </c>
      <c r="R224" s="7">
        <f t="shared" si="19"/>
        <v>26</v>
      </c>
      <c r="S224" s="12">
        <f>M224*GiaDinh!$C$7</f>
        <v>90.3</v>
      </c>
    </row>
    <row r="225" spans="1:19" ht="15.5" x14ac:dyDescent="0.35">
      <c r="A225" s="7" t="s">
        <v>10</v>
      </c>
      <c r="B225" s="7" t="s">
        <v>617</v>
      </c>
      <c r="C225" s="7" t="s">
        <v>174</v>
      </c>
      <c r="D225" s="7" t="s">
        <v>618</v>
      </c>
      <c r="E225" s="7">
        <v>2</v>
      </c>
      <c r="F225" s="7">
        <v>105.9</v>
      </c>
      <c r="G225" s="11">
        <f>2*F225*GiaDinh!$C$18*GiaDinh!$C$17</f>
        <v>177.91199999999998</v>
      </c>
      <c r="H225" s="7">
        <v>9</v>
      </c>
      <c r="I225" s="11">
        <f>H225*GiaDinh!$C$16</f>
        <v>63</v>
      </c>
      <c r="J225" s="7">
        <f t="shared" si="15"/>
        <v>3</v>
      </c>
      <c r="K225" s="7">
        <v>3</v>
      </c>
      <c r="L225" s="7" t="str">
        <f t="shared" si="16"/>
        <v>ĐỦ</v>
      </c>
      <c r="M225" s="11">
        <v>36.848999999999997</v>
      </c>
      <c r="N225" s="7">
        <f>ROUNDUP(10.924/GiaDinh!$C$5-0.0005,0)+ROUNDUP(10.924/GiaDinh!$C$5-0.0005,0)+ROUNDUP(15/GiaDinh!$C$5-0.0005,0)</f>
        <v>7</v>
      </c>
      <c r="O225" s="7">
        <f t="shared" si="17"/>
        <v>4</v>
      </c>
      <c r="P225" s="7">
        <v>30</v>
      </c>
      <c r="Q225" s="7">
        <f t="shared" si="18"/>
        <v>60</v>
      </c>
      <c r="R225" s="7">
        <f t="shared" si="19"/>
        <v>30</v>
      </c>
      <c r="S225" s="12">
        <f>M225*GiaDinh!$C$7</f>
        <v>110.91548999999998</v>
      </c>
    </row>
    <row r="226" spans="1:19" ht="15.5" x14ac:dyDescent="0.35">
      <c r="A226" s="7" t="s">
        <v>10</v>
      </c>
      <c r="B226" s="7" t="s">
        <v>619</v>
      </c>
      <c r="C226" s="7" t="s">
        <v>174</v>
      </c>
      <c r="D226" s="7" t="s">
        <v>620</v>
      </c>
      <c r="E226" s="7">
        <v>2</v>
      </c>
      <c r="F226" s="7">
        <v>105.9</v>
      </c>
      <c r="G226" s="11">
        <f>2*F226*GiaDinh!$C$18*GiaDinh!$C$17</f>
        <v>177.91199999999998</v>
      </c>
      <c r="H226" s="7">
        <v>12</v>
      </c>
      <c r="I226" s="11">
        <f>H226*GiaDinh!$C$16</f>
        <v>84</v>
      </c>
      <c r="J226" s="7">
        <f t="shared" si="15"/>
        <v>3</v>
      </c>
      <c r="K226" s="7">
        <v>3</v>
      </c>
      <c r="L226" s="7" t="str">
        <f t="shared" si="16"/>
        <v>ĐỦ</v>
      </c>
      <c r="M226" s="11">
        <v>45</v>
      </c>
      <c r="N226" s="7">
        <f>ROUNDUP(15/GiaDinh!$C$5-0.0005,0)+ROUNDUP(15/GiaDinh!$C$5-0.0005,0)+ROUNDUP(15/GiaDinh!$C$5-0.0005,0)</f>
        <v>9</v>
      </c>
      <c r="O226" s="7">
        <f t="shared" si="17"/>
        <v>6</v>
      </c>
      <c r="P226" s="7">
        <v>36</v>
      </c>
      <c r="Q226" s="7">
        <f t="shared" si="18"/>
        <v>72</v>
      </c>
      <c r="R226" s="7">
        <f t="shared" si="19"/>
        <v>36</v>
      </c>
      <c r="S226" s="12">
        <f>M226*GiaDinh!$C$7</f>
        <v>135.44999999999999</v>
      </c>
    </row>
    <row r="227" spans="1:19" ht="15.5" x14ac:dyDescent="0.35">
      <c r="A227" s="7" t="s">
        <v>10</v>
      </c>
      <c r="B227" s="7" t="s">
        <v>621</v>
      </c>
      <c r="C227" s="7" t="s">
        <v>174</v>
      </c>
      <c r="D227" s="7" t="s">
        <v>622</v>
      </c>
      <c r="E227" s="7">
        <v>2</v>
      </c>
      <c r="F227" s="7">
        <v>105.9</v>
      </c>
      <c r="G227" s="11">
        <f>2*F227*GiaDinh!$C$18*GiaDinh!$C$17</f>
        <v>177.91199999999998</v>
      </c>
      <c r="H227" s="7">
        <v>12</v>
      </c>
      <c r="I227" s="11">
        <f>H227*GiaDinh!$C$16</f>
        <v>84</v>
      </c>
      <c r="J227" s="7">
        <f t="shared" si="15"/>
        <v>3</v>
      </c>
      <c r="K227" s="7">
        <v>3</v>
      </c>
      <c r="L227" s="7" t="str">
        <f t="shared" si="16"/>
        <v>ĐỦ</v>
      </c>
      <c r="M227" s="11">
        <v>45</v>
      </c>
      <c r="N227" s="7">
        <f>ROUNDUP(15/GiaDinh!$C$5-0.0005,0)+ROUNDUP(15/GiaDinh!$C$5-0.0005,0)+ROUNDUP(15/GiaDinh!$C$5-0.0005,0)</f>
        <v>9</v>
      </c>
      <c r="O227" s="7">
        <f t="shared" si="17"/>
        <v>6</v>
      </c>
      <c r="P227" s="7">
        <v>36</v>
      </c>
      <c r="Q227" s="7">
        <f t="shared" si="18"/>
        <v>72</v>
      </c>
      <c r="R227" s="7">
        <f t="shared" si="19"/>
        <v>36</v>
      </c>
      <c r="S227" s="12">
        <f>M227*GiaDinh!$C$7</f>
        <v>135.44999999999999</v>
      </c>
    </row>
    <row r="228" spans="1:19" ht="15.5" x14ac:dyDescent="0.35">
      <c r="A228" s="7" t="s">
        <v>10</v>
      </c>
      <c r="B228" s="7" t="s">
        <v>623</v>
      </c>
      <c r="C228" s="7" t="s">
        <v>174</v>
      </c>
      <c r="D228" s="7" t="s">
        <v>624</v>
      </c>
      <c r="E228" s="7">
        <v>2</v>
      </c>
      <c r="F228" s="7">
        <v>105.9</v>
      </c>
      <c r="G228" s="11">
        <f>2*F228*GiaDinh!$C$18*GiaDinh!$C$17</f>
        <v>177.91199999999998</v>
      </c>
      <c r="H228" s="7">
        <v>12</v>
      </c>
      <c r="I228" s="11">
        <f>H228*GiaDinh!$C$16</f>
        <v>84</v>
      </c>
      <c r="J228" s="7">
        <f t="shared" si="15"/>
        <v>3</v>
      </c>
      <c r="K228" s="7">
        <v>3</v>
      </c>
      <c r="L228" s="7" t="str">
        <f t="shared" si="16"/>
        <v>ĐỦ</v>
      </c>
      <c r="M228" s="11">
        <v>45</v>
      </c>
      <c r="N228" s="7">
        <f>ROUNDUP(15/GiaDinh!$C$5-0.0005,0)+ROUNDUP(15/GiaDinh!$C$5-0.0005,0)+ROUNDUP(15/GiaDinh!$C$5-0.0005,0)</f>
        <v>9</v>
      </c>
      <c r="O228" s="7">
        <f t="shared" si="17"/>
        <v>6</v>
      </c>
      <c r="P228" s="7">
        <v>36</v>
      </c>
      <c r="Q228" s="7">
        <f t="shared" si="18"/>
        <v>72</v>
      </c>
      <c r="R228" s="7">
        <f t="shared" si="19"/>
        <v>36</v>
      </c>
      <c r="S228" s="12">
        <f>M228*GiaDinh!$C$7</f>
        <v>135.44999999999999</v>
      </c>
    </row>
    <row r="229" spans="1:19" ht="15.5" x14ac:dyDescent="0.35">
      <c r="A229" s="7" t="s">
        <v>10</v>
      </c>
      <c r="B229" s="7" t="s">
        <v>625</v>
      </c>
      <c r="C229" s="7" t="s">
        <v>197</v>
      </c>
      <c r="D229" s="7" t="s">
        <v>626</v>
      </c>
      <c r="E229" s="7">
        <v>1</v>
      </c>
      <c r="F229" s="7">
        <v>105.9</v>
      </c>
      <c r="G229" s="11">
        <f>1*F229*GiaDinh!$C$18*GiaDinh!$C$17</f>
        <v>88.955999999999989</v>
      </c>
      <c r="H229" s="7">
        <v>13</v>
      </c>
      <c r="I229" s="11">
        <f>H229*GiaDinh!$C$16</f>
        <v>91</v>
      </c>
      <c r="J229" s="7">
        <f t="shared" si="15"/>
        <v>1</v>
      </c>
      <c r="K229" s="7">
        <v>1</v>
      </c>
      <c r="L229" s="7" t="str">
        <f t="shared" si="16"/>
        <v>ĐỦ</v>
      </c>
      <c r="M229" s="11">
        <v>15</v>
      </c>
      <c r="N229" s="7">
        <f>ROUNDUP(15/GiaDinh!$C$5-0.0005,0)</f>
        <v>3</v>
      </c>
      <c r="O229" s="7">
        <f t="shared" si="17"/>
        <v>2</v>
      </c>
      <c r="P229" s="7">
        <v>13</v>
      </c>
      <c r="Q229" s="7">
        <f t="shared" si="18"/>
        <v>26</v>
      </c>
      <c r="R229" s="7">
        <f t="shared" si="19"/>
        <v>13</v>
      </c>
      <c r="S229" s="12">
        <f>M229*GiaDinh!$C$7</f>
        <v>45.15</v>
      </c>
    </row>
    <row r="230" spans="1:19" ht="15.5" x14ac:dyDescent="0.35">
      <c r="A230" s="7" t="s">
        <v>10</v>
      </c>
      <c r="B230" s="7" t="s">
        <v>627</v>
      </c>
      <c r="C230" s="7" t="s">
        <v>197</v>
      </c>
      <c r="D230" s="7" t="s">
        <v>628</v>
      </c>
      <c r="E230" s="7">
        <v>1</v>
      </c>
      <c r="F230" s="7">
        <v>105.9</v>
      </c>
      <c r="G230" s="11">
        <f>1*F230*GiaDinh!$C$18*GiaDinh!$C$17</f>
        <v>88.955999999999989</v>
      </c>
      <c r="H230" s="7">
        <v>13</v>
      </c>
      <c r="I230" s="11">
        <f>H230*GiaDinh!$C$16</f>
        <v>91</v>
      </c>
      <c r="J230" s="7">
        <f t="shared" si="15"/>
        <v>1</v>
      </c>
      <c r="K230" s="7">
        <v>1</v>
      </c>
      <c r="L230" s="7" t="str">
        <f t="shared" si="16"/>
        <v>ĐỦ</v>
      </c>
      <c r="M230" s="11">
        <v>15</v>
      </c>
      <c r="N230" s="7">
        <f>ROUNDUP(15/GiaDinh!$C$5-0.0005,0)</f>
        <v>3</v>
      </c>
      <c r="O230" s="7">
        <f t="shared" si="17"/>
        <v>2</v>
      </c>
      <c r="P230" s="7">
        <v>13</v>
      </c>
      <c r="Q230" s="7">
        <f t="shared" si="18"/>
        <v>26</v>
      </c>
      <c r="R230" s="7">
        <f t="shared" si="19"/>
        <v>13</v>
      </c>
      <c r="S230" s="12">
        <f>M230*GiaDinh!$C$7</f>
        <v>45.15</v>
      </c>
    </row>
    <row r="231" spans="1:19" ht="15.5" x14ac:dyDescent="0.35">
      <c r="A231" s="7" t="s">
        <v>10</v>
      </c>
      <c r="B231" s="7" t="s">
        <v>629</v>
      </c>
      <c r="C231" s="7" t="s">
        <v>197</v>
      </c>
      <c r="D231" s="7" t="s">
        <v>630</v>
      </c>
      <c r="E231" s="7">
        <v>1</v>
      </c>
      <c r="F231" s="7">
        <v>105.9</v>
      </c>
      <c r="G231" s="11">
        <f>1*F231*GiaDinh!$C$18*GiaDinh!$C$17</f>
        <v>88.955999999999989</v>
      </c>
      <c r="H231" s="7">
        <v>13</v>
      </c>
      <c r="I231" s="11">
        <f>H231*GiaDinh!$C$16</f>
        <v>91</v>
      </c>
      <c r="J231" s="7">
        <f t="shared" si="15"/>
        <v>1</v>
      </c>
      <c r="K231" s="7">
        <v>1</v>
      </c>
      <c r="L231" s="7" t="str">
        <f t="shared" si="16"/>
        <v>ĐỦ</v>
      </c>
      <c r="M231" s="11">
        <v>15</v>
      </c>
      <c r="N231" s="7">
        <f>ROUNDUP(15/GiaDinh!$C$5-0.0005,0)</f>
        <v>3</v>
      </c>
      <c r="O231" s="7">
        <f t="shared" si="17"/>
        <v>2</v>
      </c>
      <c r="P231" s="7">
        <v>13</v>
      </c>
      <c r="Q231" s="7">
        <f t="shared" si="18"/>
        <v>26</v>
      </c>
      <c r="R231" s="7">
        <f t="shared" si="19"/>
        <v>13</v>
      </c>
      <c r="S231" s="12">
        <f>M231*GiaDinh!$C$7</f>
        <v>45.15</v>
      </c>
    </row>
    <row r="232" spans="1:19" ht="15.5" x14ac:dyDescent="0.35">
      <c r="A232" s="7" t="s">
        <v>10</v>
      </c>
      <c r="B232" s="7" t="s">
        <v>631</v>
      </c>
      <c r="C232" s="7" t="s">
        <v>197</v>
      </c>
      <c r="D232" s="7" t="s">
        <v>632</v>
      </c>
      <c r="E232" s="7">
        <v>1</v>
      </c>
      <c r="F232" s="7">
        <v>105.9</v>
      </c>
      <c r="G232" s="11">
        <f>1*F232*GiaDinh!$C$18*GiaDinh!$C$17</f>
        <v>88.955999999999989</v>
      </c>
      <c r="H232" s="7">
        <v>13</v>
      </c>
      <c r="I232" s="11">
        <f>H232*GiaDinh!$C$16</f>
        <v>91</v>
      </c>
      <c r="J232" s="7">
        <f t="shared" si="15"/>
        <v>1</v>
      </c>
      <c r="K232" s="7">
        <v>1</v>
      </c>
      <c r="L232" s="7" t="str">
        <f t="shared" si="16"/>
        <v>ĐỦ</v>
      </c>
      <c r="M232" s="11">
        <v>15</v>
      </c>
      <c r="N232" s="7">
        <f>ROUNDUP(15/GiaDinh!$C$5-0.0005,0)</f>
        <v>3</v>
      </c>
      <c r="O232" s="7">
        <f t="shared" si="17"/>
        <v>2</v>
      </c>
      <c r="P232" s="7">
        <v>13</v>
      </c>
      <c r="Q232" s="7">
        <f t="shared" si="18"/>
        <v>26</v>
      </c>
      <c r="R232" s="7">
        <f t="shared" si="19"/>
        <v>13</v>
      </c>
      <c r="S232" s="12">
        <f>M232*GiaDinh!$C$7</f>
        <v>45.15</v>
      </c>
    </row>
    <row r="233" spans="1:19" ht="15.5" x14ac:dyDescent="0.35">
      <c r="A233" s="7" t="s">
        <v>10</v>
      </c>
      <c r="B233" s="7" t="s">
        <v>633</v>
      </c>
      <c r="C233" s="7" t="s">
        <v>197</v>
      </c>
      <c r="D233" s="7" t="s">
        <v>634</v>
      </c>
      <c r="E233" s="7">
        <v>1</v>
      </c>
      <c r="F233" s="7">
        <v>105.9</v>
      </c>
      <c r="G233" s="11">
        <f>1*F233*GiaDinh!$C$18*GiaDinh!$C$17</f>
        <v>88.955999999999989</v>
      </c>
      <c r="H233" s="7">
        <v>13</v>
      </c>
      <c r="I233" s="11">
        <f>H233*GiaDinh!$C$16</f>
        <v>91</v>
      </c>
      <c r="J233" s="7">
        <f t="shared" si="15"/>
        <v>1</v>
      </c>
      <c r="K233" s="7">
        <v>1</v>
      </c>
      <c r="L233" s="7" t="str">
        <f t="shared" si="16"/>
        <v>ĐỦ</v>
      </c>
      <c r="M233" s="11">
        <v>15</v>
      </c>
      <c r="N233" s="7">
        <f>ROUNDUP(15/GiaDinh!$C$5-0.0005,0)</f>
        <v>3</v>
      </c>
      <c r="O233" s="7">
        <f t="shared" si="17"/>
        <v>2</v>
      </c>
      <c r="P233" s="7">
        <v>13</v>
      </c>
      <c r="Q233" s="7">
        <f t="shared" si="18"/>
        <v>26</v>
      </c>
      <c r="R233" s="7">
        <f t="shared" si="19"/>
        <v>13</v>
      </c>
      <c r="S233" s="12">
        <f>M233*GiaDinh!$C$7</f>
        <v>45.15</v>
      </c>
    </row>
    <row r="234" spans="1:19" ht="15.5" x14ac:dyDescent="0.35">
      <c r="A234" s="7" t="s">
        <v>10</v>
      </c>
      <c r="B234" s="7" t="s">
        <v>635</v>
      </c>
      <c r="C234" s="7" t="s">
        <v>197</v>
      </c>
      <c r="D234" s="7" t="s">
        <v>636</v>
      </c>
      <c r="E234" s="7">
        <v>1</v>
      </c>
      <c r="F234" s="7">
        <v>105.9</v>
      </c>
      <c r="G234" s="11">
        <f>1*F234*GiaDinh!$C$18*GiaDinh!$C$17</f>
        <v>88.955999999999989</v>
      </c>
      <c r="H234" s="7">
        <v>13</v>
      </c>
      <c r="I234" s="11">
        <f>H234*GiaDinh!$C$16</f>
        <v>91</v>
      </c>
      <c r="J234" s="7">
        <f t="shared" si="15"/>
        <v>1</v>
      </c>
      <c r="K234" s="7">
        <v>1</v>
      </c>
      <c r="L234" s="7" t="str">
        <f t="shared" si="16"/>
        <v>ĐỦ</v>
      </c>
      <c r="M234" s="11">
        <v>15</v>
      </c>
      <c r="N234" s="7">
        <f>ROUNDUP(15/GiaDinh!$C$5-0.0005,0)</f>
        <v>3</v>
      </c>
      <c r="O234" s="7">
        <f t="shared" si="17"/>
        <v>2</v>
      </c>
      <c r="P234" s="7">
        <v>13</v>
      </c>
      <c r="Q234" s="7">
        <f t="shared" si="18"/>
        <v>26</v>
      </c>
      <c r="R234" s="7">
        <f t="shared" si="19"/>
        <v>13</v>
      </c>
      <c r="S234" s="12">
        <f>M234*GiaDinh!$C$7</f>
        <v>45.15</v>
      </c>
    </row>
    <row r="235" spans="1:19" ht="15.5" x14ac:dyDescent="0.35">
      <c r="A235" s="7" t="s">
        <v>10</v>
      </c>
      <c r="B235" s="7" t="s">
        <v>637</v>
      </c>
      <c r="C235" s="7" t="s">
        <v>197</v>
      </c>
      <c r="D235" s="7" t="s">
        <v>638</v>
      </c>
      <c r="E235" s="7">
        <v>1</v>
      </c>
      <c r="F235" s="7">
        <v>105.9</v>
      </c>
      <c r="G235" s="11">
        <f>1*F235*GiaDinh!$C$18*GiaDinh!$C$17</f>
        <v>88.955999999999989</v>
      </c>
      <c r="H235" s="7">
        <v>13</v>
      </c>
      <c r="I235" s="11">
        <f>H235*GiaDinh!$C$16</f>
        <v>91</v>
      </c>
      <c r="J235" s="7">
        <f t="shared" si="15"/>
        <v>1</v>
      </c>
      <c r="K235" s="7">
        <v>1</v>
      </c>
      <c r="L235" s="7" t="str">
        <f t="shared" si="16"/>
        <v>ĐỦ</v>
      </c>
      <c r="M235" s="11">
        <v>15</v>
      </c>
      <c r="N235" s="7">
        <f>ROUNDUP(15/GiaDinh!$C$5-0.0005,0)</f>
        <v>3</v>
      </c>
      <c r="O235" s="7">
        <f t="shared" si="17"/>
        <v>2</v>
      </c>
      <c r="P235" s="7">
        <v>13</v>
      </c>
      <c r="Q235" s="7">
        <f t="shared" si="18"/>
        <v>26</v>
      </c>
      <c r="R235" s="7">
        <f t="shared" si="19"/>
        <v>13</v>
      </c>
      <c r="S235" s="12">
        <f>M235*GiaDinh!$C$7</f>
        <v>45.15</v>
      </c>
    </row>
    <row r="236" spans="1:19" ht="15.5" x14ac:dyDescent="0.35">
      <c r="A236" s="7" t="s">
        <v>10</v>
      </c>
      <c r="B236" s="7" t="s">
        <v>639</v>
      </c>
      <c r="C236" s="7" t="s">
        <v>197</v>
      </c>
      <c r="D236" s="7" t="s">
        <v>640</v>
      </c>
      <c r="E236" s="7">
        <v>1</v>
      </c>
      <c r="F236" s="7">
        <v>105.9</v>
      </c>
      <c r="G236" s="11">
        <f>1*F236*GiaDinh!$C$18*GiaDinh!$C$17</f>
        <v>88.955999999999989</v>
      </c>
      <c r="H236" s="7">
        <v>13</v>
      </c>
      <c r="I236" s="11">
        <f>H236*GiaDinh!$C$16</f>
        <v>91</v>
      </c>
      <c r="J236" s="7">
        <f t="shared" si="15"/>
        <v>1</v>
      </c>
      <c r="K236" s="7">
        <v>1</v>
      </c>
      <c r="L236" s="7" t="str">
        <f t="shared" si="16"/>
        <v>ĐỦ</v>
      </c>
      <c r="M236" s="11">
        <v>15</v>
      </c>
      <c r="N236" s="7">
        <f>ROUNDUP(15/GiaDinh!$C$5-0.0005,0)</f>
        <v>3</v>
      </c>
      <c r="O236" s="7">
        <f t="shared" si="17"/>
        <v>2</v>
      </c>
      <c r="P236" s="7">
        <v>13</v>
      </c>
      <c r="Q236" s="7">
        <f t="shared" si="18"/>
        <v>26</v>
      </c>
      <c r="R236" s="7">
        <f t="shared" si="19"/>
        <v>13</v>
      </c>
      <c r="S236" s="12">
        <f>M236*GiaDinh!$C$7</f>
        <v>45.15</v>
      </c>
    </row>
    <row r="237" spans="1:19" ht="15.5" x14ac:dyDescent="0.35">
      <c r="A237" s="7" t="s">
        <v>10</v>
      </c>
      <c r="B237" s="7" t="s">
        <v>641</v>
      </c>
      <c r="C237" s="7" t="s">
        <v>197</v>
      </c>
      <c r="D237" s="7" t="s">
        <v>642</v>
      </c>
      <c r="E237" s="7">
        <v>1</v>
      </c>
      <c r="F237" s="7">
        <v>105.9</v>
      </c>
      <c r="G237" s="11">
        <f>1*F237*GiaDinh!$C$18*GiaDinh!$C$17</f>
        <v>88.955999999999989</v>
      </c>
      <c r="H237" s="7">
        <v>13</v>
      </c>
      <c r="I237" s="11">
        <f>H237*GiaDinh!$C$16</f>
        <v>91</v>
      </c>
      <c r="J237" s="7">
        <f t="shared" si="15"/>
        <v>1</v>
      </c>
      <c r="K237" s="7">
        <v>1</v>
      </c>
      <c r="L237" s="7" t="str">
        <f t="shared" si="16"/>
        <v>ĐỦ</v>
      </c>
      <c r="M237" s="11">
        <v>15</v>
      </c>
      <c r="N237" s="7">
        <f>ROUNDUP(15/GiaDinh!$C$5-0.0005,0)</f>
        <v>3</v>
      </c>
      <c r="O237" s="7">
        <f t="shared" si="17"/>
        <v>2</v>
      </c>
      <c r="P237" s="7">
        <v>13</v>
      </c>
      <c r="Q237" s="7">
        <f t="shared" si="18"/>
        <v>26</v>
      </c>
      <c r="R237" s="7">
        <f t="shared" si="19"/>
        <v>13</v>
      </c>
      <c r="S237" s="12">
        <f>M237*GiaDinh!$C$7</f>
        <v>45.15</v>
      </c>
    </row>
    <row r="238" spans="1:19" ht="15.5" x14ac:dyDescent="0.35">
      <c r="A238" s="7" t="s">
        <v>10</v>
      </c>
      <c r="B238" s="7" t="s">
        <v>643</v>
      </c>
      <c r="C238" s="7" t="s">
        <v>197</v>
      </c>
      <c r="D238" s="7" t="s">
        <v>644</v>
      </c>
      <c r="E238" s="7">
        <v>1</v>
      </c>
      <c r="F238" s="7">
        <v>105.9</v>
      </c>
      <c r="G238" s="11">
        <f>1*F238*GiaDinh!$C$18*GiaDinh!$C$17</f>
        <v>88.955999999999989</v>
      </c>
      <c r="H238" s="7">
        <v>13</v>
      </c>
      <c r="I238" s="11">
        <f>H238*GiaDinh!$C$16</f>
        <v>91</v>
      </c>
      <c r="J238" s="7">
        <f t="shared" si="15"/>
        <v>1</v>
      </c>
      <c r="K238" s="7">
        <v>1</v>
      </c>
      <c r="L238" s="7" t="str">
        <f t="shared" si="16"/>
        <v>ĐỦ</v>
      </c>
      <c r="M238" s="11">
        <v>15</v>
      </c>
      <c r="N238" s="7">
        <f>ROUNDUP(15/GiaDinh!$C$5-0.0005,0)</f>
        <v>3</v>
      </c>
      <c r="O238" s="7">
        <f t="shared" si="17"/>
        <v>2</v>
      </c>
      <c r="P238" s="7">
        <v>13</v>
      </c>
      <c r="Q238" s="7">
        <f t="shared" si="18"/>
        <v>26</v>
      </c>
      <c r="R238" s="7">
        <f t="shared" si="19"/>
        <v>13</v>
      </c>
      <c r="S238" s="12">
        <f>M238*GiaDinh!$C$7</f>
        <v>45.15</v>
      </c>
    </row>
    <row r="239" spans="1:19" ht="15.5" x14ac:dyDescent="0.35">
      <c r="A239" s="7" t="s">
        <v>10</v>
      </c>
      <c r="B239" s="7" t="s">
        <v>645</v>
      </c>
      <c r="C239" s="7" t="s">
        <v>197</v>
      </c>
      <c r="D239" s="7" t="s">
        <v>646</v>
      </c>
      <c r="E239" s="7">
        <v>1</v>
      </c>
      <c r="F239" s="7">
        <v>105.9</v>
      </c>
      <c r="G239" s="11">
        <f>1*F239*GiaDinh!$C$18*GiaDinh!$C$17</f>
        <v>88.955999999999989</v>
      </c>
      <c r="H239" s="7">
        <v>13</v>
      </c>
      <c r="I239" s="11">
        <f>H239*GiaDinh!$C$16</f>
        <v>91</v>
      </c>
      <c r="J239" s="7">
        <f t="shared" si="15"/>
        <v>1</v>
      </c>
      <c r="K239" s="7">
        <v>1</v>
      </c>
      <c r="L239" s="7" t="str">
        <f t="shared" si="16"/>
        <v>ĐỦ</v>
      </c>
      <c r="M239" s="11">
        <v>15</v>
      </c>
      <c r="N239" s="7">
        <f>ROUNDUP(15/GiaDinh!$C$5-0.0005,0)</f>
        <v>3</v>
      </c>
      <c r="O239" s="7">
        <f t="shared" si="17"/>
        <v>2</v>
      </c>
      <c r="P239" s="7">
        <v>13</v>
      </c>
      <c r="Q239" s="7">
        <f t="shared" si="18"/>
        <v>26</v>
      </c>
      <c r="R239" s="7">
        <f t="shared" si="19"/>
        <v>13</v>
      </c>
      <c r="S239" s="12">
        <f>M239*GiaDinh!$C$7</f>
        <v>45.15</v>
      </c>
    </row>
    <row r="240" spans="1:19" ht="15.5" x14ac:dyDescent="0.35">
      <c r="A240" s="7" t="s">
        <v>10</v>
      </c>
      <c r="B240" s="7" t="s">
        <v>647</v>
      </c>
      <c r="C240" s="7" t="s">
        <v>197</v>
      </c>
      <c r="D240" s="7" t="s">
        <v>648</v>
      </c>
      <c r="E240" s="7">
        <v>1</v>
      </c>
      <c r="F240" s="7">
        <v>105.9</v>
      </c>
      <c r="G240" s="11">
        <f>1*F240*GiaDinh!$C$18*GiaDinh!$C$17</f>
        <v>88.955999999999989</v>
      </c>
      <c r="H240" s="7">
        <v>13</v>
      </c>
      <c r="I240" s="11">
        <f>H240*GiaDinh!$C$16</f>
        <v>91</v>
      </c>
      <c r="J240" s="7">
        <f t="shared" si="15"/>
        <v>1</v>
      </c>
      <c r="K240" s="7">
        <v>1</v>
      </c>
      <c r="L240" s="7" t="str">
        <f t="shared" si="16"/>
        <v>ĐỦ</v>
      </c>
      <c r="M240" s="11">
        <v>15</v>
      </c>
      <c r="N240" s="7">
        <f>ROUNDUP(15/GiaDinh!$C$5-0.0005,0)</f>
        <v>3</v>
      </c>
      <c r="O240" s="7">
        <f t="shared" si="17"/>
        <v>2</v>
      </c>
      <c r="P240" s="7">
        <v>13</v>
      </c>
      <c r="Q240" s="7">
        <f t="shared" si="18"/>
        <v>26</v>
      </c>
      <c r="R240" s="7">
        <f t="shared" si="19"/>
        <v>13</v>
      </c>
      <c r="S240" s="12">
        <f>M240*GiaDinh!$C$7</f>
        <v>45.15</v>
      </c>
    </row>
    <row r="241" spans="1:19" ht="15.5" x14ac:dyDescent="0.35">
      <c r="A241" s="7" t="s">
        <v>10</v>
      </c>
      <c r="B241" s="7" t="s">
        <v>649</v>
      </c>
      <c r="C241" s="7" t="s">
        <v>197</v>
      </c>
      <c r="D241" s="7" t="s">
        <v>650</v>
      </c>
      <c r="E241" s="7">
        <v>1</v>
      </c>
      <c r="F241" s="7">
        <v>105.9</v>
      </c>
      <c r="G241" s="11">
        <f>1*F241*GiaDinh!$C$18*GiaDinh!$C$17</f>
        <v>88.955999999999989</v>
      </c>
      <c r="H241" s="7">
        <v>13</v>
      </c>
      <c r="I241" s="11">
        <f>H241*GiaDinh!$C$16</f>
        <v>91</v>
      </c>
      <c r="J241" s="7">
        <f t="shared" si="15"/>
        <v>1</v>
      </c>
      <c r="K241" s="7">
        <v>1</v>
      </c>
      <c r="L241" s="7" t="str">
        <f t="shared" si="16"/>
        <v>ĐỦ</v>
      </c>
      <c r="M241" s="11">
        <v>15</v>
      </c>
      <c r="N241" s="7">
        <f>ROUNDUP(15/GiaDinh!$C$5-0.0005,0)</f>
        <v>3</v>
      </c>
      <c r="O241" s="7">
        <f t="shared" si="17"/>
        <v>2</v>
      </c>
      <c r="P241" s="7">
        <v>13</v>
      </c>
      <c r="Q241" s="7">
        <f t="shared" si="18"/>
        <v>26</v>
      </c>
      <c r="R241" s="7">
        <f t="shared" si="19"/>
        <v>13</v>
      </c>
      <c r="S241" s="12">
        <f>M241*GiaDinh!$C$7</f>
        <v>45.15</v>
      </c>
    </row>
    <row r="242" spans="1:19" ht="15.5" x14ac:dyDescent="0.35">
      <c r="A242" s="7" t="s">
        <v>10</v>
      </c>
      <c r="B242" s="7" t="s">
        <v>651</v>
      </c>
      <c r="C242" s="7" t="s">
        <v>197</v>
      </c>
      <c r="D242" s="7" t="s">
        <v>652</v>
      </c>
      <c r="E242" s="7">
        <v>1</v>
      </c>
      <c r="F242" s="7">
        <v>105.9</v>
      </c>
      <c r="G242" s="11">
        <f>1*F242*GiaDinh!$C$18*GiaDinh!$C$17</f>
        <v>88.955999999999989</v>
      </c>
      <c r="H242" s="7">
        <v>13</v>
      </c>
      <c r="I242" s="11">
        <f>H242*GiaDinh!$C$16</f>
        <v>91</v>
      </c>
      <c r="J242" s="7">
        <f t="shared" si="15"/>
        <v>1</v>
      </c>
      <c r="K242" s="7">
        <v>1</v>
      </c>
      <c r="L242" s="7" t="str">
        <f t="shared" si="16"/>
        <v>ĐỦ</v>
      </c>
      <c r="M242" s="11">
        <v>15</v>
      </c>
      <c r="N242" s="7">
        <f>ROUNDUP(15/GiaDinh!$C$5-0.0005,0)</f>
        <v>3</v>
      </c>
      <c r="O242" s="7">
        <f t="shared" si="17"/>
        <v>2</v>
      </c>
      <c r="P242" s="7">
        <v>13</v>
      </c>
      <c r="Q242" s="7">
        <f t="shared" si="18"/>
        <v>26</v>
      </c>
      <c r="R242" s="7">
        <f t="shared" si="19"/>
        <v>13</v>
      </c>
      <c r="S242" s="12">
        <f>M242*GiaDinh!$C$7</f>
        <v>45.15</v>
      </c>
    </row>
    <row r="243" spans="1:19" ht="15.5" x14ac:dyDescent="0.35">
      <c r="A243" s="7" t="s">
        <v>10</v>
      </c>
      <c r="B243" s="7" t="s">
        <v>653</v>
      </c>
      <c r="C243" s="7" t="s">
        <v>197</v>
      </c>
      <c r="D243" s="7" t="s">
        <v>654</v>
      </c>
      <c r="E243" s="7">
        <v>1</v>
      </c>
      <c r="F243" s="7">
        <v>105.9</v>
      </c>
      <c r="G243" s="11">
        <f>1*F243*GiaDinh!$C$18*GiaDinh!$C$17</f>
        <v>88.955999999999989</v>
      </c>
      <c r="H243" s="7">
        <v>13</v>
      </c>
      <c r="I243" s="11">
        <f>H243*GiaDinh!$C$16</f>
        <v>91</v>
      </c>
      <c r="J243" s="7">
        <f t="shared" si="15"/>
        <v>1</v>
      </c>
      <c r="K243" s="7">
        <v>1</v>
      </c>
      <c r="L243" s="7" t="str">
        <f t="shared" si="16"/>
        <v>ĐỦ</v>
      </c>
      <c r="M243" s="11">
        <v>15</v>
      </c>
      <c r="N243" s="7">
        <f>ROUNDUP(15/GiaDinh!$C$5-0.0005,0)</f>
        <v>3</v>
      </c>
      <c r="O243" s="7">
        <f t="shared" si="17"/>
        <v>2</v>
      </c>
      <c r="P243" s="7">
        <v>13</v>
      </c>
      <c r="Q243" s="7">
        <f t="shared" si="18"/>
        <v>26</v>
      </c>
      <c r="R243" s="7">
        <f t="shared" si="19"/>
        <v>13</v>
      </c>
      <c r="S243" s="12">
        <f>M243*GiaDinh!$C$7</f>
        <v>45.15</v>
      </c>
    </row>
    <row r="244" spans="1:19" ht="15.5" x14ac:dyDescent="0.35">
      <c r="A244" s="7" t="s">
        <v>10</v>
      </c>
      <c r="B244" s="7" t="s">
        <v>655</v>
      </c>
      <c r="C244" s="7" t="s">
        <v>197</v>
      </c>
      <c r="D244" s="7" t="s">
        <v>656</v>
      </c>
      <c r="E244" s="7">
        <v>1</v>
      </c>
      <c r="F244" s="7">
        <v>105.9</v>
      </c>
      <c r="G244" s="11">
        <f>1*F244*GiaDinh!$C$18*GiaDinh!$C$17</f>
        <v>88.955999999999989</v>
      </c>
      <c r="H244" s="7">
        <v>13</v>
      </c>
      <c r="I244" s="11">
        <f>H244*GiaDinh!$C$16</f>
        <v>91</v>
      </c>
      <c r="J244" s="7">
        <f t="shared" si="15"/>
        <v>1</v>
      </c>
      <c r="K244" s="7">
        <v>1</v>
      </c>
      <c r="L244" s="7" t="str">
        <f t="shared" si="16"/>
        <v>ĐỦ</v>
      </c>
      <c r="M244" s="11">
        <v>15</v>
      </c>
      <c r="N244" s="7">
        <f>ROUNDUP(15/GiaDinh!$C$5-0.0005,0)</f>
        <v>3</v>
      </c>
      <c r="O244" s="7">
        <f t="shared" si="17"/>
        <v>2</v>
      </c>
      <c r="P244" s="7">
        <v>13</v>
      </c>
      <c r="Q244" s="7">
        <f t="shared" si="18"/>
        <v>26</v>
      </c>
      <c r="R244" s="7">
        <f t="shared" si="19"/>
        <v>13</v>
      </c>
      <c r="S244" s="12">
        <f>M244*GiaDinh!$C$7</f>
        <v>45.15</v>
      </c>
    </row>
    <row r="245" spans="1:19" ht="15.5" x14ac:dyDescent="0.35">
      <c r="A245" s="7" t="s">
        <v>10</v>
      </c>
      <c r="B245" s="7" t="s">
        <v>657</v>
      </c>
      <c r="C245" s="7" t="s">
        <v>197</v>
      </c>
      <c r="D245" s="7" t="s">
        <v>658</v>
      </c>
      <c r="E245" s="7">
        <v>1</v>
      </c>
      <c r="F245" s="7">
        <v>105.9</v>
      </c>
      <c r="G245" s="11">
        <f>1*F245*GiaDinh!$C$18*GiaDinh!$C$17</f>
        <v>88.955999999999989</v>
      </c>
      <c r="H245" s="7">
        <v>13</v>
      </c>
      <c r="I245" s="11">
        <f>H245*GiaDinh!$C$16</f>
        <v>91</v>
      </c>
      <c r="J245" s="7">
        <f t="shared" si="15"/>
        <v>1</v>
      </c>
      <c r="K245" s="7">
        <v>1</v>
      </c>
      <c r="L245" s="7" t="str">
        <f t="shared" si="16"/>
        <v>ĐỦ</v>
      </c>
      <c r="M245" s="11">
        <v>15</v>
      </c>
      <c r="N245" s="7">
        <f>ROUNDUP(15/GiaDinh!$C$5-0.0005,0)</f>
        <v>3</v>
      </c>
      <c r="O245" s="7">
        <f t="shared" si="17"/>
        <v>2</v>
      </c>
      <c r="P245" s="7">
        <v>13</v>
      </c>
      <c r="Q245" s="7">
        <f t="shared" si="18"/>
        <v>26</v>
      </c>
      <c r="R245" s="7">
        <f t="shared" si="19"/>
        <v>13</v>
      </c>
      <c r="S245" s="12">
        <f>M245*GiaDinh!$C$7</f>
        <v>45.15</v>
      </c>
    </row>
    <row r="246" spans="1:19" ht="15.5" x14ac:dyDescent="0.35">
      <c r="A246" s="7" t="s">
        <v>10</v>
      </c>
      <c r="B246" s="7" t="s">
        <v>659</v>
      </c>
      <c r="C246" s="7" t="s">
        <v>197</v>
      </c>
      <c r="D246" s="7" t="s">
        <v>660</v>
      </c>
      <c r="E246" s="7">
        <v>1</v>
      </c>
      <c r="F246" s="7">
        <v>105.9</v>
      </c>
      <c r="G246" s="11">
        <f>1*F246*GiaDinh!$C$18*GiaDinh!$C$17</f>
        <v>88.955999999999989</v>
      </c>
      <c r="H246" s="7">
        <v>13</v>
      </c>
      <c r="I246" s="11">
        <f>H246*GiaDinh!$C$16</f>
        <v>91</v>
      </c>
      <c r="J246" s="7">
        <f t="shared" si="15"/>
        <v>1</v>
      </c>
      <c r="K246" s="7">
        <v>1</v>
      </c>
      <c r="L246" s="7" t="str">
        <f t="shared" si="16"/>
        <v>ĐỦ</v>
      </c>
      <c r="M246" s="11">
        <v>15</v>
      </c>
      <c r="N246" s="7">
        <f>ROUNDUP(15/GiaDinh!$C$5-0.0005,0)</f>
        <v>3</v>
      </c>
      <c r="O246" s="7">
        <f t="shared" si="17"/>
        <v>2</v>
      </c>
      <c r="P246" s="7">
        <v>13</v>
      </c>
      <c r="Q246" s="7">
        <f t="shared" si="18"/>
        <v>26</v>
      </c>
      <c r="R246" s="7">
        <f t="shared" si="19"/>
        <v>13</v>
      </c>
      <c r="S246" s="12">
        <f>M246*GiaDinh!$C$7</f>
        <v>45.15</v>
      </c>
    </row>
    <row r="247" spans="1:19" ht="15.5" x14ac:dyDescent="0.35">
      <c r="A247" s="7" t="s">
        <v>10</v>
      </c>
      <c r="B247" s="7" t="s">
        <v>661</v>
      </c>
      <c r="C247" s="7" t="s">
        <v>197</v>
      </c>
      <c r="D247" s="7" t="s">
        <v>662</v>
      </c>
      <c r="E247" s="7">
        <v>1</v>
      </c>
      <c r="F247" s="7">
        <v>105.9</v>
      </c>
      <c r="G247" s="11">
        <f>1*F247*GiaDinh!$C$18*GiaDinh!$C$17</f>
        <v>88.955999999999989</v>
      </c>
      <c r="H247" s="7">
        <v>12</v>
      </c>
      <c r="I247" s="11">
        <f>H247*GiaDinh!$C$16</f>
        <v>84</v>
      </c>
      <c r="J247" s="7">
        <f t="shared" si="15"/>
        <v>2</v>
      </c>
      <c r="K247" s="7">
        <v>2</v>
      </c>
      <c r="L247" s="7" t="str">
        <f t="shared" si="16"/>
        <v>ĐỦ</v>
      </c>
      <c r="M247" s="11">
        <v>30</v>
      </c>
      <c r="N247" s="7">
        <f>ROUNDUP(15/GiaDinh!$C$5-0.0005,0)+ROUNDUP(15/GiaDinh!$C$5-0.0005,0)</f>
        <v>6</v>
      </c>
      <c r="O247" s="7">
        <f t="shared" si="17"/>
        <v>4</v>
      </c>
      <c r="P247" s="7">
        <v>24</v>
      </c>
      <c r="Q247" s="7">
        <f t="shared" si="18"/>
        <v>48</v>
      </c>
      <c r="R247" s="7">
        <f t="shared" si="19"/>
        <v>24</v>
      </c>
      <c r="S247" s="12">
        <f>M247*GiaDinh!$C$7</f>
        <v>90.3</v>
      </c>
    </row>
    <row r="248" spans="1:19" ht="15.5" x14ac:dyDescent="0.35">
      <c r="A248" s="7" t="s">
        <v>10</v>
      </c>
      <c r="B248" s="7" t="s">
        <v>663</v>
      </c>
      <c r="C248" s="7" t="s">
        <v>197</v>
      </c>
      <c r="D248" s="7" t="s">
        <v>664</v>
      </c>
      <c r="E248" s="7">
        <v>1</v>
      </c>
      <c r="F248" s="7">
        <v>105.9</v>
      </c>
      <c r="G248" s="11">
        <f>1*F248*GiaDinh!$C$18*GiaDinh!$C$17</f>
        <v>88.955999999999989</v>
      </c>
      <c r="H248" s="7">
        <v>12</v>
      </c>
      <c r="I248" s="11">
        <f>H248*GiaDinh!$C$16</f>
        <v>84</v>
      </c>
      <c r="J248" s="7">
        <f t="shared" si="15"/>
        <v>2</v>
      </c>
      <c r="K248" s="7">
        <v>2</v>
      </c>
      <c r="L248" s="7" t="str">
        <f t="shared" si="16"/>
        <v>ĐỦ</v>
      </c>
      <c r="M248" s="11">
        <v>30</v>
      </c>
      <c r="N248" s="7">
        <f>ROUNDUP(15/GiaDinh!$C$5-0.0005,0)+ROUNDUP(15/GiaDinh!$C$5-0.0005,0)</f>
        <v>6</v>
      </c>
      <c r="O248" s="7">
        <f t="shared" si="17"/>
        <v>4</v>
      </c>
      <c r="P248" s="7">
        <v>24</v>
      </c>
      <c r="Q248" s="7">
        <f t="shared" si="18"/>
        <v>48</v>
      </c>
      <c r="R248" s="7">
        <f t="shared" si="19"/>
        <v>24</v>
      </c>
      <c r="S248" s="12">
        <f>M248*GiaDinh!$C$7</f>
        <v>90.3</v>
      </c>
    </row>
    <row r="249" spans="1:19" ht="15.5" x14ac:dyDescent="0.35">
      <c r="A249" s="7" t="s">
        <v>10</v>
      </c>
      <c r="B249" s="7" t="s">
        <v>665</v>
      </c>
      <c r="C249" s="7" t="s">
        <v>197</v>
      </c>
      <c r="D249" s="7" t="s">
        <v>666</v>
      </c>
      <c r="E249" s="7">
        <v>1</v>
      </c>
      <c r="F249" s="7">
        <v>105.9</v>
      </c>
      <c r="G249" s="11">
        <f>1*F249*GiaDinh!$C$18*GiaDinh!$C$17</f>
        <v>88.955999999999989</v>
      </c>
      <c r="H249" s="7">
        <v>12</v>
      </c>
      <c r="I249" s="11">
        <f>H249*GiaDinh!$C$16</f>
        <v>84</v>
      </c>
      <c r="J249" s="7">
        <f t="shared" si="15"/>
        <v>2</v>
      </c>
      <c r="K249" s="7">
        <v>2</v>
      </c>
      <c r="L249" s="7" t="str">
        <f t="shared" si="16"/>
        <v>ĐỦ</v>
      </c>
      <c r="M249" s="11">
        <v>30</v>
      </c>
      <c r="N249" s="7">
        <f>ROUNDUP(15/GiaDinh!$C$5-0.0005,0)+ROUNDUP(15/GiaDinh!$C$5-0.0005,0)</f>
        <v>6</v>
      </c>
      <c r="O249" s="7">
        <f t="shared" si="17"/>
        <v>4</v>
      </c>
      <c r="P249" s="7">
        <v>24</v>
      </c>
      <c r="Q249" s="7">
        <f t="shared" si="18"/>
        <v>48</v>
      </c>
      <c r="R249" s="7">
        <f t="shared" si="19"/>
        <v>24</v>
      </c>
      <c r="S249" s="12">
        <f>M249*GiaDinh!$C$7</f>
        <v>90.3</v>
      </c>
    </row>
    <row r="250" spans="1:19" ht="15.5" x14ac:dyDescent="0.35">
      <c r="A250" s="7" t="s">
        <v>10</v>
      </c>
      <c r="B250" s="7" t="s">
        <v>667</v>
      </c>
      <c r="C250" s="7" t="s">
        <v>197</v>
      </c>
      <c r="D250" s="7" t="s">
        <v>668</v>
      </c>
      <c r="E250" s="7">
        <v>1</v>
      </c>
      <c r="F250" s="7">
        <v>105.9</v>
      </c>
      <c r="G250" s="11">
        <f>1*F250*GiaDinh!$C$18*GiaDinh!$C$17</f>
        <v>88.955999999999989</v>
      </c>
      <c r="H250" s="7">
        <v>12</v>
      </c>
      <c r="I250" s="11">
        <f>H250*GiaDinh!$C$16</f>
        <v>84</v>
      </c>
      <c r="J250" s="7">
        <f t="shared" si="15"/>
        <v>2</v>
      </c>
      <c r="K250" s="7">
        <v>2</v>
      </c>
      <c r="L250" s="7" t="str">
        <f t="shared" si="16"/>
        <v>ĐỦ</v>
      </c>
      <c r="M250" s="11">
        <v>30</v>
      </c>
      <c r="N250" s="7">
        <f>ROUNDUP(15/GiaDinh!$C$5-0.0005,0)+ROUNDUP(15/GiaDinh!$C$5-0.0005,0)</f>
        <v>6</v>
      </c>
      <c r="O250" s="7">
        <f t="shared" si="17"/>
        <v>4</v>
      </c>
      <c r="P250" s="7">
        <v>24</v>
      </c>
      <c r="Q250" s="7">
        <f t="shared" si="18"/>
        <v>48</v>
      </c>
      <c r="R250" s="7">
        <f t="shared" si="19"/>
        <v>24</v>
      </c>
      <c r="S250" s="12">
        <f>M250*GiaDinh!$C$7</f>
        <v>90.3</v>
      </c>
    </row>
    <row r="251" spans="1:19" ht="15.5" x14ac:dyDescent="0.35">
      <c r="A251" s="7" t="s">
        <v>10</v>
      </c>
      <c r="B251" s="7" t="s">
        <v>669</v>
      </c>
      <c r="C251" s="7" t="s">
        <v>197</v>
      </c>
      <c r="D251" s="7" t="s">
        <v>670</v>
      </c>
      <c r="E251" s="7">
        <v>1</v>
      </c>
      <c r="F251" s="7">
        <v>105.9</v>
      </c>
      <c r="G251" s="11">
        <f>1*F251*GiaDinh!$C$18*GiaDinh!$C$17</f>
        <v>88.955999999999989</v>
      </c>
      <c r="H251" s="7">
        <v>12</v>
      </c>
      <c r="I251" s="11">
        <f>H251*GiaDinh!$C$16</f>
        <v>84</v>
      </c>
      <c r="J251" s="7">
        <f t="shared" si="15"/>
        <v>2</v>
      </c>
      <c r="K251" s="7">
        <v>2</v>
      </c>
      <c r="L251" s="7" t="str">
        <f t="shared" si="16"/>
        <v>ĐỦ</v>
      </c>
      <c r="M251" s="11">
        <v>30</v>
      </c>
      <c r="N251" s="7">
        <f>ROUNDUP(15/GiaDinh!$C$5-0.0005,0)+ROUNDUP(15/GiaDinh!$C$5-0.0005,0)</f>
        <v>6</v>
      </c>
      <c r="O251" s="7">
        <f t="shared" si="17"/>
        <v>4</v>
      </c>
      <c r="P251" s="7">
        <v>24</v>
      </c>
      <c r="Q251" s="7">
        <f t="shared" si="18"/>
        <v>48</v>
      </c>
      <c r="R251" s="7">
        <f t="shared" si="19"/>
        <v>24</v>
      </c>
      <c r="S251" s="12">
        <f>M251*GiaDinh!$C$7</f>
        <v>90.3</v>
      </c>
    </row>
    <row r="252" spans="1:19" ht="15.5" x14ac:dyDescent="0.35">
      <c r="A252" s="7" t="s">
        <v>10</v>
      </c>
      <c r="B252" s="7" t="s">
        <v>671</v>
      </c>
      <c r="C252" s="7" t="s">
        <v>197</v>
      </c>
      <c r="D252" s="7" t="s">
        <v>672</v>
      </c>
      <c r="E252" s="7">
        <v>1</v>
      </c>
      <c r="F252" s="7">
        <v>105.9</v>
      </c>
      <c r="G252" s="11">
        <f>1*F252*GiaDinh!$C$18*GiaDinh!$C$17</f>
        <v>88.955999999999989</v>
      </c>
      <c r="H252" s="7">
        <v>12</v>
      </c>
      <c r="I252" s="11">
        <f>H252*GiaDinh!$C$16</f>
        <v>84</v>
      </c>
      <c r="J252" s="7">
        <f t="shared" si="15"/>
        <v>2</v>
      </c>
      <c r="K252" s="7">
        <v>2</v>
      </c>
      <c r="L252" s="7" t="str">
        <f t="shared" si="16"/>
        <v>ĐỦ</v>
      </c>
      <c r="M252" s="11">
        <v>30</v>
      </c>
      <c r="N252" s="7">
        <f>ROUNDUP(15/GiaDinh!$C$5-0.0005,0)+ROUNDUP(15/GiaDinh!$C$5-0.0005,0)</f>
        <v>6</v>
      </c>
      <c r="O252" s="7">
        <f t="shared" si="17"/>
        <v>4</v>
      </c>
      <c r="P252" s="7">
        <v>24</v>
      </c>
      <c r="Q252" s="7">
        <f t="shared" si="18"/>
        <v>48</v>
      </c>
      <c r="R252" s="7">
        <f t="shared" si="19"/>
        <v>24</v>
      </c>
      <c r="S252" s="12">
        <f>M252*GiaDinh!$C$7</f>
        <v>90.3</v>
      </c>
    </row>
    <row r="253" spans="1:19" ht="15.5" x14ac:dyDescent="0.35">
      <c r="A253" s="7" t="s">
        <v>10</v>
      </c>
      <c r="B253" s="7" t="s">
        <v>673</v>
      </c>
      <c r="C253" s="7" t="s">
        <v>197</v>
      </c>
      <c r="D253" s="7" t="s">
        <v>674</v>
      </c>
      <c r="E253" s="7">
        <v>1</v>
      </c>
      <c r="F253" s="7">
        <v>105.9</v>
      </c>
      <c r="G253" s="11">
        <f>1*F253*GiaDinh!$C$18*GiaDinh!$C$17</f>
        <v>88.955999999999989</v>
      </c>
      <c r="H253" s="7">
        <v>12</v>
      </c>
      <c r="I253" s="11">
        <f>H253*GiaDinh!$C$16</f>
        <v>84</v>
      </c>
      <c r="J253" s="7">
        <f t="shared" si="15"/>
        <v>2</v>
      </c>
      <c r="K253" s="7">
        <v>2</v>
      </c>
      <c r="L253" s="7" t="str">
        <f t="shared" si="16"/>
        <v>ĐỦ</v>
      </c>
      <c r="M253" s="11">
        <v>30</v>
      </c>
      <c r="N253" s="7">
        <f>ROUNDUP(15/GiaDinh!$C$5-0.0005,0)+ROUNDUP(15/GiaDinh!$C$5-0.0005,0)</f>
        <v>6</v>
      </c>
      <c r="O253" s="7">
        <f t="shared" si="17"/>
        <v>4</v>
      </c>
      <c r="P253" s="7">
        <v>24</v>
      </c>
      <c r="Q253" s="7">
        <f t="shared" si="18"/>
        <v>48</v>
      </c>
      <c r="R253" s="7">
        <f t="shared" si="19"/>
        <v>24</v>
      </c>
      <c r="S253" s="12">
        <f>M253*GiaDinh!$C$7</f>
        <v>90.3</v>
      </c>
    </row>
    <row r="254" spans="1:19" ht="15.5" x14ac:dyDescent="0.35">
      <c r="A254" s="7" t="s">
        <v>10</v>
      </c>
      <c r="B254" s="7" t="s">
        <v>675</v>
      </c>
      <c r="C254" s="7" t="s">
        <v>197</v>
      </c>
      <c r="D254" s="7" t="s">
        <v>676</v>
      </c>
      <c r="E254" s="7">
        <v>1</v>
      </c>
      <c r="F254" s="7">
        <v>105.9</v>
      </c>
      <c r="G254" s="11">
        <f>1*F254*GiaDinh!$C$18*GiaDinh!$C$17</f>
        <v>88.955999999999989</v>
      </c>
      <c r="H254" s="7">
        <v>12</v>
      </c>
      <c r="I254" s="11">
        <f>H254*GiaDinh!$C$16</f>
        <v>84</v>
      </c>
      <c r="J254" s="7">
        <f t="shared" si="15"/>
        <v>2</v>
      </c>
      <c r="K254" s="7">
        <v>2</v>
      </c>
      <c r="L254" s="7" t="str">
        <f t="shared" si="16"/>
        <v>ĐỦ</v>
      </c>
      <c r="M254" s="11">
        <v>30</v>
      </c>
      <c r="N254" s="7">
        <f>ROUNDUP(15/GiaDinh!$C$5-0.0005,0)+ROUNDUP(15/GiaDinh!$C$5-0.0005,0)</f>
        <v>6</v>
      </c>
      <c r="O254" s="7">
        <f t="shared" si="17"/>
        <v>4</v>
      </c>
      <c r="P254" s="7">
        <v>24</v>
      </c>
      <c r="Q254" s="7">
        <f t="shared" si="18"/>
        <v>48</v>
      </c>
      <c r="R254" s="7">
        <f t="shared" si="19"/>
        <v>24</v>
      </c>
      <c r="S254" s="12">
        <f>M254*GiaDinh!$C$7</f>
        <v>90.3</v>
      </c>
    </row>
    <row r="255" spans="1:19" ht="15.5" x14ac:dyDescent="0.35">
      <c r="A255" s="7" t="s">
        <v>10</v>
      </c>
      <c r="B255" s="7" t="s">
        <v>677</v>
      </c>
      <c r="C255" s="7" t="s">
        <v>197</v>
      </c>
      <c r="D255" s="7" t="s">
        <v>678</v>
      </c>
      <c r="E255" s="7">
        <v>1</v>
      </c>
      <c r="F255" s="7">
        <v>105.9</v>
      </c>
      <c r="G255" s="11">
        <f>1*F255*GiaDinh!$C$18*GiaDinh!$C$17</f>
        <v>88.955999999999989</v>
      </c>
      <c r="H255" s="7">
        <v>12</v>
      </c>
      <c r="I255" s="11">
        <f>H255*GiaDinh!$C$16</f>
        <v>84</v>
      </c>
      <c r="J255" s="7">
        <f t="shared" si="15"/>
        <v>2</v>
      </c>
      <c r="K255" s="7">
        <v>2</v>
      </c>
      <c r="L255" s="7" t="str">
        <f t="shared" si="16"/>
        <v>ĐỦ</v>
      </c>
      <c r="M255" s="11">
        <v>30</v>
      </c>
      <c r="N255" s="7">
        <f>ROUNDUP(15/GiaDinh!$C$5-0.0005,0)+ROUNDUP(15/GiaDinh!$C$5-0.0005,0)</f>
        <v>6</v>
      </c>
      <c r="O255" s="7">
        <f t="shared" si="17"/>
        <v>4</v>
      </c>
      <c r="P255" s="7">
        <v>24</v>
      </c>
      <c r="Q255" s="7">
        <f t="shared" si="18"/>
        <v>48</v>
      </c>
      <c r="R255" s="7">
        <f t="shared" si="19"/>
        <v>24</v>
      </c>
      <c r="S255" s="12">
        <f>M255*GiaDinh!$C$7</f>
        <v>90.3</v>
      </c>
    </row>
    <row r="256" spans="1:19" ht="15.5" x14ac:dyDescent="0.35">
      <c r="A256" s="7" t="s">
        <v>10</v>
      </c>
      <c r="B256" s="7" t="s">
        <v>679</v>
      </c>
      <c r="C256" s="7" t="s">
        <v>197</v>
      </c>
      <c r="D256" s="7" t="s">
        <v>680</v>
      </c>
      <c r="E256" s="7">
        <v>1</v>
      </c>
      <c r="F256" s="7">
        <v>105.9</v>
      </c>
      <c r="G256" s="11">
        <f>1*F256*GiaDinh!$C$18*GiaDinh!$C$17</f>
        <v>88.955999999999989</v>
      </c>
      <c r="H256" s="7">
        <v>12</v>
      </c>
      <c r="I256" s="11">
        <f>H256*GiaDinh!$C$16</f>
        <v>84</v>
      </c>
      <c r="J256" s="7">
        <f t="shared" si="15"/>
        <v>2</v>
      </c>
      <c r="K256" s="7">
        <v>2</v>
      </c>
      <c r="L256" s="7" t="str">
        <f t="shared" si="16"/>
        <v>ĐỦ</v>
      </c>
      <c r="M256" s="11">
        <v>30</v>
      </c>
      <c r="N256" s="7">
        <f>ROUNDUP(15/GiaDinh!$C$5-0.0005,0)+ROUNDUP(15/GiaDinh!$C$5-0.0005,0)</f>
        <v>6</v>
      </c>
      <c r="O256" s="7">
        <f t="shared" si="17"/>
        <v>4</v>
      </c>
      <c r="P256" s="7">
        <v>24</v>
      </c>
      <c r="Q256" s="7">
        <f t="shared" si="18"/>
        <v>48</v>
      </c>
      <c r="R256" s="7">
        <f t="shared" si="19"/>
        <v>24</v>
      </c>
      <c r="S256" s="12">
        <f>M256*GiaDinh!$C$7</f>
        <v>90.3</v>
      </c>
    </row>
    <row r="257" spans="1:19" ht="15.5" x14ac:dyDescent="0.35">
      <c r="A257" s="7" t="s">
        <v>10</v>
      </c>
      <c r="B257" s="7" t="s">
        <v>681</v>
      </c>
      <c r="C257" s="7" t="s">
        <v>197</v>
      </c>
      <c r="D257" s="7" t="s">
        <v>682</v>
      </c>
      <c r="E257" s="7">
        <v>1</v>
      </c>
      <c r="F257" s="7">
        <v>105.9</v>
      </c>
      <c r="G257" s="11">
        <f>1*F257*GiaDinh!$C$18*GiaDinh!$C$17</f>
        <v>88.955999999999989</v>
      </c>
      <c r="H257" s="7">
        <v>12</v>
      </c>
      <c r="I257" s="11">
        <f>H257*GiaDinh!$C$16</f>
        <v>84</v>
      </c>
      <c r="J257" s="7">
        <f t="shared" si="15"/>
        <v>2</v>
      </c>
      <c r="K257" s="7">
        <v>2</v>
      </c>
      <c r="L257" s="7" t="str">
        <f t="shared" si="16"/>
        <v>ĐỦ</v>
      </c>
      <c r="M257" s="11">
        <v>30</v>
      </c>
      <c r="N257" s="7">
        <f>ROUNDUP(15/GiaDinh!$C$5-0.0005,0)+ROUNDUP(15/GiaDinh!$C$5-0.0005,0)</f>
        <v>6</v>
      </c>
      <c r="O257" s="7">
        <f t="shared" si="17"/>
        <v>4</v>
      </c>
      <c r="P257" s="7">
        <v>24</v>
      </c>
      <c r="Q257" s="7">
        <f t="shared" si="18"/>
        <v>48</v>
      </c>
      <c r="R257" s="7">
        <f t="shared" si="19"/>
        <v>24</v>
      </c>
      <c r="S257" s="12">
        <f>M257*GiaDinh!$C$7</f>
        <v>90.3</v>
      </c>
    </row>
    <row r="258" spans="1:19" ht="15.5" x14ac:dyDescent="0.35">
      <c r="A258" s="7" t="s">
        <v>10</v>
      </c>
      <c r="B258" s="7" t="s">
        <v>683</v>
      </c>
      <c r="C258" s="7" t="s">
        <v>197</v>
      </c>
      <c r="D258" s="7" t="s">
        <v>684</v>
      </c>
      <c r="E258" s="7">
        <v>1</v>
      </c>
      <c r="F258" s="7">
        <v>105.9</v>
      </c>
      <c r="G258" s="11">
        <f>1*F258*GiaDinh!$C$18*GiaDinh!$C$17</f>
        <v>88.955999999999989</v>
      </c>
      <c r="H258" s="7">
        <v>12</v>
      </c>
      <c r="I258" s="11">
        <f>H258*GiaDinh!$C$16</f>
        <v>84</v>
      </c>
      <c r="J258" s="7">
        <f t="shared" si="15"/>
        <v>2</v>
      </c>
      <c r="K258" s="7">
        <v>2</v>
      </c>
      <c r="L258" s="7" t="str">
        <f t="shared" si="16"/>
        <v>ĐỦ</v>
      </c>
      <c r="M258" s="11">
        <v>30</v>
      </c>
      <c r="N258" s="7">
        <f>ROUNDUP(15/GiaDinh!$C$5-0.0005,0)+ROUNDUP(15/GiaDinh!$C$5-0.0005,0)</f>
        <v>6</v>
      </c>
      <c r="O258" s="7">
        <f t="shared" si="17"/>
        <v>4</v>
      </c>
      <c r="P258" s="7">
        <v>24</v>
      </c>
      <c r="Q258" s="7">
        <f t="shared" si="18"/>
        <v>48</v>
      </c>
      <c r="R258" s="7">
        <f t="shared" si="19"/>
        <v>24</v>
      </c>
      <c r="S258" s="12">
        <f>M258*GiaDinh!$C$7</f>
        <v>90.3</v>
      </c>
    </row>
    <row r="259" spans="1:19" ht="15.5" x14ac:dyDescent="0.35">
      <c r="A259" s="7" t="s">
        <v>10</v>
      </c>
      <c r="B259" s="7" t="s">
        <v>685</v>
      </c>
      <c r="C259" s="7" t="s">
        <v>197</v>
      </c>
      <c r="D259" s="7" t="s">
        <v>686</v>
      </c>
      <c r="E259" s="7">
        <v>1</v>
      </c>
      <c r="F259" s="7">
        <v>105.9</v>
      </c>
      <c r="G259" s="11">
        <f>1*F259*GiaDinh!$C$18*GiaDinh!$C$17</f>
        <v>88.955999999999989</v>
      </c>
      <c r="H259" s="7">
        <v>12</v>
      </c>
      <c r="I259" s="11">
        <f>H259*GiaDinh!$C$16</f>
        <v>84</v>
      </c>
      <c r="J259" s="7">
        <f t="shared" si="15"/>
        <v>2</v>
      </c>
      <c r="K259" s="7">
        <v>2</v>
      </c>
      <c r="L259" s="7" t="str">
        <f t="shared" si="16"/>
        <v>ĐỦ</v>
      </c>
      <c r="M259" s="11">
        <v>30</v>
      </c>
      <c r="N259" s="7">
        <f>ROUNDUP(15/GiaDinh!$C$5-0.0005,0)+ROUNDUP(15/GiaDinh!$C$5-0.0005,0)</f>
        <v>6</v>
      </c>
      <c r="O259" s="7">
        <f t="shared" si="17"/>
        <v>4</v>
      </c>
      <c r="P259" s="7">
        <v>24</v>
      </c>
      <c r="Q259" s="7">
        <f t="shared" si="18"/>
        <v>48</v>
      </c>
      <c r="R259" s="7">
        <f t="shared" si="19"/>
        <v>24</v>
      </c>
      <c r="S259" s="12">
        <f>M259*GiaDinh!$C$7</f>
        <v>90.3</v>
      </c>
    </row>
    <row r="260" spans="1:19" ht="15.5" x14ac:dyDescent="0.35">
      <c r="A260" s="7" t="s">
        <v>10</v>
      </c>
      <c r="B260" s="7" t="s">
        <v>687</v>
      </c>
      <c r="C260" s="7" t="s">
        <v>197</v>
      </c>
      <c r="D260" s="7" t="s">
        <v>688</v>
      </c>
      <c r="E260" s="7">
        <v>1</v>
      </c>
      <c r="F260" s="7">
        <v>105.9</v>
      </c>
      <c r="G260" s="11">
        <f>1*F260*GiaDinh!$C$18*GiaDinh!$C$17</f>
        <v>88.955999999999989</v>
      </c>
      <c r="H260" s="7">
        <v>12</v>
      </c>
      <c r="I260" s="11">
        <f>H260*GiaDinh!$C$16</f>
        <v>84</v>
      </c>
      <c r="J260" s="7">
        <f t="shared" ref="J260:J323" si="20">MAX(1,ROUNDUP(G260/I260-0.0005,0))</f>
        <v>2</v>
      </c>
      <c r="K260" s="7">
        <v>2</v>
      </c>
      <c r="L260" s="7" t="str">
        <f t="shared" ref="L260:L323" si="21">IF(K260&gt;=J260,"ĐỦ","THIẾU")</f>
        <v>ĐỦ</v>
      </c>
      <c r="M260" s="11">
        <v>30</v>
      </c>
      <c r="N260" s="7">
        <f>ROUNDUP(15/GiaDinh!$C$5-0.0005,0)+ROUNDUP(15/GiaDinh!$C$5-0.0005,0)</f>
        <v>6</v>
      </c>
      <c r="O260" s="7">
        <f t="shared" ref="O260:O323" si="22">N260-K260</f>
        <v>4</v>
      </c>
      <c r="P260" s="7">
        <v>24</v>
      </c>
      <c r="Q260" s="7">
        <f t="shared" ref="Q260:Q323" si="23">2*P260</f>
        <v>48</v>
      </c>
      <c r="R260" s="7">
        <f t="shared" ref="R260:R317" si="24">P260</f>
        <v>24</v>
      </c>
      <c r="S260" s="12">
        <f>M260*GiaDinh!$C$7</f>
        <v>90.3</v>
      </c>
    </row>
    <row r="261" spans="1:19" ht="15.5" x14ac:dyDescent="0.35">
      <c r="A261" s="7" t="s">
        <v>10</v>
      </c>
      <c r="B261" s="7" t="s">
        <v>689</v>
      </c>
      <c r="C261" s="7" t="s">
        <v>197</v>
      </c>
      <c r="D261" s="7" t="s">
        <v>690</v>
      </c>
      <c r="E261" s="7">
        <v>1</v>
      </c>
      <c r="F261" s="7">
        <v>105.9</v>
      </c>
      <c r="G261" s="11">
        <f>1*F261*GiaDinh!$C$18*GiaDinh!$C$17</f>
        <v>88.955999999999989</v>
      </c>
      <c r="H261" s="7">
        <v>12</v>
      </c>
      <c r="I261" s="11">
        <f>H261*GiaDinh!$C$16</f>
        <v>84</v>
      </c>
      <c r="J261" s="7">
        <f t="shared" si="20"/>
        <v>2</v>
      </c>
      <c r="K261" s="7">
        <v>2</v>
      </c>
      <c r="L261" s="7" t="str">
        <f t="shared" si="21"/>
        <v>ĐỦ</v>
      </c>
      <c r="M261" s="11">
        <v>30</v>
      </c>
      <c r="N261" s="7">
        <f>ROUNDUP(15/GiaDinh!$C$5-0.0005,0)+ROUNDUP(15/GiaDinh!$C$5-0.0005,0)</f>
        <v>6</v>
      </c>
      <c r="O261" s="7">
        <f t="shared" si="22"/>
        <v>4</v>
      </c>
      <c r="P261" s="7">
        <v>24</v>
      </c>
      <c r="Q261" s="7">
        <f t="shared" si="23"/>
        <v>48</v>
      </c>
      <c r="R261" s="7">
        <f t="shared" si="24"/>
        <v>24</v>
      </c>
      <c r="S261" s="12">
        <f>M261*GiaDinh!$C$7</f>
        <v>90.3</v>
      </c>
    </row>
    <row r="262" spans="1:19" ht="15.5" x14ac:dyDescent="0.35">
      <c r="A262" s="7" t="s">
        <v>10</v>
      </c>
      <c r="B262" s="7" t="s">
        <v>691</v>
      </c>
      <c r="C262" s="7" t="s">
        <v>197</v>
      </c>
      <c r="D262" s="7" t="s">
        <v>692</v>
      </c>
      <c r="E262" s="7">
        <v>1</v>
      </c>
      <c r="F262" s="7">
        <v>105.9</v>
      </c>
      <c r="G262" s="11">
        <f>1*F262*GiaDinh!$C$18*GiaDinh!$C$17</f>
        <v>88.955999999999989</v>
      </c>
      <c r="H262" s="7">
        <v>12</v>
      </c>
      <c r="I262" s="11">
        <f>H262*GiaDinh!$C$16</f>
        <v>84</v>
      </c>
      <c r="J262" s="7">
        <f t="shared" si="20"/>
        <v>2</v>
      </c>
      <c r="K262" s="7">
        <v>2</v>
      </c>
      <c r="L262" s="7" t="str">
        <f t="shared" si="21"/>
        <v>ĐỦ</v>
      </c>
      <c r="M262" s="11">
        <v>30</v>
      </c>
      <c r="N262" s="7">
        <f>ROUNDUP(15/GiaDinh!$C$5-0.0005,0)+ROUNDUP(15/GiaDinh!$C$5-0.0005,0)</f>
        <v>6</v>
      </c>
      <c r="O262" s="7">
        <f t="shared" si="22"/>
        <v>4</v>
      </c>
      <c r="P262" s="7">
        <v>24</v>
      </c>
      <c r="Q262" s="7">
        <f t="shared" si="23"/>
        <v>48</v>
      </c>
      <c r="R262" s="7">
        <f t="shared" si="24"/>
        <v>24</v>
      </c>
      <c r="S262" s="12">
        <f>M262*GiaDinh!$C$7</f>
        <v>90.3</v>
      </c>
    </row>
    <row r="263" spans="1:19" ht="15.5" x14ac:dyDescent="0.35">
      <c r="A263" s="7" t="s">
        <v>10</v>
      </c>
      <c r="B263" s="7" t="s">
        <v>693</v>
      </c>
      <c r="C263" s="7" t="s">
        <v>197</v>
      </c>
      <c r="D263" s="7" t="s">
        <v>694</v>
      </c>
      <c r="E263" s="7">
        <v>1</v>
      </c>
      <c r="F263" s="7">
        <v>105.9</v>
      </c>
      <c r="G263" s="11">
        <f>1*F263*GiaDinh!$C$18*GiaDinh!$C$17</f>
        <v>88.955999999999989</v>
      </c>
      <c r="H263" s="7">
        <v>12</v>
      </c>
      <c r="I263" s="11">
        <f>H263*GiaDinh!$C$16</f>
        <v>84</v>
      </c>
      <c r="J263" s="7">
        <f t="shared" si="20"/>
        <v>2</v>
      </c>
      <c r="K263" s="7">
        <v>2</v>
      </c>
      <c r="L263" s="7" t="str">
        <f t="shared" si="21"/>
        <v>ĐỦ</v>
      </c>
      <c r="M263" s="11">
        <v>30</v>
      </c>
      <c r="N263" s="7">
        <f>ROUNDUP(15/GiaDinh!$C$5-0.0005,0)+ROUNDUP(15/GiaDinh!$C$5-0.0005,0)</f>
        <v>6</v>
      </c>
      <c r="O263" s="7">
        <f t="shared" si="22"/>
        <v>4</v>
      </c>
      <c r="P263" s="7">
        <v>24</v>
      </c>
      <c r="Q263" s="7">
        <f t="shared" si="23"/>
        <v>48</v>
      </c>
      <c r="R263" s="7">
        <f t="shared" si="24"/>
        <v>24</v>
      </c>
      <c r="S263" s="12">
        <f>M263*GiaDinh!$C$7</f>
        <v>90.3</v>
      </c>
    </row>
    <row r="264" spans="1:19" ht="15.5" x14ac:dyDescent="0.35">
      <c r="A264" s="7" t="s">
        <v>10</v>
      </c>
      <c r="B264" s="7" t="s">
        <v>695</v>
      </c>
      <c r="C264" s="7" t="s">
        <v>197</v>
      </c>
      <c r="D264" s="7" t="s">
        <v>696</v>
      </c>
      <c r="E264" s="7">
        <v>1</v>
      </c>
      <c r="F264" s="7">
        <v>105.9</v>
      </c>
      <c r="G264" s="11">
        <f>1*F264*GiaDinh!$C$18*GiaDinh!$C$17</f>
        <v>88.955999999999989</v>
      </c>
      <c r="H264" s="7">
        <v>12</v>
      </c>
      <c r="I264" s="11">
        <f>H264*GiaDinh!$C$16</f>
        <v>84</v>
      </c>
      <c r="J264" s="7">
        <f t="shared" si="20"/>
        <v>2</v>
      </c>
      <c r="K264" s="7">
        <v>2</v>
      </c>
      <c r="L264" s="7" t="str">
        <f t="shared" si="21"/>
        <v>ĐỦ</v>
      </c>
      <c r="M264" s="11">
        <v>30</v>
      </c>
      <c r="N264" s="7">
        <f>ROUNDUP(15/GiaDinh!$C$5-0.0005,0)+ROUNDUP(15/GiaDinh!$C$5-0.0005,0)</f>
        <v>6</v>
      </c>
      <c r="O264" s="7">
        <f t="shared" si="22"/>
        <v>4</v>
      </c>
      <c r="P264" s="7">
        <v>24</v>
      </c>
      <c r="Q264" s="7">
        <f t="shared" si="23"/>
        <v>48</v>
      </c>
      <c r="R264" s="7">
        <f t="shared" si="24"/>
        <v>24</v>
      </c>
      <c r="S264" s="12">
        <f>M264*GiaDinh!$C$7</f>
        <v>90.3</v>
      </c>
    </row>
    <row r="265" spans="1:19" ht="15.5" x14ac:dyDescent="0.35">
      <c r="A265" s="7" t="s">
        <v>10</v>
      </c>
      <c r="B265" s="7" t="s">
        <v>697</v>
      </c>
      <c r="C265" s="7" t="s">
        <v>197</v>
      </c>
      <c r="D265" s="7" t="s">
        <v>698</v>
      </c>
      <c r="E265" s="7">
        <v>1</v>
      </c>
      <c r="F265" s="7">
        <v>105.9</v>
      </c>
      <c r="G265" s="11">
        <f>1*F265*GiaDinh!$C$18*GiaDinh!$C$17</f>
        <v>88.955999999999989</v>
      </c>
      <c r="H265" s="7">
        <v>12</v>
      </c>
      <c r="I265" s="11">
        <f>H265*GiaDinh!$C$16</f>
        <v>84</v>
      </c>
      <c r="J265" s="7">
        <f t="shared" si="20"/>
        <v>2</v>
      </c>
      <c r="K265" s="7">
        <v>2</v>
      </c>
      <c r="L265" s="7" t="str">
        <f t="shared" si="21"/>
        <v>ĐỦ</v>
      </c>
      <c r="M265" s="11">
        <v>30</v>
      </c>
      <c r="N265" s="7">
        <f>ROUNDUP(15/GiaDinh!$C$5-0.0005,0)+ROUNDUP(15/GiaDinh!$C$5-0.0005,0)</f>
        <v>6</v>
      </c>
      <c r="O265" s="7">
        <f t="shared" si="22"/>
        <v>4</v>
      </c>
      <c r="P265" s="7">
        <v>24</v>
      </c>
      <c r="Q265" s="7">
        <f t="shared" si="23"/>
        <v>48</v>
      </c>
      <c r="R265" s="7">
        <f t="shared" si="24"/>
        <v>24</v>
      </c>
      <c r="S265" s="12">
        <f>M265*GiaDinh!$C$7</f>
        <v>90.3</v>
      </c>
    </row>
    <row r="266" spans="1:19" ht="15.5" x14ac:dyDescent="0.35">
      <c r="A266" s="7" t="s">
        <v>10</v>
      </c>
      <c r="B266" s="7" t="s">
        <v>699</v>
      </c>
      <c r="C266" s="7" t="s">
        <v>197</v>
      </c>
      <c r="D266" s="7" t="s">
        <v>700</v>
      </c>
      <c r="E266" s="7">
        <v>1</v>
      </c>
      <c r="F266" s="7">
        <v>105.9</v>
      </c>
      <c r="G266" s="11">
        <f>1*F266*GiaDinh!$C$18*GiaDinh!$C$17</f>
        <v>88.955999999999989</v>
      </c>
      <c r="H266" s="7">
        <v>12</v>
      </c>
      <c r="I266" s="11">
        <f>H266*GiaDinh!$C$16</f>
        <v>84</v>
      </c>
      <c r="J266" s="7">
        <f t="shared" si="20"/>
        <v>2</v>
      </c>
      <c r="K266" s="7">
        <v>2</v>
      </c>
      <c r="L266" s="7" t="str">
        <f t="shared" si="21"/>
        <v>ĐỦ</v>
      </c>
      <c r="M266" s="11">
        <v>30</v>
      </c>
      <c r="N266" s="7">
        <f>ROUNDUP(15/GiaDinh!$C$5-0.0005,0)+ROUNDUP(15/GiaDinh!$C$5-0.0005,0)</f>
        <v>6</v>
      </c>
      <c r="O266" s="7">
        <f t="shared" si="22"/>
        <v>4</v>
      </c>
      <c r="P266" s="7">
        <v>24</v>
      </c>
      <c r="Q266" s="7">
        <f t="shared" si="23"/>
        <v>48</v>
      </c>
      <c r="R266" s="7">
        <f t="shared" si="24"/>
        <v>24</v>
      </c>
      <c r="S266" s="12">
        <f>M266*GiaDinh!$C$7</f>
        <v>90.3</v>
      </c>
    </row>
    <row r="267" spans="1:19" ht="15.5" x14ac:dyDescent="0.35">
      <c r="A267" s="7" t="s">
        <v>10</v>
      </c>
      <c r="B267" s="7" t="s">
        <v>701</v>
      </c>
      <c r="C267" s="7" t="s">
        <v>197</v>
      </c>
      <c r="D267" s="7" t="s">
        <v>702</v>
      </c>
      <c r="E267" s="7">
        <v>1</v>
      </c>
      <c r="F267" s="7">
        <v>105.9</v>
      </c>
      <c r="G267" s="11">
        <f>1*F267*GiaDinh!$C$18*GiaDinh!$C$17</f>
        <v>88.955999999999989</v>
      </c>
      <c r="H267" s="7">
        <v>12</v>
      </c>
      <c r="I267" s="11">
        <f>H267*GiaDinh!$C$16</f>
        <v>84</v>
      </c>
      <c r="J267" s="7">
        <f t="shared" si="20"/>
        <v>2</v>
      </c>
      <c r="K267" s="7">
        <v>2</v>
      </c>
      <c r="L267" s="7" t="str">
        <f t="shared" si="21"/>
        <v>ĐỦ</v>
      </c>
      <c r="M267" s="11">
        <v>30</v>
      </c>
      <c r="N267" s="7">
        <f>ROUNDUP(15/GiaDinh!$C$5-0.0005,0)+ROUNDUP(15/GiaDinh!$C$5-0.0005,0)</f>
        <v>6</v>
      </c>
      <c r="O267" s="7">
        <f t="shared" si="22"/>
        <v>4</v>
      </c>
      <c r="P267" s="7">
        <v>24</v>
      </c>
      <c r="Q267" s="7">
        <f t="shared" si="23"/>
        <v>48</v>
      </c>
      <c r="R267" s="7">
        <f t="shared" si="24"/>
        <v>24</v>
      </c>
      <c r="S267" s="12">
        <f>M267*GiaDinh!$C$7</f>
        <v>90.3</v>
      </c>
    </row>
    <row r="268" spans="1:19" ht="15.5" x14ac:dyDescent="0.35">
      <c r="A268" s="7" t="s">
        <v>10</v>
      </c>
      <c r="B268" s="7" t="s">
        <v>703</v>
      </c>
      <c r="C268" s="7" t="s">
        <v>197</v>
      </c>
      <c r="D268" s="7" t="s">
        <v>704</v>
      </c>
      <c r="E268" s="7">
        <v>1</v>
      </c>
      <c r="F268" s="7">
        <v>105.9</v>
      </c>
      <c r="G268" s="11">
        <f>1*F268*GiaDinh!$C$18*GiaDinh!$C$17</f>
        <v>88.955999999999989</v>
      </c>
      <c r="H268" s="7">
        <v>12</v>
      </c>
      <c r="I268" s="11">
        <f>H268*GiaDinh!$C$16</f>
        <v>84</v>
      </c>
      <c r="J268" s="7">
        <f t="shared" si="20"/>
        <v>2</v>
      </c>
      <c r="K268" s="7">
        <v>2</v>
      </c>
      <c r="L268" s="7" t="str">
        <f t="shared" si="21"/>
        <v>ĐỦ</v>
      </c>
      <c r="M268" s="11">
        <v>30</v>
      </c>
      <c r="N268" s="7">
        <f>ROUNDUP(15/GiaDinh!$C$5-0.0005,0)+ROUNDUP(15/GiaDinh!$C$5-0.0005,0)</f>
        <v>6</v>
      </c>
      <c r="O268" s="7">
        <f t="shared" si="22"/>
        <v>4</v>
      </c>
      <c r="P268" s="7">
        <v>24</v>
      </c>
      <c r="Q268" s="7">
        <f t="shared" si="23"/>
        <v>48</v>
      </c>
      <c r="R268" s="7">
        <f t="shared" si="24"/>
        <v>24</v>
      </c>
      <c r="S268" s="12">
        <f>M268*GiaDinh!$C$7</f>
        <v>90.3</v>
      </c>
    </row>
    <row r="269" spans="1:19" ht="15.5" x14ac:dyDescent="0.35">
      <c r="A269" s="7" t="s">
        <v>10</v>
      </c>
      <c r="B269" s="7" t="s">
        <v>705</v>
      </c>
      <c r="C269" s="7" t="s">
        <v>197</v>
      </c>
      <c r="D269" s="7" t="s">
        <v>706</v>
      </c>
      <c r="E269" s="7">
        <v>1</v>
      </c>
      <c r="F269" s="7">
        <v>105.9</v>
      </c>
      <c r="G269" s="11">
        <f>1*F269*GiaDinh!$C$18*GiaDinh!$C$17</f>
        <v>88.955999999999989</v>
      </c>
      <c r="H269" s="7">
        <v>12</v>
      </c>
      <c r="I269" s="11">
        <f>H269*GiaDinh!$C$16</f>
        <v>84</v>
      </c>
      <c r="J269" s="7">
        <f t="shared" si="20"/>
        <v>2</v>
      </c>
      <c r="K269" s="7">
        <v>2</v>
      </c>
      <c r="L269" s="7" t="str">
        <f t="shared" si="21"/>
        <v>ĐỦ</v>
      </c>
      <c r="M269" s="11">
        <v>30</v>
      </c>
      <c r="N269" s="7">
        <f>ROUNDUP(15/GiaDinh!$C$5-0.0005,0)+ROUNDUP(15/GiaDinh!$C$5-0.0005,0)</f>
        <v>6</v>
      </c>
      <c r="O269" s="7">
        <f t="shared" si="22"/>
        <v>4</v>
      </c>
      <c r="P269" s="7">
        <v>24</v>
      </c>
      <c r="Q269" s="7">
        <f t="shared" si="23"/>
        <v>48</v>
      </c>
      <c r="R269" s="7">
        <f t="shared" si="24"/>
        <v>24</v>
      </c>
      <c r="S269" s="12">
        <f>M269*GiaDinh!$C$7</f>
        <v>90.3</v>
      </c>
    </row>
    <row r="270" spans="1:19" ht="15.5" x14ac:dyDescent="0.35">
      <c r="A270" s="7" t="s">
        <v>10</v>
      </c>
      <c r="B270" s="7" t="s">
        <v>707</v>
      </c>
      <c r="C270" s="7" t="s">
        <v>197</v>
      </c>
      <c r="D270" s="7" t="s">
        <v>708</v>
      </c>
      <c r="E270" s="7">
        <v>1</v>
      </c>
      <c r="F270" s="7">
        <v>105.9</v>
      </c>
      <c r="G270" s="11">
        <f>1*F270*GiaDinh!$C$18*GiaDinh!$C$17</f>
        <v>88.955999999999989</v>
      </c>
      <c r="H270" s="7">
        <v>12</v>
      </c>
      <c r="I270" s="11">
        <f>H270*GiaDinh!$C$16</f>
        <v>84</v>
      </c>
      <c r="J270" s="7">
        <f t="shared" si="20"/>
        <v>2</v>
      </c>
      <c r="K270" s="7">
        <v>2</v>
      </c>
      <c r="L270" s="7" t="str">
        <f t="shared" si="21"/>
        <v>ĐỦ</v>
      </c>
      <c r="M270" s="11">
        <v>30</v>
      </c>
      <c r="N270" s="7">
        <f>ROUNDUP(15/GiaDinh!$C$5-0.0005,0)+ROUNDUP(15/GiaDinh!$C$5-0.0005,0)</f>
        <v>6</v>
      </c>
      <c r="O270" s="7">
        <f t="shared" si="22"/>
        <v>4</v>
      </c>
      <c r="P270" s="7">
        <v>24</v>
      </c>
      <c r="Q270" s="7">
        <f t="shared" si="23"/>
        <v>48</v>
      </c>
      <c r="R270" s="7">
        <f t="shared" si="24"/>
        <v>24</v>
      </c>
      <c r="S270" s="12">
        <f>M270*GiaDinh!$C$7</f>
        <v>90.3</v>
      </c>
    </row>
    <row r="271" spans="1:19" ht="15.5" x14ac:dyDescent="0.35">
      <c r="A271" s="7" t="s">
        <v>11</v>
      </c>
      <c r="B271" s="7" t="s">
        <v>709</v>
      </c>
      <c r="C271" s="7" t="s">
        <v>174</v>
      </c>
      <c r="D271" s="7" t="s">
        <v>710</v>
      </c>
      <c r="E271" s="7">
        <v>3</v>
      </c>
      <c r="F271" s="7">
        <v>152.1</v>
      </c>
      <c r="G271" s="11">
        <f>3*F271*GiaDinh!$C$18*GiaDinh!$C$17</f>
        <v>383.29199999999997</v>
      </c>
      <c r="H271" s="7">
        <v>12</v>
      </c>
      <c r="I271" s="11">
        <f>H271*GiaDinh!$C$16</f>
        <v>84</v>
      </c>
      <c r="J271" s="7">
        <f t="shared" si="20"/>
        <v>5</v>
      </c>
      <c r="K271" s="7">
        <v>5</v>
      </c>
      <c r="L271" s="7" t="str">
        <f t="shared" si="21"/>
        <v>ĐỦ</v>
      </c>
      <c r="M271" s="11">
        <v>75</v>
      </c>
      <c r="N271" s="7">
        <f>ROUNDUP(15/GiaDinh!$C$5-0.0005,0)+ROUNDUP(15/GiaDinh!$C$5-0.0005,0)+ROUNDUP(15/GiaDinh!$C$5-0.0005,0)+ROUNDUP(15/GiaDinh!$C$5-0.0005,0)+ROUNDUP(15/GiaDinh!$C$5-0.0005,0)</f>
        <v>15</v>
      </c>
      <c r="O271" s="7">
        <f t="shared" si="22"/>
        <v>10</v>
      </c>
      <c r="P271" s="7">
        <v>68</v>
      </c>
      <c r="Q271" s="7">
        <f t="shared" si="23"/>
        <v>136</v>
      </c>
      <c r="R271" s="7">
        <f t="shared" si="24"/>
        <v>68</v>
      </c>
      <c r="S271" s="12">
        <f>M271*GiaDinh!$C$7</f>
        <v>225.74999999999997</v>
      </c>
    </row>
    <row r="272" spans="1:19" ht="15.5" x14ac:dyDescent="0.35">
      <c r="A272" s="7" t="s">
        <v>11</v>
      </c>
      <c r="B272" s="7" t="s">
        <v>711</v>
      </c>
      <c r="C272" s="7" t="s">
        <v>174</v>
      </c>
      <c r="D272" s="7" t="s">
        <v>712</v>
      </c>
      <c r="E272" s="7">
        <v>3</v>
      </c>
      <c r="F272" s="7">
        <v>152.1</v>
      </c>
      <c r="G272" s="11">
        <f>3*F272*GiaDinh!$C$18*GiaDinh!$C$17</f>
        <v>383.29199999999997</v>
      </c>
      <c r="H272" s="7">
        <v>12</v>
      </c>
      <c r="I272" s="11">
        <f>H272*GiaDinh!$C$16</f>
        <v>84</v>
      </c>
      <c r="J272" s="7">
        <f t="shared" si="20"/>
        <v>5</v>
      </c>
      <c r="K272" s="7">
        <v>5</v>
      </c>
      <c r="L272" s="7" t="str">
        <f t="shared" si="21"/>
        <v>ĐỦ</v>
      </c>
      <c r="M272" s="11">
        <v>75</v>
      </c>
      <c r="N272" s="7">
        <f>ROUNDUP(15/GiaDinh!$C$5-0.0005,0)+ROUNDUP(15/GiaDinh!$C$5-0.0005,0)+ROUNDUP(15/GiaDinh!$C$5-0.0005,0)+ROUNDUP(15/GiaDinh!$C$5-0.0005,0)+ROUNDUP(15/GiaDinh!$C$5-0.0005,0)</f>
        <v>15</v>
      </c>
      <c r="O272" s="7">
        <f t="shared" si="22"/>
        <v>10</v>
      </c>
      <c r="P272" s="7">
        <v>60</v>
      </c>
      <c r="Q272" s="7">
        <f t="shared" si="23"/>
        <v>120</v>
      </c>
      <c r="R272" s="7">
        <f t="shared" si="24"/>
        <v>60</v>
      </c>
      <c r="S272" s="12">
        <f>M272*GiaDinh!$C$7</f>
        <v>225.74999999999997</v>
      </c>
    </row>
    <row r="273" spans="1:19" ht="15.5" x14ac:dyDescent="0.35">
      <c r="A273" s="7" t="s">
        <v>11</v>
      </c>
      <c r="B273" s="7" t="s">
        <v>713</v>
      </c>
      <c r="C273" s="7" t="s">
        <v>174</v>
      </c>
      <c r="D273" s="7" t="s">
        <v>714</v>
      </c>
      <c r="E273" s="7">
        <v>2</v>
      </c>
      <c r="F273" s="7">
        <v>152.1</v>
      </c>
      <c r="G273" s="11">
        <f>2*F273*GiaDinh!$C$18*GiaDinh!$C$17</f>
        <v>255.52799999999996</v>
      </c>
      <c r="H273" s="7">
        <v>12</v>
      </c>
      <c r="I273" s="11">
        <f>H273*GiaDinh!$C$16</f>
        <v>84</v>
      </c>
      <c r="J273" s="7">
        <f t="shared" si="20"/>
        <v>4</v>
      </c>
      <c r="K273" s="7">
        <v>4</v>
      </c>
      <c r="L273" s="7" t="str">
        <f t="shared" si="21"/>
        <v>ĐỦ</v>
      </c>
      <c r="M273" s="11">
        <v>60</v>
      </c>
      <c r="N273" s="7">
        <f>ROUNDUP(15/GiaDinh!$C$5-0.0005,0)+ROUNDUP(15/GiaDinh!$C$5-0.0005,0)+ROUNDUP(15/GiaDinh!$C$5-0.0005,0)+ROUNDUP(15/GiaDinh!$C$5-0.0005,0)</f>
        <v>12</v>
      </c>
      <c r="O273" s="7">
        <f t="shared" si="22"/>
        <v>8</v>
      </c>
      <c r="P273" s="7">
        <v>48</v>
      </c>
      <c r="Q273" s="7">
        <f t="shared" si="23"/>
        <v>96</v>
      </c>
      <c r="R273" s="7">
        <f t="shared" si="24"/>
        <v>48</v>
      </c>
      <c r="S273" s="12">
        <f>M273*GiaDinh!$C$7</f>
        <v>180.6</v>
      </c>
    </row>
    <row r="274" spans="1:19" ht="15.5" x14ac:dyDescent="0.35">
      <c r="A274" s="7" t="s">
        <v>11</v>
      </c>
      <c r="B274" s="7" t="s">
        <v>715</v>
      </c>
      <c r="C274" s="7" t="s">
        <v>174</v>
      </c>
      <c r="D274" s="7" t="s">
        <v>716</v>
      </c>
      <c r="E274" s="7">
        <v>3</v>
      </c>
      <c r="F274" s="7">
        <v>152.1</v>
      </c>
      <c r="G274" s="11">
        <f>3*F274*GiaDinh!$C$18*GiaDinh!$C$17</f>
        <v>383.29199999999997</v>
      </c>
      <c r="H274" s="7">
        <v>12</v>
      </c>
      <c r="I274" s="11">
        <f>H274*GiaDinh!$C$16</f>
        <v>84</v>
      </c>
      <c r="J274" s="7">
        <f t="shared" si="20"/>
        <v>5</v>
      </c>
      <c r="K274" s="7">
        <v>5</v>
      </c>
      <c r="L274" s="7" t="str">
        <f t="shared" si="21"/>
        <v>ĐỦ</v>
      </c>
      <c r="M274" s="11">
        <v>75</v>
      </c>
      <c r="N274" s="7">
        <f>ROUNDUP(15/GiaDinh!$C$5-0.0005,0)+ROUNDUP(15/GiaDinh!$C$5-0.0005,0)+ROUNDUP(15/GiaDinh!$C$5-0.0005,0)+ROUNDUP(15/GiaDinh!$C$5-0.0005,0)+ROUNDUP(15/GiaDinh!$C$5-0.0005,0)</f>
        <v>15</v>
      </c>
      <c r="O274" s="7">
        <f t="shared" si="22"/>
        <v>10</v>
      </c>
      <c r="P274" s="7">
        <v>60</v>
      </c>
      <c r="Q274" s="7">
        <f t="shared" si="23"/>
        <v>120</v>
      </c>
      <c r="R274" s="7">
        <f t="shared" si="24"/>
        <v>60</v>
      </c>
      <c r="S274" s="12">
        <f>M274*GiaDinh!$C$7</f>
        <v>225.74999999999997</v>
      </c>
    </row>
    <row r="275" spans="1:19" ht="15.5" x14ac:dyDescent="0.35">
      <c r="A275" s="7" t="s">
        <v>11</v>
      </c>
      <c r="B275" s="7" t="s">
        <v>717</v>
      </c>
      <c r="C275" s="7" t="s">
        <v>174</v>
      </c>
      <c r="D275" s="7" t="s">
        <v>718</v>
      </c>
      <c r="E275" s="7">
        <v>1</v>
      </c>
      <c r="F275" s="7">
        <v>152.1</v>
      </c>
      <c r="G275" s="11">
        <f>1*F275*GiaDinh!$C$18*GiaDinh!$C$17</f>
        <v>127.76399999999998</v>
      </c>
      <c r="H275" s="7">
        <v>13</v>
      </c>
      <c r="I275" s="11">
        <f>H275*GiaDinh!$C$16</f>
        <v>91</v>
      </c>
      <c r="J275" s="7">
        <f t="shared" si="20"/>
        <v>2</v>
      </c>
      <c r="K275" s="7">
        <v>2</v>
      </c>
      <c r="L275" s="7" t="str">
        <f t="shared" si="21"/>
        <v>ĐỦ</v>
      </c>
      <c r="M275" s="11">
        <v>30</v>
      </c>
      <c r="N275" s="7">
        <f>ROUNDUP(15/GiaDinh!$C$5-0.0005,0)+ROUNDUP(15/GiaDinh!$C$5-0.0005,0)</f>
        <v>6</v>
      </c>
      <c r="O275" s="7">
        <f t="shared" si="22"/>
        <v>4</v>
      </c>
      <c r="P275" s="7">
        <v>26</v>
      </c>
      <c r="Q275" s="7">
        <f t="shared" si="23"/>
        <v>52</v>
      </c>
      <c r="R275" s="7">
        <f t="shared" si="24"/>
        <v>26</v>
      </c>
      <c r="S275" s="12">
        <f>M275*GiaDinh!$C$7</f>
        <v>90.3</v>
      </c>
    </row>
    <row r="276" spans="1:19" ht="15.5" x14ac:dyDescent="0.35">
      <c r="A276" s="7" t="s">
        <v>11</v>
      </c>
      <c r="B276" s="7" t="s">
        <v>719</v>
      </c>
      <c r="C276" s="7" t="s">
        <v>174</v>
      </c>
      <c r="D276" s="7" t="s">
        <v>720</v>
      </c>
      <c r="E276" s="7">
        <v>2</v>
      </c>
      <c r="F276" s="7">
        <v>152.1</v>
      </c>
      <c r="G276" s="11">
        <f>2*F276*GiaDinh!$C$18*GiaDinh!$C$17</f>
        <v>255.52799999999996</v>
      </c>
      <c r="H276" s="7">
        <v>13</v>
      </c>
      <c r="I276" s="11">
        <f>H276*GiaDinh!$C$16</f>
        <v>91</v>
      </c>
      <c r="J276" s="7">
        <f t="shared" si="20"/>
        <v>3</v>
      </c>
      <c r="K276" s="7">
        <v>3</v>
      </c>
      <c r="L276" s="7" t="str">
        <f t="shared" si="21"/>
        <v>ĐỦ</v>
      </c>
      <c r="M276" s="11">
        <v>45</v>
      </c>
      <c r="N276" s="7">
        <f>ROUNDUP(15/GiaDinh!$C$5-0.0005,0)+ROUNDUP(15/GiaDinh!$C$5-0.0005,0)+ROUNDUP(15/GiaDinh!$C$5-0.0005,0)</f>
        <v>9</v>
      </c>
      <c r="O276" s="7">
        <f t="shared" si="22"/>
        <v>6</v>
      </c>
      <c r="P276" s="7">
        <v>39</v>
      </c>
      <c r="Q276" s="7">
        <f t="shared" si="23"/>
        <v>78</v>
      </c>
      <c r="R276" s="7">
        <f t="shared" si="24"/>
        <v>39</v>
      </c>
      <c r="S276" s="12">
        <f>M276*GiaDinh!$C$7</f>
        <v>135.44999999999999</v>
      </c>
    </row>
    <row r="277" spans="1:19" ht="15.5" x14ac:dyDescent="0.35">
      <c r="A277" s="7" t="s">
        <v>11</v>
      </c>
      <c r="B277" s="7" t="s">
        <v>721</v>
      </c>
      <c r="C277" s="7" t="s">
        <v>174</v>
      </c>
      <c r="D277" s="7" t="s">
        <v>722</v>
      </c>
      <c r="E277" s="7">
        <v>3</v>
      </c>
      <c r="F277" s="7">
        <v>152.1</v>
      </c>
      <c r="G277" s="11">
        <f>3*F277*GiaDinh!$C$18*GiaDinh!$C$17</f>
        <v>383.29199999999997</v>
      </c>
      <c r="H277" s="7">
        <v>12</v>
      </c>
      <c r="I277" s="11">
        <f>H277*GiaDinh!$C$16</f>
        <v>84</v>
      </c>
      <c r="J277" s="7">
        <f t="shared" si="20"/>
        <v>5</v>
      </c>
      <c r="K277" s="7">
        <v>5</v>
      </c>
      <c r="L277" s="7" t="str">
        <f t="shared" si="21"/>
        <v>ĐỦ</v>
      </c>
      <c r="M277" s="11">
        <v>75</v>
      </c>
      <c r="N277" s="7">
        <f>ROUNDUP(15/GiaDinh!$C$5-0.0005,0)+ROUNDUP(15/GiaDinh!$C$5-0.0005,0)+ROUNDUP(15/GiaDinh!$C$5-0.0005,0)+ROUNDUP(15/GiaDinh!$C$5-0.0005,0)+ROUNDUP(15/GiaDinh!$C$5-0.0005,0)</f>
        <v>15</v>
      </c>
      <c r="O277" s="7">
        <f t="shared" si="22"/>
        <v>10</v>
      </c>
      <c r="P277" s="7">
        <v>60</v>
      </c>
      <c r="Q277" s="7">
        <f t="shared" si="23"/>
        <v>120</v>
      </c>
      <c r="R277" s="7">
        <f t="shared" si="24"/>
        <v>60</v>
      </c>
      <c r="S277" s="12">
        <f>M277*GiaDinh!$C$7</f>
        <v>225.74999999999997</v>
      </c>
    </row>
    <row r="278" spans="1:19" ht="15.5" x14ac:dyDescent="0.35">
      <c r="A278" s="7" t="s">
        <v>11</v>
      </c>
      <c r="B278" s="7" t="s">
        <v>723</v>
      </c>
      <c r="C278" s="7" t="s">
        <v>174</v>
      </c>
      <c r="D278" s="7" t="s">
        <v>724</v>
      </c>
      <c r="E278" s="7">
        <v>3</v>
      </c>
      <c r="F278" s="7">
        <v>152.1</v>
      </c>
      <c r="G278" s="11">
        <f>3*F278*GiaDinh!$C$18*GiaDinh!$C$17</f>
        <v>383.29199999999997</v>
      </c>
      <c r="H278" s="7">
        <v>12</v>
      </c>
      <c r="I278" s="11">
        <f>H278*GiaDinh!$C$16</f>
        <v>84</v>
      </c>
      <c r="J278" s="7">
        <f t="shared" si="20"/>
        <v>5</v>
      </c>
      <c r="K278" s="7">
        <v>5</v>
      </c>
      <c r="L278" s="7" t="str">
        <f t="shared" si="21"/>
        <v>ĐỦ</v>
      </c>
      <c r="M278" s="11">
        <v>73.995999999999995</v>
      </c>
      <c r="N278" s="7">
        <f>ROUNDUP(14.799/GiaDinh!$C$5-0.0005,0)+ROUNDUP(14.799/GiaDinh!$C$5-0.0005,0)+ROUNDUP(14.799/GiaDinh!$C$5-0.0005,0)+ROUNDUP(14.799/GiaDinh!$C$5-0.0005,0)+ROUNDUP(14.799/GiaDinh!$C$5-0.0005,0)</f>
        <v>15</v>
      </c>
      <c r="O278" s="7">
        <f t="shared" si="22"/>
        <v>10</v>
      </c>
      <c r="P278" s="7">
        <v>60</v>
      </c>
      <c r="Q278" s="7">
        <f t="shared" si="23"/>
        <v>120</v>
      </c>
      <c r="R278" s="7">
        <f t="shared" si="24"/>
        <v>60</v>
      </c>
      <c r="S278" s="12">
        <f>M278*GiaDinh!$C$7</f>
        <v>222.72795999999997</v>
      </c>
    </row>
    <row r="279" spans="1:19" ht="15.5" x14ac:dyDescent="0.35">
      <c r="A279" s="7" t="s">
        <v>11</v>
      </c>
      <c r="B279" s="7" t="s">
        <v>725</v>
      </c>
      <c r="C279" s="7" t="s">
        <v>174</v>
      </c>
      <c r="D279" s="7" t="s">
        <v>726</v>
      </c>
      <c r="E279" s="7">
        <v>3</v>
      </c>
      <c r="F279" s="7">
        <v>152.1</v>
      </c>
      <c r="G279" s="11">
        <f>3*F279*GiaDinh!$C$18*GiaDinh!$C$17</f>
        <v>383.29199999999997</v>
      </c>
      <c r="H279" s="7">
        <v>12</v>
      </c>
      <c r="I279" s="11">
        <f>H279*GiaDinh!$C$16</f>
        <v>84</v>
      </c>
      <c r="J279" s="7">
        <f t="shared" si="20"/>
        <v>5</v>
      </c>
      <c r="K279" s="7">
        <v>5</v>
      </c>
      <c r="L279" s="7" t="str">
        <f t="shared" si="21"/>
        <v>ĐỦ</v>
      </c>
      <c r="M279" s="11">
        <v>75</v>
      </c>
      <c r="N279" s="7">
        <f>ROUNDUP(15/GiaDinh!$C$5-0.0005,0)+ROUNDUP(15/GiaDinh!$C$5-0.0005,0)+ROUNDUP(15/GiaDinh!$C$5-0.0005,0)+ROUNDUP(15/GiaDinh!$C$5-0.0005,0)+ROUNDUP(15/GiaDinh!$C$5-0.0005,0)</f>
        <v>15</v>
      </c>
      <c r="O279" s="7">
        <f t="shared" si="22"/>
        <v>10</v>
      </c>
      <c r="P279" s="7">
        <v>60</v>
      </c>
      <c r="Q279" s="7">
        <f t="shared" si="23"/>
        <v>120</v>
      </c>
      <c r="R279" s="7">
        <f t="shared" si="24"/>
        <v>60</v>
      </c>
      <c r="S279" s="12">
        <f>M279*GiaDinh!$C$7</f>
        <v>225.74999999999997</v>
      </c>
    </row>
    <row r="280" spans="1:19" ht="15.5" x14ac:dyDescent="0.35">
      <c r="A280" s="7" t="s">
        <v>11</v>
      </c>
      <c r="B280" s="7" t="s">
        <v>727</v>
      </c>
      <c r="C280" s="7" t="s">
        <v>174</v>
      </c>
      <c r="D280" s="7" t="s">
        <v>728</v>
      </c>
      <c r="E280" s="7">
        <v>1</v>
      </c>
      <c r="F280" s="7">
        <v>152.1</v>
      </c>
      <c r="G280" s="11">
        <f>1*F280*GiaDinh!$C$18*GiaDinh!$C$17</f>
        <v>127.76399999999998</v>
      </c>
      <c r="H280" s="7">
        <v>12</v>
      </c>
      <c r="I280" s="11">
        <f>H280*GiaDinh!$C$16</f>
        <v>84</v>
      </c>
      <c r="J280" s="7">
        <f t="shared" si="20"/>
        <v>2</v>
      </c>
      <c r="K280" s="7">
        <v>2</v>
      </c>
      <c r="L280" s="7" t="str">
        <f t="shared" si="21"/>
        <v>ĐỦ</v>
      </c>
      <c r="M280" s="11">
        <v>30</v>
      </c>
      <c r="N280" s="7">
        <f>ROUNDUP(15/GiaDinh!$C$5-0.0005,0)+ROUNDUP(15/GiaDinh!$C$5-0.0005,0)</f>
        <v>6</v>
      </c>
      <c r="O280" s="7">
        <f t="shared" si="22"/>
        <v>4</v>
      </c>
      <c r="P280" s="7">
        <v>24</v>
      </c>
      <c r="Q280" s="7">
        <f t="shared" si="23"/>
        <v>48</v>
      </c>
      <c r="R280" s="7">
        <f t="shared" si="24"/>
        <v>24</v>
      </c>
      <c r="S280" s="12">
        <f>M280*GiaDinh!$C$7</f>
        <v>90.3</v>
      </c>
    </row>
    <row r="281" spans="1:19" ht="15.5" x14ac:dyDescent="0.35">
      <c r="A281" s="7" t="s">
        <v>11</v>
      </c>
      <c r="B281" s="7" t="s">
        <v>729</v>
      </c>
      <c r="C281" s="7" t="s">
        <v>174</v>
      </c>
      <c r="D281" s="7" t="s">
        <v>730</v>
      </c>
      <c r="E281" s="7">
        <v>3</v>
      </c>
      <c r="F281" s="7">
        <v>152.1</v>
      </c>
      <c r="G281" s="11">
        <f>3*F281*GiaDinh!$C$18*GiaDinh!$C$17</f>
        <v>383.29199999999997</v>
      </c>
      <c r="H281" s="7">
        <v>12</v>
      </c>
      <c r="I281" s="11">
        <f>H281*GiaDinh!$C$16</f>
        <v>84</v>
      </c>
      <c r="J281" s="7">
        <f t="shared" si="20"/>
        <v>5</v>
      </c>
      <c r="K281" s="7">
        <v>5</v>
      </c>
      <c r="L281" s="7" t="str">
        <f t="shared" si="21"/>
        <v>ĐỦ</v>
      </c>
      <c r="M281" s="11">
        <v>75</v>
      </c>
      <c r="N281" s="7">
        <f>ROUNDUP(15/GiaDinh!$C$5-0.0005,0)+ROUNDUP(15/GiaDinh!$C$5-0.0005,0)+ROUNDUP(15/GiaDinh!$C$5-0.0005,0)+ROUNDUP(15/GiaDinh!$C$5-0.0005,0)+ROUNDUP(15/GiaDinh!$C$5-0.0005,0)</f>
        <v>15</v>
      </c>
      <c r="O281" s="7">
        <f t="shared" si="22"/>
        <v>10</v>
      </c>
      <c r="P281" s="7">
        <v>60</v>
      </c>
      <c r="Q281" s="7">
        <f t="shared" si="23"/>
        <v>120</v>
      </c>
      <c r="R281" s="7">
        <f t="shared" si="24"/>
        <v>60</v>
      </c>
      <c r="S281" s="12">
        <f>M281*GiaDinh!$C$7</f>
        <v>225.74999999999997</v>
      </c>
    </row>
    <row r="282" spans="1:19" ht="15.5" x14ac:dyDescent="0.35">
      <c r="A282" s="7" t="s">
        <v>11</v>
      </c>
      <c r="B282" s="7" t="s">
        <v>731</v>
      </c>
      <c r="C282" s="7" t="s">
        <v>174</v>
      </c>
      <c r="D282" s="7" t="s">
        <v>732</v>
      </c>
      <c r="E282" s="7">
        <v>3</v>
      </c>
      <c r="F282" s="7">
        <v>152.1</v>
      </c>
      <c r="G282" s="11">
        <f>3*F282*GiaDinh!$C$18*GiaDinh!$C$17</f>
        <v>383.29199999999997</v>
      </c>
      <c r="H282" s="7">
        <v>12</v>
      </c>
      <c r="I282" s="11">
        <f>H282*GiaDinh!$C$16</f>
        <v>84</v>
      </c>
      <c r="J282" s="7">
        <f t="shared" si="20"/>
        <v>5</v>
      </c>
      <c r="K282" s="7">
        <v>5</v>
      </c>
      <c r="L282" s="7" t="str">
        <f t="shared" si="21"/>
        <v>ĐỦ</v>
      </c>
      <c r="M282" s="11">
        <v>73.995999999999995</v>
      </c>
      <c r="N282" s="7">
        <f>ROUNDUP(14.799/GiaDinh!$C$5-0.0005,0)+ROUNDUP(14.799/GiaDinh!$C$5-0.0005,0)+ROUNDUP(14.799/GiaDinh!$C$5-0.0005,0)+ROUNDUP(14.799/GiaDinh!$C$5-0.0005,0)+ROUNDUP(14.799/GiaDinh!$C$5-0.0005,0)</f>
        <v>15</v>
      </c>
      <c r="O282" s="7">
        <f t="shared" si="22"/>
        <v>10</v>
      </c>
      <c r="P282" s="7">
        <v>60</v>
      </c>
      <c r="Q282" s="7">
        <f t="shared" si="23"/>
        <v>120</v>
      </c>
      <c r="R282" s="7">
        <f t="shared" si="24"/>
        <v>60</v>
      </c>
      <c r="S282" s="12">
        <f>M282*GiaDinh!$C$7</f>
        <v>222.72795999999997</v>
      </c>
    </row>
    <row r="283" spans="1:19" ht="15.5" x14ac:dyDescent="0.35">
      <c r="A283" s="7" t="s">
        <v>11</v>
      </c>
      <c r="B283" s="7" t="s">
        <v>733</v>
      </c>
      <c r="C283" s="7" t="s">
        <v>174</v>
      </c>
      <c r="D283" s="7" t="s">
        <v>734</v>
      </c>
      <c r="E283" s="7">
        <v>3</v>
      </c>
      <c r="F283" s="7">
        <v>152.1</v>
      </c>
      <c r="G283" s="11">
        <f>3*F283*GiaDinh!$C$18*GiaDinh!$C$17</f>
        <v>383.29199999999997</v>
      </c>
      <c r="H283" s="7">
        <v>12</v>
      </c>
      <c r="I283" s="11">
        <f>H283*GiaDinh!$C$16</f>
        <v>84</v>
      </c>
      <c r="J283" s="7">
        <f t="shared" si="20"/>
        <v>5</v>
      </c>
      <c r="K283" s="7">
        <v>5</v>
      </c>
      <c r="L283" s="7" t="str">
        <f t="shared" si="21"/>
        <v>ĐỦ</v>
      </c>
      <c r="M283" s="11">
        <v>75</v>
      </c>
      <c r="N283" s="7">
        <f>ROUNDUP(15/GiaDinh!$C$5-0.0005,0)+ROUNDUP(15/GiaDinh!$C$5-0.0005,0)+ROUNDUP(15/GiaDinh!$C$5-0.0005,0)+ROUNDUP(15/GiaDinh!$C$5-0.0005,0)+ROUNDUP(15/GiaDinh!$C$5-0.0005,0)</f>
        <v>15</v>
      </c>
      <c r="O283" s="7">
        <f t="shared" si="22"/>
        <v>10</v>
      </c>
      <c r="P283" s="7">
        <v>60</v>
      </c>
      <c r="Q283" s="7">
        <f t="shared" si="23"/>
        <v>120</v>
      </c>
      <c r="R283" s="7">
        <f t="shared" si="24"/>
        <v>60</v>
      </c>
      <c r="S283" s="12">
        <f>M283*GiaDinh!$C$7</f>
        <v>225.74999999999997</v>
      </c>
    </row>
    <row r="284" spans="1:19" ht="15.5" x14ac:dyDescent="0.35">
      <c r="A284" s="7" t="s">
        <v>11</v>
      </c>
      <c r="B284" s="7" t="s">
        <v>735</v>
      </c>
      <c r="C284" s="7" t="s">
        <v>174</v>
      </c>
      <c r="D284" s="7" t="s">
        <v>736</v>
      </c>
      <c r="E284" s="7">
        <v>3</v>
      </c>
      <c r="F284" s="7">
        <v>152.1</v>
      </c>
      <c r="G284" s="11">
        <f>3*F284*GiaDinh!$C$18*GiaDinh!$C$17</f>
        <v>383.29199999999997</v>
      </c>
      <c r="H284" s="7">
        <v>12</v>
      </c>
      <c r="I284" s="11">
        <f>H284*GiaDinh!$C$16</f>
        <v>84</v>
      </c>
      <c r="J284" s="7">
        <f t="shared" si="20"/>
        <v>5</v>
      </c>
      <c r="K284" s="7">
        <v>5</v>
      </c>
      <c r="L284" s="7" t="str">
        <f t="shared" si="21"/>
        <v>ĐỦ</v>
      </c>
      <c r="M284" s="11">
        <v>75</v>
      </c>
      <c r="N284" s="7">
        <f>ROUNDUP(15/GiaDinh!$C$5-0.0005,0)+ROUNDUP(15/GiaDinh!$C$5-0.0005,0)+ROUNDUP(15/GiaDinh!$C$5-0.0005,0)+ROUNDUP(15/GiaDinh!$C$5-0.0005,0)+ROUNDUP(15/GiaDinh!$C$5-0.0005,0)</f>
        <v>15</v>
      </c>
      <c r="O284" s="7">
        <f t="shared" si="22"/>
        <v>10</v>
      </c>
      <c r="P284" s="7">
        <v>60</v>
      </c>
      <c r="Q284" s="7">
        <f t="shared" si="23"/>
        <v>120</v>
      </c>
      <c r="R284" s="7">
        <f t="shared" si="24"/>
        <v>60</v>
      </c>
      <c r="S284" s="12">
        <f>M284*GiaDinh!$C$7</f>
        <v>225.74999999999997</v>
      </c>
    </row>
    <row r="285" spans="1:19" ht="15.5" x14ac:dyDescent="0.35">
      <c r="A285" s="7" t="s">
        <v>11</v>
      </c>
      <c r="B285" s="7" t="s">
        <v>737</v>
      </c>
      <c r="C285" s="7" t="s">
        <v>174</v>
      </c>
      <c r="D285" s="7" t="s">
        <v>738</v>
      </c>
      <c r="E285" s="7">
        <v>3</v>
      </c>
      <c r="F285" s="7">
        <v>152.1</v>
      </c>
      <c r="G285" s="11">
        <f>3*F285*GiaDinh!$C$18*GiaDinh!$C$17</f>
        <v>383.29199999999997</v>
      </c>
      <c r="H285" s="7">
        <v>12</v>
      </c>
      <c r="I285" s="11">
        <f>H285*GiaDinh!$C$16</f>
        <v>84</v>
      </c>
      <c r="J285" s="7">
        <f t="shared" si="20"/>
        <v>5</v>
      </c>
      <c r="K285" s="7">
        <v>5</v>
      </c>
      <c r="L285" s="7" t="str">
        <f t="shared" si="21"/>
        <v>ĐỦ</v>
      </c>
      <c r="M285" s="11">
        <v>75</v>
      </c>
      <c r="N285" s="7">
        <f>ROUNDUP(15/GiaDinh!$C$5-0.0005,0)+ROUNDUP(15/GiaDinh!$C$5-0.0005,0)+ROUNDUP(15/GiaDinh!$C$5-0.0005,0)+ROUNDUP(15/GiaDinh!$C$5-0.0005,0)+ROUNDUP(15/GiaDinh!$C$5-0.0005,0)</f>
        <v>15</v>
      </c>
      <c r="O285" s="7">
        <f t="shared" si="22"/>
        <v>10</v>
      </c>
      <c r="P285" s="7">
        <v>60</v>
      </c>
      <c r="Q285" s="7">
        <f t="shared" si="23"/>
        <v>120</v>
      </c>
      <c r="R285" s="7">
        <f t="shared" si="24"/>
        <v>60</v>
      </c>
      <c r="S285" s="12">
        <f>M285*GiaDinh!$C$7</f>
        <v>225.74999999999997</v>
      </c>
    </row>
    <row r="286" spans="1:19" ht="15.5" x14ac:dyDescent="0.35">
      <c r="A286" s="7" t="s">
        <v>11</v>
      </c>
      <c r="B286" s="7" t="s">
        <v>739</v>
      </c>
      <c r="C286" s="7" t="s">
        <v>174</v>
      </c>
      <c r="D286" s="7" t="s">
        <v>740</v>
      </c>
      <c r="E286" s="7">
        <v>3</v>
      </c>
      <c r="F286" s="7">
        <v>152.1</v>
      </c>
      <c r="G286" s="11">
        <f>3*F286*GiaDinh!$C$18*GiaDinh!$C$17</f>
        <v>383.29199999999997</v>
      </c>
      <c r="H286" s="7">
        <v>11</v>
      </c>
      <c r="I286" s="11">
        <f>H286*GiaDinh!$C$16</f>
        <v>77</v>
      </c>
      <c r="J286" s="7">
        <f t="shared" si="20"/>
        <v>5</v>
      </c>
      <c r="K286" s="7">
        <v>5</v>
      </c>
      <c r="L286" s="7" t="str">
        <f t="shared" si="21"/>
        <v>ĐỦ</v>
      </c>
      <c r="M286" s="11">
        <v>73.995999999999995</v>
      </c>
      <c r="N286" s="7">
        <f>ROUNDUP(14.799/GiaDinh!$C$5-0.0005,0)+ROUNDUP(14.799/GiaDinh!$C$5-0.0005,0)+ROUNDUP(14.799/GiaDinh!$C$5-0.0005,0)+ROUNDUP(14.799/GiaDinh!$C$5-0.0005,0)+ROUNDUP(14.799/GiaDinh!$C$5-0.0005,0)</f>
        <v>15</v>
      </c>
      <c r="O286" s="7">
        <f t="shared" si="22"/>
        <v>10</v>
      </c>
      <c r="P286" s="7">
        <v>55</v>
      </c>
      <c r="Q286" s="7">
        <f t="shared" si="23"/>
        <v>110</v>
      </c>
      <c r="R286" s="7">
        <f t="shared" si="24"/>
        <v>55</v>
      </c>
      <c r="S286" s="12">
        <f>M286*GiaDinh!$C$7</f>
        <v>222.72795999999997</v>
      </c>
    </row>
    <row r="287" spans="1:19" ht="15.5" x14ac:dyDescent="0.35">
      <c r="A287" s="7" t="s">
        <v>11</v>
      </c>
      <c r="B287" s="7" t="s">
        <v>741</v>
      </c>
      <c r="C287" s="7" t="s">
        <v>174</v>
      </c>
      <c r="D287" s="7" t="s">
        <v>742</v>
      </c>
      <c r="E287" s="7">
        <v>3</v>
      </c>
      <c r="F287" s="7">
        <v>152.1</v>
      </c>
      <c r="G287" s="11">
        <f>3*F287*GiaDinh!$C$18*GiaDinh!$C$17</f>
        <v>383.29199999999997</v>
      </c>
      <c r="H287" s="7">
        <v>12</v>
      </c>
      <c r="I287" s="11">
        <f>H287*GiaDinh!$C$16</f>
        <v>84</v>
      </c>
      <c r="J287" s="7">
        <f t="shared" si="20"/>
        <v>5</v>
      </c>
      <c r="K287" s="7">
        <v>5</v>
      </c>
      <c r="L287" s="7" t="str">
        <f t="shared" si="21"/>
        <v>ĐỦ</v>
      </c>
      <c r="M287" s="11">
        <v>75</v>
      </c>
      <c r="N287" s="7">
        <f>ROUNDUP(15/GiaDinh!$C$5-0.0005,0)+ROUNDUP(15/GiaDinh!$C$5-0.0005,0)+ROUNDUP(15/GiaDinh!$C$5-0.0005,0)+ROUNDUP(15/GiaDinh!$C$5-0.0005,0)+ROUNDUP(15/GiaDinh!$C$5-0.0005,0)</f>
        <v>15</v>
      </c>
      <c r="O287" s="7">
        <f t="shared" si="22"/>
        <v>10</v>
      </c>
      <c r="P287" s="7">
        <v>60</v>
      </c>
      <c r="Q287" s="7">
        <f t="shared" si="23"/>
        <v>120</v>
      </c>
      <c r="R287" s="7">
        <f t="shared" si="24"/>
        <v>60</v>
      </c>
      <c r="S287" s="12">
        <f>M287*GiaDinh!$C$7</f>
        <v>225.74999999999997</v>
      </c>
    </row>
    <row r="288" spans="1:19" ht="15.5" x14ac:dyDescent="0.35">
      <c r="A288" s="7" t="s">
        <v>11</v>
      </c>
      <c r="B288" s="7" t="s">
        <v>743</v>
      </c>
      <c r="C288" s="7" t="s">
        <v>174</v>
      </c>
      <c r="D288" s="7" t="s">
        <v>744</v>
      </c>
      <c r="E288" s="7">
        <v>1</v>
      </c>
      <c r="F288" s="7">
        <v>152.1</v>
      </c>
      <c r="G288" s="11">
        <f>1*F288*GiaDinh!$C$18*GiaDinh!$C$17</f>
        <v>127.76399999999998</v>
      </c>
      <c r="H288" s="7">
        <v>12</v>
      </c>
      <c r="I288" s="11">
        <f>H288*GiaDinh!$C$16</f>
        <v>84</v>
      </c>
      <c r="J288" s="7">
        <f t="shared" si="20"/>
        <v>2</v>
      </c>
      <c r="K288" s="7">
        <v>2</v>
      </c>
      <c r="L288" s="7" t="str">
        <f t="shared" si="21"/>
        <v>ĐỦ</v>
      </c>
      <c r="M288" s="11">
        <v>30</v>
      </c>
      <c r="N288" s="7">
        <f>ROUNDUP(15/GiaDinh!$C$5-0.0005,0)+ROUNDUP(15/GiaDinh!$C$5-0.0005,0)</f>
        <v>6</v>
      </c>
      <c r="O288" s="7">
        <f t="shared" si="22"/>
        <v>4</v>
      </c>
      <c r="P288" s="7">
        <v>24</v>
      </c>
      <c r="Q288" s="7">
        <f t="shared" si="23"/>
        <v>48</v>
      </c>
      <c r="R288" s="7">
        <f t="shared" si="24"/>
        <v>24</v>
      </c>
      <c r="S288" s="12">
        <f>M288*GiaDinh!$C$7</f>
        <v>90.3</v>
      </c>
    </row>
    <row r="289" spans="1:19" ht="15.5" x14ac:dyDescent="0.35">
      <c r="A289" s="7" t="s">
        <v>11</v>
      </c>
      <c r="B289" s="7" t="s">
        <v>745</v>
      </c>
      <c r="C289" s="7" t="s">
        <v>174</v>
      </c>
      <c r="D289" s="7" t="s">
        <v>746</v>
      </c>
      <c r="E289" s="7">
        <v>2</v>
      </c>
      <c r="F289" s="7">
        <v>152.1</v>
      </c>
      <c r="G289" s="11">
        <f>2*F289*GiaDinh!$C$18*GiaDinh!$C$17</f>
        <v>255.52799999999996</v>
      </c>
      <c r="H289" s="7">
        <v>12</v>
      </c>
      <c r="I289" s="11">
        <f>H289*GiaDinh!$C$16</f>
        <v>84</v>
      </c>
      <c r="J289" s="7">
        <f t="shared" si="20"/>
        <v>4</v>
      </c>
      <c r="K289" s="7">
        <v>4</v>
      </c>
      <c r="L289" s="7" t="str">
        <f t="shared" si="21"/>
        <v>ĐỦ</v>
      </c>
      <c r="M289" s="11">
        <v>60</v>
      </c>
      <c r="N289" s="7">
        <f>ROUNDUP(15/GiaDinh!$C$5-0.0005,0)+ROUNDUP(15/GiaDinh!$C$5-0.0005,0)+ROUNDUP(15/GiaDinh!$C$5-0.0005,0)+ROUNDUP(15/GiaDinh!$C$5-0.0005,0)</f>
        <v>12</v>
      </c>
      <c r="O289" s="7">
        <f t="shared" si="22"/>
        <v>8</v>
      </c>
      <c r="P289" s="7">
        <v>48</v>
      </c>
      <c r="Q289" s="7">
        <f t="shared" si="23"/>
        <v>96</v>
      </c>
      <c r="R289" s="7">
        <f t="shared" si="24"/>
        <v>48</v>
      </c>
      <c r="S289" s="12">
        <f>M289*GiaDinh!$C$7</f>
        <v>180.6</v>
      </c>
    </row>
    <row r="290" spans="1:19" ht="15.5" x14ac:dyDescent="0.35">
      <c r="A290" s="7" t="s">
        <v>11</v>
      </c>
      <c r="B290" s="7" t="s">
        <v>747</v>
      </c>
      <c r="C290" s="7" t="s">
        <v>174</v>
      </c>
      <c r="D290" s="7" t="s">
        <v>748</v>
      </c>
      <c r="E290" s="7">
        <v>3</v>
      </c>
      <c r="F290" s="7">
        <v>152.1</v>
      </c>
      <c r="G290" s="11">
        <f>3*F290*GiaDinh!$C$18*GiaDinh!$C$17</f>
        <v>383.29199999999997</v>
      </c>
      <c r="H290" s="7">
        <v>12</v>
      </c>
      <c r="I290" s="11">
        <f>H290*GiaDinh!$C$16</f>
        <v>84</v>
      </c>
      <c r="J290" s="7">
        <f t="shared" si="20"/>
        <v>5</v>
      </c>
      <c r="K290" s="7">
        <v>5</v>
      </c>
      <c r="L290" s="7" t="str">
        <f t="shared" si="21"/>
        <v>ĐỦ</v>
      </c>
      <c r="M290" s="11">
        <v>75</v>
      </c>
      <c r="N290" s="7">
        <f>ROUNDUP(15/GiaDinh!$C$5-0.0005,0)+ROUNDUP(15/GiaDinh!$C$5-0.0005,0)+ROUNDUP(15/GiaDinh!$C$5-0.0005,0)+ROUNDUP(15/GiaDinh!$C$5-0.0005,0)+ROUNDUP(15/GiaDinh!$C$5-0.0005,0)</f>
        <v>15</v>
      </c>
      <c r="O290" s="7">
        <f t="shared" si="22"/>
        <v>10</v>
      </c>
      <c r="P290" s="7">
        <v>60</v>
      </c>
      <c r="Q290" s="7">
        <f t="shared" si="23"/>
        <v>120</v>
      </c>
      <c r="R290" s="7">
        <f t="shared" si="24"/>
        <v>60</v>
      </c>
      <c r="S290" s="12">
        <f>M290*GiaDinh!$C$7</f>
        <v>225.74999999999997</v>
      </c>
    </row>
    <row r="291" spans="1:19" ht="15.5" x14ac:dyDescent="0.35">
      <c r="A291" s="7" t="s">
        <v>11</v>
      </c>
      <c r="B291" s="7" t="s">
        <v>749</v>
      </c>
      <c r="C291" s="7" t="s">
        <v>174</v>
      </c>
      <c r="D291" s="7" t="s">
        <v>750</v>
      </c>
      <c r="E291" s="7">
        <v>3</v>
      </c>
      <c r="F291" s="7">
        <v>152.1</v>
      </c>
      <c r="G291" s="11">
        <f>3*F291*GiaDinh!$C$18*GiaDinh!$C$17</f>
        <v>383.29199999999997</v>
      </c>
      <c r="H291" s="7">
        <v>12</v>
      </c>
      <c r="I291" s="11">
        <f>H291*GiaDinh!$C$16</f>
        <v>84</v>
      </c>
      <c r="J291" s="7">
        <f t="shared" si="20"/>
        <v>5</v>
      </c>
      <c r="K291" s="7">
        <v>5</v>
      </c>
      <c r="L291" s="7" t="str">
        <f t="shared" si="21"/>
        <v>ĐỦ</v>
      </c>
      <c r="M291" s="11">
        <v>75</v>
      </c>
      <c r="N291" s="7">
        <f>ROUNDUP(15/GiaDinh!$C$5-0.0005,0)+ROUNDUP(15/GiaDinh!$C$5-0.0005,0)+ROUNDUP(15/GiaDinh!$C$5-0.0005,0)+ROUNDUP(15/GiaDinh!$C$5-0.0005,0)+ROUNDUP(15/GiaDinh!$C$5-0.0005,0)</f>
        <v>15</v>
      </c>
      <c r="O291" s="7">
        <f t="shared" si="22"/>
        <v>10</v>
      </c>
      <c r="P291" s="7">
        <v>60</v>
      </c>
      <c r="Q291" s="7">
        <f t="shared" si="23"/>
        <v>120</v>
      </c>
      <c r="R291" s="7">
        <f t="shared" si="24"/>
        <v>60</v>
      </c>
      <c r="S291" s="12">
        <f>M291*GiaDinh!$C$7</f>
        <v>225.74999999999997</v>
      </c>
    </row>
    <row r="292" spans="1:19" ht="15.5" x14ac:dyDescent="0.35">
      <c r="A292" s="7" t="s">
        <v>11</v>
      </c>
      <c r="B292" s="7" t="s">
        <v>751</v>
      </c>
      <c r="C292" s="7" t="s">
        <v>174</v>
      </c>
      <c r="D292" s="7" t="s">
        <v>752</v>
      </c>
      <c r="E292" s="7">
        <v>2</v>
      </c>
      <c r="F292" s="7">
        <v>152.1</v>
      </c>
      <c r="G292" s="11">
        <f>2*F292*GiaDinh!$C$18*GiaDinh!$C$17</f>
        <v>255.52799999999996</v>
      </c>
      <c r="H292" s="7">
        <v>12</v>
      </c>
      <c r="I292" s="11">
        <f>H292*GiaDinh!$C$16</f>
        <v>84</v>
      </c>
      <c r="J292" s="7">
        <f t="shared" si="20"/>
        <v>4</v>
      </c>
      <c r="K292" s="7">
        <v>4</v>
      </c>
      <c r="L292" s="7" t="str">
        <f t="shared" si="21"/>
        <v>ĐỦ</v>
      </c>
      <c r="M292" s="11">
        <v>60</v>
      </c>
      <c r="N292" s="7">
        <f>ROUNDUP(15/GiaDinh!$C$5-0.0005,0)+ROUNDUP(15/GiaDinh!$C$5-0.0005,0)+ROUNDUP(15/GiaDinh!$C$5-0.0005,0)+ROUNDUP(15/GiaDinh!$C$5-0.0005,0)</f>
        <v>12</v>
      </c>
      <c r="O292" s="7">
        <f t="shared" si="22"/>
        <v>8</v>
      </c>
      <c r="P292" s="7">
        <v>48</v>
      </c>
      <c r="Q292" s="7">
        <f t="shared" si="23"/>
        <v>96</v>
      </c>
      <c r="R292" s="7">
        <f t="shared" si="24"/>
        <v>48</v>
      </c>
      <c r="S292" s="12">
        <f>M292*GiaDinh!$C$7</f>
        <v>180.6</v>
      </c>
    </row>
    <row r="293" spans="1:19" ht="15.5" x14ac:dyDescent="0.35">
      <c r="A293" s="7" t="s">
        <v>11</v>
      </c>
      <c r="B293" s="7" t="s">
        <v>753</v>
      </c>
      <c r="C293" s="7" t="s">
        <v>174</v>
      </c>
      <c r="D293" s="7" t="s">
        <v>754</v>
      </c>
      <c r="E293" s="7">
        <v>2</v>
      </c>
      <c r="F293" s="7">
        <v>152.1</v>
      </c>
      <c r="G293" s="11">
        <f>2*F293*GiaDinh!$C$18*GiaDinh!$C$17</f>
        <v>255.52799999999996</v>
      </c>
      <c r="H293" s="7">
        <v>12</v>
      </c>
      <c r="I293" s="11">
        <f>H293*GiaDinh!$C$16</f>
        <v>84</v>
      </c>
      <c r="J293" s="7">
        <f t="shared" si="20"/>
        <v>4</v>
      </c>
      <c r="K293" s="7">
        <v>4</v>
      </c>
      <c r="L293" s="7" t="str">
        <f t="shared" si="21"/>
        <v>ĐỦ</v>
      </c>
      <c r="M293" s="11">
        <v>60</v>
      </c>
      <c r="N293" s="7">
        <f>ROUNDUP(15/GiaDinh!$C$5-0.0005,0)+ROUNDUP(15/GiaDinh!$C$5-0.0005,0)+ROUNDUP(15/GiaDinh!$C$5-0.0005,0)+ROUNDUP(15/GiaDinh!$C$5-0.0005,0)</f>
        <v>12</v>
      </c>
      <c r="O293" s="7">
        <f t="shared" si="22"/>
        <v>8</v>
      </c>
      <c r="P293" s="7">
        <v>48</v>
      </c>
      <c r="Q293" s="7">
        <f t="shared" si="23"/>
        <v>96</v>
      </c>
      <c r="R293" s="7">
        <f t="shared" si="24"/>
        <v>48</v>
      </c>
      <c r="S293" s="12">
        <f>M293*GiaDinh!$C$7</f>
        <v>180.6</v>
      </c>
    </row>
    <row r="294" spans="1:19" ht="15.5" x14ac:dyDescent="0.35">
      <c r="A294" s="7" t="s">
        <v>11</v>
      </c>
      <c r="B294" s="7" t="s">
        <v>755</v>
      </c>
      <c r="C294" s="7" t="s">
        <v>174</v>
      </c>
      <c r="D294" s="7" t="s">
        <v>756</v>
      </c>
      <c r="E294" s="7">
        <v>3</v>
      </c>
      <c r="F294" s="7">
        <v>152.1</v>
      </c>
      <c r="G294" s="11">
        <f>3*F294*GiaDinh!$C$18*GiaDinh!$C$17</f>
        <v>383.29199999999997</v>
      </c>
      <c r="H294" s="7">
        <v>12</v>
      </c>
      <c r="I294" s="11">
        <f>H294*GiaDinh!$C$16</f>
        <v>84</v>
      </c>
      <c r="J294" s="7">
        <f t="shared" si="20"/>
        <v>5</v>
      </c>
      <c r="K294" s="7">
        <v>5</v>
      </c>
      <c r="L294" s="7" t="str">
        <f t="shared" si="21"/>
        <v>ĐỦ</v>
      </c>
      <c r="M294" s="11">
        <v>75</v>
      </c>
      <c r="N294" s="7">
        <f>ROUNDUP(15/GiaDinh!$C$5-0.0005,0)+ROUNDUP(15/GiaDinh!$C$5-0.0005,0)+ROUNDUP(15/GiaDinh!$C$5-0.0005,0)+ROUNDUP(15/GiaDinh!$C$5-0.0005,0)+ROUNDUP(15/GiaDinh!$C$5-0.0005,0)</f>
        <v>15</v>
      </c>
      <c r="O294" s="7">
        <f t="shared" si="22"/>
        <v>10</v>
      </c>
      <c r="P294" s="7">
        <v>60</v>
      </c>
      <c r="Q294" s="7">
        <f t="shared" si="23"/>
        <v>120</v>
      </c>
      <c r="R294" s="7">
        <f t="shared" si="24"/>
        <v>60</v>
      </c>
      <c r="S294" s="12">
        <f>M294*GiaDinh!$C$7</f>
        <v>225.74999999999997</v>
      </c>
    </row>
    <row r="295" spans="1:19" ht="15.5" x14ac:dyDescent="0.35">
      <c r="A295" s="7" t="s">
        <v>11</v>
      </c>
      <c r="B295" s="7" t="s">
        <v>757</v>
      </c>
      <c r="C295" s="7" t="s">
        <v>174</v>
      </c>
      <c r="D295" s="7" t="s">
        <v>758</v>
      </c>
      <c r="E295" s="7">
        <v>3</v>
      </c>
      <c r="F295" s="7">
        <v>152.1</v>
      </c>
      <c r="G295" s="11">
        <f>3*F295*GiaDinh!$C$18*GiaDinh!$C$17</f>
        <v>383.29199999999997</v>
      </c>
      <c r="H295" s="7">
        <v>12</v>
      </c>
      <c r="I295" s="11">
        <f>H295*GiaDinh!$C$16</f>
        <v>84</v>
      </c>
      <c r="J295" s="7">
        <f t="shared" si="20"/>
        <v>5</v>
      </c>
      <c r="K295" s="7">
        <v>5</v>
      </c>
      <c r="L295" s="7" t="str">
        <f t="shared" si="21"/>
        <v>ĐỦ</v>
      </c>
      <c r="M295" s="11">
        <v>73.995999999999995</v>
      </c>
      <c r="N295" s="7">
        <f>ROUNDUP(14.799/GiaDinh!$C$5-0.0005,0)+ROUNDUP(14.799/GiaDinh!$C$5-0.0005,0)+ROUNDUP(14.799/GiaDinh!$C$5-0.0005,0)+ROUNDUP(14.799/GiaDinh!$C$5-0.0005,0)+ROUNDUP(14.799/GiaDinh!$C$5-0.0005,0)</f>
        <v>15</v>
      </c>
      <c r="O295" s="7">
        <f t="shared" si="22"/>
        <v>10</v>
      </c>
      <c r="P295" s="7">
        <v>60</v>
      </c>
      <c r="Q295" s="7">
        <f t="shared" si="23"/>
        <v>120</v>
      </c>
      <c r="R295" s="7">
        <f t="shared" si="24"/>
        <v>60</v>
      </c>
      <c r="S295" s="12">
        <f>M295*GiaDinh!$C$7</f>
        <v>222.72795999999997</v>
      </c>
    </row>
    <row r="296" spans="1:19" ht="15.5" x14ac:dyDescent="0.35">
      <c r="A296" s="7" t="s">
        <v>11</v>
      </c>
      <c r="B296" s="7" t="s">
        <v>759</v>
      </c>
      <c r="C296" s="7" t="s">
        <v>174</v>
      </c>
      <c r="D296" s="7" t="s">
        <v>760</v>
      </c>
      <c r="E296" s="7">
        <v>3</v>
      </c>
      <c r="F296" s="7">
        <v>152.1</v>
      </c>
      <c r="G296" s="11">
        <f>3*F296*GiaDinh!$C$18*GiaDinh!$C$17</f>
        <v>383.29199999999997</v>
      </c>
      <c r="H296" s="7">
        <v>12</v>
      </c>
      <c r="I296" s="11">
        <f>H296*GiaDinh!$C$16</f>
        <v>84</v>
      </c>
      <c r="J296" s="7">
        <f t="shared" si="20"/>
        <v>5</v>
      </c>
      <c r="K296" s="7">
        <v>5</v>
      </c>
      <c r="L296" s="7" t="str">
        <f t="shared" si="21"/>
        <v>ĐỦ</v>
      </c>
      <c r="M296" s="11">
        <v>75</v>
      </c>
      <c r="N296" s="7">
        <f>ROUNDUP(15/GiaDinh!$C$5-0.0005,0)+ROUNDUP(15/GiaDinh!$C$5-0.0005,0)+ROUNDUP(15/GiaDinh!$C$5-0.0005,0)+ROUNDUP(15/GiaDinh!$C$5-0.0005,0)+ROUNDUP(15/GiaDinh!$C$5-0.0005,0)</f>
        <v>15</v>
      </c>
      <c r="O296" s="7">
        <f t="shared" si="22"/>
        <v>10</v>
      </c>
      <c r="P296" s="7">
        <v>60</v>
      </c>
      <c r="Q296" s="7">
        <f t="shared" si="23"/>
        <v>120</v>
      </c>
      <c r="R296" s="7">
        <f t="shared" si="24"/>
        <v>60</v>
      </c>
      <c r="S296" s="12">
        <f>M296*GiaDinh!$C$7</f>
        <v>225.74999999999997</v>
      </c>
    </row>
    <row r="297" spans="1:19" ht="15.5" x14ac:dyDescent="0.35">
      <c r="A297" s="7" t="s">
        <v>11</v>
      </c>
      <c r="B297" s="7" t="s">
        <v>761</v>
      </c>
      <c r="C297" s="7" t="s">
        <v>174</v>
      </c>
      <c r="D297" s="7" t="s">
        <v>762</v>
      </c>
      <c r="E297" s="7">
        <v>3</v>
      </c>
      <c r="F297" s="7">
        <v>152.1</v>
      </c>
      <c r="G297" s="11">
        <f>3*F297*GiaDinh!$C$18*GiaDinh!$C$17</f>
        <v>383.29199999999997</v>
      </c>
      <c r="H297" s="7">
        <v>12</v>
      </c>
      <c r="I297" s="11">
        <f>H297*GiaDinh!$C$16</f>
        <v>84</v>
      </c>
      <c r="J297" s="7">
        <f t="shared" si="20"/>
        <v>5</v>
      </c>
      <c r="K297" s="7">
        <v>5</v>
      </c>
      <c r="L297" s="7" t="str">
        <f t="shared" si="21"/>
        <v>ĐỦ</v>
      </c>
      <c r="M297" s="11">
        <v>73.995999999999995</v>
      </c>
      <c r="N297" s="7">
        <f>ROUNDUP(14.799/GiaDinh!$C$5-0.0005,0)+ROUNDUP(14.799/GiaDinh!$C$5-0.0005,0)+ROUNDUP(14.799/GiaDinh!$C$5-0.0005,0)+ROUNDUP(14.799/GiaDinh!$C$5-0.0005,0)+ROUNDUP(14.799/GiaDinh!$C$5-0.0005,0)</f>
        <v>15</v>
      </c>
      <c r="O297" s="7">
        <f t="shared" si="22"/>
        <v>10</v>
      </c>
      <c r="P297" s="7">
        <v>60</v>
      </c>
      <c r="Q297" s="7">
        <f t="shared" si="23"/>
        <v>120</v>
      </c>
      <c r="R297" s="7">
        <f t="shared" si="24"/>
        <v>60</v>
      </c>
      <c r="S297" s="12">
        <f>M297*GiaDinh!$C$7</f>
        <v>222.72795999999997</v>
      </c>
    </row>
    <row r="298" spans="1:19" ht="15.5" x14ac:dyDescent="0.35">
      <c r="A298" s="7" t="s">
        <v>11</v>
      </c>
      <c r="B298" s="7" t="s">
        <v>763</v>
      </c>
      <c r="C298" s="7" t="s">
        <v>174</v>
      </c>
      <c r="D298" s="7" t="s">
        <v>764</v>
      </c>
      <c r="E298" s="7">
        <v>3</v>
      </c>
      <c r="F298" s="7">
        <v>152.1</v>
      </c>
      <c r="G298" s="11">
        <f>3*F298*GiaDinh!$C$18*GiaDinh!$C$17</f>
        <v>383.29199999999997</v>
      </c>
      <c r="H298" s="7">
        <v>12</v>
      </c>
      <c r="I298" s="11">
        <f>H298*GiaDinh!$C$16</f>
        <v>84</v>
      </c>
      <c r="J298" s="7">
        <f t="shared" si="20"/>
        <v>5</v>
      </c>
      <c r="K298" s="7">
        <v>5</v>
      </c>
      <c r="L298" s="7" t="str">
        <f t="shared" si="21"/>
        <v>ĐỦ</v>
      </c>
      <c r="M298" s="11">
        <v>75</v>
      </c>
      <c r="N298" s="7">
        <f>ROUNDUP(15/GiaDinh!$C$5-0.0005,0)+ROUNDUP(15/GiaDinh!$C$5-0.0005,0)+ROUNDUP(15/GiaDinh!$C$5-0.0005,0)+ROUNDUP(15/GiaDinh!$C$5-0.0005,0)+ROUNDUP(15/GiaDinh!$C$5-0.0005,0)</f>
        <v>15</v>
      </c>
      <c r="O298" s="7">
        <f t="shared" si="22"/>
        <v>10</v>
      </c>
      <c r="P298" s="7">
        <v>60</v>
      </c>
      <c r="Q298" s="7">
        <f t="shared" si="23"/>
        <v>120</v>
      </c>
      <c r="R298" s="7">
        <f t="shared" si="24"/>
        <v>60</v>
      </c>
      <c r="S298" s="12">
        <f>M298*GiaDinh!$C$7</f>
        <v>225.74999999999997</v>
      </c>
    </row>
    <row r="299" spans="1:19" ht="15.5" x14ac:dyDescent="0.35">
      <c r="A299" s="7" t="s">
        <v>11</v>
      </c>
      <c r="B299" s="7" t="s">
        <v>765</v>
      </c>
      <c r="C299" s="7" t="s">
        <v>174</v>
      </c>
      <c r="D299" s="7" t="s">
        <v>766</v>
      </c>
      <c r="E299" s="7">
        <v>3</v>
      </c>
      <c r="F299" s="7">
        <v>152.1</v>
      </c>
      <c r="G299" s="11">
        <f>3*F299*GiaDinh!$C$18*GiaDinh!$C$17</f>
        <v>383.29199999999997</v>
      </c>
      <c r="H299" s="7">
        <v>11</v>
      </c>
      <c r="I299" s="11">
        <f>H299*GiaDinh!$C$16</f>
        <v>77</v>
      </c>
      <c r="J299" s="7">
        <f t="shared" si="20"/>
        <v>5</v>
      </c>
      <c r="K299" s="7">
        <v>5</v>
      </c>
      <c r="L299" s="7" t="str">
        <f t="shared" si="21"/>
        <v>ĐỦ</v>
      </c>
      <c r="M299" s="11">
        <v>73.995999999999995</v>
      </c>
      <c r="N299" s="7">
        <f>ROUNDUP(14.799/GiaDinh!$C$5-0.0005,0)+ROUNDUP(14.799/GiaDinh!$C$5-0.0005,0)+ROUNDUP(14.799/GiaDinh!$C$5-0.0005,0)+ROUNDUP(14.799/GiaDinh!$C$5-0.0005,0)+ROUNDUP(14.799/GiaDinh!$C$5-0.0005,0)</f>
        <v>15</v>
      </c>
      <c r="O299" s="7">
        <f t="shared" si="22"/>
        <v>10</v>
      </c>
      <c r="P299" s="7">
        <v>55</v>
      </c>
      <c r="Q299" s="7">
        <f t="shared" si="23"/>
        <v>110</v>
      </c>
      <c r="R299" s="7">
        <f t="shared" si="24"/>
        <v>55</v>
      </c>
      <c r="S299" s="12">
        <f>M299*GiaDinh!$C$7</f>
        <v>222.72795999999997</v>
      </c>
    </row>
    <row r="300" spans="1:19" ht="15.5" x14ac:dyDescent="0.35">
      <c r="A300" s="7" t="s">
        <v>11</v>
      </c>
      <c r="B300" s="7" t="s">
        <v>767</v>
      </c>
      <c r="C300" s="7" t="s">
        <v>174</v>
      </c>
      <c r="D300" s="7" t="s">
        <v>768</v>
      </c>
      <c r="E300" s="7">
        <v>3</v>
      </c>
      <c r="F300" s="7">
        <v>152.1</v>
      </c>
      <c r="G300" s="11">
        <f>3*F300*GiaDinh!$C$18*GiaDinh!$C$17</f>
        <v>383.29199999999997</v>
      </c>
      <c r="H300" s="7">
        <v>12</v>
      </c>
      <c r="I300" s="11">
        <f>H300*GiaDinh!$C$16</f>
        <v>84</v>
      </c>
      <c r="J300" s="7">
        <f t="shared" si="20"/>
        <v>5</v>
      </c>
      <c r="K300" s="7">
        <v>5</v>
      </c>
      <c r="L300" s="7" t="str">
        <f t="shared" si="21"/>
        <v>ĐỦ</v>
      </c>
      <c r="M300" s="11">
        <v>75</v>
      </c>
      <c r="N300" s="7">
        <f>ROUNDUP(15/GiaDinh!$C$5-0.0005,0)+ROUNDUP(15/GiaDinh!$C$5-0.0005,0)+ROUNDUP(15/GiaDinh!$C$5-0.0005,0)+ROUNDUP(15/GiaDinh!$C$5-0.0005,0)+ROUNDUP(15/GiaDinh!$C$5-0.0005,0)</f>
        <v>15</v>
      </c>
      <c r="O300" s="7">
        <f t="shared" si="22"/>
        <v>10</v>
      </c>
      <c r="P300" s="7">
        <v>60</v>
      </c>
      <c r="Q300" s="7">
        <f t="shared" si="23"/>
        <v>120</v>
      </c>
      <c r="R300" s="7">
        <f t="shared" si="24"/>
        <v>60</v>
      </c>
      <c r="S300" s="12">
        <f>M300*GiaDinh!$C$7</f>
        <v>225.74999999999997</v>
      </c>
    </row>
    <row r="301" spans="1:19" ht="15.5" x14ac:dyDescent="0.35">
      <c r="A301" s="7" t="s">
        <v>11</v>
      </c>
      <c r="B301" s="7" t="s">
        <v>769</v>
      </c>
      <c r="C301" s="7" t="s">
        <v>174</v>
      </c>
      <c r="D301" s="7" t="s">
        <v>770</v>
      </c>
      <c r="E301" s="7">
        <v>1</v>
      </c>
      <c r="F301" s="7">
        <v>152.1</v>
      </c>
      <c r="G301" s="11">
        <f>1*F301*GiaDinh!$C$18*GiaDinh!$C$17</f>
        <v>127.76399999999998</v>
      </c>
      <c r="H301" s="7">
        <v>12</v>
      </c>
      <c r="I301" s="11">
        <f>H301*GiaDinh!$C$16</f>
        <v>84</v>
      </c>
      <c r="J301" s="7">
        <f t="shared" si="20"/>
        <v>2</v>
      </c>
      <c r="K301" s="7">
        <v>2</v>
      </c>
      <c r="L301" s="7" t="str">
        <f t="shared" si="21"/>
        <v>ĐỦ</v>
      </c>
      <c r="M301" s="11">
        <v>30</v>
      </c>
      <c r="N301" s="7">
        <f>ROUNDUP(15/GiaDinh!$C$5-0.0005,0)+ROUNDUP(15/GiaDinh!$C$5-0.0005,0)</f>
        <v>6</v>
      </c>
      <c r="O301" s="7">
        <f t="shared" si="22"/>
        <v>4</v>
      </c>
      <c r="P301" s="7">
        <v>24</v>
      </c>
      <c r="Q301" s="7">
        <f t="shared" si="23"/>
        <v>48</v>
      </c>
      <c r="R301" s="7">
        <f t="shared" si="24"/>
        <v>24</v>
      </c>
      <c r="S301" s="12">
        <f>M301*GiaDinh!$C$7</f>
        <v>90.3</v>
      </c>
    </row>
    <row r="302" spans="1:19" ht="15.5" x14ac:dyDescent="0.35">
      <c r="A302" s="7" t="s">
        <v>11</v>
      </c>
      <c r="B302" s="7" t="s">
        <v>771</v>
      </c>
      <c r="C302" s="7" t="s">
        <v>174</v>
      </c>
      <c r="D302" s="7" t="s">
        <v>772</v>
      </c>
      <c r="E302" s="7">
        <v>3</v>
      </c>
      <c r="F302" s="7">
        <v>152.1</v>
      </c>
      <c r="G302" s="11">
        <f>3*F302*GiaDinh!$C$18*GiaDinh!$C$17</f>
        <v>383.29199999999997</v>
      </c>
      <c r="H302" s="7">
        <v>12</v>
      </c>
      <c r="I302" s="11">
        <f>H302*GiaDinh!$C$16</f>
        <v>84</v>
      </c>
      <c r="J302" s="7">
        <f t="shared" si="20"/>
        <v>5</v>
      </c>
      <c r="K302" s="7">
        <v>5</v>
      </c>
      <c r="L302" s="7" t="str">
        <f t="shared" si="21"/>
        <v>ĐỦ</v>
      </c>
      <c r="M302" s="11">
        <v>75</v>
      </c>
      <c r="N302" s="7">
        <f>ROUNDUP(15/GiaDinh!$C$5-0.0005,0)+ROUNDUP(15/GiaDinh!$C$5-0.0005,0)+ROUNDUP(15/GiaDinh!$C$5-0.0005,0)+ROUNDUP(15/GiaDinh!$C$5-0.0005,0)+ROUNDUP(15/GiaDinh!$C$5-0.0005,0)</f>
        <v>15</v>
      </c>
      <c r="O302" s="7">
        <f t="shared" si="22"/>
        <v>10</v>
      </c>
      <c r="P302" s="7">
        <v>60</v>
      </c>
      <c r="Q302" s="7">
        <f t="shared" si="23"/>
        <v>120</v>
      </c>
      <c r="R302" s="7">
        <f t="shared" si="24"/>
        <v>60</v>
      </c>
      <c r="S302" s="12">
        <f>M302*GiaDinh!$C$7</f>
        <v>225.74999999999997</v>
      </c>
    </row>
    <row r="303" spans="1:19" ht="15.5" x14ac:dyDescent="0.35">
      <c r="A303" s="7" t="s">
        <v>11</v>
      </c>
      <c r="B303" s="7" t="s">
        <v>773</v>
      </c>
      <c r="C303" s="7" t="s">
        <v>174</v>
      </c>
      <c r="D303" s="7" t="s">
        <v>774</v>
      </c>
      <c r="E303" s="7">
        <v>3</v>
      </c>
      <c r="F303" s="7">
        <v>152.1</v>
      </c>
      <c r="G303" s="11">
        <f>3*F303*GiaDinh!$C$18*GiaDinh!$C$17</f>
        <v>383.29199999999997</v>
      </c>
      <c r="H303" s="7">
        <v>10</v>
      </c>
      <c r="I303" s="11">
        <f>H303*GiaDinh!$C$16</f>
        <v>70</v>
      </c>
      <c r="J303" s="7">
        <f t="shared" si="20"/>
        <v>6</v>
      </c>
      <c r="K303" s="7">
        <v>6</v>
      </c>
      <c r="L303" s="7" t="str">
        <f t="shared" si="21"/>
        <v>ĐỦ</v>
      </c>
      <c r="M303" s="11">
        <v>76.316999999999993</v>
      </c>
      <c r="N303" s="7">
        <f>ROUNDUP(12.263/GiaDinh!$C$5-0.0005,0)+ROUNDUP(12.263/GiaDinh!$C$5-0.0005,0)+ROUNDUP(12.263/GiaDinh!$C$5-0.0005,0)+ROUNDUP(12.263/GiaDinh!$C$5-0.0005,0)+ROUNDUP(12.263/GiaDinh!$C$5-0.0005,0)+ROUNDUP(15/GiaDinh!$C$5-0.0005,0)</f>
        <v>18</v>
      </c>
      <c r="O303" s="7">
        <f t="shared" si="22"/>
        <v>12</v>
      </c>
      <c r="P303" s="7">
        <v>62</v>
      </c>
      <c r="Q303" s="7">
        <f t="shared" si="23"/>
        <v>124</v>
      </c>
      <c r="R303" s="7">
        <f t="shared" si="24"/>
        <v>62</v>
      </c>
      <c r="S303" s="12">
        <f>M303*GiaDinh!$C$7</f>
        <v>229.71416999999997</v>
      </c>
    </row>
    <row r="304" spans="1:19" ht="15.5" x14ac:dyDescent="0.35">
      <c r="A304" s="7" t="s">
        <v>11</v>
      </c>
      <c r="B304" s="7" t="s">
        <v>775</v>
      </c>
      <c r="C304" s="7" t="s">
        <v>197</v>
      </c>
      <c r="D304" s="7" t="s">
        <v>776</v>
      </c>
      <c r="E304" s="7">
        <v>1</v>
      </c>
      <c r="F304" s="7">
        <v>152.1</v>
      </c>
      <c r="G304" s="11">
        <f>1*F304*GiaDinh!$C$18*GiaDinh!$C$17</f>
        <v>127.76399999999998</v>
      </c>
      <c r="H304" s="7">
        <v>13</v>
      </c>
      <c r="I304" s="11">
        <f>H304*GiaDinh!$C$16</f>
        <v>91</v>
      </c>
      <c r="J304" s="7">
        <f t="shared" si="20"/>
        <v>2</v>
      </c>
      <c r="K304" s="7">
        <v>2</v>
      </c>
      <c r="L304" s="7" t="str">
        <f t="shared" si="21"/>
        <v>ĐỦ</v>
      </c>
      <c r="M304" s="11">
        <v>30</v>
      </c>
      <c r="N304" s="7">
        <f>ROUNDUP(15/GiaDinh!$C$5-0.0005,0)+ROUNDUP(15/GiaDinh!$C$5-0.0005,0)</f>
        <v>6</v>
      </c>
      <c r="O304" s="7">
        <f t="shared" si="22"/>
        <v>4</v>
      </c>
      <c r="P304" s="7">
        <v>26</v>
      </c>
      <c r="Q304" s="7">
        <f t="shared" si="23"/>
        <v>52</v>
      </c>
      <c r="R304" s="7">
        <f t="shared" si="24"/>
        <v>26</v>
      </c>
      <c r="S304" s="12">
        <f>M304*GiaDinh!$C$7</f>
        <v>90.3</v>
      </c>
    </row>
    <row r="305" spans="1:19" ht="15.5" x14ac:dyDescent="0.35">
      <c r="A305" s="7" t="s">
        <v>11</v>
      </c>
      <c r="B305" s="7" t="s">
        <v>777</v>
      </c>
      <c r="C305" s="7" t="s">
        <v>197</v>
      </c>
      <c r="D305" s="7" t="s">
        <v>778</v>
      </c>
      <c r="E305" s="7">
        <v>1</v>
      </c>
      <c r="F305" s="7">
        <v>152.1</v>
      </c>
      <c r="G305" s="11">
        <f>1*F305*GiaDinh!$C$18*GiaDinh!$C$17</f>
        <v>127.76399999999998</v>
      </c>
      <c r="H305" s="7">
        <v>13</v>
      </c>
      <c r="I305" s="11">
        <f>H305*GiaDinh!$C$16</f>
        <v>91</v>
      </c>
      <c r="J305" s="7">
        <f t="shared" si="20"/>
        <v>2</v>
      </c>
      <c r="K305" s="7">
        <v>2</v>
      </c>
      <c r="L305" s="7" t="str">
        <f t="shared" si="21"/>
        <v>ĐỦ</v>
      </c>
      <c r="M305" s="11">
        <v>30</v>
      </c>
      <c r="N305" s="7">
        <f>ROUNDUP(15/GiaDinh!$C$5-0.0005,0)+ROUNDUP(15/GiaDinh!$C$5-0.0005,0)</f>
        <v>6</v>
      </c>
      <c r="O305" s="7">
        <f t="shared" si="22"/>
        <v>4</v>
      </c>
      <c r="P305" s="7">
        <v>26</v>
      </c>
      <c r="Q305" s="7">
        <f t="shared" si="23"/>
        <v>52</v>
      </c>
      <c r="R305" s="7">
        <f t="shared" si="24"/>
        <v>26</v>
      </c>
      <c r="S305" s="12">
        <f>M305*GiaDinh!$C$7</f>
        <v>90.3</v>
      </c>
    </row>
    <row r="306" spans="1:19" ht="15.5" x14ac:dyDescent="0.35">
      <c r="A306" s="7" t="s">
        <v>11</v>
      </c>
      <c r="B306" s="7" t="s">
        <v>779</v>
      </c>
      <c r="C306" s="7" t="s">
        <v>197</v>
      </c>
      <c r="D306" s="7" t="s">
        <v>780</v>
      </c>
      <c r="E306" s="7">
        <v>1</v>
      </c>
      <c r="F306" s="7">
        <v>152.1</v>
      </c>
      <c r="G306" s="11">
        <f>1*F306*GiaDinh!$C$18*GiaDinh!$C$17</f>
        <v>127.76399999999998</v>
      </c>
      <c r="H306" s="7">
        <v>13</v>
      </c>
      <c r="I306" s="11">
        <f>H306*GiaDinh!$C$16</f>
        <v>91</v>
      </c>
      <c r="J306" s="7">
        <f t="shared" si="20"/>
        <v>2</v>
      </c>
      <c r="K306" s="7">
        <v>2</v>
      </c>
      <c r="L306" s="7" t="str">
        <f t="shared" si="21"/>
        <v>ĐỦ</v>
      </c>
      <c r="M306" s="11">
        <v>30</v>
      </c>
      <c r="N306" s="7">
        <f>ROUNDUP(15/GiaDinh!$C$5-0.0005,0)+ROUNDUP(15/GiaDinh!$C$5-0.0005,0)</f>
        <v>6</v>
      </c>
      <c r="O306" s="7">
        <f t="shared" si="22"/>
        <v>4</v>
      </c>
      <c r="P306" s="7">
        <v>26</v>
      </c>
      <c r="Q306" s="7">
        <f t="shared" si="23"/>
        <v>52</v>
      </c>
      <c r="R306" s="7">
        <f t="shared" si="24"/>
        <v>26</v>
      </c>
      <c r="S306" s="12">
        <f>M306*GiaDinh!$C$7</f>
        <v>90.3</v>
      </c>
    </row>
    <row r="307" spans="1:19" ht="15.5" x14ac:dyDescent="0.35">
      <c r="A307" s="7" t="s">
        <v>11</v>
      </c>
      <c r="B307" s="7" t="s">
        <v>781</v>
      </c>
      <c r="C307" s="7" t="s">
        <v>197</v>
      </c>
      <c r="D307" s="7" t="s">
        <v>782</v>
      </c>
      <c r="E307" s="7">
        <v>1</v>
      </c>
      <c r="F307" s="7">
        <v>152.1</v>
      </c>
      <c r="G307" s="11">
        <f>1*F307*GiaDinh!$C$18*GiaDinh!$C$17</f>
        <v>127.76399999999998</v>
      </c>
      <c r="H307" s="7">
        <v>13</v>
      </c>
      <c r="I307" s="11">
        <f>H307*GiaDinh!$C$16</f>
        <v>91</v>
      </c>
      <c r="J307" s="7">
        <f t="shared" si="20"/>
        <v>2</v>
      </c>
      <c r="K307" s="7">
        <v>2</v>
      </c>
      <c r="L307" s="7" t="str">
        <f t="shared" si="21"/>
        <v>ĐỦ</v>
      </c>
      <c r="M307" s="11">
        <v>30</v>
      </c>
      <c r="N307" s="7">
        <f>ROUNDUP(15/GiaDinh!$C$5-0.0005,0)+ROUNDUP(15/GiaDinh!$C$5-0.0005,0)</f>
        <v>6</v>
      </c>
      <c r="O307" s="7">
        <f t="shared" si="22"/>
        <v>4</v>
      </c>
      <c r="P307" s="7">
        <v>26</v>
      </c>
      <c r="Q307" s="7">
        <f t="shared" si="23"/>
        <v>52</v>
      </c>
      <c r="R307" s="7">
        <f t="shared" si="24"/>
        <v>26</v>
      </c>
      <c r="S307" s="12">
        <f>M307*GiaDinh!$C$7</f>
        <v>90.3</v>
      </c>
    </row>
    <row r="308" spans="1:19" ht="15.5" x14ac:dyDescent="0.35">
      <c r="A308" s="7" t="s">
        <v>11</v>
      </c>
      <c r="B308" s="7" t="s">
        <v>783</v>
      </c>
      <c r="C308" s="7" t="s">
        <v>197</v>
      </c>
      <c r="D308" s="7" t="s">
        <v>784</v>
      </c>
      <c r="E308" s="7">
        <v>1</v>
      </c>
      <c r="F308" s="7">
        <v>152.1</v>
      </c>
      <c r="G308" s="11">
        <f>1*F308*GiaDinh!$C$18*GiaDinh!$C$17</f>
        <v>127.76399999999998</v>
      </c>
      <c r="H308" s="7">
        <v>13</v>
      </c>
      <c r="I308" s="11">
        <f>H308*GiaDinh!$C$16</f>
        <v>91</v>
      </c>
      <c r="J308" s="7">
        <f t="shared" si="20"/>
        <v>2</v>
      </c>
      <c r="K308" s="7">
        <v>2</v>
      </c>
      <c r="L308" s="7" t="str">
        <f t="shared" si="21"/>
        <v>ĐỦ</v>
      </c>
      <c r="M308" s="11">
        <v>30</v>
      </c>
      <c r="N308" s="7">
        <f>ROUNDUP(15/GiaDinh!$C$5-0.0005,0)+ROUNDUP(15/GiaDinh!$C$5-0.0005,0)</f>
        <v>6</v>
      </c>
      <c r="O308" s="7">
        <f t="shared" si="22"/>
        <v>4</v>
      </c>
      <c r="P308" s="7">
        <v>26</v>
      </c>
      <c r="Q308" s="7">
        <f t="shared" si="23"/>
        <v>52</v>
      </c>
      <c r="R308" s="7">
        <f t="shared" si="24"/>
        <v>26</v>
      </c>
      <c r="S308" s="12">
        <f>M308*GiaDinh!$C$7</f>
        <v>90.3</v>
      </c>
    </row>
    <row r="309" spans="1:19" ht="15.5" x14ac:dyDescent="0.35">
      <c r="A309" s="7" t="s">
        <v>11</v>
      </c>
      <c r="B309" s="7" t="s">
        <v>785</v>
      </c>
      <c r="C309" s="7" t="s">
        <v>197</v>
      </c>
      <c r="D309" s="7" t="s">
        <v>786</v>
      </c>
      <c r="E309" s="7">
        <v>1</v>
      </c>
      <c r="F309" s="7">
        <v>152.1</v>
      </c>
      <c r="G309" s="11">
        <f>1*F309*GiaDinh!$C$18*GiaDinh!$C$17</f>
        <v>127.76399999999998</v>
      </c>
      <c r="H309" s="7">
        <v>7</v>
      </c>
      <c r="I309" s="11">
        <f>H309*GiaDinh!$C$16</f>
        <v>49</v>
      </c>
      <c r="J309" s="7">
        <f t="shared" si="20"/>
        <v>3</v>
      </c>
      <c r="K309" s="7">
        <v>3</v>
      </c>
      <c r="L309" s="7" t="str">
        <f t="shared" si="21"/>
        <v>ĐỦ</v>
      </c>
      <c r="M309" s="11">
        <v>23.585999999999999</v>
      </c>
      <c r="N309" s="7">
        <f>ROUNDUP(7.862/GiaDinh!$C$5-0.0005,0)+ROUNDUP(7.862/GiaDinh!$C$5-0.0005,0)+ROUNDUP(7.862/GiaDinh!$C$5-0.0005,0)</f>
        <v>6</v>
      </c>
      <c r="O309" s="7">
        <f t="shared" si="22"/>
        <v>3</v>
      </c>
      <c r="P309" s="7">
        <v>21</v>
      </c>
      <c r="Q309" s="7">
        <f t="shared" si="23"/>
        <v>42</v>
      </c>
      <c r="R309" s="7">
        <f t="shared" si="24"/>
        <v>21</v>
      </c>
      <c r="S309" s="12">
        <f>M309*GiaDinh!$C$7</f>
        <v>70.993859999999984</v>
      </c>
    </row>
    <row r="310" spans="1:19" ht="15.5" x14ac:dyDescent="0.35">
      <c r="A310" s="7" t="s">
        <v>11</v>
      </c>
      <c r="B310" s="7" t="s">
        <v>787</v>
      </c>
      <c r="C310" s="7" t="s">
        <v>197</v>
      </c>
      <c r="D310" s="7" t="s">
        <v>788</v>
      </c>
      <c r="E310" s="7">
        <v>1</v>
      </c>
      <c r="F310" s="7">
        <v>152.1</v>
      </c>
      <c r="G310" s="11">
        <f>1*F310*GiaDinh!$C$18*GiaDinh!$C$17</f>
        <v>127.76399999999998</v>
      </c>
      <c r="H310" s="7">
        <v>13</v>
      </c>
      <c r="I310" s="11">
        <f>H310*GiaDinh!$C$16</f>
        <v>91</v>
      </c>
      <c r="J310" s="7">
        <f t="shared" si="20"/>
        <v>2</v>
      </c>
      <c r="K310" s="7">
        <v>2</v>
      </c>
      <c r="L310" s="7" t="str">
        <f t="shared" si="21"/>
        <v>ĐỦ</v>
      </c>
      <c r="M310" s="11">
        <v>30</v>
      </c>
      <c r="N310" s="7">
        <f>ROUNDUP(15/GiaDinh!$C$5-0.0005,0)+ROUNDUP(15/GiaDinh!$C$5-0.0005,0)</f>
        <v>6</v>
      </c>
      <c r="O310" s="7">
        <f t="shared" si="22"/>
        <v>4</v>
      </c>
      <c r="P310" s="7">
        <v>26</v>
      </c>
      <c r="Q310" s="7">
        <f t="shared" si="23"/>
        <v>52</v>
      </c>
      <c r="R310" s="7">
        <f t="shared" si="24"/>
        <v>26</v>
      </c>
      <c r="S310" s="12">
        <f>M310*GiaDinh!$C$7</f>
        <v>90.3</v>
      </c>
    </row>
    <row r="311" spans="1:19" ht="15.5" x14ac:dyDescent="0.35">
      <c r="A311" s="7" t="s">
        <v>11</v>
      </c>
      <c r="B311" s="7" t="s">
        <v>789</v>
      </c>
      <c r="C311" s="7" t="s">
        <v>197</v>
      </c>
      <c r="D311" s="7" t="s">
        <v>790</v>
      </c>
      <c r="E311" s="7">
        <v>1</v>
      </c>
      <c r="F311" s="7">
        <v>152.1</v>
      </c>
      <c r="G311" s="11">
        <f>1*F311*GiaDinh!$C$18*GiaDinh!$C$17</f>
        <v>127.76399999999998</v>
      </c>
      <c r="H311" s="7">
        <v>13</v>
      </c>
      <c r="I311" s="11">
        <f>H311*GiaDinh!$C$16</f>
        <v>91</v>
      </c>
      <c r="J311" s="7">
        <f t="shared" si="20"/>
        <v>2</v>
      </c>
      <c r="K311" s="7">
        <v>2</v>
      </c>
      <c r="L311" s="7" t="str">
        <f t="shared" si="21"/>
        <v>ĐỦ</v>
      </c>
      <c r="M311" s="11">
        <v>30</v>
      </c>
      <c r="N311" s="7">
        <f>ROUNDUP(15/GiaDinh!$C$5-0.0005,0)+ROUNDUP(15/GiaDinh!$C$5-0.0005,0)</f>
        <v>6</v>
      </c>
      <c r="O311" s="7">
        <f t="shared" si="22"/>
        <v>4</v>
      </c>
      <c r="P311" s="7">
        <v>26</v>
      </c>
      <c r="Q311" s="7">
        <f t="shared" si="23"/>
        <v>52</v>
      </c>
      <c r="R311" s="7">
        <f t="shared" si="24"/>
        <v>26</v>
      </c>
      <c r="S311" s="12">
        <f>M311*GiaDinh!$C$7</f>
        <v>90.3</v>
      </c>
    </row>
    <row r="312" spans="1:19" ht="15.5" x14ac:dyDescent="0.35">
      <c r="A312" s="7" t="s">
        <v>11</v>
      </c>
      <c r="B312" s="7" t="s">
        <v>791</v>
      </c>
      <c r="C312" s="7" t="s">
        <v>197</v>
      </c>
      <c r="D312" s="7" t="s">
        <v>792</v>
      </c>
      <c r="E312" s="7">
        <v>1</v>
      </c>
      <c r="F312" s="7">
        <v>152.1</v>
      </c>
      <c r="G312" s="11">
        <f>1*F312*GiaDinh!$C$18*GiaDinh!$C$17</f>
        <v>127.76399999999998</v>
      </c>
      <c r="H312" s="7">
        <v>13</v>
      </c>
      <c r="I312" s="11">
        <f>H312*GiaDinh!$C$16</f>
        <v>91</v>
      </c>
      <c r="J312" s="7">
        <f t="shared" si="20"/>
        <v>2</v>
      </c>
      <c r="K312" s="7">
        <v>2</v>
      </c>
      <c r="L312" s="7" t="str">
        <f t="shared" si="21"/>
        <v>ĐỦ</v>
      </c>
      <c r="M312" s="11">
        <v>30</v>
      </c>
      <c r="N312" s="7">
        <f>ROUNDUP(15/GiaDinh!$C$5-0.0005,0)+ROUNDUP(15/GiaDinh!$C$5-0.0005,0)</f>
        <v>6</v>
      </c>
      <c r="O312" s="7">
        <f t="shared" si="22"/>
        <v>4</v>
      </c>
      <c r="P312" s="7">
        <v>26</v>
      </c>
      <c r="Q312" s="7">
        <f t="shared" si="23"/>
        <v>52</v>
      </c>
      <c r="R312" s="7">
        <f t="shared" si="24"/>
        <v>26</v>
      </c>
      <c r="S312" s="12">
        <f>M312*GiaDinh!$C$7</f>
        <v>90.3</v>
      </c>
    </row>
    <row r="313" spans="1:19" ht="15.5" x14ac:dyDescent="0.35">
      <c r="A313" s="7" t="s">
        <v>11</v>
      </c>
      <c r="B313" s="7" t="s">
        <v>793</v>
      </c>
      <c r="C313" s="7" t="s">
        <v>197</v>
      </c>
      <c r="D313" s="7" t="s">
        <v>794</v>
      </c>
      <c r="E313" s="7">
        <v>1</v>
      </c>
      <c r="F313" s="7">
        <v>152.1</v>
      </c>
      <c r="G313" s="11">
        <f>1*F313*GiaDinh!$C$18*GiaDinh!$C$17</f>
        <v>127.76399999999998</v>
      </c>
      <c r="H313" s="7">
        <v>13</v>
      </c>
      <c r="I313" s="11">
        <f>H313*GiaDinh!$C$16</f>
        <v>91</v>
      </c>
      <c r="J313" s="7">
        <f t="shared" si="20"/>
        <v>2</v>
      </c>
      <c r="K313" s="7">
        <v>2</v>
      </c>
      <c r="L313" s="7" t="str">
        <f t="shared" si="21"/>
        <v>ĐỦ</v>
      </c>
      <c r="M313" s="11">
        <v>30</v>
      </c>
      <c r="N313" s="7">
        <f>ROUNDUP(15/GiaDinh!$C$5-0.0005,0)+ROUNDUP(15/GiaDinh!$C$5-0.0005,0)</f>
        <v>6</v>
      </c>
      <c r="O313" s="7">
        <f t="shared" si="22"/>
        <v>4</v>
      </c>
      <c r="P313" s="7">
        <v>26</v>
      </c>
      <c r="Q313" s="7">
        <f t="shared" si="23"/>
        <v>52</v>
      </c>
      <c r="R313" s="7">
        <f t="shared" si="24"/>
        <v>26</v>
      </c>
      <c r="S313" s="12">
        <f>M313*GiaDinh!$C$7</f>
        <v>90.3</v>
      </c>
    </row>
    <row r="314" spans="1:19" ht="15.5" x14ac:dyDescent="0.35">
      <c r="A314" s="7" t="s">
        <v>11</v>
      </c>
      <c r="B314" s="7" t="s">
        <v>795</v>
      </c>
      <c r="C314" s="7" t="s">
        <v>197</v>
      </c>
      <c r="D314" s="7" t="s">
        <v>796</v>
      </c>
      <c r="E314" s="7">
        <v>1</v>
      </c>
      <c r="F314" s="7">
        <v>152.1</v>
      </c>
      <c r="G314" s="11">
        <f>1*F314*GiaDinh!$C$18*GiaDinh!$C$17</f>
        <v>127.76399999999998</v>
      </c>
      <c r="H314" s="7">
        <v>13</v>
      </c>
      <c r="I314" s="11">
        <f>H314*GiaDinh!$C$16</f>
        <v>91</v>
      </c>
      <c r="J314" s="7">
        <f t="shared" si="20"/>
        <v>2</v>
      </c>
      <c r="K314" s="7">
        <v>2</v>
      </c>
      <c r="L314" s="7" t="str">
        <f t="shared" si="21"/>
        <v>ĐỦ</v>
      </c>
      <c r="M314" s="11">
        <v>30</v>
      </c>
      <c r="N314" s="7">
        <f>ROUNDUP(15/GiaDinh!$C$5-0.0005,0)+ROUNDUP(15/GiaDinh!$C$5-0.0005,0)</f>
        <v>6</v>
      </c>
      <c r="O314" s="7">
        <f t="shared" si="22"/>
        <v>4</v>
      </c>
      <c r="P314" s="7">
        <v>26</v>
      </c>
      <c r="Q314" s="7">
        <f t="shared" si="23"/>
        <v>52</v>
      </c>
      <c r="R314" s="7">
        <f t="shared" si="24"/>
        <v>26</v>
      </c>
      <c r="S314" s="12">
        <f>M314*GiaDinh!$C$7</f>
        <v>90.3</v>
      </c>
    </row>
    <row r="315" spans="1:19" ht="15.5" x14ac:dyDescent="0.35">
      <c r="A315" s="7" t="s">
        <v>11</v>
      </c>
      <c r="B315" s="7" t="s">
        <v>797</v>
      </c>
      <c r="C315" s="7" t="s">
        <v>197</v>
      </c>
      <c r="D315" s="7" t="s">
        <v>798</v>
      </c>
      <c r="E315" s="7">
        <v>1</v>
      </c>
      <c r="F315" s="7">
        <v>152.1</v>
      </c>
      <c r="G315" s="11">
        <f>1*F315*GiaDinh!$C$18*GiaDinh!$C$17</f>
        <v>127.76399999999998</v>
      </c>
      <c r="H315" s="7">
        <v>13</v>
      </c>
      <c r="I315" s="11">
        <f>H315*GiaDinh!$C$16</f>
        <v>91</v>
      </c>
      <c r="J315" s="7">
        <f t="shared" si="20"/>
        <v>2</v>
      </c>
      <c r="K315" s="7">
        <v>2</v>
      </c>
      <c r="L315" s="7" t="str">
        <f t="shared" si="21"/>
        <v>ĐỦ</v>
      </c>
      <c r="M315" s="11">
        <v>30</v>
      </c>
      <c r="N315" s="7">
        <f>ROUNDUP(15/GiaDinh!$C$5-0.0005,0)+ROUNDUP(15/GiaDinh!$C$5-0.0005,0)</f>
        <v>6</v>
      </c>
      <c r="O315" s="7">
        <f t="shared" si="22"/>
        <v>4</v>
      </c>
      <c r="P315" s="7">
        <v>26</v>
      </c>
      <c r="Q315" s="7">
        <f t="shared" si="23"/>
        <v>52</v>
      </c>
      <c r="R315" s="7">
        <f t="shared" si="24"/>
        <v>26</v>
      </c>
      <c r="S315" s="12">
        <f>M315*GiaDinh!$C$7</f>
        <v>90.3</v>
      </c>
    </row>
    <row r="316" spans="1:19" ht="15.5" x14ac:dyDescent="0.35">
      <c r="A316" s="7" t="s">
        <v>11</v>
      </c>
      <c r="B316" s="7" t="s">
        <v>799</v>
      </c>
      <c r="C316" s="7" t="s">
        <v>197</v>
      </c>
      <c r="D316" s="7" t="s">
        <v>800</v>
      </c>
      <c r="E316" s="7">
        <v>1</v>
      </c>
      <c r="F316" s="7">
        <v>152.1</v>
      </c>
      <c r="G316" s="11">
        <f>1*F316*GiaDinh!$C$18*GiaDinh!$C$17</f>
        <v>127.76399999999998</v>
      </c>
      <c r="H316" s="7">
        <v>13</v>
      </c>
      <c r="I316" s="11">
        <f>H316*GiaDinh!$C$16</f>
        <v>91</v>
      </c>
      <c r="J316" s="7">
        <f t="shared" si="20"/>
        <v>2</v>
      </c>
      <c r="K316" s="7">
        <v>2</v>
      </c>
      <c r="L316" s="7" t="str">
        <f t="shared" si="21"/>
        <v>ĐỦ</v>
      </c>
      <c r="M316" s="11">
        <v>30</v>
      </c>
      <c r="N316" s="7">
        <f>ROUNDUP(15/GiaDinh!$C$5-0.0005,0)+ROUNDUP(15/GiaDinh!$C$5-0.0005,0)</f>
        <v>6</v>
      </c>
      <c r="O316" s="7">
        <f t="shared" si="22"/>
        <v>4</v>
      </c>
      <c r="P316" s="7">
        <v>26</v>
      </c>
      <c r="Q316" s="7">
        <f t="shared" si="23"/>
        <v>52</v>
      </c>
      <c r="R316" s="7">
        <f t="shared" si="24"/>
        <v>26</v>
      </c>
      <c r="S316" s="12">
        <f>M316*GiaDinh!$C$7</f>
        <v>90.3</v>
      </c>
    </row>
    <row r="317" spans="1:19" ht="15.5" x14ac:dyDescent="0.35">
      <c r="A317" s="7" t="s">
        <v>11</v>
      </c>
      <c r="B317" s="7" t="s">
        <v>801</v>
      </c>
      <c r="C317" s="7" t="s">
        <v>197</v>
      </c>
      <c r="D317" s="7" t="s">
        <v>802</v>
      </c>
      <c r="E317" s="7">
        <v>1</v>
      </c>
      <c r="F317" s="7">
        <v>152.1</v>
      </c>
      <c r="G317" s="11">
        <f>1*F317*GiaDinh!$C$18*GiaDinh!$C$17</f>
        <v>127.76399999999998</v>
      </c>
      <c r="H317" s="7">
        <v>13</v>
      </c>
      <c r="I317" s="11">
        <f>H317*GiaDinh!$C$16</f>
        <v>91</v>
      </c>
      <c r="J317" s="7">
        <f t="shared" si="20"/>
        <v>2</v>
      </c>
      <c r="K317" s="7">
        <v>2</v>
      </c>
      <c r="L317" s="7" t="str">
        <f t="shared" si="21"/>
        <v>ĐỦ</v>
      </c>
      <c r="M317" s="11">
        <v>30</v>
      </c>
      <c r="N317" s="7">
        <f>ROUNDUP(15/GiaDinh!$C$5-0.0005,0)+ROUNDUP(15/GiaDinh!$C$5-0.0005,0)</f>
        <v>6</v>
      </c>
      <c r="O317" s="7">
        <f t="shared" si="22"/>
        <v>4</v>
      </c>
      <c r="P317" s="7">
        <v>26</v>
      </c>
      <c r="Q317" s="7">
        <f t="shared" si="23"/>
        <v>52</v>
      </c>
      <c r="R317" s="7">
        <f t="shared" si="24"/>
        <v>26</v>
      </c>
      <c r="S317" s="12">
        <f>M317*GiaDinh!$C$7</f>
        <v>90.3</v>
      </c>
    </row>
  </sheetData>
  <mergeCells count="1">
    <mergeCell ref="A2:S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67"/>
  <sheetViews>
    <sheetView workbookViewId="0">
      <pane ySplit="3" topLeftCell="A4" activePane="bottomLeft" state="frozen"/>
      <selection pane="bottomLeft"/>
    </sheetView>
  </sheetViews>
  <sheetFormatPr defaultRowHeight="14.5" x14ac:dyDescent="0.35"/>
  <cols>
    <col min="1" max="1" width="8" customWidth="1"/>
    <col min="2" max="2" width="6" customWidth="1"/>
    <col min="3" max="3" width="14" customWidth="1"/>
    <col min="4" max="4" width="22" customWidth="1"/>
    <col min="5" max="5" width="18" customWidth="1"/>
  </cols>
  <sheetData>
    <row r="1" spans="1:5" ht="15.5" x14ac:dyDescent="0.35">
      <c r="A1" s="10" t="s">
        <v>803</v>
      </c>
    </row>
    <row r="3" spans="1:5" ht="31" x14ac:dyDescent="0.35">
      <c r="A3" s="13" t="s">
        <v>154</v>
      </c>
      <c r="B3" s="13" t="s">
        <v>2</v>
      </c>
      <c r="C3" s="13" t="s">
        <v>804</v>
      </c>
      <c r="D3" s="13" t="s">
        <v>805</v>
      </c>
      <c r="E3" s="13" t="s">
        <v>806</v>
      </c>
    </row>
    <row r="4" spans="1:5" x14ac:dyDescent="0.35">
      <c r="A4" t="s">
        <v>6</v>
      </c>
      <c r="B4">
        <v>1</v>
      </c>
      <c r="C4" s="14">
        <v>25.349</v>
      </c>
      <c r="D4">
        <f>ROUNDUP(C4/GiaDinh!$C$4-0.0005,0)</f>
        <v>5</v>
      </c>
      <c r="E4">
        <f t="shared" ref="E4:E67" si="0">D4-1</f>
        <v>4</v>
      </c>
    </row>
    <row r="5" spans="1:5" x14ac:dyDescent="0.35">
      <c r="A5" t="s">
        <v>6</v>
      </c>
      <c r="B5">
        <v>2</v>
      </c>
      <c r="C5" s="14">
        <v>25.349</v>
      </c>
      <c r="D5">
        <f>ROUNDUP(C5/GiaDinh!$C$4-0.0005,0)</f>
        <v>5</v>
      </c>
      <c r="E5">
        <f t="shared" si="0"/>
        <v>4</v>
      </c>
    </row>
    <row r="6" spans="1:5" x14ac:dyDescent="0.35">
      <c r="A6" t="s">
        <v>6</v>
      </c>
      <c r="B6">
        <v>3</v>
      </c>
      <c r="C6" s="14">
        <v>25.349</v>
      </c>
      <c r="D6">
        <f>ROUNDUP(C6/GiaDinh!$C$4-0.0005,0)</f>
        <v>5</v>
      </c>
      <c r="E6">
        <f t="shared" si="0"/>
        <v>4</v>
      </c>
    </row>
    <row r="7" spans="1:5" x14ac:dyDescent="0.35">
      <c r="A7" t="s">
        <v>6</v>
      </c>
      <c r="B7">
        <v>4</v>
      </c>
      <c r="C7" s="14">
        <v>25.349</v>
      </c>
      <c r="D7">
        <f>ROUNDUP(C7/GiaDinh!$C$4-0.0005,0)</f>
        <v>5</v>
      </c>
      <c r="E7">
        <f t="shared" si="0"/>
        <v>4</v>
      </c>
    </row>
    <row r="8" spans="1:5" x14ac:dyDescent="0.35">
      <c r="A8" t="s">
        <v>6</v>
      </c>
      <c r="B8">
        <v>5</v>
      </c>
      <c r="C8" s="14">
        <v>25.349</v>
      </c>
      <c r="D8">
        <f>ROUNDUP(C8/GiaDinh!$C$4-0.0005,0)</f>
        <v>5</v>
      </c>
      <c r="E8">
        <f t="shared" si="0"/>
        <v>4</v>
      </c>
    </row>
    <row r="9" spans="1:5" x14ac:dyDescent="0.35">
      <c r="A9" t="s">
        <v>6</v>
      </c>
      <c r="B9">
        <v>6</v>
      </c>
      <c r="C9" s="14">
        <v>25.349</v>
      </c>
      <c r="D9">
        <f>ROUNDUP(C9/GiaDinh!$C$4-0.0005,0)</f>
        <v>5</v>
      </c>
      <c r="E9">
        <f t="shared" si="0"/>
        <v>4</v>
      </c>
    </row>
    <row r="10" spans="1:5" x14ac:dyDescent="0.35">
      <c r="A10" t="s">
        <v>6</v>
      </c>
      <c r="B10">
        <v>7</v>
      </c>
      <c r="C10" s="14">
        <v>25.349</v>
      </c>
      <c r="D10">
        <f>ROUNDUP(C10/GiaDinh!$C$4-0.0005,0)</f>
        <v>5</v>
      </c>
      <c r="E10">
        <f t="shared" si="0"/>
        <v>4</v>
      </c>
    </row>
    <row r="11" spans="1:5" x14ac:dyDescent="0.35">
      <c r="A11" t="s">
        <v>6</v>
      </c>
      <c r="B11">
        <v>8</v>
      </c>
      <c r="C11" s="14">
        <v>25.349</v>
      </c>
      <c r="D11">
        <f>ROUNDUP(C11/GiaDinh!$C$4-0.0005,0)</f>
        <v>5</v>
      </c>
      <c r="E11">
        <f t="shared" si="0"/>
        <v>4</v>
      </c>
    </row>
    <row r="12" spans="1:5" x14ac:dyDescent="0.35">
      <c r="A12" t="s">
        <v>6</v>
      </c>
      <c r="B12">
        <v>9</v>
      </c>
      <c r="C12" s="14">
        <v>25.349</v>
      </c>
      <c r="D12">
        <f>ROUNDUP(C12/GiaDinh!$C$4-0.0005,0)</f>
        <v>5</v>
      </c>
      <c r="E12">
        <f t="shared" si="0"/>
        <v>4</v>
      </c>
    </row>
    <row r="13" spans="1:5" x14ac:dyDescent="0.35">
      <c r="A13" t="s">
        <v>6</v>
      </c>
      <c r="B13">
        <v>10</v>
      </c>
      <c r="C13" s="14">
        <v>25.349</v>
      </c>
      <c r="D13">
        <f>ROUNDUP(C13/GiaDinh!$C$4-0.0005,0)</f>
        <v>5</v>
      </c>
      <c r="E13">
        <f t="shared" si="0"/>
        <v>4</v>
      </c>
    </row>
    <row r="14" spans="1:5" x14ac:dyDescent="0.35">
      <c r="A14" t="s">
        <v>6</v>
      </c>
      <c r="B14">
        <v>11</v>
      </c>
      <c r="C14" s="14">
        <v>25.349</v>
      </c>
      <c r="D14">
        <f>ROUNDUP(C14/GiaDinh!$C$4-0.0005,0)</f>
        <v>5</v>
      </c>
      <c r="E14">
        <f t="shared" si="0"/>
        <v>4</v>
      </c>
    </row>
    <row r="15" spans="1:5" x14ac:dyDescent="0.35">
      <c r="A15" t="s">
        <v>6</v>
      </c>
      <c r="B15">
        <v>12</v>
      </c>
      <c r="C15" s="14">
        <v>25.349</v>
      </c>
      <c r="D15">
        <f>ROUNDUP(C15/GiaDinh!$C$4-0.0005,0)</f>
        <v>5</v>
      </c>
      <c r="E15">
        <f t="shared" si="0"/>
        <v>4</v>
      </c>
    </row>
    <row r="16" spans="1:5" x14ac:dyDescent="0.35">
      <c r="A16" t="s">
        <v>6</v>
      </c>
      <c r="B16">
        <v>13</v>
      </c>
      <c r="C16" s="14">
        <v>40.823</v>
      </c>
      <c r="D16">
        <f>ROUNDUP(C16/GiaDinh!$C$4-0.0005,0)</f>
        <v>7</v>
      </c>
      <c r="E16">
        <f t="shared" si="0"/>
        <v>6</v>
      </c>
    </row>
    <row r="17" spans="1:5" x14ac:dyDescent="0.35">
      <c r="A17" t="s">
        <v>6</v>
      </c>
      <c r="B17">
        <v>14</v>
      </c>
      <c r="C17" s="14">
        <v>40.823</v>
      </c>
      <c r="D17">
        <f>ROUNDUP(C17/GiaDinh!$C$4-0.0005,0)</f>
        <v>7</v>
      </c>
      <c r="E17">
        <f t="shared" si="0"/>
        <v>6</v>
      </c>
    </row>
    <row r="18" spans="1:5" x14ac:dyDescent="0.35">
      <c r="A18" t="s">
        <v>6</v>
      </c>
      <c r="B18">
        <v>15</v>
      </c>
      <c r="C18" s="14">
        <v>41.177</v>
      </c>
      <c r="D18">
        <f>ROUNDUP(C18/GiaDinh!$C$4-0.0005,0)</f>
        <v>7</v>
      </c>
      <c r="E18">
        <f t="shared" si="0"/>
        <v>6</v>
      </c>
    </row>
    <row r="19" spans="1:5" x14ac:dyDescent="0.35">
      <c r="A19" t="s">
        <v>6</v>
      </c>
      <c r="B19">
        <v>16</v>
      </c>
      <c r="C19" s="14">
        <v>41.177</v>
      </c>
      <c r="D19">
        <f>ROUNDUP(C19/GiaDinh!$C$4-0.0005,0)</f>
        <v>7</v>
      </c>
      <c r="E19">
        <f t="shared" si="0"/>
        <v>6</v>
      </c>
    </row>
    <row r="20" spans="1:5" x14ac:dyDescent="0.35">
      <c r="A20" t="s">
        <v>6</v>
      </c>
      <c r="B20">
        <v>17</v>
      </c>
      <c r="C20" s="14">
        <v>41.177</v>
      </c>
      <c r="D20">
        <f>ROUNDUP(C20/GiaDinh!$C$4-0.0005,0)</f>
        <v>7</v>
      </c>
      <c r="E20">
        <f t="shared" si="0"/>
        <v>6</v>
      </c>
    </row>
    <row r="21" spans="1:5" x14ac:dyDescent="0.35">
      <c r="A21" t="s">
        <v>6</v>
      </c>
      <c r="B21">
        <v>18</v>
      </c>
      <c r="C21" s="14">
        <v>41.177</v>
      </c>
      <c r="D21">
        <f>ROUNDUP(C21/GiaDinh!$C$4-0.0005,0)</f>
        <v>7</v>
      </c>
      <c r="E21">
        <f t="shared" si="0"/>
        <v>6</v>
      </c>
    </row>
    <row r="22" spans="1:5" x14ac:dyDescent="0.35">
      <c r="A22" t="s">
        <v>6</v>
      </c>
      <c r="B22">
        <v>19</v>
      </c>
      <c r="C22" s="14">
        <v>41.177</v>
      </c>
      <c r="D22">
        <f>ROUNDUP(C22/GiaDinh!$C$4-0.0005,0)</f>
        <v>7</v>
      </c>
      <c r="E22">
        <f t="shared" si="0"/>
        <v>6</v>
      </c>
    </row>
    <row r="23" spans="1:5" x14ac:dyDescent="0.35">
      <c r="A23" t="s">
        <v>6</v>
      </c>
      <c r="B23">
        <v>20</v>
      </c>
      <c r="C23" s="14">
        <v>41.177</v>
      </c>
      <c r="D23">
        <f>ROUNDUP(C23/GiaDinh!$C$4-0.0005,0)</f>
        <v>7</v>
      </c>
      <c r="E23">
        <f t="shared" si="0"/>
        <v>6</v>
      </c>
    </row>
    <row r="24" spans="1:5" x14ac:dyDescent="0.35">
      <c r="A24" t="s">
        <v>6</v>
      </c>
      <c r="B24">
        <v>21</v>
      </c>
      <c r="C24" s="14">
        <v>41.177</v>
      </c>
      <c r="D24">
        <f>ROUNDUP(C24/GiaDinh!$C$4-0.0005,0)</f>
        <v>7</v>
      </c>
      <c r="E24">
        <f t="shared" si="0"/>
        <v>6</v>
      </c>
    </row>
    <row r="25" spans="1:5" x14ac:dyDescent="0.35">
      <c r="A25" t="s">
        <v>6</v>
      </c>
      <c r="B25">
        <v>22</v>
      </c>
      <c r="C25" s="14">
        <v>41.177</v>
      </c>
      <c r="D25">
        <f>ROUNDUP(C25/GiaDinh!$C$4-0.0005,0)</f>
        <v>7</v>
      </c>
      <c r="E25">
        <f t="shared" si="0"/>
        <v>6</v>
      </c>
    </row>
    <row r="26" spans="1:5" x14ac:dyDescent="0.35">
      <c r="A26" t="s">
        <v>6</v>
      </c>
      <c r="B26">
        <v>23</v>
      </c>
      <c r="C26" s="14">
        <v>41.177</v>
      </c>
      <c r="D26">
        <f>ROUNDUP(C26/GiaDinh!$C$4-0.0005,0)</f>
        <v>7</v>
      </c>
      <c r="E26">
        <f t="shared" si="0"/>
        <v>6</v>
      </c>
    </row>
    <row r="27" spans="1:5" x14ac:dyDescent="0.35">
      <c r="A27" t="s">
        <v>6</v>
      </c>
      <c r="B27">
        <v>24</v>
      </c>
      <c r="C27" s="14">
        <v>41.177</v>
      </c>
      <c r="D27">
        <f>ROUNDUP(C27/GiaDinh!$C$4-0.0005,0)</f>
        <v>7</v>
      </c>
      <c r="E27">
        <f t="shared" si="0"/>
        <v>6</v>
      </c>
    </row>
    <row r="28" spans="1:5" x14ac:dyDescent="0.35">
      <c r="A28" t="s">
        <v>6</v>
      </c>
      <c r="B28">
        <v>25</v>
      </c>
      <c r="C28" s="14">
        <v>41.177</v>
      </c>
      <c r="D28">
        <f>ROUNDUP(C28/GiaDinh!$C$4-0.0005,0)</f>
        <v>7</v>
      </c>
      <c r="E28">
        <f t="shared" si="0"/>
        <v>6</v>
      </c>
    </row>
    <row r="29" spans="1:5" x14ac:dyDescent="0.35">
      <c r="A29" t="s">
        <v>6</v>
      </c>
      <c r="B29">
        <v>26</v>
      </c>
      <c r="C29" s="14">
        <v>41.177</v>
      </c>
      <c r="D29">
        <f>ROUNDUP(C29/GiaDinh!$C$4-0.0005,0)</f>
        <v>7</v>
      </c>
      <c r="E29">
        <f t="shared" si="0"/>
        <v>6</v>
      </c>
    </row>
    <row r="30" spans="1:5" x14ac:dyDescent="0.35">
      <c r="A30" t="s">
        <v>6</v>
      </c>
      <c r="B30">
        <v>27</v>
      </c>
      <c r="C30" s="14">
        <v>41.177</v>
      </c>
      <c r="D30">
        <f>ROUNDUP(C30/GiaDinh!$C$4-0.0005,0)</f>
        <v>7</v>
      </c>
      <c r="E30">
        <f t="shared" si="0"/>
        <v>6</v>
      </c>
    </row>
    <row r="31" spans="1:5" x14ac:dyDescent="0.35">
      <c r="A31" t="s">
        <v>6</v>
      </c>
      <c r="B31">
        <v>28</v>
      </c>
      <c r="C31" s="14">
        <v>41.177</v>
      </c>
      <c r="D31">
        <f>ROUNDUP(C31/GiaDinh!$C$4-0.0005,0)</f>
        <v>7</v>
      </c>
      <c r="E31">
        <f t="shared" si="0"/>
        <v>6</v>
      </c>
    </row>
    <row r="32" spans="1:5" x14ac:dyDescent="0.35">
      <c r="A32" t="s">
        <v>6</v>
      </c>
      <c r="B32">
        <v>29</v>
      </c>
      <c r="C32" s="14">
        <v>51.451000000000001</v>
      </c>
      <c r="D32">
        <f>ROUNDUP(C32/GiaDinh!$C$4-0.0005,0)</f>
        <v>9</v>
      </c>
      <c r="E32">
        <f t="shared" si="0"/>
        <v>8</v>
      </c>
    </row>
    <row r="33" spans="1:5" x14ac:dyDescent="0.35">
      <c r="A33" t="s">
        <v>6</v>
      </c>
      <c r="B33">
        <v>30</v>
      </c>
      <c r="C33" s="14">
        <v>51.451000000000001</v>
      </c>
      <c r="D33">
        <f>ROUNDUP(C33/GiaDinh!$C$4-0.0005,0)</f>
        <v>9</v>
      </c>
      <c r="E33">
        <f t="shared" si="0"/>
        <v>8</v>
      </c>
    </row>
    <row r="34" spans="1:5" x14ac:dyDescent="0.35">
      <c r="A34" t="s">
        <v>6</v>
      </c>
      <c r="B34">
        <v>31</v>
      </c>
      <c r="C34" s="14">
        <v>51.451000000000001</v>
      </c>
      <c r="D34">
        <f>ROUNDUP(C34/GiaDinh!$C$4-0.0005,0)</f>
        <v>9</v>
      </c>
      <c r="E34">
        <f t="shared" si="0"/>
        <v>8</v>
      </c>
    </row>
    <row r="35" spans="1:5" x14ac:dyDescent="0.35">
      <c r="A35" t="s">
        <v>6</v>
      </c>
      <c r="B35">
        <v>32</v>
      </c>
      <c r="C35" s="14">
        <v>51.451000000000001</v>
      </c>
      <c r="D35">
        <f>ROUNDUP(C35/GiaDinh!$C$4-0.0005,0)</f>
        <v>9</v>
      </c>
      <c r="E35">
        <f t="shared" si="0"/>
        <v>8</v>
      </c>
    </row>
    <row r="36" spans="1:5" x14ac:dyDescent="0.35">
      <c r="A36" t="s">
        <v>6</v>
      </c>
      <c r="B36">
        <v>33</v>
      </c>
      <c r="C36" s="14">
        <v>51.451000000000001</v>
      </c>
      <c r="D36">
        <f>ROUNDUP(C36/GiaDinh!$C$4-0.0005,0)</f>
        <v>9</v>
      </c>
      <c r="E36">
        <f t="shared" si="0"/>
        <v>8</v>
      </c>
    </row>
    <row r="37" spans="1:5" x14ac:dyDescent="0.35">
      <c r="A37" t="s">
        <v>6</v>
      </c>
      <c r="B37">
        <v>34</v>
      </c>
      <c r="C37" s="14">
        <v>51.451000000000001</v>
      </c>
      <c r="D37">
        <f>ROUNDUP(C37/GiaDinh!$C$4-0.0005,0)</f>
        <v>9</v>
      </c>
      <c r="E37">
        <f t="shared" si="0"/>
        <v>8</v>
      </c>
    </row>
    <row r="38" spans="1:5" x14ac:dyDescent="0.35">
      <c r="A38" t="s">
        <v>6</v>
      </c>
      <c r="B38">
        <v>35</v>
      </c>
      <c r="C38" s="14">
        <v>51.451000000000001</v>
      </c>
      <c r="D38">
        <f>ROUNDUP(C38/GiaDinh!$C$4-0.0005,0)</f>
        <v>9</v>
      </c>
      <c r="E38">
        <f t="shared" si="0"/>
        <v>8</v>
      </c>
    </row>
    <row r="39" spans="1:5" x14ac:dyDescent="0.35">
      <c r="A39" t="s">
        <v>6</v>
      </c>
      <c r="B39">
        <v>36</v>
      </c>
      <c r="C39" s="14">
        <v>51.451000000000001</v>
      </c>
      <c r="D39">
        <f>ROUNDUP(C39/GiaDinh!$C$4-0.0005,0)</f>
        <v>9</v>
      </c>
      <c r="E39">
        <f t="shared" si="0"/>
        <v>8</v>
      </c>
    </row>
    <row r="40" spans="1:5" x14ac:dyDescent="0.35">
      <c r="A40" t="s">
        <v>6</v>
      </c>
      <c r="B40">
        <v>37</v>
      </c>
      <c r="C40" s="14">
        <v>51.451000000000001</v>
      </c>
      <c r="D40">
        <f>ROUNDUP(C40/GiaDinh!$C$4-0.0005,0)</f>
        <v>9</v>
      </c>
      <c r="E40">
        <f t="shared" si="0"/>
        <v>8</v>
      </c>
    </row>
    <row r="41" spans="1:5" x14ac:dyDescent="0.35">
      <c r="A41" t="s">
        <v>6</v>
      </c>
      <c r="B41">
        <v>38</v>
      </c>
      <c r="C41" s="14">
        <v>51.451000000000001</v>
      </c>
      <c r="D41">
        <f>ROUNDUP(C41/GiaDinh!$C$4-0.0005,0)</f>
        <v>9</v>
      </c>
      <c r="E41">
        <f t="shared" si="0"/>
        <v>8</v>
      </c>
    </row>
    <row r="42" spans="1:5" x14ac:dyDescent="0.35">
      <c r="A42" t="s">
        <v>6</v>
      </c>
      <c r="B42">
        <v>39</v>
      </c>
      <c r="C42" s="14">
        <v>51.451000000000001</v>
      </c>
      <c r="D42">
        <f>ROUNDUP(C42/GiaDinh!$C$4-0.0005,0)</f>
        <v>9</v>
      </c>
      <c r="E42">
        <f t="shared" si="0"/>
        <v>8</v>
      </c>
    </row>
    <row r="43" spans="1:5" x14ac:dyDescent="0.35">
      <c r="A43" t="s">
        <v>6</v>
      </c>
      <c r="B43">
        <v>40</v>
      </c>
      <c r="C43" s="14">
        <v>51.451000000000001</v>
      </c>
      <c r="D43">
        <f>ROUNDUP(C43/GiaDinh!$C$4-0.0005,0)</f>
        <v>9</v>
      </c>
      <c r="E43">
        <f t="shared" si="0"/>
        <v>8</v>
      </c>
    </row>
    <row r="44" spans="1:5" x14ac:dyDescent="0.35">
      <c r="A44" t="s">
        <v>6</v>
      </c>
      <c r="B44">
        <v>41</v>
      </c>
      <c r="C44" s="14">
        <v>149.19999999999999</v>
      </c>
      <c r="D44">
        <f>ROUNDUP(C44/GiaDinh!$C$4-0.0005,0)</f>
        <v>25</v>
      </c>
      <c r="E44">
        <f t="shared" si="0"/>
        <v>24</v>
      </c>
    </row>
    <row r="45" spans="1:5" x14ac:dyDescent="0.35">
      <c r="A45" t="s">
        <v>6</v>
      </c>
      <c r="B45">
        <v>42</v>
      </c>
      <c r="C45" s="14">
        <v>149.19999999999999</v>
      </c>
      <c r="D45">
        <f>ROUNDUP(C45/GiaDinh!$C$4-0.0005,0)</f>
        <v>25</v>
      </c>
      <c r="E45">
        <f t="shared" si="0"/>
        <v>24</v>
      </c>
    </row>
    <row r="46" spans="1:5" x14ac:dyDescent="0.35">
      <c r="A46" t="s">
        <v>6</v>
      </c>
      <c r="B46">
        <v>43</v>
      </c>
      <c r="C46" s="14">
        <v>149.19999999999999</v>
      </c>
      <c r="D46">
        <f>ROUNDUP(C46/GiaDinh!$C$4-0.0005,0)</f>
        <v>25</v>
      </c>
      <c r="E46">
        <f t="shared" si="0"/>
        <v>24</v>
      </c>
    </row>
    <row r="47" spans="1:5" x14ac:dyDescent="0.35">
      <c r="A47" t="s">
        <v>6</v>
      </c>
      <c r="B47">
        <v>44</v>
      </c>
      <c r="C47" s="14">
        <v>149.19999999999999</v>
      </c>
      <c r="D47">
        <f>ROUNDUP(C47/GiaDinh!$C$4-0.0005,0)</f>
        <v>25</v>
      </c>
      <c r="E47">
        <f t="shared" si="0"/>
        <v>24</v>
      </c>
    </row>
    <row r="48" spans="1:5" x14ac:dyDescent="0.35">
      <c r="A48" t="s">
        <v>6</v>
      </c>
      <c r="B48">
        <v>45</v>
      </c>
      <c r="C48" s="14">
        <v>149.19999999999999</v>
      </c>
      <c r="D48">
        <f>ROUNDUP(C48/GiaDinh!$C$4-0.0005,0)</f>
        <v>25</v>
      </c>
      <c r="E48">
        <f t="shared" si="0"/>
        <v>24</v>
      </c>
    </row>
    <row r="49" spans="1:5" x14ac:dyDescent="0.35">
      <c r="A49" t="s">
        <v>6</v>
      </c>
      <c r="B49">
        <v>46</v>
      </c>
      <c r="C49" s="14">
        <v>149.19999999999999</v>
      </c>
      <c r="D49">
        <f>ROUNDUP(C49/GiaDinh!$C$4-0.0005,0)</f>
        <v>25</v>
      </c>
      <c r="E49">
        <f t="shared" si="0"/>
        <v>24</v>
      </c>
    </row>
    <row r="50" spans="1:5" x14ac:dyDescent="0.35">
      <c r="A50" t="s">
        <v>6</v>
      </c>
      <c r="B50">
        <v>47</v>
      </c>
      <c r="C50" s="14">
        <v>149.19999999999999</v>
      </c>
      <c r="D50">
        <f>ROUNDUP(C50/GiaDinh!$C$4-0.0005,0)</f>
        <v>25</v>
      </c>
      <c r="E50">
        <f t="shared" si="0"/>
        <v>24</v>
      </c>
    </row>
    <row r="51" spans="1:5" x14ac:dyDescent="0.35">
      <c r="A51" t="s">
        <v>6</v>
      </c>
      <c r="B51">
        <v>48</v>
      </c>
      <c r="C51" s="14">
        <v>149.19999999999999</v>
      </c>
      <c r="D51">
        <f>ROUNDUP(C51/GiaDinh!$C$4-0.0005,0)</f>
        <v>25</v>
      </c>
      <c r="E51">
        <f t="shared" si="0"/>
        <v>24</v>
      </c>
    </row>
    <row r="52" spans="1:5" x14ac:dyDescent="0.35">
      <c r="A52" t="s">
        <v>6</v>
      </c>
      <c r="B52">
        <v>49</v>
      </c>
      <c r="C52" s="14">
        <v>149.19999999999999</v>
      </c>
      <c r="D52">
        <f>ROUNDUP(C52/GiaDinh!$C$4-0.0005,0)</f>
        <v>25</v>
      </c>
      <c r="E52">
        <f t="shared" si="0"/>
        <v>24</v>
      </c>
    </row>
    <row r="53" spans="1:5" x14ac:dyDescent="0.35">
      <c r="A53" t="s">
        <v>6</v>
      </c>
      <c r="B53">
        <v>50</v>
      </c>
      <c r="C53" s="14">
        <v>149.19999999999999</v>
      </c>
      <c r="D53">
        <f>ROUNDUP(C53/GiaDinh!$C$4-0.0005,0)</f>
        <v>25</v>
      </c>
      <c r="E53">
        <f t="shared" si="0"/>
        <v>24</v>
      </c>
    </row>
    <row r="54" spans="1:5" x14ac:dyDescent="0.35">
      <c r="A54" t="s">
        <v>6</v>
      </c>
      <c r="B54">
        <v>51</v>
      </c>
      <c r="C54" s="14">
        <v>149.19999999999999</v>
      </c>
      <c r="D54">
        <f>ROUNDUP(C54/GiaDinh!$C$4-0.0005,0)</f>
        <v>25</v>
      </c>
      <c r="E54">
        <f t="shared" si="0"/>
        <v>24</v>
      </c>
    </row>
    <row r="55" spans="1:5" x14ac:dyDescent="0.35">
      <c r="A55" t="s">
        <v>6</v>
      </c>
      <c r="B55">
        <v>52</v>
      </c>
      <c r="C55" s="14">
        <v>149.19999999999999</v>
      </c>
      <c r="D55">
        <f>ROUNDUP(C55/GiaDinh!$C$4-0.0005,0)</f>
        <v>25</v>
      </c>
      <c r="E55">
        <f t="shared" si="0"/>
        <v>24</v>
      </c>
    </row>
    <row r="56" spans="1:5" x14ac:dyDescent="0.35">
      <c r="A56" t="s">
        <v>6</v>
      </c>
      <c r="B56">
        <v>53</v>
      </c>
      <c r="C56" s="14">
        <v>175.3</v>
      </c>
      <c r="D56">
        <f>ROUNDUP(C56/GiaDinh!$C$4-0.0005,0)</f>
        <v>30</v>
      </c>
      <c r="E56">
        <f t="shared" si="0"/>
        <v>29</v>
      </c>
    </row>
    <row r="57" spans="1:5" x14ac:dyDescent="0.35">
      <c r="A57" t="s">
        <v>6</v>
      </c>
      <c r="B57">
        <v>54</v>
      </c>
      <c r="C57" s="14">
        <v>175.3</v>
      </c>
      <c r="D57">
        <f>ROUNDUP(C57/GiaDinh!$C$4-0.0005,0)</f>
        <v>30</v>
      </c>
      <c r="E57">
        <f t="shared" si="0"/>
        <v>29</v>
      </c>
    </row>
    <row r="58" spans="1:5" x14ac:dyDescent="0.35">
      <c r="A58" t="s">
        <v>6</v>
      </c>
      <c r="B58">
        <v>55</v>
      </c>
      <c r="C58" s="14">
        <v>175.3</v>
      </c>
      <c r="D58">
        <f>ROUNDUP(C58/GiaDinh!$C$4-0.0005,0)</f>
        <v>30</v>
      </c>
      <c r="E58">
        <f t="shared" si="0"/>
        <v>29</v>
      </c>
    </row>
    <row r="59" spans="1:5" x14ac:dyDescent="0.35">
      <c r="A59" t="s">
        <v>6</v>
      </c>
      <c r="B59">
        <v>56</v>
      </c>
      <c r="C59" s="14">
        <v>175.3</v>
      </c>
      <c r="D59">
        <f>ROUNDUP(C59/GiaDinh!$C$4-0.0005,0)</f>
        <v>30</v>
      </c>
      <c r="E59">
        <f t="shared" si="0"/>
        <v>29</v>
      </c>
    </row>
    <row r="60" spans="1:5" x14ac:dyDescent="0.35">
      <c r="A60" t="s">
        <v>6</v>
      </c>
      <c r="B60">
        <v>57</v>
      </c>
      <c r="C60" s="14">
        <v>175.3</v>
      </c>
      <c r="D60">
        <f>ROUNDUP(C60/GiaDinh!$C$4-0.0005,0)</f>
        <v>30</v>
      </c>
      <c r="E60">
        <f t="shared" si="0"/>
        <v>29</v>
      </c>
    </row>
    <row r="61" spans="1:5" x14ac:dyDescent="0.35">
      <c r="A61" t="s">
        <v>6</v>
      </c>
      <c r="B61">
        <v>58</v>
      </c>
      <c r="C61" s="14">
        <v>175.3</v>
      </c>
      <c r="D61">
        <f>ROUNDUP(C61/GiaDinh!$C$4-0.0005,0)</f>
        <v>30</v>
      </c>
      <c r="E61">
        <f t="shared" si="0"/>
        <v>29</v>
      </c>
    </row>
    <row r="62" spans="1:5" x14ac:dyDescent="0.35">
      <c r="A62" t="s">
        <v>6</v>
      </c>
      <c r="B62">
        <v>59</v>
      </c>
      <c r="C62" s="14">
        <v>175.3</v>
      </c>
      <c r="D62">
        <f>ROUNDUP(C62/GiaDinh!$C$4-0.0005,0)</f>
        <v>30</v>
      </c>
      <c r="E62">
        <f t="shared" si="0"/>
        <v>29</v>
      </c>
    </row>
    <row r="63" spans="1:5" x14ac:dyDescent="0.35">
      <c r="A63" t="s">
        <v>6</v>
      </c>
      <c r="B63">
        <v>60</v>
      </c>
      <c r="C63" s="14">
        <v>175.3</v>
      </c>
      <c r="D63">
        <f>ROUNDUP(C63/GiaDinh!$C$4-0.0005,0)</f>
        <v>30</v>
      </c>
      <c r="E63">
        <f t="shared" si="0"/>
        <v>29</v>
      </c>
    </row>
    <row r="64" spans="1:5" x14ac:dyDescent="0.35">
      <c r="A64" t="s">
        <v>6</v>
      </c>
      <c r="B64">
        <v>61</v>
      </c>
      <c r="C64" s="14">
        <v>175.3</v>
      </c>
      <c r="D64">
        <f>ROUNDUP(C64/GiaDinh!$C$4-0.0005,0)</f>
        <v>30</v>
      </c>
      <c r="E64">
        <f t="shared" si="0"/>
        <v>29</v>
      </c>
    </row>
    <row r="65" spans="1:5" x14ac:dyDescent="0.35">
      <c r="A65" t="s">
        <v>6</v>
      </c>
      <c r="B65">
        <v>62</v>
      </c>
      <c r="C65" s="14">
        <v>175.3</v>
      </c>
      <c r="D65">
        <f>ROUNDUP(C65/GiaDinh!$C$4-0.0005,0)</f>
        <v>30</v>
      </c>
      <c r="E65">
        <f t="shared" si="0"/>
        <v>29</v>
      </c>
    </row>
    <row r="66" spans="1:5" x14ac:dyDescent="0.35">
      <c r="A66" t="s">
        <v>6</v>
      </c>
      <c r="B66">
        <v>63</v>
      </c>
      <c r="C66" s="14">
        <v>175.3</v>
      </c>
      <c r="D66">
        <f>ROUNDUP(C66/GiaDinh!$C$4-0.0005,0)</f>
        <v>30</v>
      </c>
      <c r="E66">
        <f t="shared" si="0"/>
        <v>29</v>
      </c>
    </row>
    <row r="67" spans="1:5" x14ac:dyDescent="0.35">
      <c r="A67" t="s">
        <v>6</v>
      </c>
      <c r="B67">
        <v>64</v>
      </c>
      <c r="C67" s="14">
        <v>175.3</v>
      </c>
      <c r="D67">
        <f>ROUNDUP(C67/GiaDinh!$C$4-0.0005,0)</f>
        <v>30</v>
      </c>
      <c r="E67">
        <f t="shared" si="0"/>
        <v>29</v>
      </c>
    </row>
    <row r="68" spans="1:5" x14ac:dyDescent="0.35">
      <c r="A68" t="s">
        <v>6</v>
      </c>
      <c r="B68">
        <v>65</v>
      </c>
      <c r="C68" s="14">
        <v>199.422</v>
      </c>
      <c r="D68">
        <f>ROUNDUP(C68/GiaDinh!$C$4-0.0005,0)</f>
        <v>34</v>
      </c>
      <c r="E68">
        <f t="shared" ref="E68:E131" si="1">D68-1</f>
        <v>33</v>
      </c>
    </row>
    <row r="69" spans="1:5" x14ac:dyDescent="0.35">
      <c r="A69" t="s">
        <v>6</v>
      </c>
      <c r="B69">
        <v>66</v>
      </c>
      <c r="C69" s="14">
        <v>199.422</v>
      </c>
      <c r="D69">
        <f>ROUNDUP(C69/GiaDinh!$C$4-0.0005,0)</f>
        <v>34</v>
      </c>
      <c r="E69">
        <f t="shared" si="1"/>
        <v>33</v>
      </c>
    </row>
    <row r="70" spans="1:5" x14ac:dyDescent="0.35">
      <c r="A70" t="s">
        <v>6</v>
      </c>
      <c r="B70">
        <v>67</v>
      </c>
      <c r="C70" s="14">
        <v>199.422</v>
      </c>
      <c r="D70">
        <f>ROUNDUP(C70/GiaDinh!$C$4-0.0005,0)</f>
        <v>34</v>
      </c>
      <c r="E70">
        <f t="shared" si="1"/>
        <v>33</v>
      </c>
    </row>
    <row r="71" spans="1:5" x14ac:dyDescent="0.35">
      <c r="A71" t="s">
        <v>6</v>
      </c>
      <c r="B71">
        <v>68</v>
      </c>
      <c r="C71" s="14">
        <v>199.422</v>
      </c>
      <c r="D71">
        <f>ROUNDUP(C71/GiaDinh!$C$4-0.0005,0)</f>
        <v>34</v>
      </c>
      <c r="E71">
        <f t="shared" si="1"/>
        <v>33</v>
      </c>
    </row>
    <row r="72" spans="1:5" x14ac:dyDescent="0.35">
      <c r="A72" t="s">
        <v>6</v>
      </c>
      <c r="B72">
        <v>69</v>
      </c>
      <c r="C72" s="14">
        <v>199.422</v>
      </c>
      <c r="D72">
        <f>ROUNDUP(C72/GiaDinh!$C$4-0.0005,0)</f>
        <v>34</v>
      </c>
      <c r="E72">
        <f t="shared" si="1"/>
        <v>33</v>
      </c>
    </row>
    <row r="73" spans="1:5" x14ac:dyDescent="0.35">
      <c r="A73" t="s">
        <v>6</v>
      </c>
      <c r="B73">
        <v>70</v>
      </c>
      <c r="C73" s="14">
        <v>199.422</v>
      </c>
      <c r="D73">
        <f>ROUNDUP(C73/GiaDinh!$C$4-0.0005,0)</f>
        <v>34</v>
      </c>
      <c r="E73">
        <f t="shared" si="1"/>
        <v>33</v>
      </c>
    </row>
    <row r="74" spans="1:5" x14ac:dyDescent="0.35">
      <c r="A74" t="s">
        <v>6</v>
      </c>
      <c r="B74">
        <v>71</v>
      </c>
      <c r="C74" s="14">
        <v>199.422</v>
      </c>
      <c r="D74">
        <f>ROUNDUP(C74/GiaDinh!$C$4-0.0005,0)</f>
        <v>34</v>
      </c>
      <c r="E74">
        <f t="shared" si="1"/>
        <v>33</v>
      </c>
    </row>
    <row r="75" spans="1:5" x14ac:dyDescent="0.35">
      <c r="A75" t="s">
        <v>6</v>
      </c>
      <c r="B75">
        <v>72</v>
      </c>
      <c r="C75" s="14">
        <v>199.422</v>
      </c>
      <c r="D75">
        <f>ROUNDUP(C75/GiaDinh!$C$4-0.0005,0)</f>
        <v>34</v>
      </c>
      <c r="E75">
        <f t="shared" si="1"/>
        <v>33</v>
      </c>
    </row>
    <row r="76" spans="1:5" x14ac:dyDescent="0.35">
      <c r="A76" t="s">
        <v>6</v>
      </c>
      <c r="B76">
        <v>73</v>
      </c>
      <c r="C76" s="14">
        <v>199.422</v>
      </c>
      <c r="D76">
        <f>ROUNDUP(C76/GiaDinh!$C$4-0.0005,0)</f>
        <v>34</v>
      </c>
      <c r="E76">
        <f t="shared" si="1"/>
        <v>33</v>
      </c>
    </row>
    <row r="77" spans="1:5" x14ac:dyDescent="0.35">
      <c r="A77" t="s">
        <v>6</v>
      </c>
      <c r="B77">
        <v>74</v>
      </c>
      <c r="C77" s="14">
        <v>199.422</v>
      </c>
      <c r="D77">
        <f>ROUNDUP(C77/GiaDinh!$C$4-0.0005,0)</f>
        <v>34</v>
      </c>
      <c r="E77">
        <f t="shared" si="1"/>
        <v>33</v>
      </c>
    </row>
    <row r="78" spans="1:5" x14ac:dyDescent="0.35">
      <c r="A78" t="s">
        <v>6</v>
      </c>
      <c r="B78">
        <v>75</v>
      </c>
      <c r="C78" s="14">
        <v>199.422</v>
      </c>
      <c r="D78">
        <f>ROUNDUP(C78/GiaDinh!$C$4-0.0005,0)</f>
        <v>34</v>
      </c>
      <c r="E78">
        <f t="shared" si="1"/>
        <v>33</v>
      </c>
    </row>
    <row r="79" spans="1:5" x14ac:dyDescent="0.35">
      <c r="A79" t="s">
        <v>6</v>
      </c>
      <c r="B79">
        <v>76</v>
      </c>
      <c r="C79" s="14">
        <v>199.422</v>
      </c>
      <c r="D79">
        <f>ROUNDUP(C79/GiaDinh!$C$4-0.0005,0)</f>
        <v>34</v>
      </c>
      <c r="E79">
        <f t="shared" si="1"/>
        <v>33</v>
      </c>
    </row>
    <row r="80" spans="1:5" x14ac:dyDescent="0.35">
      <c r="A80" t="s">
        <v>6</v>
      </c>
      <c r="B80">
        <v>77</v>
      </c>
      <c r="C80" s="14">
        <v>199.422</v>
      </c>
      <c r="D80">
        <f>ROUNDUP(C80/GiaDinh!$C$4-0.0005,0)</f>
        <v>34</v>
      </c>
      <c r="E80">
        <f t="shared" si="1"/>
        <v>33</v>
      </c>
    </row>
    <row r="81" spans="1:5" x14ac:dyDescent="0.35">
      <c r="A81" t="s">
        <v>6</v>
      </c>
      <c r="B81">
        <v>78</v>
      </c>
      <c r="C81" s="14">
        <v>199.422</v>
      </c>
      <c r="D81">
        <f>ROUNDUP(C81/GiaDinh!$C$4-0.0005,0)</f>
        <v>34</v>
      </c>
      <c r="E81">
        <f t="shared" si="1"/>
        <v>33</v>
      </c>
    </row>
    <row r="82" spans="1:5" x14ac:dyDescent="0.35">
      <c r="A82" t="s">
        <v>6</v>
      </c>
      <c r="B82">
        <v>79</v>
      </c>
      <c r="C82" s="14">
        <v>199.422</v>
      </c>
      <c r="D82">
        <f>ROUNDUP(C82/GiaDinh!$C$4-0.0005,0)</f>
        <v>34</v>
      </c>
      <c r="E82">
        <f t="shared" si="1"/>
        <v>33</v>
      </c>
    </row>
    <row r="83" spans="1:5" x14ac:dyDescent="0.35">
      <c r="A83" t="s">
        <v>6</v>
      </c>
      <c r="B83">
        <v>80</v>
      </c>
      <c r="C83" s="14">
        <v>199.422</v>
      </c>
      <c r="D83">
        <f>ROUNDUP(C83/GiaDinh!$C$4-0.0005,0)</f>
        <v>34</v>
      </c>
      <c r="E83">
        <f t="shared" si="1"/>
        <v>33</v>
      </c>
    </row>
    <row r="84" spans="1:5" x14ac:dyDescent="0.35">
      <c r="A84" t="s">
        <v>6</v>
      </c>
      <c r="B84">
        <v>81</v>
      </c>
      <c r="C84" s="14">
        <v>199.422</v>
      </c>
      <c r="D84">
        <f>ROUNDUP(C84/GiaDinh!$C$4-0.0005,0)</f>
        <v>34</v>
      </c>
      <c r="E84">
        <f t="shared" si="1"/>
        <v>33</v>
      </c>
    </row>
    <row r="85" spans="1:5" x14ac:dyDescent="0.35">
      <c r="A85" t="s">
        <v>6</v>
      </c>
      <c r="B85">
        <v>82</v>
      </c>
      <c r="C85" s="14">
        <v>199.422</v>
      </c>
      <c r="D85">
        <f>ROUNDUP(C85/GiaDinh!$C$4-0.0005,0)</f>
        <v>34</v>
      </c>
      <c r="E85">
        <f t="shared" si="1"/>
        <v>33</v>
      </c>
    </row>
    <row r="86" spans="1:5" x14ac:dyDescent="0.35">
      <c r="A86" t="s">
        <v>6</v>
      </c>
      <c r="B86">
        <v>83</v>
      </c>
      <c r="C86" s="14">
        <v>199.422</v>
      </c>
      <c r="D86">
        <f>ROUNDUP(C86/GiaDinh!$C$4-0.0005,0)</f>
        <v>34</v>
      </c>
      <c r="E86">
        <f t="shared" si="1"/>
        <v>33</v>
      </c>
    </row>
    <row r="87" spans="1:5" x14ac:dyDescent="0.35">
      <c r="A87" t="s">
        <v>6</v>
      </c>
      <c r="B87">
        <v>84</v>
      </c>
      <c r="C87" s="14">
        <v>199.422</v>
      </c>
      <c r="D87">
        <f>ROUNDUP(C87/GiaDinh!$C$4-0.0005,0)</f>
        <v>34</v>
      </c>
      <c r="E87">
        <f t="shared" si="1"/>
        <v>33</v>
      </c>
    </row>
    <row r="88" spans="1:5" x14ac:dyDescent="0.35">
      <c r="A88" t="s">
        <v>6</v>
      </c>
      <c r="B88">
        <v>85</v>
      </c>
      <c r="C88" s="14">
        <v>199.422</v>
      </c>
      <c r="D88">
        <f>ROUNDUP(C88/GiaDinh!$C$4-0.0005,0)</f>
        <v>34</v>
      </c>
      <c r="E88">
        <f t="shared" si="1"/>
        <v>33</v>
      </c>
    </row>
    <row r="89" spans="1:5" x14ac:dyDescent="0.35">
      <c r="A89" t="s">
        <v>6</v>
      </c>
      <c r="B89">
        <v>86</v>
      </c>
      <c r="C89" s="14">
        <v>199.422</v>
      </c>
      <c r="D89">
        <f>ROUNDUP(C89/GiaDinh!$C$4-0.0005,0)</f>
        <v>34</v>
      </c>
      <c r="E89">
        <f t="shared" si="1"/>
        <v>33</v>
      </c>
    </row>
    <row r="90" spans="1:5" x14ac:dyDescent="0.35">
      <c r="A90" t="s">
        <v>6</v>
      </c>
      <c r="B90">
        <v>87</v>
      </c>
      <c r="C90" s="14">
        <v>199.422</v>
      </c>
      <c r="D90">
        <f>ROUNDUP(C90/GiaDinh!$C$4-0.0005,0)</f>
        <v>34</v>
      </c>
      <c r="E90">
        <f t="shared" si="1"/>
        <v>33</v>
      </c>
    </row>
    <row r="91" spans="1:5" x14ac:dyDescent="0.35">
      <c r="A91" t="s">
        <v>6</v>
      </c>
      <c r="B91">
        <v>88</v>
      </c>
      <c r="C91" s="14">
        <v>199.422</v>
      </c>
      <c r="D91">
        <f>ROUNDUP(C91/GiaDinh!$C$4-0.0005,0)</f>
        <v>34</v>
      </c>
      <c r="E91">
        <f t="shared" si="1"/>
        <v>33</v>
      </c>
    </row>
    <row r="92" spans="1:5" x14ac:dyDescent="0.35">
      <c r="A92" t="s">
        <v>6</v>
      </c>
      <c r="B92">
        <v>89</v>
      </c>
      <c r="C92" s="14">
        <v>199.422</v>
      </c>
      <c r="D92">
        <f>ROUNDUP(C92/GiaDinh!$C$4-0.0005,0)</f>
        <v>34</v>
      </c>
      <c r="E92">
        <f t="shared" si="1"/>
        <v>33</v>
      </c>
    </row>
    <row r="93" spans="1:5" x14ac:dyDescent="0.35">
      <c r="A93" t="s">
        <v>6</v>
      </c>
      <c r="B93">
        <v>90</v>
      </c>
      <c r="C93" s="14">
        <v>199.422</v>
      </c>
      <c r="D93">
        <f>ROUNDUP(C93/GiaDinh!$C$4-0.0005,0)</f>
        <v>34</v>
      </c>
      <c r="E93">
        <f t="shared" si="1"/>
        <v>33</v>
      </c>
    </row>
    <row r="94" spans="1:5" x14ac:dyDescent="0.35">
      <c r="A94" t="s">
        <v>6</v>
      </c>
      <c r="B94">
        <v>91</v>
      </c>
      <c r="C94" s="14">
        <v>199.422</v>
      </c>
      <c r="D94">
        <f>ROUNDUP(C94/GiaDinh!$C$4-0.0005,0)</f>
        <v>34</v>
      </c>
      <c r="E94">
        <f t="shared" si="1"/>
        <v>33</v>
      </c>
    </row>
    <row r="95" spans="1:5" x14ac:dyDescent="0.35">
      <c r="A95" t="s">
        <v>6</v>
      </c>
      <c r="B95">
        <v>92</v>
      </c>
      <c r="C95" s="14">
        <v>199.422</v>
      </c>
      <c r="D95">
        <f>ROUNDUP(C95/GiaDinh!$C$4-0.0005,0)</f>
        <v>34</v>
      </c>
      <c r="E95">
        <f t="shared" si="1"/>
        <v>33</v>
      </c>
    </row>
    <row r="96" spans="1:5" x14ac:dyDescent="0.35">
      <c r="A96" t="s">
        <v>6</v>
      </c>
      <c r="B96">
        <v>93</v>
      </c>
      <c r="C96" s="14">
        <v>199.422</v>
      </c>
      <c r="D96">
        <f>ROUNDUP(C96/GiaDinh!$C$4-0.0005,0)</f>
        <v>34</v>
      </c>
      <c r="E96">
        <f t="shared" si="1"/>
        <v>33</v>
      </c>
    </row>
    <row r="97" spans="1:5" x14ac:dyDescent="0.35">
      <c r="A97" t="s">
        <v>6</v>
      </c>
      <c r="B97">
        <v>94</v>
      </c>
      <c r="C97" s="14">
        <v>199.422</v>
      </c>
      <c r="D97">
        <f>ROUNDUP(C97/GiaDinh!$C$4-0.0005,0)</f>
        <v>34</v>
      </c>
      <c r="E97">
        <f t="shared" si="1"/>
        <v>33</v>
      </c>
    </row>
    <row r="98" spans="1:5" x14ac:dyDescent="0.35">
      <c r="A98" t="s">
        <v>6</v>
      </c>
      <c r="B98">
        <v>95</v>
      </c>
      <c r="C98" s="14">
        <v>199.422</v>
      </c>
      <c r="D98">
        <f>ROUNDUP(C98/GiaDinh!$C$4-0.0005,0)</f>
        <v>34</v>
      </c>
      <c r="E98">
        <f t="shared" si="1"/>
        <v>33</v>
      </c>
    </row>
    <row r="99" spans="1:5" x14ac:dyDescent="0.35">
      <c r="A99" t="s">
        <v>6</v>
      </c>
      <c r="B99">
        <v>96</v>
      </c>
      <c r="C99" s="14">
        <v>199.422</v>
      </c>
      <c r="D99">
        <f>ROUNDUP(C99/GiaDinh!$C$4-0.0005,0)</f>
        <v>34</v>
      </c>
      <c r="E99">
        <f t="shared" si="1"/>
        <v>33</v>
      </c>
    </row>
    <row r="100" spans="1:5" x14ac:dyDescent="0.35">
      <c r="A100" t="s">
        <v>6</v>
      </c>
      <c r="B100">
        <v>97</v>
      </c>
      <c r="C100" s="14">
        <v>199.422</v>
      </c>
      <c r="D100">
        <f>ROUNDUP(C100/GiaDinh!$C$4-0.0005,0)</f>
        <v>34</v>
      </c>
      <c r="E100">
        <f t="shared" si="1"/>
        <v>33</v>
      </c>
    </row>
    <row r="101" spans="1:5" x14ac:dyDescent="0.35">
      <c r="A101" t="s">
        <v>6</v>
      </c>
      <c r="B101">
        <v>98</v>
      </c>
      <c r="C101" s="14">
        <v>199.422</v>
      </c>
      <c r="D101">
        <f>ROUNDUP(C101/GiaDinh!$C$4-0.0005,0)</f>
        <v>34</v>
      </c>
      <c r="E101">
        <f t="shared" si="1"/>
        <v>33</v>
      </c>
    </row>
    <row r="102" spans="1:5" x14ac:dyDescent="0.35">
      <c r="A102" t="s">
        <v>6</v>
      </c>
      <c r="B102">
        <v>99</v>
      </c>
      <c r="C102" s="14">
        <v>199.422</v>
      </c>
      <c r="D102">
        <f>ROUNDUP(C102/GiaDinh!$C$4-0.0005,0)</f>
        <v>34</v>
      </c>
      <c r="E102">
        <f t="shared" si="1"/>
        <v>33</v>
      </c>
    </row>
    <row r="103" spans="1:5" x14ac:dyDescent="0.35">
      <c r="A103" t="s">
        <v>6</v>
      </c>
      <c r="B103">
        <v>100</v>
      </c>
      <c r="C103" s="14">
        <v>199.422</v>
      </c>
      <c r="D103">
        <f>ROUNDUP(C103/GiaDinh!$C$4-0.0005,0)</f>
        <v>34</v>
      </c>
      <c r="E103">
        <f t="shared" si="1"/>
        <v>33</v>
      </c>
    </row>
    <row r="104" spans="1:5" x14ac:dyDescent="0.35">
      <c r="A104" t="s">
        <v>7</v>
      </c>
      <c r="B104">
        <v>1</v>
      </c>
      <c r="C104" s="14">
        <v>27.02</v>
      </c>
      <c r="D104">
        <f>ROUNDUP(C104/GiaDinh!$C$4-0.0005,0)</f>
        <v>5</v>
      </c>
      <c r="E104">
        <f t="shared" si="1"/>
        <v>4</v>
      </c>
    </row>
    <row r="105" spans="1:5" x14ac:dyDescent="0.35">
      <c r="A105" t="s">
        <v>7</v>
      </c>
      <c r="B105">
        <v>2</v>
      </c>
      <c r="C105" s="14">
        <v>27.02</v>
      </c>
      <c r="D105">
        <f>ROUNDUP(C105/GiaDinh!$C$4-0.0005,0)</f>
        <v>5</v>
      </c>
      <c r="E105">
        <f t="shared" si="1"/>
        <v>4</v>
      </c>
    </row>
    <row r="106" spans="1:5" x14ac:dyDescent="0.35">
      <c r="A106" t="s">
        <v>7</v>
      </c>
      <c r="B106">
        <v>3</v>
      </c>
      <c r="C106" s="14">
        <v>27.02</v>
      </c>
      <c r="D106">
        <f>ROUNDUP(C106/GiaDinh!$C$4-0.0005,0)</f>
        <v>5</v>
      </c>
      <c r="E106">
        <f t="shared" si="1"/>
        <v>4</v>
      </c>
    </row>
    <row r="107" spans="1:5" x14ac:dyDescent="0.35">
      <c r="A107" t="s">
        <v>7</v>
      </c>
      <c r="B107">
        <v>4</v>
      </c>
      <c r="C107" s="14">
        <v>27.02</v>
      </c>
      <c r="D107">
        <f>ROUNDUP(C107/GiaDinh!$C$4-0.0005,0)</f>
        <v>5</v>
      </c>
      <c r="E107">
        <f t="shared" si="1"/>
        <v>4</v>
      </c>
    </row>
    <row r="108" spans="1:5" x14ac:dyDescent="0.35">
      <c r="A108" t="s">
        <v>7</v>
      </c>
      <c r="B108">
        <v>5</v>
      </c>
      <c r="C108" s="14">
        <v>27.02</v>
      </c>
      <c r="D108">
        <f>ROUNDUP(C108/GiaDinh!$C$4-0.0005,0)</f>
        <v>5</v>
      </c>
      <c r="E108">
        <f t="shared" si="1"/>
        <v>4</v>
      </c>
    </row>
    <row r="109" spans="1:5" x14ac:dyDescent="0.35">
      <c r="A109" t="s">
        <v>7</v>
      </c>
      <c r="B109">
        <v>6</v>
      </c>
      <c r="C109" s="14">
        <v>27.02</v>
      </c>
      <c r="D109">
        <f>ROUNDUP(C109/GiaDinh!$C$4-0.0005,0)</f>
        <v>5</v>
      </c>
      <c r="E109">
        <f t="shared" si="1"/>
        <v>4</v>
      </c>
    </row>
    <row r="110" spans="1:5" x14ac:dyDescent="0.35">
      <c r="A110" t="s">
        <v>7</v>
      </c>
      <c r="B110">
        <v>7</v>
      </c>
      <c r="C110" s="14">
        <v>27.02</v>
      </c>
      <c r="D110">
        <f>ROUNDUP(C110/GiaDinh!$C$4-0.0005,0)</f>
        <v>5</v>
      </c>
      <c r="E110">
        <f t="shared" si="1"/>
        <v>4</v>
      </c>
    </row>
    <row r="111" spans="1:5" x14ac:dyDescent="0.35">
      <c r="A111" t="s">
        <v>7</v>
      </c>
      <c r="B111">
        <v>8</v>
      </c>
      <c r="C111" s="14">
        <v>27.02</v>
      </c>
      <c r="D111">
        <f>ROUNDUP(C111/GiaDinh!$C$4-0.0005,0)</f>
        <v>5</v>
      </c>
      <c r="E111">
        <f t="shared" si="1"/>
        <v>4</v>
      </c>
    </row>
    <row r="112" spans="1:5" x14ac:dyDescent="0.35">
      <c r="A112" t="s">
        <v>7</v>
      </c>
      <c r="B112">
        <v>9</v>
      </c>
      <c r="C112" s="14">
        <v>27.02</v>
      </c>
      <c r="D112">
        <f>ROUNDUP(C112/GiaDinh!$C$4-0.0005,0)</f>
        <v>5</v>
      </c>
      <c r="E112">
        <f t="shared" si="1"/>
        <v>4</v>
      </c>
    </row>
    <row r="113" spans="1:5" x14ac:dyDescent="0.35">
      <c r="A113" t="s">
        <v>7</v>
      </c>
      <c r="B113">
        <v>10</v>
      </c>
      <c r="C113" s="14">
        <v>27.02</v>
      </c>
      <c r="D113">
        <f>ROUNDUP(C113/GiaDinh!$C$4-0.0005,0)</f>
        <v>5</v>
      </c>
      <c r="E113">
        <f t="shared" si="1"/>
        <v>4</v>
      </c>
    </row>
    <row r="114" spans="1:5" x14ac:dyDescent="0.35">
      <c r="A114" t="s">
        <v>7</v>
      </c>
      <c r="B114">
        <v>11</v>
      </c>
      <c r="C114" s="14">
        <v>39.250999999999998</v>
      </c>
      <c r="D114">
        <f>ROUNDUP(C114/GiaDinh!$C$4-0.0005,0)</f>
        <v>7</v>
      </c>
      <c r="E114">
        <f t="shared" si="1"/>
        <v>6</v>
      </c>
    </row>
    <row r="115" spans="1:5" x14ac:dyDescent="0.35">
      <c r="A115" t="s">
        <v>7</v>
      </c>
      <c r="B115">
        <v>12</v>
      </c>
      <c r="C115" s="14">
        <v>39.250999999999998</v>
      </c>
      <c r="D115">
        <f>ROUNDUP(C115/GiaDinh!$C$4-0.0005,0)</f>
        <v>7</v>
      </c>
      <c r="E115">
        <f t="shared" si="1"/>
        <v>6</v>
      </c>
    </row>
    <row r="116" spans="1:5" x14ac:dyDescent="0.35">
      <c r="A116" t="s">
        <v>7</v>
      </c>
      <c r="B116">
        <v>13</v>
      </c>
      <c r="C116" s="14">
        <v>39.250999999999998</v>
      </c>
      <c r="D116">
        <f>ROUNDUP(C116/GiaDinh!$C$4-0.0005,0)</f>
        <v>7</v>
      </c>
      <c r="E116">
        <f t="shared" si="1"/>
        <v>6</v>
      </c>
    </row>
    <row r="117" spans="1:5" x14ac:dyDescent="0.35">
      <c r="A117" t="s">
        <v>7</v>
      </c>
      <c r="B117">
        <v>14</v>
      </c>
      <c r="C117" s="14">
        <v>39.250999999999998</v>
      </c>
      <c r="D117">
        <f>ROUNDUP(C117/GiaDinh!$C$4-0.0005,0)</f>
        <v>7</v>
      </c>
      <c r="E117">
        <f t="shared" si="1"/>
        <v>6</v>
      </c>
    </row>
    <row r="118" spans="1:5" x14ac:dyDescent="0.35">
      <c r="A118" t="s">
        <v>7</v>
      </c>
      <c r="B118">
        <v>15</v>
      </c>
      <c r="C118" s="14">
        <v>39.250999999999998</v>
      </c>
      <c r="D118">
        <f>ROUNDUP(C118/GiaDinh!$C$4-0.0005,0)</f>
        <v>7</v>
      </c>
      <c r="E118">
        <f t="shared" si="1"/>
        <v>6</v>
      </c>
    </row>
    <row r="119" spans="1:5" x14ac:dyDescent="0.35">
      <c r="A119" t="s">
        <v>7</v>
      </c>
      <c r="B119">
        <v>16</v>
      </c>
      <c r="C119" s="14">
        <v>39.250999999999998</v>
      </c>
      <c r="D119">
        <f>ROUNDUP(C119/GiaDinh!$C$4-0.0005,0)</f>
        <v>7</v>
      </c>
      <c r="E119">
        <f t="shared" si="1"/>
        <v>6</v>
      </c>
    </row>
    <row r="120" spans="1:5" x14ac:dyDescent="0.35">
      <c r="A120" t="s">
        <v>7</v>
      </c>
      <c r="B120">
        <v>17</v>
      </c>
      <c r="C120" s="14">
        <v>39.250999999999998</v>
      </c>
      <c r="D120">
        <f>ROUNDUP(C120/GiaDinh!$C$4-0.0005,0)</f>
        <v>7</v>
      </c>
      <c r="E120">
        <f t="shared" si="1"/>
        <v>6</v>
      </c>
    </row>
    <row r="121" spans="1:5" x14ac:dyDescent="0.35">
      <c r="A121" t="s">
        <v>7</v>
      </c>
      <c r="B121">
        <v>18</v>
      </c>
      <c r="C121" s="14">
        <v>39.250999999999998</v>
      </c>
      <c r="D121">
        <f>ROUNDUP(C121/GiaDinh!$C$4-0.0005,0)</f>
        <v>7</v>
      </c>
      <c r="E121">
        <f t="shared" si="1"/>
        <v>6</v>
      </c>
    </row>
    <row r="122" spans="1:5" x14ac:dyDescent="0.35">
      <c r="A122" t="s">
        <v>7</v>
      </c>
      <c r="B122">
        <v>19</v>
      </c>
      <c r="C122" s="14">
        <v>39.250999999999998</v>
      </c>
      <c r="D122">
        <f>ROUNDUP(C122/GiaDinh!$C$4-0.0005,0)</f>
        <v>7</v>
      </c>
      <c r="E122">
        <f t="shared" si="1"/>
        <v>6</v>
      </c>
    </row>
    <row r="123" spans="1:5" x14ac:dyDescent="0.35">
      <c r="A123" t="s">
        <v>7</v>
      </c>
      <c r="B123">
        <v>20</v>
      </c>
      <c r="C123" s="14">
        <v>39.250999999999998</v>
      </c>
      <c r="D123">
        <f>ROUNDUP(C123/GiaDinh!$C$4-0.0005,0)</f>
        <v>7</v>
      </c>
      <c r="E123">
        <f t="shared" si="1"/>
        <v>6</v>
      </c>
    </row>
    <row r="124" spans="1:5" x14ac:dyDescent="0.35">
      <c r="A124" t="s">
        <v>7</v>
      </c>
      <c r="B124">
        <v>21</v>
      </c>
      <c r="C124" s="14">
        <v>39.250999999999998</v>
      </c>
      <c r="D124">
        <f>ROUNDUP(C124/GiaDinh!$C$4-0.0005,0)</f>
        <v>7</v>
      </c>
      <c r="E124">
        <f t="shared" si="1"/>
        <v>6</v>
      </c>
    </row>
    <row r="125" spans="1:5" x14ac:dyDescent="0.35">
      <c r="A125" t="s">
        <v>7</v>
      </c>
      <c r="B125">
        <v>22</v>
      </c>
      <c r="C125" s="14">
        <v>39.250999999999998</v>
      </c>
      <c r="D125">
        <f>ROUNDUP(C125/GiaDinh!$C$4-0.0005,0)</f>
        <v>7</v>
      </c>
      <c r="E125">
        <f t="shared" si="1"/>
        <v>6</v>
      </c>
    </row>
    <row r="126" spans="1:5" x14ac:dyDescent="0.35">
      <c r="A126" t="s">
        <v>7</v>
      </c>
      <c r="B126">
        <v>23</v>
      </c>
      <c r="C126" s="14">
        <v>39.250999999999998</v>
      </c>
      <c r="D126">
        <f>ROUNDUP(C126/GiaDinh!$C$4-0.0005,0)</f>
        <v>7</v>
      </c>
      <c r="E126">
        <f t="shared" si="1"/>
        <v>6</v>
      </c>
    </row>
    <row r="127" spans="1:5" x14ac:dyDescent="0.35">
      <c r="A127" t="s">
        <v>7</v>
      </c>
      <c r="B127">
        <v>24</v>
      </c>
      <c r="C127" s="14">
        <v>39.250999999999998</v>
      </c>
      <c r="D127">
        <f>ROUNDUP(C127/GiaDinh!$C$4-0.0005,0)</f>
        <v>7</v>
      </c>
      <c r="E127">
        <f t="shared" si="1"/>
        <v>6</v>
      </c>
    </row>
    <row r="128" spans="1:5" x14ac:dyDescent="0.35">
      <c r="A128" t="s">
        <v>7</v>
      </c>
      <c r="B128">
        <v>25</v>
      </c>
      <c r="C128" s="14">
        <v>39.250999999999998</v>
      </c>
      <c r="D128">
        <f>ROUNDUP(C128/GiaDinh!$C$4-0.0005,0)</f>
        <v>7</v>
      </c>
      <c r="E128">
        <f t="shared" si="1"/>
        <v>6</v>
      </c>
    </row>
    <row r="129" spans="1:5" x14ac:dyDescent="0.35">
      <c r="A129" t="s">
        <v>7</v>
      </c>
      <c r="B129">
        <v>26</v>
      </c>
      <c r="C129" s="14">
        <v>39.250999999999998</v>
      </c>
      <c r="D129">
        <f>ROUNDUP(C129/GiaDinh!$C$4-0.0005,0)</f>
        <v>7</v>
      </c>
      <c r="E129">
        <f t="shared" si="1"/>
        <v>6</v>
      </c>
    </row>
    <row r="130" spans="1:5" x14ac:dyDescent="0.35">
      <c r="A130" t="s">
        <v>7</v>
      </c>
      <c r="B130">
        <v>27</v>
      </c>
      <c r="C130" s="14">
        <v>39.250999999999998</v>
      </c>
      <c r="D130">
        <f>ROUNDUP(C130/GiaDinh!$C$4-0.0005,0)</f>
        <v>7</v>
      </c>
      <c r="E130">
        <f t="shared" si="1"/>
        <v>6</v>
      </c>
    </row>
    <row r="131" spans="1:5" x14ac:dyDescent="0.35">
      <c r="A131" t="s">
        <v>7</v>
      </c>
      <c r="B131">
        <v>28</v>
      </c>
      <c r="C131" s="14">
        <v>39.250999999999998</v>
      </c>
      <c r="D131">
        <f>ROUNDUP(C131/GiaDinh!$C$4-0.0005,0)</f>
        <v>7</v>
      </c>
      <c r="E131">
        <f t="shared" si="1"/>
        <v>6</v>
      </c>
    </row>
    <row r="132" spans="1:5" x14ac:dyDescent="0.35">
      <c r="A132" t="s">
        <v>7</v>
      </c>
      <c r="B132">
        <v>29</v>
      </c>
      <c r="C132" s="14">
        <v>39.250999999999998</v>
      </c>
      <c r="D132">
        <f>ROUNDUP(C132/GiaDinh!$C$4-0.0005,0)</f>
        <v>7</v>
      </c>
      <c r="E132">
        <f t="shared" ref="E132:E195" si="2">D132-1</f>
        <v>6</v>
      </c>
    </row>
    <row r="133" spans="1:5" x14ac:dyDescent="0.35">
      <c r="A133" t="s">
        <v>7</v>
      </c>
      <c r="B133">
        <v>30</v>
      </c>
      <c r="C133" s="14">
        <v>39.250999999999998</v>
      </c>
      <c r="D133">
        <f>ROUNDUP(C133/GiaDinh!$C$4-0.0005,0)</f>
        <v>7</v>
      </c>
      <c r="E133">
        <f t="shared" si="2"/>
        <v>6</v>
      </c>
    </row>
    <row r="134" spans="1:5" x14ac:dyDescent="0.35">
      <c r="A134" t="s">
        <v>7</v>
      </c>
      <c r="B134">
        <v>31</v>
      </c>
      <c r="C134" s="14">
        <v>39.250999999999998</v>
      </c>
      <c r="D134">
        <f>ROUNDUP(C134/GiaDinh!$C$4-0.0005,0)</f>
        <v>7</v>
      </c>
      <c r="E134">
        <f t="shared" si="2"/>
        <v>6</v>
      </c>
    </row>
    <row r="135" spans="1:5" x14ac:dyDescent="0.35">
      <c r="A135" t="s">
        <v>7</v>
      </c>
      <c r="B135">
        <v>32</v>
      </c>
      <c r="C135" s="14">
        <v>39.250999999999998</v>
      </c>
      <c r="D135">
        <f>ROUNDUP(C135/GiaDinh!$C$4-0.0005,0)</f>
        <v>7</v>
      </c>
      <c r="E135">
        <f t="shared" si="2"/>
        <v>6</v>
      </c>
    </row>
    <row r="136" spans="1:5" x14ac:dyDescent="0.35">
      <c r="A136" t="s">
        <v>7</v>
      </c>
      <c r="B136">
        <v>33</v>
      </c>
      <c r="C136" s="14">
        <v>39.250999999999998</v>
      </c>
      <c r="D136">
        <f>ROUNDUP(C136/GiaDinh!$C$4-0.0005,0)</f>
        <v>7</v>
      </c>
      <c r="E136">
        <f t="shared" si="2"/>
        <v>6</v>
      </c>
    </row>
    <row r="137" spans="1:5" x14ac:dyDescent="0.35">
      <c r="A137" t="s">
        <v>7</v>
      </c>
      <c r="B137">
        <v>34</v>
      </c>
      <c r="C137" s="14">
        <v>39.250999999999998</v>
      </c>
      <c r="D137">
        <f>ROUNDUP(C137/GiaDinh!$C$4-0.0005,0)</f>
        <v>7</v>
      </c>
      <c r="E137">
        <f t="shared" si="2"/>
        <v>6</v>
      </c>
    </row>
    <row r="138" spans="1:5" x14ac:dyDescent="0.35">
      <c r="A138" t="s">
        <v>7</v>
      </c>
      <c r="B138">
        <v>35</v>
      </c>
      <c r="C138" s="14">
        <v>39.250999999999998</v>
      </c>
      <c r="D138">
        <f>ROUNDUP(C138/GiaDinh!$C$4-0.0005,0)</f>
        <v>7</v>
      </c>
      <c r="E138">
        <f t="shared" si="2"/>
        <v>6</v>
      </c>
    </row>
    <row r="139" spans="1:5" x14ac:dyDescent="0.35">
      <c r="A139" t="s">
        <v>7</v>
      </c>
      <c r="B139">
        <v>36</v>
      </c>
      <c r="C139" s="14">
        <v>39.250999999999998</v>
      </c>
      <c r="D139">
        <f>ROUNDUP(C139/GiaDinh!$C$4-0.0005,0)</f>
        <v>7</v>
      </c>
      <c r="E139">
        <f t="shared" si="2"/>
        <v>6</v>
      </c>
    </row>
    <row r="140" spans="1:5" x14ac:dyDescent="0.35">
      <c r="A140" t="s">
        <v>7</v>
      </c>
      <c r="B140">
        <v>37</v>
      </c>
      <c r="C140" s="14">
        <v>39.250999999999998</v>
      </c>
      <c r="D140">
        <f>ROUNDUP(C140/GiaDinh!$C$4-0.0005,0)</f>
        <v>7</v>
      </c>
      <c r="E140">
        <f t="shared" si="2"/>
        <v>6</v>
      </c>
    </row>
    <row r="141" spans="1:5" x14ac:dyDescent="0.35">
      <c r="A141" t="s">
        <v>7</v>
      </c>
      <c r="B141">
        <v>38</v>
      </c>
      <c r="C141" s="14">
        <v>39.250999999999998</v>
      </c>
      <c r="D141">
        <f>ROUNDUP(C141/GiaDinh!$C$4-0.0005,0)</f>
        <v>7</v>
      </c>
      <c r="E141">
        <f t="shared" si="2"/>
        <v>6</v>
      </c>
    </row>
    <row r="142" spans="1:5" x14ac:dyDescent="0.35">
      <c r="A142" t="s">
        <v>7</v>
      </c>
      <c r="B142">
        <v>39</v>
      </c>
      <c r="C142" s="14">
        <v>39.250999999999998</v>
      </c>
      <c r="D142">
        <f>ROUNDUP(C142/GiaDinh!$C$4-0.0005,0)</f>
        <v>7</v>
      </c>
      <c r="E142">
        <f t="shared" si="2"/>
        <v>6</v>
      </c>
    </row>
    <row r="143" spans="1:5" x14ac:dyDescent="0.35">
      <c r="A143" t="s">
        <v>7</v>
      </c>
      <c r="B143">
        <v>40</v>
      </c>
      <c r="C143" s="14">
        <v>39.250999999999998</v>
      </c>
      <c r="D143">
        <f>ROUNDUP(C143/GiaDinh!$C$4-0.0005,0)</f>
        <v>7</v>
      </c>
      <c r="E143">
        <f t="shared" si="2"/>
        <v>6</v>
      </c>
    </row>
    <row r="144" spans="1:5" x14ac:dyDescent="0.35">
      <c r="A144" t="s">
        <v>7</v>
      </c>
      <c r="B144">
        <v>41</v>
      </c>
      <c r="C144" s="14">
        <v>39.250999999999998</v>
      </c>
      <c r="D144">
        <f>ROUNDUP(C144/GiaDinh!$C$4-0.0005,0)</f>
        <v>7</v>
      </c>
      <c r="E144">
        <f t="shared" si="2"/>
        <v>6</v>
      </c>
    </row>
    <row r="145" spans="1:5" x14ac:dyDescent="0.35">
      <c r="A145" t="s">
        <v>7</v>
      </c>
      <c r="B145">
        <v>42</v>
      </c>
      <c r="C145" s="14">
        <v>39.250999999999998</v>
      </c>
      <c r="D145">
        <f>ROUNDUP(C145/GiaDinh!$C$4-0.0005,0)</f>
        <v>7</v>
      </c>
      <c r="E145">
        <f t="shared" si="2"/>
        <v>6</v>
      </c>
    </row>
    <row r="146" spans="1:5" x14ac:dyDescent="0.35">
      <c r="A146" t="s">
        <v>7</v>
      </c>
      <c r="B146">
        <v>43</v>
      </c>
      <c r="C146" s="14">
        <v>39.250999999999998</v>
      </c>
      <c r="D146">
        <f>ROUNDUP(C146/GiaDinh!$C$4-0.0005,0)</f>
        <v>7</v>
      </c>
      <c r="E146">
        <f t="shared" si="2"/>
        <v>6</v>
      </c>
    </row>
    <row r="147" spans="1:5" x14ac:dyDescent="0.35">
      <c r="A147" t="s">
        <v>7</v>
      </c>
      <c r="B147">
        <v>44</v>
      </c>
      <c r="C147" s="14">
        <v>39.250999999999998</v>
      </c>
      <c r="D147">
        <f>ROUNDUP(C147/GiaDinh!$C$4-0.0005,0)</f>
        <v>7</v>
      </c>
      <c r="E147">
        <f t="shared" si="2"/>
        <v>6</v>
      </c>
    </row>
    <row r="148" spans="1:5" x14ac:dyDescent="0.35">
      <c r="A148" t="s">
        <v>7</v>
      </c>
      <c r="B148">
        <v>45</v>
      </c>
      <c r="C148" s="14">
        <v>39.250999999999998</v>
      </c>
      <c r="D148">
        <f>ROUNDUP(C148/GiaDinh!$C$4-0.0005,0)</f>
        <v>7</v>
      </c>
      <c r="E148">
        <f t="shared" si="2"/>
        <v>6</v>
      </c>
    </row>
    <row r="149" spans="1:5" x14ac:dyDescent="0.35">
      <c r="A149" t="s">
        <v>7</v>
      </c>
      <c r="B149">
        <v>46</v>
      </c>
      <c r="C149" s="14">
        <v>39.250999999999998</v>
      </c>
      <c r="D149">
        <f>ROUNDUP(C149/GiaDinh!$C$4-0.0005,0)</f>
        <v>7</v>
      </c>
      <c r="E149">
        <f t="shared" si="2"/>
        <v>6</v>
      </c>
    </row>
    <row r="150" spans="1:5" x14ac:dyDescent="0.35">
      <c r="A150" t="s">
        <v>7</v>
      </c>
      <c r="B150">
        <v>47</v>
      </c>
      <c r="C150" s="14">
        <v>39.250999999999998</v>
      </c>
      <c r="D150">
        <f>ROUNDUP(C150/GiaDinh!$C$4-0.0005,0)</f>
        <v>7</v>
      </c>
      <c r="E150">
        <f t="shared" si="2"/>
        <v>6</v>
      </c>
    </row>
    <row r="151" spans="1:5" x14ac:dyDescent="0.35">
      <c r="A151" t="s">
        <v>7</v>
      </c>
      <c r="B151">
        <v>48</v>
      </c>
      <c r="C151" s="14">
        <v>39.250999999999998</v>
      </c>
      <c r="D151">
        <f>ROUNDUP(C151/GiaDinh!$C$4-0.0005,0)</f>
        <v>7</v>
      </c>
      <c r="E151">
        <f t="shared" si="2"/>
        <v>6</v>
      </c>
    </row>
    <row r="152" spans="1:5" x14ac:dyDescent="0.35">
      <c r="A152" t="s">
        <v>7</v>
      </c>
      <c r="B152">
        <v>49</v>
      </c>
      <c r="C152" s="14">
        <v>39.250999999999998</v>
      </c>
      <c r="D152">
        <f>ROUNDUP(C152/GiaDinh!$C$4-0.0005,0)</f>
        <v>7</v>
      </c>
      <c r="E152">
        <f t="shared" si="2"/>
        <v>6</v>
      </c>
    </row>
    <row r="153" spans="1:5" x14ac:dyDescent="0.35">
      <c r="A153" t="s">
        <v>7</v>
      </c>
      <c r="B153">
        <v>50</v>
      </c>
      <c r="C153" s="14">
        <v>39.250999999999998</v>
      </c>
      <c r="D153">
        <f>ROUNDUP(C153/GiaDinh!$C$4-0.0005,0)</f>
        <v>7</v>
      </c>
      <c r="E153">
        <f t="shared" si="2"/>
        <v>6</v>
      </c>
    </row>
    <row r="154" spans="1:5" x14ac:dyDescent="0.35">
      <c r="A154" t="s">
        <v>7</v>
      </c>
      <c r="B154">
        <v>51</v>
      </c>
      <c r="C154" s="14">
        <v>39.250999999999998</v>
      </c>
      <c r="D154">
        <f>ROUNDUP(C154/GiaDinh!$C$4-0.0005,0)</f>
        <v>7</v>
      </c>
      <c r="E154">
        <f t="shared" si="2"/>
        <v>6</v>
      </c>
    </row>
    <row r="155" spans="1:5" x14ac:dyDescent="0.35">
      <c r="A155" t="s">
        <v>7</v>
      </c>
      <c r="B155">
        <v>52</v>
      </c>
      <c r="C155" s="14">
        <v>39.250999999999998</v>
      </c>
      <c r="D155">
        <f>ROUNDUP(C155/GiaDinh!$C$4-0.0005,0)</f>
        <v>7</v>
      </c>
      <c r="E155">
        <f t="shared" si="2"/>
        <v>6</v>
      </c>
    </row>
    <row r="156" spans="1:5" x14ac:dyDescent="0.35">
      <c r="A156" t="s">
        <v>7</v>
      </c>
      <c r="B156">
        <v>53</v>
      </c>
      <c r="C156" s="14">
        <v>39.250999999999998</v>
      </c>
      <c r="D156">
        <f>ROUNDUP(C156/GiaDinh!$C$4-0.0005,0)</f>
        <v>7</v>
      </c>
      <c r="E156">
        <f t="shared" si="2"/>
        <v>6</v>
      </c>
    </row>
    <row r="157" spans="1:5" x14ac:dyDescent="0.35">
      <c r="A157" t="s">
        <v>7</v>
      </c>
      <c r="B157">
        <v>54</v>
      </c>
      <c r="C157" s="14">
        <v>39.250999999999998</v>
      </c>
      <c r="D157">
        <f>ROUNDUP(C157/GiaDinh!$C$4-0.0005,0)</f>
        <v>7</v>
      </c>
      <c r="E157">
        <f t="shared" si="2"/>
        <v>6</v>
      </c>
    </row>
    <row r="158" spans="1:5" x14ac:dyDescent="0.35">
      <c r="A158" t="s">
        <v>7</v>
      </c>
      <c r="B158">
        <v>55</v>
      </c>
      <c r="C158" s="14">
        <v>39.250999999999998</v>
      </c>
      <c r="D158">
        <f>ROUNDUP(C158/GiaDinh!$C$4-0.0005,0)</f>
        <v>7</v>
      </c>
      <c r="E158">
        <f t="shared" si="2"/>
        <v>6</v>
      </c>
    </row>
    <row r="159" spans="1:5" x14ac:dyDescent="0.35">
      <c r="A159" t="s">
        <v>7</v>
      </c>
      <c r="B159">
        <v>56</v>
      </c>
      <c r="C159" s="14">
        <v>39.250999999999998</v>
      </c>
      <c r="D159">
        <f>ROUNDUP(C159/GiaDinh!$C$4-0.0005,0)</f>
        <v>7</v>
      </c>
      <c r="E159">
        <f t="shared" si="2"/>
        <v>6</v>
      </c>
    </row>
    <row r="160" spans="1:5" x14ac:dyDescent="0.35">
      <c r="A160" t="s">
        <v>7</v>
      </c>
      <c r="B160">
        <v>57</v>
      </c>
      <c r="C160" s="14">
        <v>39.250999999999998</v>
      </c>
      <c r="D160">
        <f>ROUNDUP(C160/GiaDinh!$C$4-0.0005,0)</f>
        <v>7</v>
      </c>
      <c r="E160">
        <f t="shared" si="2"/>
        <v>6</v>
      </c>
    </row>
    <row r="161" spans="1:5" x14ac:dyDescent="0.35">
      <c r="A161" t="s">
        <v>7</v>
      </c>
      <c r="B161">
        <v>58</v>
      </c>
      <c r="C161" s="14">
        <v>39.250999999999998</v>
      </c>
      <c r="D161">
        <f>ROUNDUP(C161/GiaDinh!$C$4-0.0005,0)</f>
        <v>7</v>
      </c>
      <c r="E161">
        <f t="shared" si="2"/>
        <v>6</v>
      </c>
    </row>
    <row r="162" spans="1:5" x14ac:dyDescent="0.35">
      <c r="A162" t="s">
        <v>7</v>
      </c>
      <c r="B162">
        <v>59</v>
      </c>
      <c r="C162" s="14">
        <v>39.250999999999998</v>
      </c>
      <c r="D162">
        <f>ROUNDUP(C162/GiaDinh!$C$4-0.0005,0)</f>
        <v>7</v>
      </c>
      <c r="E162">
        <f t="shared" si="2"/>
        <v>6</v>
      </c>
    </row>
    <row r="163" spans="1:5" x14ac:dyDescent="0.35">
      <c r="A163" t="s">
        <v>7</v>
      </c>
      <c r="B163">
        <v>60</v>
      </c>
      <c r="C163" s="14">
        <v>39.250999999999998</v>
      </c>
      <c r="D163">
        <f>ROUNDUP(C163/GiaDinh!$C$4-0.0005,0)</f>
        <v>7</v>
      </c>
      <c r="E163">
        <f t="shared" si="2"/>
        <v>6</v>
      </c>
    </row>
    <row r="164" spans="1:5" x14ac:dyDescent="0.35">
      <c r="A164" t="s">
        <v>7</v>
      </c>
      <c r="B164">
        <v>61</v>
      </c>
      <c r="C164" s="14">
        <v>39.250999999999998</v>
      </c>
      <c r="D164">
        <f>ROUNDUP(C164/GiaDinh!$C$4-0.0005,0)</f>
        <v>7</v>
      </c>
      <c r="E164">
        <f t="shared" si="2"/>
        <v>6</v>
      </c>
    </row>
    <row r="165" spans="1:5" x14ac:dyDescent="0.35">
      <c r="A165" t="s">
        <v>7</v>
      </c>
      <c r="B165">
        <v>62</v>
      </c>
      <c r="C165" s="14">
        <v>39.250999999999998</v>
      </c>
      <c r="D165">
        <f>ROUNDUP(C165/GiaDinh!$C$4-0.0005,0)</f>
        <v>7</v>
      </c>
      <c r="E165">
        <f t="shared" si="2"/>
        <v>6</v>
      </c>
    </row>
    <row r="166" spans="1:5" x14ac:dyDescent="0.35">
      <c r="A166" t="s">
        <v>7</v>
      </c>
      <c r="B166">
        <v>63</v>
      </c>
      <c r="C166" s="14">
        <v>39.250999999999998</v>
      </c>
      <c r="D166">
        <f>ROUNDUP(C166/GiaDinh!$C$4-0.0005,0)</f>
        <v>7</v>
      </c>
      <c r="E166">
        <f t="shared" si="2"/>
        <v>6</v>
      </c>
    </row>
    <row r="167" spans="1:5" x14ac:dyDescent="0.35">
      <c r="A167" t="s">
        <v>7</v>
      </c>
      <c r="B167">
        <v>64</v>
      </c>
      <c r="C167" s="14">
        <v>39.250999999999998</v>
      </c>
      <c r="D167">
        <f>ROUNDUP(C167/GiaDinh!$C$4-0.0005,0)</f>
        <v>7</v>
      </c>
      <c r="E167">
        <f t="shared" si="2"/>
        <v>6</v>
      </c>
    </row>
    <row r="168" spans="1:5" x14ac:dyDescent="0.35">
      <c r="A168" t="s">
        <v>7</v>
      </c>
      <c r="B168">
        <v>65</v>
      </c>
      <c r="C168" s="14">
        <v>39.250999999999998</v>
      </c>
      <c r="D168">
        <f>ROUNDUP(C168/GiaDinh!$C$4-0.0005,0)</f>
        <v>7</v>
      </c>
      <c r="E168">
        <f t="shared" si="2"/>
        <v>6</v>
      </c>
    </row>
    <row r="169" spans="1:5" x14ac:dyDescent="0.35">
      <c r="A169" t="s">
        <v>7</v>
      </c>
      <c r="B169">
        <v>66</v>
      </c>
      <c r="C169" s="14">
        <v>39.250999999999998</v>
      </c>
      <c r="D169">
        <f>ROUNDUP(C169/GiaDinh!$C$4-0.0005,0)</f>
        <v>7</v>
      </c>
      <c r="E169">
        <f t="shared" si="2"/>
        <v>6</v>
      </c>
    </row>
    <row r="170" spans="1:5" x14ac:dyDescent="0.35">
      <c r="A170" t="s">
        <v>7</v>
      </c>
      <c r="B170">
        <v>67</v>
      </c>
      <c r="C170" s="14">
        <v>39.250999999999998</v>
      </c>
      <c r="D170">
        <f>ROUNDUP(C170/GiaDinh!$C$4-0.0005,0)</f>
        <v>7</v>
      </c>
      <c r="E170">
        <f t="shared" si="2"/>
        <v>6</v>
      </c>
    </row>
    <row r="171" spans="1:5" x14ac:dyDescent="0.35">
      <c r="A171" t="s">
        <v>7</v>
      </c>
      <c r="B171">
        <v>68</v>
      </c>
      <c r="C171" s="14">
        <v>39.250999999999998</v>
      </c>
      <c r="D171">
        <f>ROUNDUP(C171/GiaDinh!$C$4-0.0005,0)</f>
        <v>7</v>
      </c>
      <c r="E171">
        <f t="shared" si="2"/>
        <v>6</v>
      </c>
    </row>
    <row r="172" spans="1:5" x14ac:dyDescent="0.35">
      <c r="A172" t="s">
        <v>7</v>
      </c>
      <c r="B172">
        <v>69</v>
      </c>
      <c r="C172" s="14">
        <v>55.073</v>
      </c>
      <c r="D172">
        <f>ROUNDUP(C172/GiaDinh!$C$4-0.0005,0)</f>
        <v>10</v>
      </c>
      <c r="E172">
        <f t="shared" si="2"/>
        <v>9</v>
      </c>
    </row>
    <row r="173" spans="1:5" x14ac:dyDescent="0.35">
      <c r="A173" t="s">
        <v>7</v>
      </c>
      <c r="B173">
        <v>70</v>
      </c>
      <c r="C173" s="14">
        <v>55.073</v>
      </c>
      <c r="D173">
        <f>ROUNDUP(C173/GiaDinh!$C$4-0.0005,0)</f>
        <v>10</v>
      </c>
      <c r="E173">
        <f t="shared" si="2"/>
        <v>9</v>
      </c>
    </row>
    <row r="174" spans="1:5" x14ac:dyDescent="0.35">
      <c r="A174" t="s">
        <v>7</v>
      </c>
      <c r="B174">
        <v>71</v>
      </c>
      <c r="C174" s="14">
        <v>55.073</v>
      </c>
      <c r="D174">
        <f>ROUNDUP(C174/GiaDinh!$C$4-0.0005,0)</f>
        <v>10</v>
      </c>
      <c r="E174">
        <f t="shared" si="2"/>
        <v>9</v>
      </c>
    </row>
    <row r="175" spans="1:5" x14ac:dyDescent="0.35">
      <c r="A175" t="s">
        <v>7</v>
      </c>
      <c r="B175">
        <v>72</v>
      </c>
      <c r="C175" s="14">
        <v>55.073</v>
      </c>
      <c r="D175">
        <f>ROUNDUP(C175/GiaDinh!$C$4-0.0005,0)</f>
        <v>10</v>
      </c>
      <c r="E175">
        <f t="shared" si="2"/>
        <v>9</v>
      </c>
    </row>
    <row r="176" spans="1:5" x14ac:dyDescent="0.35">
      <c r="A176" t="s">
        <v>7</v>
      </c>
      <c r="B176">
        <v>73</v>
      </c>
      <c r="C176" s="14">
        <v>55.073</v>
      </c>
      <c r="D176">
        <f>ROUNDUP(C176/GiaDinh!$C$4-0.0005,0)</f>
        <v>10</v>
      </c>
      <c r="E176">
        <f t="shared" si="2"/>
        <v>9</v>
      </c>
    </row>
    <row r="177" spans="1:5" x14ac:dyDescent="0.35">
      <c r="A177" t="s">
        <v>7</v>
      </c>
      <c r="B177">
        <v>74</v>
      </c>
      <c r="C177" s="14">
        <v>55.073</v>
      </c>
      <c r="D177">
        <f>ROUNDUP(C177/GiaDinh!$C$4-0.0005,0)</f>
        <v>10</v>
      </c>
      <c r="E177">
        <f t="shared" si="2"/>
        <v>9</v>
      </c>
    </row>
    <row r="178" spans="1:5" x14ac:dyDescent="0.35">
      <c r="A178" t="s">
        <v>7</v>
      </c>
      <c r="B178">
        <v>75</v>
      </c>
      <c r="C178" s="14">
        <v>55.073</v>
      </c>
      <c r="D178">
        <f>ROUNDUP(C178/GiaDinh!$C$4-0.0005,0)</f>
        <v>10</v>
      </c>
      <c r="E178">
        <f t="shared" si="2"/>
        <v>9</v>
      </c>
    </row>
    <row r="179" spans="1:5" x14ac:dyDescent="0.35">
      <c r="A179" t="s">
        <v>7</v>
      </c>
      <c r="B179">
        <v>76</v>
      </c>
      <c r="C179" s="14">
        <v>55.073</v>
      </c>
      <c r="D179">
        <f>ROUNDUP(C179/GiaDinh!$C$4-0.0005,0)</f>
        <v>10</v>
      </c>
      <c r="E179">
        <f t="shared" si="2"/>
        <v>9</v>
      </c>
    </row>
    <row r="180" spans="1:5" x14ac:dyDescent="0.35">
      <c r="A180" t="s">
        <v>7</v>
      </c>
      <c r="B180">
        <v>77</v>
      </c>
      <c r="C180" s="14">
        <v>55.073</v>
      </c>
      <c r="D180">
        <f>ROUNDUP(C180/GiaDinh!$C$4-0.0005,0)</f>
        <v>10</v>
      </c>
      <c r="E180">
        <f t="shared" si="2"/>
        <v>9</v>
      </c>
    </row>
    <row r="181" spans="1:5" x14ac:dyDescent="0.35">
      <c r="A181" t="s">
        <v>7</v>
      </c>
      <c r="B181">
        <v>78</v>
      </c>
      <c r="C181" s="14">
        <v>55.073</v>
      </c>
      <c r="D181">
        <f>ROUNDUP(C181/GiaDinh!$C$4-0.0005,0)</f>
        <v>10</v>
      </c>
      <c r="E181">
        <f t="shared" si="2"/>
        <v>9</v>
      </c>
    </row>
    <row r="182" spans="1:5" x14ac:dyDescent="0.35">
      <c r="A182" t="s">
        <v>7</v>
      </c>
      <c r="B182">
        <v>79</v>
      </c>
      <c r="C182" s="14">
        <v>71.254999999999995</v>
      </c>
      <c r="D182">
        <f>ROUNDUP(C182/GiaDinh!$C$4-0.0005,0)</f>
        <v>12</v>
      </c>
      <c r="E182">
        <f t="shared" si="2"/>
        <v>11</v>
      </c>
    </row>
    <row r="183" spans="1:5" x14ac:dyDescent="0.35">
      <c r="A183" t="s">
        <v>7</v>
      </c>
      <c r="B183">
        <v>80</v>
      </c>
      <c r="C183" s="14">
        <v>71.254999999999995</v>
      </c>
      <c r="D183">
        <f>ROUNDUP(C183/GiaDinh!$C$4-0.0005,0)</f>
        <v>12</v>
      </c>
      <c r="E183">
        <f t="shared" si="2"/>
        <v>11</v>
      </c>
    </row>
    <row r="184" spans="1:5" x14ac:dyDescent="0.35">
      <c r="A184" t="s">
        <v>7</v>
      </c>
      <c r="B184">
        <v>81</v>
      </c>
      <c r="C184" s="14">
        <v>71.254999999999995</v>
      </c>
      <c r="D184">
        <f>ROUNDUP(C184/GiaDinh!$C$4-0.0005,0)</f>
        <v>12</v>
      </c>
      <c r="E184">
        <f t="shared" si="2"/>
        <v>11</v>
      </c>
    </row>
    <row r="185" spans="1:5" x14ac:dyDescent="0.35">
      <c r="A185" t="s">
        <v>7</v>
      </c>
      <c r="B185">
        <v>82</v>
      </c>
      <c r="C185" s="14">
        <v>71.254999999999995</v>
      </c>
      <c r="D185">
        <f>ROUNDUP(C185/GiaDinh!$C$4-0.0005,0)</f>
        <v>12</v>
      </c>
      <c r="E185">
        <f t="shared" si="2"/>
        <v>11</v>
      </c>
    </row>
    <row r="186" spans="1:5" x14ac:dyDescent="0.35">
      <c r="A186" t="s">
        <v>7</v>
      </c>
      <c r="B186">
        <v>83</v>
      </c>
      <c r="C186" s="14">
        <v>71.254999999999995</v>
      </c>
      <c r="D186">
        <f>ROUNDUP(C186/GiaDinh!$C$4-0.0005,0)</f>
        <v>12</v>
      </c>
      <c r="E186">
        <f t="shared" si="2"/>
        <v>11</v>
      </c>
    </row>
    <row r="187" spans="1:5" x14ac:dyDescent="0.35">
      <c r="A187" t="s">
        <v>7</v>
      </c>
      <c r="B187">
        <v>84</v>
      </c>
      <c r="C187" s="14">
        <v>71.254999999999995</v>
      </c>
      <c r="D187">
        <f>ROUNDUP(C187/GiaDinh!$C$4-0.0005,0)</f>
        <v>12</v>
      </c>
      <c r="E187">
        <f t="shared" si="2"/>
        <v>11</v>
      </c>
    </row>
    <row r="188" spans="1:5" x14ac:dyDescent="0.35">
      <c r="A188" t="s">
        <v>7</v>
      </c>
      <c r="B188">
        <v>85</v>
      </c>
      <c r="C188" s="14">
        <v>71.254999999999995</v>
      </c>
      <c r="D188">
        <f>ROUNDUP(C188/GiaDinh!$C$4-0.0005,0)</f>
        <v>12</v>
      </c>
      <c r="E188">
        <f t="shared" si="2"/>
        <v>11</v>
      </c>
    </row>
    <row r="189" spans="1:5" x14ac:dyDescent="0.35">
      <c r="A189" t="s">
        <v>7</v>
      </c>
      <c r="B189">
        <v>86</v>
      </c>
      <c r="C189" s="14">
        <v>71.254999999999995</v>
      </c>
      <c r="D189">
        <f>ROUNDUP(C189/GiaDinh!$C$4-0.0005,0)</f>
        <v>12</v>
      </c>
      <c r="E189">
        <f t="shared" si="2"/>
        <v>11</v>
      </c>
    </row>
    <row r="190" spans="1:5" x14ac:dyDescent="0.35">
      <c r="A190" t="s">
        <v>7</v>
      </c>
      <c r="B190">
        <v>87</v>
      </c>
      <c r="C190" s="14">
        <v>71.254999999999995</v>
      </c>
      <c r="D190">
        <f>ROUNDUP(C190/GiaDinh!$C$4-0.0005,0)</f>
        <v>12</v>
      </c>
      <c r="E190">
        <f t="shared" si="2"/>
        <v>11</v>
      </c>
    </row>
    <row r="191" spans="1:5" x14ac:dyDescent="0.35">
      <c r="A191" t="s">
        <v>7</v>
      </c>
      <c r="B191">
        <v>88</v>
      </c>
      <c r="C191" s="14">
        <v>71.254999999999995</v>
      </c>
      <c r="D191">
        <f>ROUNDUP(C191/GiaDinh!$C$4-0.0005,0)</f>
        <v>12</v>
      </c>
      <c r="E191">
        <f t="shared" si="2"/>
        <v>11</v>
      </c>
    </row>
    <row r="192" spans="1:5" x14ac:dyDescent="0.35">
      <c r="A192" t="s">
        <v>7</v>
      </c>
      <c r="B192">
        <v>89</v>
      </c>
      <c r="C192" s="14">
        <v>71.254999999999995</v>
      </c>
      <c r="D192">
        <f>ROUNDUP(C192/GiaDinh!$C$4-0.0005,0)</f>
        <v>12</v>
      </c>
      <c r="E192">
        <f t="shared" si="2"/>
        <v>11</v>
      </c>
    </row>
    <row r="193" spans="1:5" x14ac:dyDescent="0.35">
      <c r="A193" t="s">
        <v>7</v>
      </c>
      <c r="B193">
        <v>90</v>
      </c>
      <c r="C193" s="14">
        <v>71.254999999999995</v>
      </c>
      <c r="D193">
        <f>ROUNDUP(C193/GiaDinh!$C$4-0.0005,0)</f>
        <v>12</v>
      </c>
      <c r="E193">
        <f t="shared" si="2"/>
        <v>11</v>
      </c>
    </row>
    <row r="194" spans="1:5" x14ac:dyDescent="0.35">
      <c r="A194" t="s">
        <v>7</v>
      </c>
      <c r="B194">
        <v>91</v>
      </c>
      <c r="C194" s="14">
        <v>71.254999999999995</v>
      </c>
      <c r="D194">
        <f>ROUNDUP(C194/GiaDinh!$C$4-0.0005,0)</f>
        <v>12</v>
      </c>
      <c r="E194">
        <f t="shared" si="2"/>
        <v>11</v>
      </c>
    </row>
    <row r="195" spans="1:5" x14ac:dyDescent="0.35">
      <c r="A195" t="s">
        <v>7</v>
      </c>
      <c r="B195">
        <v>92</v>
      </c>
      <c r="C195" s="14">
        <v>71.254999999999995</v>
      </c>
      <c r="D195">
        <f>ROUNDUP(C195/GiaDinh!$C$4-0.0005,0)</f>
        <v>12</v>
      </c>
      <c r="E195">
        <f t="shared" si="2"/>
        <v>11</v>
      </c>
    </row>
    <row r="196" spans="1:5" x14ac:dyDescent="0.35">
      <c r="A196" t="s">
        <v>7</v>
      </c>
      <c r="B196">
        <v>93</v>
      </c>
      <c r="C196" s="14">
        <v>71.254999999999995</v>
      </c>
      <c r="D196">
        <f>ROUNDUP(C196/GiaDinh!$C$4-0.0005,0)</f>
        <v>12</v>
      </c>
      <c r="E196">
        <f t="shared" ref="E196:E259" si="3">D196-1</f>
        <v>11</v>
      </c>
    </row>
    <row r="197" spans="1:5" x14ac:dyDescent="0.35">
      <c r="A197" t="s">
        <v>7</v>
      </c>
      <c r="B197">
        <v>94</v>
      </c>
      <c r="C197" s="14">
        <v>71.254999999999995</v>
      </c>
      <c r="D197">
        <f>ROUNDUP(C197/GiaDinh!$C$4-0.0005,0)</f>
        <v>12</v>
      </c>
      <c r="E197">
        <f t="shared" si="3"/>
        <v>11</v>
      </c>
    </row>
    <row r="198" spans="1:5" x14ac:dyDescent="0.35">
      <c r="A198" t="s">
        <v>7</v>
      </c>
      <c r="B198">
        <v>95</v>
      </c>
      <c r="C198" s="14">
        <v>71.254999999999995</v>
      </c>
      <c r="D198">
        <f>ROUNDUP(C198/GiaDinh!$C$4-0.0005,0)</f>
        <v>12</v>
      </c>
      <c r="E198">
        <f t="shared" si="3"/>
        <v>11</v>
      </c>
    </row>
    <row r="199" spans="1:5" x14ac:dyDescent="0.35">
      <c r="A199" t="s">
        <v>7</v>
      </c>
      <c r="B199">
        <v>96</v>
      </c>
      <c r="C199" s="14">
        <v>71.254999999999995</v>
      </c>
      <c r="D199">
        <f>ROUNDUP(C199/GiaDinh!$C$4-0.0005,0)</f>
        <v>12</v>
      </c>
      <c r="E199">
        <f t="shared" si="3"/>
        <v>11</v>
      </c>
    </row>
    <row r="200" spans="1:5" x14ac:dyDescent="0.35">
      <c r="A200" t="s">
        <v>7</v>
      </c>
      <c r="B200">
        <v>97</v>
      </c>
      <c r="C200" s="14">
        <v>71.254999999999995</v>
      </c>
      <c r="D200">
        <f>ROUNDUP(C200/GiaDinh!$C$4-0.0005,0)</f>
        <v>12</v>
      </c>
      <c r="E200">
        <f t="shared" si="3"/>
        <v>11</v>
      </c>
    </row>
    <row r="201" spans="1:5" x14ac:dyDescent="0.35">
      <c r="A201" t="s">
        <v>7</v>
      </c>
      <c r="B201">
        <v>98</v>
      </c>
      <c r="C201" s="14">
        <v>71.254999999999995</v>
      </c>
      <c r="D201">
        <f>ROUNDUP(C201/GiaDinh!$C$4-0.0005,0)</f>
        <v>12</v>
      </c>
      <c r="E201">
        <f t="shared" si="3"/>
        <v>11</v>
      </c>
    </row>
    <row r="202" spans="1:5" x14ac:dyDescent="0.35">
      <c r="A202" t="s">
        <v>7</v>
      </c>
      <c r="B202">
        <v>99</v>
      </c>
      <c r="C202" s="14">
        <v>71.254999999999995</v>
      </c>
      <c r="D202">
        <f>ROUNDUP(C202/GiaDinh!$C$4-0.0005,0)</f>
        <v>12</v>
      </c>
      <c r="E202">
        <f t="shared" si="3"/>
        <v>11</v>
      </c>
    </row>
    <row r="203" spans="1:5" x14ac:dyDescent="0.35">
      <c r="A203" t="s">
        <v>7</v>
      </c>
      <c r="B203">
        <v>100</v>
      </c>
      <c r="C203" s="14">
        <v>71.254999999999995</v>
      </c>
      <c r="D203">
        <f>ROUNDUP(C203/GiaDinh!$C$4-0.0005,0)</f>
        <v>12</v>
      </c>
      <c r="E203">
        <f t="shared" si="3"/>
        <v>11</v>
      </c>
    </row>
    <row r="204" spans="1:5" x14ac:dyDescent="0.35">
      <c r="A204" t="s">
        <v>7</v>
      </c>
      <c r="B204">
        <v>101</v>
      </c>
      <c r="C204" s="14">
        <v>71.254999999999995</v>
      </c>
      <c r="D204">
        <f>ROUNDUP(C204/GiaDinh!$C$4-0.0005,0)</f>
        <v>12</v>
      </c>
      <c r="E204">
        <f t="shared" si="3"/>
        <v>11</v>
      </c>
    </row>
    <row r="205" spans="1:5" x14ac:dyDescent="0.35">
      <c r="A205" t="s">
        <v>7</v>
      </c>
      <c r="B205">
        <v>102</v>
      </c>
      <c r="C205" s="14">
        <v>71.254999999999995</v>
      </c>
      <c r="D205">
        <f>ROUNDUP(C205/GiaDinh!$C$4-0.0005,0)</f>
        <v>12</v>
      </c>
      <c r="E205">
        <f t="shared" si="3"/>
        <v>11</v>
      </c>
    </row>
    <row r="206" spans="1:5" x14ac:dyDescent="0.35">
      <c r="A206" t="s">
        <v>7</v>
      </c>
      <c r="B206">
        <v>103</v>
      </c>
      <c r="C206" s="14">
        <v>71.254999999999995</v>
      </c>
      <c r="D206">
        <f>ROUNDUP(C206/GiaDinh!$C$4-0.0005,0)</f>
        <v>12</v>
      </c>
      <c r="E206">
        <f t="shared" si="3"/>
        <v>11</v>
      </c>
    </row>
    <row r="207" spans="1:5" x14ac:dyDescent="0.35">
      <c r="A207" t="s">
        <v>7</v>
      </c>
      <c r="B207">
        <v>104</v>
      </c>
      <c r="C207" s="14">
        <v>71.254999999999995</v>
      </c>
      <c r="D207">
        <f>ROUNDUP(C207/GiaDinh!$C$4-0.0005,0)</f>
        <v>12</v>
      </c>
      <c r="E207">
        <f t="shared" si="3"/>
        <v>11</v>
      </c>
    </row>
    <row r="208" spans="1:5" x14ac:dyDescent="0.35">
      <c r="A208" t="s">
        <v>7</v>
      </c>
      <c r="B208">
        <v>105</v>
      </c>
      <c r="C208" s="14">
        <v>71.254999999999995</v>
      </c>
      <c r="D208">
        <f>ROUNDUP(C208/GiaDinh!$C$4-0.0005,0)</f>
        <v>12</v>
      </c>
      <c r="E208">
        <f t="shared" si="3"/>
        <v>11</v>
      </c>
    </row>
    <row r="209" spans="1:5" x14ac:dyDescent="0.35">
      <c r="A209" t="s">
        <v>7</v>
      </c>
      <c r="B209">
        <v>106</v>
      </c>
      <c r="C209" s="14">
        <v>71.254999999999995</v>
      </c>
      <c r="D209">
        <f>ROUNDUP(C209/GiaDinh!$C$4-0.0005,0)</f>
        <v>12</v>
      </c>
      <c r="E209">
        <f t="shared" si="3"/>
        <v>11</v>
      </c>
    </row>
    <row r="210" spans="1:5" x14ac:dyDescent="0.35">
      <c r="A210" t="s">
        <v>7</v>
      </c>
      <c r="B210">
        <v>107</v>
      </c>
      <c r="C210" s="14">
        <v>81.076999999999998</v>
      </c>
      <c r="D210">
        <f>ROUNDUP(C210/GiaDinh!$C$4-0.0005,0)</f>
        <v>14</v>
      </c>
      <c r="E210">
        <f t="shared" si="3"/>
        <v>13</v>
      </c>
    </row>
    <row r="211" spans="1:5" x14ac:dyDescent="0.35">
      <c r="A211" t="s">
        <v>7</v>
      </c>
      <c r="B211">
        <v>108</v>
      </c>
      <c r="C211" s="14">
        <v>81.076999999999998</v>
      </c>
      <c r="D211">
        <f>ROUNDUP(C211/GiaDinh!$C$4-0.0005,0)</f>
        <v>14</v>
      </c>
      <c r="E211">
        <f t="shared" si="3"/>
        <v>13</v>
      </c>
    </row>
    <row r="212" spans="1:5" x14ac:dyDescent="0.35">
      <c r="A212" t="s">
        <v>7</v>
      </c>
      <c r="B212">
        <v>109</v>
      </c>
      <c r="C212" s="14">
        <v>81.076999999999998</v>
      </c>
      <c r="D212">
        <f>ROUNDUP(C212/GiaDinh!$C$4-0.0005,0)</f>
        <v>14</v>
      </c>
      <c r="E212">
        <f t="shared" si="3"/>
        <v>13</v>
      </c>
    </row>
    <row r="213" spans="1:5" x14ac:dyDescent="0.35">
      <c r="A213" t="s">
        <v>7</v>
      </c>
      <c r="B213">
        <v>110</v>
      </c>
      <c r="C213" s="14">
        <v>81.076999999999998</v>
      </c>
      <c r="D213">
        <f>ROUNDUP(C213/GiaDinh!$C$4-0.0005,0)</f>
        <v>14</v>
      </c>
      <c r="E213">
        <f t="shared" si="3"/>
        <v>13</v>
      </c>
    </row>
    <row r="214" spans="1:5" x14ac:dyDescent="0.35">
      <c r="A214" t="s">
        <v>7</v>
      </c>
      <c r="B214">
        <v>111</v>
      </c>
      <c r="C214" s="14">
        <v>81.076999999999998</v>
      </c>
      <c r="D214">
        <f>ROUNDUP(C214/GiaDinh!$C$4-0.0005,0)</f>
        <v>14</v>
      </c>
      <c r="E214">
        <f t="shared" si="3"/>
        <v>13</v>
      </c>
    </row>
    <row r="215" spans="1:5" x14ac:dyDescent="0.35">
      <c r="A215" t="s">
        <v>7</v>
      </c>
      <c r="B215">
        <v>112</v>
      </c>
      <c r="C215" s="14">
        <v>81.076999999999998</v>
      </c>
      <c r="D215">
        <f>ROUNDUP(C215/GiaDinh!$C$4-0.0005,0)</f>
        <v>14</v>
      </c>
      <c r="E215">
        <f t="shared" si="3"/>
        <v>13</v>
      </c>
    </row>
    <row r="216" spans="1:5" x14ac:dyDescent="0.35">
      <c r="A216" t="s">
        <v>7</v>
      </c>
      <c r="B216">
        <v>113</v>
      </c>
      <c r="C216" s="14">
        <v>81.076999999999998</v>
      </c>
      <c r="D216">
        <f>ROUNDUP(C216/GiaDinh!$C$4-0.0005,0)</f>
        <v>14</v>
      </c>
      <c r="E216">
        <f t="shared" si="3"/>
        <v>13</v>
      </c>
    </row>
    <row r="217" spans="1:5" x14ac:dyDescent="0.35">
      <c r="A217" t="s">
        <v>7</v>
      </c>
      <c r="B217">
        <v>114</v>
      </c>
      <c r="C217" s="14">
        <v>81.076999999999998</v>
      </c>
      <c r="D217">
        <f>ROUNDUP(C217/GiaDinh!$C$4-0.0005,0)</f>
        <v>14</v>
      </c>
      <c r="E217">
        <f t="shared" si="3"/>
        <v>13</v>
      </c>
    </row>
    <row r="218" spans="1:5" x14ac:dyDescent="0.35">
      <c r="A218" t="s">
        <v>7</v>
      </c>
      <c r="B218">
        <v>115</v>
      </c>
      <c r="C218" s="14">
        <v>81.076999999999998</v>
      </c>
      <c r="D218">
        <f>ROUNDUP(C218/GiaDinh!$C$4-0.0005,0)</f>
        <v>14</v>
      </c>
      <c r="E218">
        <f t="shared" si="3"/>
        <v>13</v>
      </c>
    </row>
    <row r="219" spans="1:5" x14ac:dyDescent="0.35">
      <c r="A219" t="s">
        <v>7</v>
      </c>
      <c r="B219">
        <v>116</v>
      </c>
      <c r="C219" s="14">
        <v>81.076999999999998</v>
      </c>
      <c r="D219">
        <f>ROUNDUP(C219/GiaDinh!$C$4-0.0005,0)</f>
        <v>14</v>
      </c>
      <c r="E219">
        <f t="shared" si="3"/>
        <v>13</v>
      </c>
    </row>
    <row r="220" spans="1:5" x14ac:dyDescent="0.35">
      <c r="A220" t="s">
        <v>7</v>
      </c>
      <c r="B220">
        <v>117</v>
      </c>
      <c r="C220" s="14">
        <v>81.076999999999998</v>
      </c>
      <c r="D220">
        <f>ROUNDUP(C220/GiaDinh!$C$4-0.0005,0)</f>
        <v>14</v>
      </c>
      <c r="E220">
        <f t="shared" si="3"/>
        <v>13</v>
      </c>
    </row>
    <row r="221" spans="1:5" x14ac:dyDescent="0.35">
      <c r="A221" t="s">
        <v>7</v>
      </c>
      <c r="B221">
        <v>118</v>
      </c>
      <c r="C221" s="14">
        <v>81.076999999999998</v>
      </c>
      <c r="D221">
        <f>ROUNDUP(C221/GiaDinh!$C$4-0.0005,0)</f>
        <v>14</v>
      </c>
      <c r="E221">
        <f t="shared" si="3"/>
        <v>13</v>
      </c>
    </row>
    <row r="222" spans="1:5" x14ac:dyDescent="0.35">
      <c r="A222" t="s">
        <v>7</v>
      </c>
      <c r="B222">
        <v>119</v>
      </c>
      <c r="C222" s="14">
        <v>81.076999999999998</v>
      </c>
      <c r="D222">
        <f>ROUNDUP(C222/GiaDinh!$C$4-0.0005,0)</f>
        <v>14</v>
      </c>
      <c r="E222">
        <f t="shared" si="3"/>
        <v>13</v>
      </c>
    </row>
    <row r="223" spans="1:5" x14ac:dyDescent="0.35">
      <c r="A223" t="s">
        <v>7</v>
      </c>
      <c r="B223">
        <v>120</v>
      </c>
      <c r="C223" s="14">
        <v>81.076999999999998</v>
      </c>
      <c r="D223">
        <f>ROUNDUP(C223/GiaDinh!$C$4-0.0005,0)</f>
        <v>14</v>
      </c>
      <c r="E223">
        <f t="shared" si="3"/>
        <v>13</v>
      </c>
    </row>
    <row r="224" spans="1:5" x14ac:dyDescent="0.35">
      <c r="A224" t="s">
        <v>7</v>
      </c>
      <c r="B224">
        <v>121</v>
      </c>
      <c r="C224" s="14">
        <v>81.076999999999998</v>
      </c>
      <c r="D224">
        <f>ROUNDUP(C224/GiaDinh!$C$4-0.0005,0)</f>
        <v>14</v>
      </c>
      <c r="E224">
        <f t="shared" si="3"/>
        <v>13</v>
      </c>
    </row>
    <row r="225" spans="1:5" x14ac:dyDescent="0.35">
      <c r="A225" t="s">
        <v>7</v>
      </c>
      <c r="B225">
        <v>122</v>
      </c>
      <c r="C225" s="14">
        <v>81.076999999999998</v>
      </c>
      <c r="D225">
        <f>ROUNDUP(C225/GiaDinh!$C$4-0.0005,0)</f>
        <v>14</v>
      </c>
      <c r="E225">
        <f t="shared" si="3"/>
        <v>13</v>
      </c>
    </row>
    <row r="226" spans="1:5" x14ac:dyDescent="0.35">
      <c r="A226" t="s">
        <v>7</v>
      </c>
      <c r="B226">
        <v>123</v>
      </c>
      <c r="C226" s="14">
        <v>81.076999999999998</v>
      </c>
      <c r="D226">
        <f>ROUNDUP(C226/GiaDinh!$C$4-0.0005,0)</f>
        <v>14</v>
      </c>
      <c r="E226">
        <f t="shared" si="3"/>
        <v>13</v>
      </c>
    </row>
    <row r="227" spans="1:5" x14ac:dyDescent="0.35">
      <c r="A227" t="s">
        <v>7</v>
      </c>
      <c r="B227">
        <v>124</v>
      </c>
      <c r="C227" s="14">
        <v>81.076999999999998</v>
      </c>
      <c r="D227">
        <f>ROUNDUP(C227/GiaDinh!$C$4-0.0005,0)</f>
        <v>14</v>
      </c>
      <c r="E227">
        <f t="shared" si="3"/>
        <v>13</v>
      </c>
    </row>
    <row r="228" spans="1:5" x14ac:dyDescent="0.35">
      <c r="A228" t="s">
        <v>7</v>
      </c>
      <c r="B228">
        <v>125</v>
      </c>
      <c r="C228" s="14">
        <v>86.933000000000007</v>
      </c>
      <c r="D228">
        <f>ROUNDUP(C228/GiaDinh!$C$4-0.0005,0)</f>
        <v>15</v>
      </c>
      <c r="E228">
        <f t="shared" si="3"/>
        <v>14</v>
      </c>
    </row>
    <row r="229" spans="1:5" x14ac:dyDescent="0.35">
      <c r="A229" t="s">
        <v>7</v>
      </c>
      <c r="B229">
        <v>126</v>
      </c>
      <c r="C229" s="14">
        <v>86.933000000000007</v>
      </c>
      <c r="D229">
        <f>ROUNDUP(C229/GiaDinh!$C$4-0.0005,0)</f>
        <v>15</v>
      </c>
      <c r="E229">
        <f t="shared" si="3"/>
        <v>14</v>
      </c>
    </row>
    <row r="230" spans="1:5" x14ac:dyDescent="0.35">
      <c r="A230" t="s">
        <v>7</v>
      </c>
      <c r="B230">
        <v>127</v>
      </c>
      <c r="C230" s="14">
        <v>86.933000000000007</v>
      </c>
      <c r="D230">
        <f>ROUNDUP(C230/GiaDinh!$C$4-0.0005,0)</f>
        <v>15</v>
      </c>
      <c r="E230">
        <f t="shared" si="3"/>
        <v>14</v>
      </c>
    </row>
    <row r="231" spans="1:5" x14ac:dyDescent="0.35">
      <c r="A231" t="s">
        <v>7</v>
      </c>
      <c r="B231">
        <v>128</v>
      </c>
      <c r="C231" s="14">
        <v>86.933000000000007</v>
      </c>
      <c r="D231">
        <f>ROUNDUP(C231/GiaDinh!$C$4-0.0005,0)</f>
        <v>15</v>
      </c>
      <c r="E231">
        <f t="shared" si="3"/>
        <v>14</v>
      </c>
    </row>
    <row r="232" spans="1:5" x14ac:dyDescent="0.35">
      <c r="A232" t="s">
        <v>7</v>
      </c>
      <c r="B232">
        <v>129</v>
      </c>
      <c r="C232" s="14">
        <v>86.933000000000007</v>
      </c>
      <c r="D232">
        <f>ROUNDUP(C232/GiaDinh!$C$4-0.0005,0)</f>
        <v>15</v>
      </c>
      <c r="E232">
        <f t="shared" si="3"/>
        <v>14</v>
      </c>
    </row>
    <row r="233" spans="1:5" x14ac:dyDescent="0.35">
      <c r="A233" t="s">
        <v>7</v>
      </c>
      <c r="B233">
        <v>130</v>
      </c>
      <c r="C233" s="14">
        <v>86.933000000000007</v>
      </c>
      <c r="D233">
        <f>ROUNDUP(C233/GiaDinh!$C$4-0.0005,0)</f>
        <v>15</v>
      </c>
      <c r="E233">
        <f t="shared" si="3"/>
        <v>14</v>
      </c>
    </row>
    <row r="234" spans="1:5" x14ac:dyDescent="0.35">
      <c r="A234" t="s">
        <v>7</v>
      </c>
      <c r="B234">
        <v>131</v>
      </c>
      <c r="C234" s="14">
        <v>86.933000000000007</v>
      </c>
      <c r="D234">
        <f>ROUNDUP(C234/GiaDinh!$C$4-0.0005,0)</f>
        <v>15</v>
      </c>
      <c r="E234">
        <f t="shared" si="3"/>
        <v>14</v>
      </c>
    </row>
    <row r="235" spans="1:5" x14ac:dyDescent="0.35">
      <c r="A235" t="s">
        <v>7</v>
      </c>
      <c r="B235">
        <v>132</v>
      </c>
      <c r="C235" s="14">
        <v>86.933000000000007</v>
      </c>
      <c r="D235">
        <f>ROUNDUP(C235/GiaDinh!$C$4-0.0005,0)</f>
        <v>15</v>
      </c>
      <c r="E235">
        <f t="shared" si="3"/>
        <v>14</v>
      </c>
    </row>
    <row r="236" spans="1:5" x14ac:dyDescent="0.35">
      <c r="A236" t="s">
        <v>7</v>
      </c>
      <c r="B236">
        <v>133</v>
      </c>
      <c r="C236" s="14">
        <v>86.933000000000007</v>
      </c>
      <c r="D236">
        <f>ROUNDUP(C236/GiaDinh!$C$4-0.0005,0)</f>
        <v>15</v>
      </c>
      <c r="E236">
        <f t="shared" si="3"/>
        <v>14</v>
      </c>
    </row>
    <row r="237" spans="1:5" x14ac:dyDescent="0.35">
      <c r="A237" t="s">
        <v>7</v>
      </c>
      <c r="B237">
        <v>134</v>
      </c>
      <c r="C237" s="14">
        <v>86.933000000000007</v>
      </c>
      <c r="D237">
        <f>ROUNDUP(C237/GiaDinh!$C$4-0.0005,0)</f>
        <v>15</v>
      </c>
      <c r="E237">
        <f t="shared" si="3"/>
        <v>14</v>
      </c>
    </row>
    <row r="238" spans="1:5" x14ac:dyDescent="0.35">
      <c r="A238" t="s">
        <v>7</v>
      </c>
      <c r="B238">
        <v>135</v>
      </c>
      <c r="C238" s="14">
        <v>86.933000000000007</v>
      </c>
      <c r="D238">
        <f>ROUNDUP(C238/GiaDinh!$C$4-0.0005,0)</f>
        <v>15</v>
      </c>
      <c r="E238">
        <f t="shared" si="3"/>
        <v>14</v>
      </c>
    </row>
    <row r="239" spans="1:5" x14ac:dyDescent="0.35">
      <c r="A239" t="s">
        <v>7</v>
      </c>
      <c r="B239">
        <v>136</v>
      </c>
      <c r="C239" s="14">
        <v>86.933000000000007</v>
      </c>
      <c r="D239">
        <f>ROUNDUP(C239/GiaDinh!$C$4-0.0005,0)</f>
        <v>15</v>
      </c>
      <c r="E239">
        <f t="shared" si="3"/>
        <v>14</v>
      </c>
    </row>
    <row r="240" spans="1:5" x14ac:dyDescent="0.35">
      <c r="A240" t="s">
        <v>7</v>
      </c>
      <c r="B240">
        <v>137</v>
      </c>
      <c r="C240" s="14">
        <v>86.933000000000007</v>
      </c>
      <c r="D240">
        <f>ROUNDUP(C240/GiaDinh!$C$4-0.0005,0)</f>
        <v>15</v>
      </c>
      <c r="E240">
        <f t="shared" si="3"/>
        <v>14</v>
      </c>
    </row>
    <row r="241" spans="1:5" x14ac:dyDescent="0.35">
      <c r="A241" t="s">
        <v>7</v>
      </c>
      <c r="B241">
        <v>138</v>
      </c>
      <c r="C241" s="14">
        <v>86.933000000000007</v>
      </c>
      <c r="D241">
        <f>ROUNDUP(C241/GiaDinh!$C$4-0.0005,0)</f>
        <v>15</v>
      </c>
      <c r="E241">
        <f t="shared" si="3"/>
        <v>14</v>
      </c>
    </row>
    <row r="242" spans="1:5" x14ac:dyDescent="0.35">
      <c r="A242" t="s">
        <v>7</v>
      </c>
      <c r="B242">
        <v>139</v>
      </c>
      <c r="C242" s="14">
        <v>86.933000000000007</v>
      </c>
      <c r="D242">
        <f>ROUNDUP(C242/GiaDinh!$C$4-0.0005,0)</f>
        <v>15</v>
      </c>
      <c r="E242">
        <f t="shared" si="3"/>
        <v>14</v>
      </c>
    </row>
    <row r="243" spans="1:5" x14ac:dyDescent="0.35">
      <c r="A243" t="s">
        <v>7</v>
      </c>
      <c r="B243">
        <v>140</v>
      </c>
      <c r="C243" s="14">
        <v>86.933000000000007</v>
      </c>
      <c r="D243">
        <f>ROUNDUP(C243/GiaDinh!$C$4-0.0005,0)</f>
        <v>15</v>
      </c>
      <c r="E243">
        <f t="shared" si="3"/>
        <v>14</v>
      </c>
    </row>
    <row r="244" spans="1:5" x14ac:dyDescent="0.35">
      <c r="A244" t="s">
        <v>7</v>
      </c>
      <c r="B244">
        <v>141</v>
      </c>
      <c r="C244" s="14">
        <v>86.933000000000007</v>
      </c>
      <c r="D244">
        <f>ROUNDUP(C244/GiaDinh!$C$4-0.0005,0)</f>
        <v>15</v>
      </c>
      <c r="E244">
        <f t="shared" si="3"/>
        <v>14</v>
      </c>
    </row>
    <row r="245" spans="1:5" x14ac:dyDescent="0.35">
      <c r="A245" t="s">
        <v>7</v>
      </c>
      <c r="B245">
        <v>142</v>
      </c>
      <c r="C245" s="14">
        <v>86.933000000000007</v>
      </c>
      <c r="D245">
        <f>ROUNDUP(C245/GiaDinh!$C$4-0.0005,0)</f>
        <v>15</v>
      </c>
      <c r="E245">
        <f t="shared" si="3"/>
        <v>14</v>
      </c>
    </row>
    <row r="246" spans="1:5" x14ac:dyDescent="0.35">
      <c r="A246" t="s">
        <v>7</v>
      </c>
      <c r="B246">
        <v>143</v>
      </c>
      <c r="C246" s="14">
        <v>86.933000000000007</v>
      </c>
      <c r="D246">
        <f>ROUNDUP(C246/GiaDinh!$C$4-0.0005,0)</f>
        <v>15</v>
      </c>
      <c r="E246">
        <f t="shared" si="3"/>
        <v>14</v>
      </c>
    </row>
    <row r="247" spans="1:5" x14ac:dyDescent="0.35">
      <c r="A247" t="s">
        <v>7</v>
      </c>
      <c r="B247">
        <v>144</v>
      </c>
      <c r="C247" s="14">
        <v>86.933000000000007</v>
      </c>
      <c r="D247">
        <f>ROUNDUP(C247/GiaDinh!$C$4-0.0005,0)</f>
        <v>15</v>
      </c>
      <c r="E247">
        <f t="shared" si="3"/>
        <v>14</v>
      </c>
    </row>
    <row r="248" spans="1:5" x14ac:dyDescent="0.35">
      <c r="A248" t="s">
        <v>7</v>
      </c>
      <c r="B248">
        <v>145</v>
      </c>
      <c r="C248" s="14">
        <v>86.933000000000007</v>
      </c>
      <c r="D248">
        <f>ROUNDUP(C248/GiaDinh!$C$4-0.0005,0)</f>
        <v>15</v>
      </c>
      <c r="E248">
        <f t="shared" si="3"/>
        <v>14</v>
      </c>
    </row>
    <row r="249" spans="1:5" x14ac:dyDescent="0.35">
      <c r="A249" t="s">
        <v>7</v>
      </c>
      <c r="B249">
        <v>146</v>
      </c>
      <c r="C249" s="14">
        <v>86.933000000000007</v>
      </c>
      <c r="D249">
        <f>ROUNDUP(C249/GiaDinh!$C$4-0.0005,0)</f>
        <v>15</v>
      </c>
      <c r="E249">
        <f t="shared" si="3"/>
        <v>14</v>
      </c>
    </row>
    <row r="250" spans="1:5" x14ac:dyDescent="0.35">
      <c r="A250" t="s">
        <v>7</v>
      </c>
      <c r="B250">
        <v>147</v>
      </c>
      <c r="C250" s="14">
        <v>86.933000000000007</v>
      </c>
      <c r="D250">
        <f>ROUNDUP(C250/GiaDinh!$C$4-0.0005,0)</f>
        <v>15</v>
      </c>
      <c r="E250">
        <f t="shared" si="3"/>
        <v>14</v>
      </c>
    </row>
    <row r="251" spans="1:5" x14ac:dyDescent="0.35">
      <c r="A251" t="s">
        <v>7</v>
      </c>
      <c r="B251">
        <v>148</v>
      </c>
      <c r="C251" s="14">
        <v>86.933000000000007</v>
      </c>
      <c r="D251">
        <f>ROUNDUP(C251/GiaDinh!$C$4-0.0005,0)</f>
        <v>15</v>
      </c>
      <c r="E251">
        <f t="shared" si="3"/>
        <v>14</v>
      </c>
    </row>
    <row r="252" spans="1:5" x14ac:dyDescent="0.35">
      <c r="A252" t="s">
        <v>7</v>
      </c>
      <c r="B252">
        <v>149</v>
      </c>
      <c r="C252" s="14">
        <v>86.933000000000007</v>
      </c>
      <c r="D252">
        <f>ROUNDUP(C252/GiaDinh!$C$4-0.0005,0)</f>
        <v>15</v>
      </c>
      <c r="E252">
        <f t="shared" si="3"/>
        <v>14</v>
      </c>
    </row>
    <row r="253" spans="1:5" x14ac:dyDescent="0.35">
      <c r="A253" t="s">
        <v>7</v>
      </c>
      <c r="B253">
        <v>150</v>
      </c>
      <c r="C253" s="14">
        <v>86.933000000000007</v>
      </c>
      <c r="D253">
        <f>ROUNDUP(C253/GiaDinh!$C$4-0.0005,0)</f>
        <v>15</v>
      </c>
      <c r="E253">
        <f t="shared" si="3"/>
        <v>14</v>
      </c>
    </row>
    <row r="254" spans="1:5" x14ac:dyDescent="0.35">
      <c r="A254" t="s">
        <v>7</v>
      </c>
      <c r="B254">
        <v>151</v>
      </c>
      <c r="C254" s="14">
        <v>86.933000000000007</v>
      </c>
      <c r="D254">
        <f>ROUNDUP(C254/GiaDinh!$C$4-0.0005,0)</f>
        <v>15</v>
      </c>
      <c r="E254">
        <f t="shared" si="3"/>
        <v>14</v>
      </c>
    </row>
    <row r="255" spans="1:5" x14ac:dyDescent="0.35">
      <c r="A255" t="s">
        <v>7</v>
      </c>
      <c r="B255">
        <v>152</v>
      </c>
      <c r="C255" s="14">
        <v>86.933000000000007</v>
      </c>
      <c r="D255">
        <f>ROUNDUP(C255/GiaDinh!$C$4-0.0005,0)</f>
        <v>15</v>
      </c>
      <c r="E255">
        <f t="shared" si="3"/>
        <v>14</v>
      </c>
    </row>
    <row r="256" spans="1:5" x14ac:dyDescent="0.35">
      <c r="A256" t="s">
        <v>7</v>
      </c>
      <c r="B256">
        <v>153</v>
      </c>
      <c r="C256" s="14">
        <v>86.933000000000007</v>
      </c>
      <c r="D256">
        <f>ROUNDUP(C256/GiaDinh!$C$4-0.0005,0)</f>
        <v>15</v>
      </c>
      <c r="E256">
        <f t="shared" si="3"/>
        <v>14</v>
      </c>
    </row>
    <row r="257" spans="1:5" x14ac:dyDescent="0.35">
      <c r="A257" t="s">
        <v>7</v>
      </c>
      <c r="B257">
        <v>154</v>
      </c>
      <c r="C257" s="14">
        <v>86.933000000000007</v>
      </c>
      <c r="D257">
        <f>ROUNDUP(C257/GiaDinh!$C$4-0.0005,0)</f>
        <v>15</v>
      </c>
      <c r="E257">
        <f t="shared" si="3"/>
        <v>14</v>
      </c>
    </row>
    <row r="258" spans="1:5" x14ac:dyDescent="0.35">
      <c r="A258" t="s">
        <v>7</v>
      </c>
      <c r="B258">
        <v>155</v>
      </c>
      <c r="C258" s="14">
        <v>97.186999999999998</v>
      </c>
      <c r="D258">
        <f>ROUNDUP(C258/GiaDinh!$C$4-0.0005,0)</f>
        <v>17</v>
      </c>
      <c r="E258">
        <f t="shared" si="3"/>
        <v>16</v>
      </c>
    </row>
    <row r="259" spans="1:5" x14ac:dyDescent="0.35">
      <c r="A259" t="s">
        <v>7</v>
      </c>
      <c r="B259">
        <v>156</v>
      </c>
      <c r="C259" s="14">
        <v>97.186999999999998</v>
      </c>
      <c r="D259">
        <f>ROUNDUP(C259/GiaDinh!$C$4-0.0005,0)</f>
        <v>17</v>
      </c>
      <c r="E259">
        <f t="shared" si="3"/>
        <v>16</v>
      </c>
    </row>
    <row r="260" spans="1:5" x14ac:dyDescent="0.35">
      <c r="A260" t="s">
        <v>7</v>
      </c>
      <c r="B260">
        <v>157</v>
      </c>
      <c r="C260" s="14">
        <v>97.186999999999998</v>
      </c>
      <c r="D260">
        <f>ROUNDUP(C260/GiaDinh!$C$4-0.0005,0)</f>
        <v>17</v>
      </c>
      <c r="E260">
        <f t="shared" ref="E260:E323" si="4">D260-1</f>
        <v>16</v>
      </c>
    </row>
    <row r="261" spans="1:5" x14ac:dyDescent="0.35">
      <c r="A261" t="s">
        <v>7</v>
      </c>
      <c r="B261">
        <v>158</v>
      </c>
      <c r="C261" s="14">
        <v>97.186999999999998</v>
      </c>
      <c r="D261">
        <f>ROUNDUP(C261/GiaDinh!$C$4-0.0005,0)</f>
        <v>17</v>
      </c>
      <c r="E261">
        <f t="shared" si="4"/>
        <v>16</v>
      </c>
    </row>
    <row r="262" spans="1:5" x14ac:dyDescent="0.35">
      <c r="A262" t="s">
        <v>7</v>
      </c>
      <c r="B262">
        <v>159</v>
      </c>
      <c r="C262" s="14">
        <v>97.186999999999998</v>
      </c>
      <c r="D262">
        <f>ROUNDUP(C262/GiaDinh!$C$4-0.0005,0)</f>
        <v>17</v>
      </c>
      <c r="E262">
        <f t="shared" si="4"/>
        <v>16</v>
      </c>
    </row>
    <row r="263" spans="1:5" x14ac:dyDescent="0.35">
      <c r="A263" t="s">
        <v>7</v>
      </c>
      <c r="B263">
        <v>160</v>
      </c>
      <c r="C263" s="14">
        <v>97.186999999999998</v>
      </c>
      <c r="D263">
        <f>ROUNDUP(C263/GiaDinh!$C$4-0.0005,0)</f>
        <v>17</v>
      </c>
      <c r="E263">
        <f t="shared" si="4"/>
        <v>16</v>
      </c>
    </row>
    <row r="264" spans="1:5" x14ac:dyDescent="0.35">
      <c r="A264" t="s">
        <v>7</v>
      </c>
      <c r="B264">
        <v>161</v>
      </c>
      <c r="C264" s="14">
        <v>97.186999999999998</v>
      </c>
      <c r="D264">
        <f>ROUNDUP(C264/GiaDinh!$C$4-0.0005,0)</f>
        <v>17</v>
      </c>
      <c r="E264">
        <f t="shared" si="4"/>
        <v>16</v>
      </c>
    </row>
    <row r="265" spans="1:5" x14ac:dyDescent="0.35">
      <c r="A265" t="s">
        <v>7</v>
      </c>
      <c r="B265">
        <v>162</v>
      </c>
      <c r="C265" s="14">
        <v>97.186999999999998</v>
      </c>
      <c r="D265">
        <f>ROUNDUP(C265/GiaDinh!$C$4-0.0005,0)</f>
        <v>17</v>
      </c>
      <c r="E265">
        <f t="shared" si="4"/>
        <v>16</v>
      </c>
    </row>
    <row r="266" spans="1:5" x14ac:dyDescent="0.35">
      <c r="A266" t="s">
        <v>7</v>
      </c>
      <c r="B266">
        <v>163</v>
      </c>
      <c r="C266" s="14">
        <v>97.186999999999998</v>
      </c>
      <c r="D266">
        <f>ROUNDUP(C266/GiaDinh!$C$4-0.0005,0)</f>
        <v>17</v>
      </c>
      <c r="E266">
        <f t="shared" si="4"/>
        <v>16</v>
      </c>
    </row>
    <row r="267" spans="1:5" x14ac:dyDescent="0.35">
      <c r="A267" t="s">
        <v>7</v>
      </c>
      <c r="B267">
        <v>164</v>
      </c>
      <c r="C267" s="14">
        <v>97.186999999999998</v>
      </c>
      <c r="D267">
        <f>ROUNDUP(C267/GiaDinh!$C$4-0.0005,0)</f>
        <v>17</v>
      </c>
      <c r="E267">
        <f t="shared" si="4"/>
        <v>16</v>
      </c>
    </row>
    <row r="268" spans="1:5" x14ac:dyDescent="0.35">
      <c r="A268" t="s">
        <v>7</v>
      </c>
      <c r="B268">
        <v>165</v>
      </c>
      <c r="C268" s="14">
        <v>97.186999999999998</v>
      </c>
      <c r="D268">
        <f>ROUNDUP(C268/GiaDinh!$C$4-0.0005,0)</f>
        <v>17</v>
      </c>
      <c r="E268">
        <f t="shared" si="4"/>
        <v>16</v>
      </c>
    </row>
    <row r="269" spans="1:5" x14ac:dyDescent="0.35">
      <c r="A269" t="s">
        <v>7</v>
      </c>
      <c r="B269">
        <v>166</v>
      </c>
      <c r="C269" s="14">
        <v>97.186999999999998</v>
      </c>
      <c r="D269">
        <f>ROUNDUP(C269/GiaDinh!$C$4-0.0005,0)</f>
        <v>17</v>
      </c>
      <c r="E269">
        <f t="shared" si="4"/>
        <v>16</v>
      </c>
    </row>
    <row r="270" spans="1:5" x14ac:dyDescent="0.35">
      <c r="A270" t="s">
        <v>7</v>
      </c>
      <c r="B270">
        <v>167</v>
      </c>
      <c r="C270" s="14">
        <v>97.186999999999998</v>
      </c>
      <c r="D270">
        <f>ROUNDUP(C270/GiaDinh!$C$4-0.0005,0)</f>
        <v>17</v>
      </c>
      <c r="E270">
        <f t="shared" si="4"/>
        <v>16</v>
      </c>
    </row>
    <row r="271" spans="1:5" x14ac:dyDescent="0.35">
      <c r="A271" t="s">
        <v>7</v>
      </c>
      <c r="B271">
        <v>168</v>
      </c>
      <c r="C271" s="14">
        <v>97.186999999999998</v>
      </c>
      <c r="D271">
        <f>ROUNDUP(C271/GiaDinh!$C$4-0.0005,0)</f>
        <v>17</v>
      </c>
      <c r="E271">
        <f t="shared" si="4"/>
        <v>16</v>
      </c>
    </row>
    <row r="272" spans="1:5" x14ac:dyDescent="0.35">
      <c r="A272" t="s">
        <v>7</v>
      </c>
      <c r="B272">
        <v>169</v>
      </c>
      <c r="C272" s="14">
        <v>97.186999999999998</v>
      </c>
      <c r="D272">
        <f>ROUNDUP(C272/GiaDinh!$C$4-0.0005,0)</f>
        <v>17</v>
      </c>
      <c r="E272">
        <f t="shared" si="4"/>
        <v>16</v>
      </c>
    </row>
    <row r="273" spans="1:5" x14ac:dyDescent="0.35">
      <c r="A273" t="s">
        <v>7</v>
      </c>
      <c r="B273">
        <v>170</v>
      </c>
      <c r="C273" s="14">
        <v>97.186999999999998</v>
      </c>
      <c r="D273">
        <f>ROUNDUP(C273/GiaDinh!$C$4-0.0005,0)</f>
        <v>17</v>
      </c>
      <c r="E273">
        <f t="shared" si="4"/>
        <v>16</v>
      </c>
    </row>
    <row r="274" spans="1:5" x14ac:dyDescent="0.35">
      <c r="A274" t="s">
        <v>7</v>
      </c>
      <c r="B274">
        <v>171</v>
      </c>
      <c r="C274" s="14">
        <v>97.186999999999998</v>
      </c>
      <c r="D274">
        <f>ROUNDUP(C274/GiaDinh!$C$4-0.0005,0)</f>
        <v>17</v>
      </c>
      <c r="E274">
        <f t="shared" si="4"/>
        <v>16</v>
      </c>
    </row>
    <row r="275" spans="1:5" x14ac:dyDescent="0.35">
      <c r="A275" t="s">
        <v>7</v>
      </c>
      <c r="B275">
        <v>172</v>
      </c>
      <c r="C275" s="14">
        <v>97.186999999999998</v>
      </c>
      <c r="D275">
        <f>ROUNDUP(C275/GiaDinh!$C$4-0.0005,0)</f>
        <v>17</v>
      </c>
      <c r="E275">
        <f t="shared" si="4"/>
        <v>16</v>
      </c>
    </row>
    <row r="276" spans="1:5" x14ac:dyDescent="0.35">
      <c r="A276" t="s">
        <v>7</v>
      </c>
      <c r="B276">
        <v>173</v>
      </c>
      <c r="C276" s="14">
        <v>97.186999999999998</v>
      </c>
      <c r="D276">
        <f>ROUNDUP(C276/GiaDinh!$C$4-0.0005,0)</f>
        <v>17</v>
      </c>
      <c r="E276">
        <f t="shared" si="4"/>
        <v>16</v>
      </c>
    </row>
    <row r="277" spans="1:5" x14ac:dyDescent="0.35">
      <c r="A277" t="s">
        <v>7</v>
      </c>
      <c r="B277">
        <v>174</v>
      </c>
      <c r="C277" s="14">
        <v>97.186999999999998</v>
      </c>
      <c r="D277">
        <f>ROUNDUP(C277/GiaDinh!$C$4-0.0005,0)</f>
        <v>17</v>
      </c>
      <c r="E277">
        <f t="shared" si="4"/>
        <v>16</v>
      </c>
    </row>
    <row r="278" spans="1:5" x14ac:dyDescent="0.35">
      <c r="A278" t="s">
        <v>7</v>
      </c>
      <c r="B278">
        <v>175</v>
      </c>
      <c r="C278" s="14">
        <v>97.186999999999998</v>
      </c>
      <c r="D278">
        <f>ROUNDUP(C278/GiaDinh!$C$4-0.0005,0)</f>
        <v>17</v>
      </c>
      <c r="E278">
        <f t="shared" si="4"/>
        <v>16</v>
      </c>
    </row>
    <row r="279" spans="1:5" x14ac:dyDescent="0.35">
      <c r="A279" t="s">
        <v>7</v>
      </c>
      <c r="B279">
        <v>176</v>
      </c>
      <c r="C279" s="14">
        <v>97.186999999999998</v>
      </c>
      <c r="D279">
        <f>ROUNDUP(C279/GiaDinh!$C$4-0.0005,0)</f>
        <v>17</v>
      </c>
      <c r="E279">
        <f t="shared" si="4"/>
        <v>16</v>
      </c>
    </row>
    <row r="280" spans="1:5" x14ac:dyDescent="0.35">
      <c r="A280" t="s">
        <v>7</v>
      </c>
      <c r="B280">
        <v>177</v>
      </c>
      <c r="C280" s="14">
        <v>97.186999999999998</v>
      </c>
      <c r="D280">
        <f>ROUNDUP(C280/GiaDinh!$C$4-0.0005,0)</f>
        <v>17</v>
      </c>
      <c r="E280">
        <f t="shared" si="4"/>
        <v>16</v>
      </c>
    </row>
    <row r="281" spans="1:5" x14ac:dyDescent="0.35">
      <c r="A281" t="s">
        <v>7</v>
      </c>
      <c r="B281">
        <v>178</v>
      </c>
      <c r="C281" s="14">
        <v>97.186999999999998</v>
      </c>
      <c r="D281">
        <f>ROUNDUP(C281/GiaDinh!$C$4-0.0005,0)</f>
        <v>17</v>
      </c>
      <c r="E281">
        <f t="shared" si="4"/>
        <v>16</v>
      </c>
    </row>
    <row r="282" spans="1:5" x14ac:dyDescent="0.35">
      <c r="A282" t="s">
        <v>7</v>
      </c>
      <c r="B282">
        <v>179</v>
      </c>
      <c r="C282" s="14">
        <v>97.186999999999998</v>
      </c>
      <c r="D282">
        <f>ROUNDUP(C282/GiaDinh!$C$4-0.0005,0)</f>
        <v>17</v>
      </c>
      <c r="E282">
        <f t="shared" si="4"/>
        <v>16</v>
      </c>
    </row>
    <row r="283" spans="1:5" x14ac:dyDescent="0.35">
      <c r="A283" t="s">
        <v>7</v>
      </c>
      <c r="B283">
        <v>180</v>
      </c>
      <c r="C283" s="14">
        <v>97.186999999999998</v>
      </c>
      <c r="D283">
        <f>ROUNDUP(C283/GiaDinh!$C$4-0.0005,0)</f>
        <v>17</v>
      </c>
      <c r="E283">
        <f t="shared" si="4"/>
        <v>16</v>
      </c>
    </row>
    <row r="284" spans="1:5" x14ac:dyDescent="0.35">
      <c r="A284" t="s">
        <v>7</v>
      </c>
      <c r="B284">
        <v>181</v>
      </c>
      <c r="C284" s="14">
        <v>97.186999999999998</v>
      </c>
      <c r="D284">
        <f>ROUNDUP(C284/GiaDinh!$C$4-0.0005,0)</f>
        <v>17</v>
      </c>
      <c r="E284">
        <f t="shared" si="4"/>
        <v>16</v>
      </c>
    </row>
    <row r="285" spans="1:5" x14ac:dyDescent="0.35">
      <c r="A285" t="s">
        <v>7</v>
      </c>
      <c r="B285">
        <v>182</v>
      </c>
      <c r="C285" s="14">
        <v>97.186999999999998</v>
      </c>
      <c r="D285">
        <f>ROUNDUP(C285/GiaDinh!$C$4-0.0005,0)</f>
        <v>17</v>
      </c>
      <c r="E285">
        <f t="shared" si="4"/>
        <v>16</v>
      </c>
    </row>
    <row r="286" spans="1:5" x14ac:dyDescent="0.35">
      <c r="A286" t="s">
        <v>7</v>
      </c>
      <c r="B286">
        <v>183</v>
      </c>
      <c r="C286" s="14">
        <v>97.186999999999998</v>
      </c>
      <c r="D286">
        <f>ROUNDUP(C286/GiaDinh!$C$4-0.0005,0)</f>
        <v>17</v>
      </c>
      <c r="E286">
        <f t="shared" si="4"/>
        <v>16</v>
      </c>
    </row>
    <row r="287" spans="1:5" x14ac:dyDescent="0.35">
      <c r="A287" t="s">
        <v>7</v>
      </c>
      <c r="B287">
        <v>184</v>
      </c>
      <c r="C287" s="14">
        <v>97.186999999999998</v>
      </c>
      <c r="D287">
        <f>ROUNDUP(C287/GiaDinh!$C$4-0.0005,0)</f>
        <v>17</v>
      </c>
      <c r="E287">
        <f t="shared" si="4"/>
        <v>16</v>
      </c>
    </row>
    <row r="288" spans="1:5" x14ac:dyDescent="0.35">
      <c r="A288" t="s">
        <v>7</v>
      </c>
      <c r="B288">
        <v>185</v>
      </c>
      <c r="C288" s="14">
        <v>97.186999999999998</v>
      </c>
      <c r="D288">
        <f>ROUNDUP(C288/GiaDinh!$C$4-0.0005,0)</f>
        <v>17</v>
      </c>
      <c r="E288">
        <f t="shared" si="4"/>
        <v>16</v>
      </c>
    </row>
    <row r="289" spans="1:5" x14ac:dyDescent="0.35">
      <c r="A289" t="s">
        <v>7</v>
      </c>
      <c r="B289">
        <v>186</v>
      </c>
      <c r="C289" s="14">
        <v>97.186999999999998</v>
      </c>
      <c r="D289">
        <f>ROUNDUP(C289/GiaDinh!$C$4-0.0005,0)</f>
        <v>17</v>
      </c>
      <c r="E289">
        <f t="shared" si="4"/>
        <v>16</v>
      </c>
    </row>
    <row r="290" spans="1:5" x14ac:dyDescent="0.35">
      <c r="A290" t="s">
        <v>7</v>
      </c>
      <c r="B290">
        <v>187</v>
      </c>
      <c r="C290" s="14">
        <v>97.186999999999998</v>
      </c>
      <c r="D290">
        <f>ROUNDUP(C290/GiaDinh!$C$4-0.0005,0)</f>
        <v>17</v>
      </c>
      <c r="E290">
        <f t="shared" si="4"/>
        <v>16</v>
      </c>
    </row>
    <row r="291" spans="1:5" x14ac:dyDescent="0.35">
      <c r="A291" t="s">
        <v>7</v>
      </c>
      <c r="B291">
        <v>188</v>
      </c>
      <c r="C291" s="14">
        <v>97.186999999999998</v>
      </c>
      <c r="D291">
        <f>ROUNDUP(C291/GiaDinh!$C$4-0.0005,0)</f>
        <v>17</v>
      </c>
      <c r="E291">
        <f t="shared" si="4"/>
        <v>16</v>
      </c>
    </row>
    <row r="292" spans="1:5" x14ac:dyDescent="0.35">
      <c r="A292" t="s">
        <v>7</v>
      </c>
      <c r="B292">
        <v>189</v>
      </c>
      <c r="C292" s="14">
        <v>97.186999999999998</v>
      </c>
      <c r="D292">
        <f>ROUNDUP(C292/GiaDinh!$C$4-0.0005,0)</f>
        <v>17</v>
      </c>
      <c r="E292">
        <f t="shared" si="4"/>
        <v>16</v>
      </c>
    </row>
    <row r="293" spans="1:5" x14ac:dyDescent="0.35">
      <c r="A293" t="s">
        <v>7</v>
      </c>
      <c r="B293">
        <v>190</v>
      </c>
      <c r="C293" s="14">
        <v>97.186999999999998</v>
      </c>
      <c r="D293">
        <f>ROUNDUP(C293/GiaDinh!$C$4-0.0005,0)</f>
        <v>17</v>
      </c>
      <c r="E293">
        <f t="shared" si="4"/>
        <v>16</v>
      </c>
    </row>
    <row r="294" spans="1:5" x14ac:dyDescent="0.35">
      <c r="A294" t="s">
        <v>7</v>
      </c>
      <c r="B294">
        <v>191</v>
      </c>
      <c r="C294" s="14">
        <v>97.186999999999998</v>
      </c>
      <c r="D294">
        <f>ROUNDUP(C294/GiaDinh!$C$4-0.0005,0)</f>
        <v>17</v>
      </c>
      <c r="E294">
        <f t="shared" si="4"/>
        <v>16</v>
      </c>
    </row>
    <row r="295" spans="1:5" x14ac:dyDescent="0.35">
      <c r="A295" t="s">
        <v>7</v>
      </c>
      <c r="B295">
        <v>192</v>
      </c>
      <c r="C295" s="14">
        <v>97.186999999999998</v>
      </c>
      <c r="D295">
        <f>ROUNDUP(C295/GiaDinh!$C$4-0.0005,0)</f>
        <v>17</v>
      </c>
      <c r="E295">
        <f t="shared" si="4"/>
        <v>16</v>
      </c>
    </row>
    <row r="296" spans="1:5" x14ac:dyDescent="0.35">
      <c r="A296" t="s">
        <v>7</v>
      </c>
      <c r="B296">
        <v>193</v>
      </c>
      <c r="C296" s="14">
        <v>97.186999999999998</v>
      </c>
      <c r="D296">
        <f>ROUNDUP(C296/GiaDinh!$C$4-0.0005,0)</f>
        <v>17</v>
      </c>
      <c r="E296">
        <f t="shared" si="4"/>
        <v>16</v>
      </c>
    </row>
    <row r="297" spans="1:5" x14ac:dyDescent="0.35">
      <c r="A297" t="s">
        <v>7</v>
      </c>
      <c r="B297">
        <v>194</v>
      </c>
      <c r="C297" s="14">
        <v>97.186999999999998</v>
      </c>
      <c r="D297">
        <f>ROUNDUP(C297/GiaDinh!$C$4-0.0005,0)</f>
        <v>17</v>
      </c>
      <c r="E297">
        <f t="shared" si="4"/>
        <v>16</v>
      </c>
    </row>
    <row r="298" spans="1:5" x14ac:dyDescent="0.35">
      <c r="A298" t="s">
        <v>7</v>
      </c>
      <c r="B298">
        <v>195</v>
      </c>
      <c r="C298" s="14">
        <v>97.186999999999998</v>
      </c>
      <c r="D298">
        <f>ROUNDUP(C298/GiaDinh!$C$4-0.0005,0)</f>
        <v>17</v>
      </c>
      <c r="E298">
        <f t="shared" si="4"/>
        <v>16</v>
      </c>
    </row>
    <row r="299" spans="1:5" x14ac:dyDescent="0.35">
      <c r="A299" t="s">
        <v>7</v>
      </c>
      <c r="B299">
        <v>196</v>
      </c>
      <c r="C299" s="14">
        <v>97.186999999999998</v>
      </c>
      <c r="D299">
        <f>ROUNDUP(C299/GiaDinh!$C$4-0.0005,0)</f>
        <v>17</v>
      </c>
      <c r="E299">
        <f t="shared" si="4"/>
        <v>16</v>
      </c>
    </row>
    <row r="300" spans="1:5" x14ac:dyDescent="0.35">
      <c r="A300" t="s">
        <v>7</v>
      </c>
      <c r="B300">
        <v>197</v>
      </c>
      <c r="C300" s="14">
        <v>97.186999999999998</v>
      </c>
      <c r="D300">
        <f>ROUNDUP(C300/GiaDinh!$C$4-0.0005,0)</f>
        <v>17</v>
      </c>
      <c r="E300">
        <f t="shared" si="4"/>
        <v>16</v>
      </c>
    </row>
    <row r="301" spans="1:5" x14ac:dyDescent="0.35">
      <c r="A301" t="s">
        <v>7</v>
      </c>
      <c r="B301">
        <v>198</v>
      </c>
      <c r="C301" s="14">
        <v>97.186999999999998</v>
      </c>
      <c r="D301">
        <f>ROUNDUP(C301/GiaDinh!$C$4-0.0005,0)</f>
        <v>17</v>
      </c>
      <c r="E301">
        <f t="shared" si="4"/>
        <v>16</v>
      </c>
    </row>
    <row r="302" spans="1:5" x14ac:dyDescent="0.35">
      <c r="A302" t="s">
        <v>7</v>
      </c>
      <c r="B302">
        <v>199</v>
      </c>
      <c r="C302" s="14">
        <v>97.186999999999998</v>
      </c>
      <c r="D302">
        <f>ROUNDUP(C302/GiaDinh!$C$4-0.0005,0)</f>
        <v>17</v>
      </c>
      <c r="E302">
        <f t="shared" si="4"/>
        <v>16</v>
      </c>
    </row>
    <row r="303" spans="1:5" x14ac:dyDescent="0.35">
      <c r="A303" t="s">
        <v>7</v>
      </c>
      <c r="B303">
        <v>200</v>
      </c>
      <c r="C303" s="14">
        <v>97.186999999999998</v>
      </c>
      <c r="D303">
        <f>ROUNDUP(C303/GiaDinh!$C$4-0.0005,0)</f>
        <v>17</v>
      </c>
      <c r="E303">
        <f t="shared" si="4"/>
        <v>16</v>
      </c>
    </row>
    <row r="304" spans="1:5" x14ac:dyDescent="0.35">
      <c r="A304" t="s">
        <v>7</v>
      </c>
      <c r="B304">
        <v>201</v>
      </c>
      <c r="C304" s="14">
        <v>97.186999999999998</v>
      </c>
      <c r="D304">
        <f>ROUNDUP(C304/GiaDinh!$C$4-0.0005,0)</f>
        <v>17</v>
      </c>
      <c r="E304">
        <f t="shared" si="4"/>
        <v>16</v>
      </c>
    </row>
    <row r="305" spans="1:5" x14ac:dyDescent="0.35">
      <c r="A305" t="s">
        <v>7</v>
      </c>
      <c r="B305">
        <v>202</v>
      </c>
      <c r="C305" s="14">
        <v>97.186999999999998</v>
      </c>
      <c r="D305">
        <f>ROUNDUP(C305/GiaDinh!$C$4-0.0005,0)</f>
        <v>17</v>
      </c>
      <c r="E305">
        <f t="shared" si="4"/>
        <v>16</v>
      </c>
    </row>
    <row r="306" spans="1:5" x14ac:dyDescent="0.35">
      <c r="A306" t="s">
        <v>7</v>
      </c>
      <c r="B306">
        <v>203</v>
      </c>
      <c r="C306" s="14">
        <v>97.186999999999998</v>
      </c>
      <c r="D306">
        <f>ROUNDUP(C306/GiaDinh!$C$4-0.0005,0)</f>
        <v>17</v>
      </c>
      <c r="E306">
        <f t="shared" si="4"/>
        <v>16</v>
      </c>
    </row>
    <row r="307" spans="1:5" x14ac:dyDescent="0.35">
      <c r="A307" t="s">
        <v>7</v>
      </c>
      <c r="B307">
        <v>204</v>
      </c>
      <c r="C307" s="14">
        <v>97.186999999999998</v>
      </c>
      <c r="D307">
        <f>ROUNDUP(C307/GiaDinh!$C$4-0.0005,0)</f>
        <v>17</v>
      </c>
      <c r="E307">
        <f t="shared" si="4"/>
        <v>16</v>
      </c>
    </row>
    <row r="308" spans="1:5" x14ac:dyDescent="0.35">
      <c r="A308" t="s">
        <v>7</v>
      </c>
      <c r="B308">
        <v>205</v>
      </c>
      <c r="C308" s="14">
        <v>97.186999999999998</v>
      </c>
      <c r="D308">
        <f>ROUNDUP(C308/GiaDinh!$C$4-0.0005,0)</f>
        <v>17</v>
      </c>
      <c r="E308">
        <f t="shared" si="4"/>
        <v>16</v>
      </c>
    </row>
    <row r="309" spans="1:5" x14ac:dyDescent="0.35">
      <c r="A309" t="s">
        <v>7</v>
      </c>
      <c r="B309">
        <v>206</v>
      </c>
      <c r="C309" s="14">
        <v>97.186999999999998</v>
      </c>
      <c r="D309">
        <f>ROUNDUP(C309/GiaDinh!$C$4-0.0005,0)</f>
        <v>17</v>
      </c>
      <c r="E309">
        <f t="shared" si="4"/>
        <v>16</v>
      </c>
    </row>
    <row r="310" spans="1:5" x14ac:dyDescent="0.35">
      <c r="A310" t="s">
        <v>7</v>
      </c>
      <c r="B310">
        <v>207</v>
      </c>
      <c r="C310" s="14">
        <v>97.186999999999998</v>
      </c>
      <c r="D310">
        <f>ROUNDUP(C310/GiaDinh!$C$4-0.0005,0)</f>
        <v>17</v>
      </c>
      <c r="E310">
        <f t="shared" si="4"/>
        <v>16</v>
      </c>
    </row>
    <row r="311" spans="1:5" x14ac:dyDescent="0.35">
      <c r="A311" t="s">
        <v>7</v>
      </c>
      <c r="B311">
        <v>208</v>
      </c>
      <c r="C311" s="14">
        <v>97.186999999999998</v>
      </c>
      <c r="D311">
        <f>ROUNDUP(C311/GiaDinh!$C$4-0.0005,0)</f>
        <v>17</v>
      </c>
      <c r="E311">
        <f t="shared" si="4"/>
        <v>16</v>
      </c>
    </row>
    <row r="312" spans="1:5" x14ac:dyDescent="0.35">
      <c r="A312" t="s">
        <v>7</v>
      </c>
      <c r="B312">
        <v>209</v>
      </c>
      <c r="C312" s="14">
        <v>97.186999999999998</v>
      </c>
      <c r="D312">
        <f>ROUNDUP(C312/GiaDinh!$C$4-0.0005,0)</f>
        <v>17</v>
      </c>
      <c r="E312">
        <f t="shared" si="4"/>
        <v>16</v>
      </c>
    </row>
    <row r="313" spans="1:5" x14ac:dyDescent="0.35">
      <c r="A313" t="s">
        <v>7</v>
      </c>
      <c r="B313">
        <v>210</v>
      </c>
      <c r="C313" s="14">
        <v>97.186999999999998</v>
      </c>
      <c r="D313">
        <f>ROUNDUP(C313/GiaDinh!$C$4-0.0005,0)</f>
        <v>17</v>
      </c>
      <c r="E313">
        <f t="shared" si="4"/>
        <v>16</v>
      </c>
    </row>
    <row r="314" spans="1:5" x14ac:dyDescent="0.35">
      <c r="A314" t="s">
        <v>7</v>
      </c>
      <c r="B314">
        <v>211</v>
      </c>
      <c r="C314" s="14">
        <v>97.186999999999998</v>
      </c>
      <c r="D314">
        <f>ROUNDUP(C314/GiaDinh!$C$4-0.0005,0)</f>
        <v>17</v>
      </c>
      <c r="E314">
        <f t="shared" si="4"/>
        <v>16</v>
      </c>
    </row>
    <row r="315" spans="1:5" x14ac:dyDescent="0.35">
      <c r="A315" t="s">
        <v>7</v>
      </c>
      <c r="B315">
        <v>212</v>
      </c>
      <c r="C315" s="14">
        <v>97.186999999999998</v>
      </c>
      <c r="D315">
        <f>ROUNDUP(C315/GiaDinh!$C$4-0.0005,0)</f>
        <v>17</v>
      </c>
      <c r="E315">
        <f t="shared" si="4"/>
        <v>16</v>
      </c>
    </row>
    <row r="316" spans="1:5" x14ac:dyDescent="0.35">
      <c r="A316" t="s">
        <v>7</v>
      </c>
      <c r="B316">
        <v>213</v>
      </c>
      <c r="C316" s="14">
        <v>97.186999999999998</v>
      </c>
      <c r="D316">
        <f>ROUNDUP(C316/GiaDinh!$C$4-0.0005,0)</f>
        <v>17</v>
      </c>
      <c r="E316">
        <f t="shared" si="4"/>
        <v>16</v>
      </c>
    </row>
    <row r="317" spans="1:5" x14ac:dyDescent="0.35">
      <c r="A317" t="s">
        <v>7</v>
      </c>
      <c r="B317">
        <v>214</v>
      </c>
      <c r="C317" s="14">
        <v>97.186999999999998</v>
      </c>
      <c r="D317">
        <f>ROUNDUP(C317/GiaDinh!$C$4-0.0005,0)</f>
        <v>17</v>
      </c>
      <c r="E317">
        <f t="shared" si="4"/>
        <v>16</v>
      </c>
    </row>
    <row r="318" spans="1:5" x14ac:dyDescent="0.35">
      <c r="A318" t="s">
        <v>7</v>
      </c>
      <c r="B318">
        <v>215</v>
      </c>
      <c r="C318" s="14">
        <v>97.186999999999998</v>
      </c>
      <c r="D318">
        <f>ROUNDUP(C318/GiaDinh!$C$4-0.0005,0)</f>
        <v>17</v>
      </c>
      <c r="E318">
        <f t="shared" si="4"/>
        <v>16</v>
      </c>
    </row>
    <row r="319" spans="1:5" x14ac:dyDescent="0.35">
      <c r="A319" t="s">
        <v>7</v>
      </c>
      <c r="B319">
        <v>216</v>
      </c>
      <c r="C319" s="14">
        <v>97.186999999999998</v>
      </c>
      <c r="D319">
        <f>ROUNDUP(C319/GiaDinh!$C$4-0.0005,0)</f>
        <v>17</v>
      </c>
      <c r="E319">
        <f t="shared" si="4"/>
        <v>16</v>
      </c>
    </row>
    <row r="320" spans="1:5" x14ac:dyDescent="0.35">
      <c r="A320" t="s">
        <v>7</v>
      </c>
      <c r="B320">
        <v>217</v>
      </c>
      <c r="C320" s="14">
        <v>97.186999999999998</v>
      </c>
      <c r="D320">
        <f>ROUNDUP(C320/GiaDinh!$C$4-0.0005,0)</f>
        <v>17</v>
      </c>
      <c r="E320">
        <f t="shared" si="4"/>
        <v>16</v>
      </c>
    </row>
    <row r="321" spans="1:5" x14ac:dyDescent="0.35">
      <c r="A321" t="s">
        <v>7</v>
      </c>
      <c r="B321">
        <v>218</v>
      </c>
      <c r="C321" s="14">
        <v>97.186999999999998</v>
      </c>
      <c r="D321">
        <f>ROUNDUP(C321/GiaDinh!$C$4-0.0005,0)</f>
        <v>17</v>
      </c>
      <c r="E321">
        <f t="shared" si="4"/>
        <v>16</v>
      </c>
    </row>
    <row r="322" spans="1:5" x14ac:dyDescent="0.35">
      <c r="A322" t="s">
        <v>7</v>
      </c>
      <c r="B322">
        <v>219</v>
      </c>
      <c r="C322" s="14">
        <v>97.186999999999998</v>
      </c>
      <c r="D322">
        <f>ROUNDUP(C322/GiaDinh!$C$4-0.0005,0)</f>
        <v>17</v>
      </c>
      <c r="E322">
        <f t="shared" si="4"/>
        <v>16</v>
      </c>
    </row>
    <row r="323" spans="1:5" x14ac:dyDescent="0.35">
      <c r="A323" t="s">
        <v>7</v>
      </c>
      <c r="B323">
        <v>220</v>
      </c>
      <c r="C323" s="14">
        <v>97.186999999999998</v>
      </c>
      <c r="D323">
        <f>ROUNDUP(C323/GiaDinh!$C$4-0.0005,0)</f>
        <v>17</v>
      </c>
      <c r="E323">
        <f t="shared" si="4"/>
        <v>16</v>
      </c>
    </row>
    <row r="324" spans="1:5" x14ac:dyDescent="0.35">
      <c r="A324" t="s">
        <v>7</v>
      </c>
      <c r="B324">
        <v>221</v>
      </c>
      <c r="C324" s="14">
        <v>97.186999999999998</v>
      </c>
      <c r="D324">
        <f>ROUNDUP(C324/GiaDinh!$C$4-0.0005,0)</f>
        <v>17</v>
      </c>
      <c r="E324">
        <f t="shared" ref="E324:E387" si="5">D324-1</f>
        <v>16</v>
      </c>
    </row>
    <row r="325" spans="1:5" x14ac:dyDescent="0.35">
      <c r="A325" t="s">
        <v>7</v>
      </c>
      <c r="B325">
        <v>222</v>
      </c>
      <c r="C325" s="14">
        <v>97.186999999999998</v>
      </c>
      <c r="D325">
        <f>ROUNDUP(C325/GiaDinh!$C$4-0.0005,0)</f>
        <v>17</v>
      </c>
      <c r="E325">
        <f t="shared" si="5"/>
        <v>16</v>
      </c>
    </row>
    <row r="326" spans="1:5" x14ac:dyDescent="0.35">
      <c r="A326" t="s">
        <v>7</v>
      </c>
      <c r="B326">
        <v>223</v>
      </c>
      <c r="C326" s="14">
        <v>97.186999999999998</v>
      </c>
      <c r="D326">
        <f>ROUNDUP(C326/GiaDinh!$C$4-0.0005,0)</f>
        <v>17</v>
      </c>
      <c r="E326">
        <f t="shared" si="5"/>
        <v>16</v>
      </c>
    </row>
    <row r="327" spans="1:5" x14ac:dyDescent="0.35">
      <c r="A327" t="s">
        <v>7</v>
      </c>
      <c r="B327">
        <v>224</v>
      </c>
      <c r="C327" s="14">
        <v>97.186999999999998</v>
      </c>
      <c r="D327">
        <f>ROUNDUP(C327/GiaDinh!$C$4-0.0005,0)</f>
        <v>17</v>
      </c>
      <c r="E327">
        <f t="shared" si="5"/>
        <v>16</v>
      </c>
    </row>
    <row r="328" spans="1:5" x14ac:dyDescent="0.35">
      <c r="A328" t="s">
        <v>7</v>
      </c>
      <c r="B328">
        <v>225</v>
      </c>
      <c r="C328" s="14">
        <v>97.186999999999998</v>
      </c>
      <c r="D328">
        <f>ROUNDUP(C328/GiaDinh!$C$4-0.0005,0)</f>
        <v>17</v>
      </c>
      <c r="E328">
        <f t="shared" si="5"/>
        <v>16</v>
      </c>
    </row>
    <row r="329" spans="1:5" x14ac:dyDescent="0.35">
      <c r="A329" t="s">
        <v>7</v>
      </c>
      <c r="B329">
        <v>226</v>
      </c>
      <c r="C329" s="14">
        <v>97.186999999999998</v>
      </c>
      <c r="D329">
        <f>ROUNDUP(C329/GiaDinh!$C$4-0.0005,0)</f>
        <v>17</v>
      </c>
      <c r="E329">
        <f t="shared" si="5"/>
        <v>16</v>
      </c>
    </row>
    <row r="330" spans="1:5" x14ac:dyDescent="0.35">
      <c r="A330" t="s">
        <v>7</v>
      </c>
      <c r="B330">
        <v>227</v>
      </c>
      <c r="C330" s="14">
        <v>97.186999999999998</v>
      </c>
      <c r="D330">
        <f>ROUNDUP(C330/GiaDinh!$C$4-0.0005,0)</f>
        <v>17</v>
      </c>
      <c r="E330">
        <f t="shared" si="5"/>
        <v>16</v>
      </c>
    </row>
    <row r="331" spans="1:5" x14ac:dyDescent="0.35">
      <c r="A331" t="s">
        <v>7</v>
      </c>
      <c r="B331">
        <v>228</v>
      </c>
      <c r="C331" s="14">
        <v>97.186999999999998</v>
      </c>
      <c r="D331">
        <f>ROUNDUP(C331/GiaDinh!$C$4-0.0005,0)</f>
        <v>17</v>
      </c>
      <c r="E331">
        <f t="shared" si="5"/>
        <v>16</v>
      </c>
    </row>
    <row r="332" spans="1:5" x14ac:dyDescent="0.35">
      <c r="A332" t="s">
        <v>7</v>
      </c>
      <c r="B332">
        <v>229</v>
      </c>
      <c r="C332" s="14">
        <v>97.186999999999998</v>
      </c>
      <c r="D332">
        <f>ROUNDUP(C332/GiaDinh!$C$4-0.0005,0)</f>
        <v>17</v>
      </c>
      <c r="E332">
        <f t="shared" si="5"/>
        <v>16</v>
      </c>
    </row>
    <row r="333" spans="1:5" x14ac:dyDescent="0.35">
      <c r="A333" t="s">
        <v>7</v>
      </c>
      <c r="B333">
        <v>230</v>
      </c>
      <c r="C333" s="14">
        <v>97.186999999999998</v>
      </c>
      <c r="D333">
        <f>ROUNDUP(C333/GiaDinh!$C$4-0.0005,0)</f>
        <v>17</v>
      </c>
      <c r="E333">
        <f t="shared" si="5"/>
        <v>16</v>
      </c>
    </row>
    <row r="334" spans="1:5" x14ac:dyDescent="0.35">
      <c r="A334" t="s">
        <v>7</v>
      </c>
      <c r="B334">
        <v>231</v>
      </c>
      <c r="C334" s="14">
        <v>97.186999999999998</v>
      </c>
      <c r="D334">
        <f>ROUNDUP(C334/GiaDinh!$C$4-0.0005,0)</f>
        <v>17</v>
      </c>
      <c r="E334">
        <f t="shared" si="5"/>
        <v>16</v>
      </c>
    </row>
    <row r="335" spans="1:5" x14ac:dyDescent="0.35">
      <c r="A335" t="s">
        <v>7</v>
      </c>
      <c r="B335">
        <v>232</v>
      </c>
      <c r="C335" s="14">
        <v>97.186999999999998</v>
      </c>
      <c r="D335">
        <f>ROUNDUP(C335/GiaDinh!$C$4-0.0005,0)</f>
        <v>17</v>
      </c>
      <c r="E335">
        <f t="shared" si="5"/>
        <v>16</v>
      </c>
    </row>
    <row r="336" spans="1:5" x14ac:dyDescent="0.35">
      <c r="A336" t="s">
        <v>7</v>
      </c>
      <c r="B336">
        <v>233</v>
      </c>
      <c r="C336" s="14">
        <v>97.186999999999998</v>
      </c>
      <c r="D336">
        <f>ROUNDUP(C336/GiaDinh!$C$4-0.0005,0)</f>
        <v>17</v>
      </c>
      <c r="E336">
        <f t="shared" si="5"/>
        <v>16</v>
      </c>
    </row>
    <row r="337" spans="1:5" x14ac:dyDescent="0.35">
      <c r="A337" t="s">
        <v>7</v>
      </c>
      <c r="B337">
        <v>234</v>
      </c>
      <c r="C337" s="14">
        <v>97.186999999999998</v>
      </c>
      <c r="D337">
        <f>ROUNDUP(C337/GiaDinh!$C$4-0.0005,0)</f>
        <v>17</v>
      </c>
      <c r="E337">
        <f t="shared" si="5"/>
        <v>16</v>
      </c>
    </row>
    <row r="338" spans="1:5" x14ac:dyDescent="0.35">
      <c r="A338" t="s">
        <v>7</v>
      </c>
      <c r="B338">
        <v>235</v>
      </c>
      <c r="C338" s="14">
        <v>97.186999999999998</v>
      </c>
      <c r="D338">
        <f>ROUNDUP(C338/GiaDinh!$C$4-0.0005,0)</f>
        <v>17</v>
      </c>
      <c r="E338">
        <f t="shared" si="5"/>
        <v>16</v>
      </c>
    </row>
    <row r="339" spans="1:5" x14ac:dyDescent="0.35">
      <c r="A339" t="s">
        <v>7</v>
      </c>
      <c r="B339">
        <v>236</v>
      </c>
      <c r="C339" s="14">
        <v>97.186999999999998</v>
      </c>
      <c r="D339">
        <f>ROUNDUP(C339/GiaDinh!$C$4-0.0005,0)</f>
        <v>17</v>
      </c>
      <c r="E339">
        <f t="shared" si="5"/>
        <v>16</v>
      </c>
    </row>
    <row r="340" spans="1:5" x14ac:dyDescent="0.35">
      <c r="A340" t="s">
        <v>7</v>
      </c>
      <c r="B340">
        <v>237</v>
      </c>
      <c r="C340" s="14">
        <v>97.186999999999998</v>
      </c>
      <c r="D340">
        <f>ROUNDUP(C340/GiaDinh!$C$4-0.0005,0)</f>
        <v>17</v>
      </c>
      <c r="E340">
        <f t="shared" si="5"/>
        <v>16</v>
      </c>
    </row>
    <row r="341" spans="1:5" x14ac:dyDescent="0.35">
      <c r="A341" t="s">
        <v>7</v>
      </c>
      <c r="B341">
        <v>238</v>
      </c>
      <c r="C341" s="14">
        <v>97.186999999999998</v>
      </c>
      <c r="D341">
        <f>ROUNDUP(C341/GiaDinh!$C$4-0.0005,0)</f>
        <v>17</v>
      </c>
      <c r="E341">
        <f t="shared" si="5"/>
        <v>16</v>
      </c>
    </row>
    <row r="342" spans="1:5" x14ac:dyDescent="0.35">
      <c r="A342" t="s">
        <v>7</v>
      </c>
      <c r="B342">
        <v>239</v>
      </c>
      <c r="C342" s="14">
        <v>97.186999999999998</v>
      </c>
      <c r="D342">
        <f>ROUNDUP(C342/GiaDinh!$C$4-0.0005,0)</f>
        <v>17</v>
      </c>
      <c r="E342">
        <f t="shared" si="5"/>
        <v>16</v>
      </c>
    </row>
    <row r="343" spans="1:5" x14ac:dyDescent="0.35">
      <c r="A343" t="s">
        <v>7</v>
      </c>
      <c r="B343">
        <v>240</v>
      </c>
      <c r="C343" s="14">
        <v>97.186999999999998</v>
      </c>
      <c r="D343">
        <f>ROUNDUP(C343/GiaDinh!$C$4-0.0005,0)</f>
        <v>17</v>
      </c>
      <c r="E343">
        <f t="shared" si="5"/>
        <v>16</v>
      </c>
    </row>
    <row r="344" spans="1:5" x14ac:dyDescent="0.35">
      <c r="A344" t="s">
        <v>7</v>
      </c>
      <c r="B344">
        <v>241</v>
      </c>
      <c r="C344" s="14">
        <v>97.186999999999998</v>
      </c>
      <c r="D344">
        <f>ROUNDUP(C344/GiaDinh!$C$4-0.0005,0)</f>
        <v>17</v>
      </c>
      <c r="E344">
        <f t="shared" si="5"/>
        <v>16</v>
      </c>
    </row>
    <row r="345" spans="1:5" x14ac:dyDescent="0.35">
      <c r="A345" t="s">
        <v>7</v>
      </c>
      <c r="B345">
        <v>242</v>
      </c>
      <c r="C345" s="14">
        <v>97.186999999999998</v>
      </c>
      <c r="D345">
        <f>ROUNDUP(C345/GiaDinh!$C$4-0.0005,0)</f>
        <v>17</v>
      </c>
      <c r="E345">
        <f t="shared" si="5"/>
        <v>16</v>
      </c>
    </row>
    <row r="346" spans="1:5" x14ac:dyDescent="0.35">
      <c r="A346" t="s">
        <v>7</v>
      </c>
      <c r="B346">
        <v>243</v>
      </c>
      <c r="C346" s="14">
        <v>97.186999999999998</v>
      </c>
      <c r="D346">
        <f>ROUNDUP(C346/GiaDinh!$C$4-0.0005,0)</f>
        <v>17</v>
      </c>
      <c r="E346">
        <f t="shared" si="5"/>
        <v>16</v>
      </c>
    </row>
    <row r="347" spans="1:5" x14ac:dyDescent="0.35">
      <c r="A347" t="s">
        <v>7</v>
      </c>
      <c r="B347">
        <v>244</v>
      </c>
      <c r="C347" s="14">
        <v>97.186999999999998</v>
      </c>
      <c r="D347">
        <f>ROUNDUP(C347/GiaDinh!$C$4-0.0005,0)</f>
        <v>17</v>
      </c>
      <c r="E347">
        <f t="shared" si="5"/>
        <v>16</v>
      </c>
    </row>
    <row r="348" spans="1:5" x14ac:dyDescent="0.35">
      <c r="A348" t="s">
        <v>8</v>
      </c>
      <c r="B348">
        <v>1</v>
      </c>
      <c r="C348" s="14">
        <v>101.125</v>
      </c>
      <c r="D348">
        <f>ROUNDUP(C348/GiaDinh!$C$4-0.0005,0)</f>
        <v>17</v>
      </c>
      <c r="E348">
        <f t="shared" si="5"/>
        <v>16</v>
      </c>
    </row>
    <row r="349" spans="1:5" x14ac:dyDescent="0.35">
      <c r="A349" t="s">
        <v>8</v>
      </c>
      <c r="B349">
        <v>2</v>
      </c>
      <c r="C349" s="14">
        <v>101.125</v>
      </c>
      <c r="D349">
        <f>ROUNDUP(C349/GiaDinh!$C$4-0.0005,0)</f>
        <v>17</v>
      </c>
      <c r="E349">
        <f t="shared" si="5"/>
        <v>16</v>
      </c>
    </row>
    <row r="350" spans="1:5" x14ac:dyDescent="0.35">
      <c r="A350" t="s">
        <v>8</v>
      </c>
      <c r="B350">
        <v>3</v>
      </c>
      <c r="C350" s="14">
        <v>101.125</v>
      </c>
      <c r="D350">
        <f>ROUNDUP(C350/GiaDinh!$C$4-0.0005,0)</f>
        <v>17</v>
      </c>
      <c r="E350">
        <f t="shared" si="5"/>
        <v>16</v>
      </c>
    </row>
    <row r="351" spans="1:5" x14ac:dyDescent="0.35">
      <c r="A351" t="s">
        <v>8</v>
      </c>
      <c r="B351">
        <v>4</v>
      </c>
      <c r="C351" s="14">
        <v>101.125</v>
      </c>
      <c r="D351">
        <f>ROUNDUP(C351/GiaDinh!$C$4-0.0005,0)</f>
        <v>17</v>
      </c>
      <c r="E351">
        <f t="shared" si="5"/>
        <v>16</v>
      </c>
    </row>
    <row r="352" spans="1:5" x14ac:dyDescent="0.35">
      <c r="A352" t="s">
        <v>8</v>
      </c>
      <c r="B352">
        <v>5</v>
      </c>
      <c r="C352" s="14">
        <v>101.125</v>
      </c>
      <c r="D352">
        <f>ROUNDUP(C352/GiaDinh!$C$4-0.0005,0)</f>
        <v>17</v>
      </c>
      <c r="E352">
        <f t="shared" si="5"/>
        <v>16</v>
      </c>
    </row>
    <row r="353" spans="1:5" x14ac:dyDescent="0.35">
      <c r="A353" t="s">
        <v>8</v>
      </c>
      <c r="B353">
        <v>6</v>
      </c>
      <c r="C353" s="14">
        <v>101.125</v>
      </c>
      <c r="D353">
        <f>ROUNDUP(C353/GiaDinh!$C$4-0.0005,0)</f>
        <v>17</v>
      </c>
      <c r="E353">
        <f t="shared" si="5"/>
        <v>16</v>
      </c>
    </row>
    <row r="354" spans="1:5" x14ac:dyDescent="0.35">
      <c r="A354" t="s">
        <v>8</v>
      </c>
      <c r="B354">
        <v>7</v>
      </c>
      <c r="C354" s="14">
        <v>101.125</v>
      </c>
      <c r="D354">
        <f>ROUNDUP(C354/GiaDinh!$C$4-0.0005,0)</f>
        <v>17</v>
      </c>
      <c r="E354">
        <f t="shared" si="5"/>
        <v>16</v>
      </c>
    </row>
    <row r="355" spans="1:5" x14ac:dyDescent="0.35">
      <c r="A355" t="s">
        <v>8</v>
      </c>
      <c r="B355">
        <v>8</v>
      </c>
      <c r="C355" s="14">
        <v>101.125</v>
      </c>
      <c r="D355">
        <f>ROUNDUP(C355/GiaDinh!$C$4-0.0005,0)</f>
        <v>17</v>
      </c>
      <c r="E355">
        <f t="shared" si="5"/>
        <v>16</v>
      </c>
    </row>
    <row r="356" spans="1:5" x14ac:dyDescent="0.35">
      <c r="A356" t="s">
        <v>8</v>
      </c>
      <c r="B356">
        <v>9</v>
      </c>
      <c r="C356" s="14">
        <v>101.125</v>
      </c>
      <c r="D356">
        <f>ROUNDUP(C356/GiaDinh!$C$4-0.0005,0)</f>
        <v>17</v>
      </c>
      <c r="E356">
        <f t="shared" si="5"/>
        <v>16</v>
      </c>
    </row>
    <row r="357" spans="1:5" x14ac:dyDescent="0.35">
      <c r="A357" t="s">
        <v>8</v>
      </c>
      <c r="B357">
        <v>10</v>
      </c>
      <c r="C357" s="14">
        <v>101.125</v>
      </c>
      <c r="D357">
        <f>ROUNDUP(C357/GiaDinh!$C$4-0.0005,0)</f>
        <v>17</v>
      </c>
      <c r="E357">
        <f t="shared" si="5"/>
        <v>16</v>
      </c>
    </row>
    <row r="358" spans="1:5" x14ac:dyDescent="0.35">
      <c r="A358" t="s">
        <v>8</v>
      </c>
      <c r="B358">
        <v>11</v>
      </c>
      <c r="C358" s="14">
        <v>101.125</v>
      </c>
      <c r="D358">
        <f>ROUNDUP(C358/GiaDinh!$C$4-0.0005,0)</f>
        <v>17</v>
      </c>
      <c r="E358">
        <f t="shared" si="5"/>
        <v>16</v>
      </c>
    </row>
    <row r="359" spans="1:5" x14ac:dyDescent="0.35">
      <c r="A359" t="s">
        <v>8</v>
      </c>
      <c r="B359">
        <v>12</v>
      </c>
      <c r="C359" s="14">
        <v>101.125</v>
      </c>
      <c r="D359">
        <f>ROUNDUP(C359/GiaDinh!$C$4-0.0005,0)</f>
        <v>17</v>
      </c>
      <c r="E359">
        <f t="shared" si="5"/>
        <v>16</v>
      </c>
    </row>
    <row r="360" spans="1:5" x14ac:dyDescent="0.35">
      <c r="A360" t="s">
        <v>8</v>
      </c>
      <c r="B360">
        <v>13</v>
      </c>
      <c r="C360" s="14">
        <v>101.125</v>
      </c>
      <c r="D360">
        <f>ROUNDUP(C360/GiaDinh!$C$4-0.0005,0)</f>
        <v>17</v>
      </c>
      <c r="E360">
        <f t="shared" si="5"/>
        <v>16</v>
      </c>
    </row>
    <row r="361" spans="1:5" x14ac:dyDescent="0.35">
      <c r="A361" t="s">
        <v>8</v>
      </c>
      <c r="B361">
        <v>14</v>
      </c>
      <c r="C361" s="14">
        <v>101.125</v>
      </c>
      <c r="D361">
        <f>ROUNDUP(C361/GiaDinh!$C$4-0.0005,0)</f>
        <v>17</v>
      </c>
      <c r="E361">
        <f t="shared" si="5"/>
        <v>16</v>
      </c>
    </row>
    <row r="362" spans="1:5" x14ac:dyDescent="0.35">
      <c r="A362" t="s">
        <v>8</v>
      </c>
      <c r="B362">
        <v>15</v>
      </c>
      <c r="C362" s="14">
        <v>101.125</v>
      </c>
      <c r="D362">
        <f>ROUNDUP(C362/GiaDinh!$C$4-0.0005,0)</f>
        <v>17</v>
      </c>
      <c r="E362">
        <f t="shared" si="5"/>
        <v>16</v>
      </c>
    </row>
    <row r="363" spans="1:5" x14ac:dyDescent="0.35">
      <c r="A363" t="s">
        <v>8</v>
      </c>
      <c r="B363">
        <v>16</v>
      </c>
      <c r="C363" s="14">
        <v>101.125</v>
      </c>
      <c r="D363">
        <f>ROUNDUP(C363/GiaDinh!$C$4-0.0005,0)</f>
        <v>17</v>
      </c>
      <c r="E363">
        <f t="shared" si="5"/>
        <v>16</v>
      </c>
    </row>
    <row r="364" spans="1:5" x14ac:dyDescent="0.35">
      <c r="A364" t="s">
        <v>8</v>
      </c>
      <c r="B364">
        <v>17</v>
      </c>
      <c r="C364" s="14">
        <v>101.125</v>
      </c>
      <c r="D364">
        <f>ROUNDUP(C364/GiaDinh!$C$4-0.0005,0)</f>
        <v>17</v>
      </c>
      <c r="E364">
        <f t="shared" si="5"/>
        <v>16</v>
      </c>
    </row>
    <row r="365" spans="1:5" x14ac:dyDescent="0.35">
      <c r="A365" t="s">
        <v>8</v>
      </c>
      <c r="B365">
        <v>18</v>
      </c>
      <c r="C365" s="14">
        <v>101.125</v>
      </c>
      <c r="D365">
        <f>ROUNDUP(C365/GiaDinh!$C$4-0.0005,0)</f>
        <v>17</v>
      </c>
      <c r="E365">
        <f t="shared" si="5"/>
        <v>16</v>
      </c>
    </row>
    <row r="366" spans="1:5" x14ac:dyDescent="0.35">
      <c r="A366" t="s">
        <v>8</v>
      </c>
      <c r="B366">
        <v>19</v>
      </c>
      <c r="C366" s="14">
        <v>101.125</v>
      </c>
      <c r="D366">
        <f>ROUNDUP(C366/GiaDinh!$C$4-0.0005,0)</f>
        <v>17</v>
      </c>
      <c r="E366">
        <f t="shared" si="5"/>
        <v>16</v>
      </c>
    </row>
    <row r="367" spans="1:5" x14ac:dyDescent="0.35">
      <c r="A367" t="s">
        <v>8</v>
      </c>
      <c r="B367">
        <v>20</v>
      </c>
      <c r="C367" s="14">
        <v>101.125</v>
      </c>
      <c r="D367">
        <f>ROUNDUP(C367/GiaDinh!$C$4-0.0005,0)</f>
        <v>17</v>
      </c>
      <c r="E367">
        <f t="shared" si="5"/>
        <v>16</v>
      </c>
    </row>
    <row r="368" spans="1:5" x14ac:dyDescent="0.35">
      <c r="A368" t="s">
        <v>8</v>
      </c>
      <c r="B368">
        <v>21</v>
      </c>
      <c r="C368" s="14">
        <v>101.125</v>
      </c>
      <c r="D368">
        <f>ROUNDUP(C368/GiaDinh!$C$4-0.0005,0)</f>
        <v>17</v>
      </c>
      <c r="E368">
        <f t="shared" si="5"/>
        <v>16</v>
      </c>
    </row>
    <row r="369" spans="1:5" x14ac:dyDescent="0.35">
      <c r="A369" t="s">
        <v>8</v>
      </c>
      <c r="B369">
        <v>22</v>
      </c>
      <c r="C369" s="14">
        <v>101.125</v>
      </c>
      <c r="D369">
        <f>ROUNDUP(C369/GiaDinh!$C$4-0.0005,0)</f>
        <v>17</v>
      </c>
      <c r="E369">
        <f t="shared" si="5"/>
        <v>16</v>
      </c>
    </row>
    <row r="370" spans="1:5" x14ac:dyDescent="0.35">
      <c r="A370" t="s">
        <v>8</v>
      </c>
      <c r="B370">
        <v>23</v>
      </c>
      <c r="C370" s="14">
        <v>101.125</v>
      </c>
      <c r="D370">
        <f>ROUNDUP(C370/GiaDinh!$C$4-0.0005,0)</f>
        <v>17</v>
      </c>
      <c r="E370">
        <f t="shared" si="5"/>
        <v>16</v>
      </c>
    </row>
    <row r="371" spans="1:5" x14ac:dyDescent="0.35">
      <c r="A371" t="s">
        <v>8</v>
      </c>
      <c r="B371">
        <v>24</v>
      </c>
      <c r="C371" s="14">
        <v>101.125</v>
      </c>
      <c r="D371">
        <f>ROUNDUP(C371/GiaDinh!$C$4-0.0005,0)</f>
        <v>17</v>
      </c>
      <c r="E371">
        <f t="shared" si="5"/>
        <v>16</v>
      </c>
    </row>
    <row r="372" spans="1:5" x14ac:dyDescent="0.35">
      <c r="A372" t="s">
        <v>8</v>
      </c>
      <c r="B372">
        <v>25</v>
      </c>
      <c r="C372" s="14">
        <v>101.125</v>
      </c>
      <c r="D372">
        <f>ROUNDUP(C372/GiaDinh!$C$4-0.0005,0)</f>
        <v>17</v>
      </c>
      <c r="E372">
        <f t="shared" si="5"/>
        <v>16</v>
      </c>
    </row>
    <row r="373" spans="1:5" x14ac:dyDescent="0.35">
      <c r="A373" t="s">
        <v>8</v>
      </c>
      <c r="B373">
        <v>26</v>
      </c>
      <c r="C373" s="14">
        <v>101.125</v>
      </c>
      <c r="D373">
        <f>ROUNDUP(C373/GiaDinh!$C$4-0.0005,0)</f>
        <v>17</v>
      </c>
      <c r="E373">
        <f t="shared" si="5"/>
        <v>16</v>
      </c>
    </row>
    <row r="374" spans="1:5" x14ac:dyDescent="0.35">
      <c r="A374" t="s">
        <v>8</v>
      </c>
      <c r="B374">
        <v>27</v>
      </c>
      <c r="C374" s="14">
        <v>101.125</v>
      </c>
      <c r="D374">
        <f>ROUNDUP(C374/GiaDinh!$C$4-0.0005,0)</f>
        <v>17</v>
      </c>
      <c r="E374">
        <f t="shared" si="5"/>
        <v>16</v>
      </c>
    </row>
    <row r="375" spans="1:5" x14ac:dyDescent="0.35">
      <c r="A375" t="s">
        <v>8</v>
      </c>
      <c r="B375">
        <v>28</v>
      </c>
      <c r="C375" s="14">
        <v>101.125</v>
      </c>
      <c r="D375">
        <f>ROUNDUP(C375/GiaDinh!$C$4-0.0005,0)</f>
        <v>17</v>
      </c>
      <c r="E375">
        <f t="shared" si="5"/>
        <v>16</v>
      </c>
    </row>
    <row r="376" spans="1:5" x14ac:dyDescent="0.35">
      <c r="A376" t="s">
        <v>8</v>
      </c>
      <c r="B376">
        <v>29</v>
      </c>
      <c r="C376" s="14">
        <v>101.125</v>
      </c>
      <c r="D376">
        <f>ROUNDUP(C376/GiaDinh!$C$4-0.0005,0)</f>
        <v>17</v>
      </c>
      <c r="E376">
        <f t="shared" si="5"/>
        <v>16</v>
      </c>
    </row>
    <row r="377" spans="1:5" x14ac:dyDescent="0.35">
      <c r="A377" t="s">
        <v>8</v>
      </c>
      <c r="B377">
        <v>30</v>
      </c>
      <c r="C377" s="14">
        <v>101.125</v>
      </c>
      <c r="D377">
        <f>ROUNDUP(C377/GiaDinh!$C$4-0.0005,0)</f>
        <v>17</v>
      </c>
      <c r="E377">
        <f t="shared" si="5"/>
        <v>16</v>
      </c>
    </row>
    <row r="378" spans="1:5" x14ac:dyDescent="0.35">
      <c r="A378" t="s">
        <v>8</v>
      </c>
      <c r="B378">
        <v>31</v>
      </c>
      <c r="C378" s="14">
        <v>101.125</v>
      </c>
      <c r="D378">
        <f>ROUNDUP(C378/GiaDinh!$C$4-0.0005,0)</f>
        <v>17</v>
      </c>
      <c r="E378">
        <f t="shared" si="5"/>
        <v>16</v>
      </c>
    </row>
    <row r="379" spans="1:5" x14ac:dyDescent="0.35">
      <c r="A379" t="s">
        <v>8</v>
      </c>
      <c r="B379">
        <v>32</v>
      </c>
      <c r="C379" s="14">
        <v>101.125</v>
      </c>
      <c r="D379">
        <f>ROUNDUP(C379/GiaDinh!$C$4-0.0005,0)</f>
        <v>17</v>
      </c>
      <c r="E379">
        <f t="shared" si="5"/>
        <v>16</v>
      </c>
    </row>
    <row r="380" spans="1:5" x14ac:dyDescent="0.35">
      <c r="A380" t="s">
        <v>9</v>
      </c>
      <c r="B380">
        <v>1</v>
      </c>
      <c r="C380" s="14">
        <v>127.021</v>
      </c>
      <c r="D380">
        <f>ROUNDUP(C380/GiaDinh!$C$4-0.0005,0)</f>
        <v>22</v>
      </c>
      <c r="E380">
        <f t="shared" si="5"/>
        <v>21</v>
      </c>
    </row>
    <row r="381" spans="1:5" x14ac:dyDescent="0.35">
      <c r="A381" t="s">
        <v>9</v>
      </c>
      <c r="B381">
        <v>2</v>
      </c>
      <c r="C381" s="14">
        <v>127.02500000000001</v>
      </c>
      <c r="D381">
        <f>ROUNDUP(C381/GiaDinh!$C$4-0.0005,0)</f>
        <v>22</v>
      </c>
      <c r="E381">
        <f t="shared" si="5"/>
        <v>21</v>
      </c>
    </row>
    <row r="382" spans="1:5" x14ac:dyDescent="0.35">
      <c r="A382" t="s">
        <v>9</v>
      </c>
      <c r="B382">
        <v>3</v>
      </c>
      <c r="C382" s="14">
        <v>127.02800000000001</v>
      </c>
      <c r="D382">
        <f>ROUNDUP(C382/GiaDinh!$C$4-0.0005,0)</f>
        <v>22</v>
      </c>
      <c r="E382">
        <f t="shared" si="5"/>
        <v>21</v>
      </c>
    </row>
    <row r="383" spans="1:5" x14ac:dyDescent="0.35">
      <c r="A383" t="s">
        <v>9</v>
      </c>
      <c r="B383">
        <v>4</v>
      </c>
      <c r="C383" s="14">
        <v>127.032</v>
      </c>
      <c r="D383">
        <f>ROUNDUP(C383/GiaDinh!$C$4-0.0005,0)</f>
        <v>22</v>
      </c>
      <c r="E383">
        <f t="shared" si="5"/>
        <v>21</v>
      </c>
    </row>
    <row r="384" spans="1:5" x14ac:dyDescent="0.35">
      <c r="A384" t="s">
        <v>9</v>
      </c>
      <c r="B384">
        <v>5</v>
      </c>
      <c r="C384" s="14">
        <v>127.035</v>
      </c>
      <c r="D384">
        <f>ROUNDUP(C384/GiaDinh!$C$4-0.0005,0)</f>
        <v>22</v>
      </c>
      <c r="E384">
        <f t="shared" si="5"/>
        <v>21</v>
      </c>
    </row>
    <row r="385" spans="1:5" x14ac:dyDescent="0.35">
      <c r="A385" t="s">
        <v>9</v>
      </c>
      <c r="B385">
        <v>6</v>
      </c>
      <c r="C385" s="14">
        <v>127.039</v>
      </c>
      <c r="D385">
        <f>ROUNDUP(C385/GiaDinh!$C$4-0.0005,0)</f>
        <v>22</v>
      </c>
      <c r="E385">
        <f t="shared" si="5"/>
        <v>21</v>
      </c>
    </row>
    <row r="386" spans="1:5" x14ac:dyDescent="0.35">
      <c r="A386" t="s">
        <v>9</v>
      </c>
      <c r="B386">
        <v>7</v>
      </c>
      <c r="C386" s="14">
        <v>127.042</v>
      </c>
      <c r="D386">
        <f>ROUNDUP(C386/GiaDinh!$C$4-0.0005,0)</f>
        <v>22</v>
      </c>
      <c r="E386">
        <f t="shared" si="5"/>
        <v>21</v>
      </c>
    </row>
    <row r="387" spans="1:5" x14ac:dyDescent="0.35">
      <c r="A387" t="s">
        <v>9</v>
      </c>
      <c r="B387">
        <v>8</v>
      </c>
      <c r="C387" s="14">
        <v>127.04600000000001</v>
      </c>
      <c r="D387">
        <f>ROUNDUP(C387/GiaDinh!$C$4-0.0005,0)</f>
        <v>22</v>
      </c>
      <c r="E387">
        <f t="shared" si="5"/>
        <v>21</v>
      </c>
    </row>
    <row r="388" spans="1:5" x14ac:dyDescent="0.35">
      <c r="A388" t="s">
        <v>9</v>
      </c>
      <c r="B388">
        <v>9</v>
      </c>
      <c r="C388" s="14">
        <v>127.04900000000001</v>
      </c>
      <c r="D388">
        <f>ROUNDUP(C388/GiaDinh!$C$4-0.0005,0)</f>
        <v>22</v>
      </c>
      <c r="E388">
        <f t="shared" ref="E388:E451" si="6">D388-1</f>
        <v>21</v>
      </c>
    </row>
    <row r="389" spans="1:5" x14ac:dyDescent="0.35">
      <c r="A389" t="s">
        <v>9</v>
      </c>
      <c r="B389">
        <v>10</v>
      </c>
      <c r="C389" s="14">
        <v>127.053</v>
      </c>
      <c r="D389">
        <f>ROUNDUP(C389/GiaDinh!$C$4-0.0005,0)</f>
        <v>22</v>
      </c>
      <c r="E389">
        <f t="shared" si="6"/>
        <v>21</v>
      </c>
    </row>
    <row r="390" spans="1:5" x14ac:dyDescent="0.35">
      <c r="A390" t="s">
        <v>9</v>
      </c>
      <c r="B390">
        <v>11</v>
      </c>
      <c r="C390" s="14">
        <v>127.056</v>
      </c>
      <c r="D390">
        <f>ROUNDUP(C390/GiaDinh!$C$4-0.0005,0)</f>
        <v>22</v>
      </c>
      <c r="E390">
        <f t="shared" si="6"/>
        <v>21</v>
      </c>
    </row>
    <row r="391" spans="1:5" x14ac:dyDescent="0.35">
      <c r="A391" t="s">
        <v>9</v>
      </c>
      <c r="B391">
        <v>12</v>
      </c>
      <c r="C391" s="14">
        <v>127.059</v>
      </c>
      <c r="D391">
        <f>ROUNDUP(C391/GiaDinh!$C$4-0.0005,0)</f>
        <v>22</v>
      </c>
      <c r="E391">
        <f t="shared" si="6"/>
        <v>21</v>
      </c>
    </row>
    <row r="392" spans="1:5" x14ac:dyDescent="0.35">
      <c r="A392" t="s">
        <v>9</v>
      </c>
      <c r="B392">
        <v>13</v>
      </c>
      <c r="C392" s="14">
        <v>127.063</v>
      </c>
      <c r="D392">
        <f>ROUNDUP(C392/GiaDinh!$C$4-0.0005,0)</f>
        <v>22</v>
      </c>
      <c r="E392">
        <f t="shared" si="6"/>
        <v>21</v>
      </c>
    </row>
    <row r="393" spans="1:5" x14ac:dyDescent="0.35">
      <c r="A393" t="s">
        <v>9</v>
      </c>
      <c r="B393">
        <v>14</v>
      </c>
      <c r="C393" s="14">
        <v>127.066</v>
      </c>
      <c r="D393">
        <f>ROUNDUP(C393/GiaDinh!$C$4-0.0005,0)</f>
        <v>22</v>
      </c>
      <c r="E393">
        <f t="shared" si="6"/>
        <v>21</v>
      </c>
    </row>
    <row r="394" spans="1:5" x14ac:dyDescent="0.35">
      <c r="A394" t="s">
        <v>9</v>
      </c>
      <c r="B394">
        <v>15</v>
      </c>
      <c r="C394" s="14">
        <v>127.069</v>
      </c>
      <c r="D394">
        <f>ROUNDUP(C394/GiaDinh!$C$4-0.0005,0)</f>
        <v>22</v>
      </c>
      <c r="E394">
        <f t="shared" si="6"/>
        <v>21</v>
      </c>
    </row>
    <row r="395" spans="1:5" x14ac:dyDescent="0.35">
      <c r="A395" t="s">
        <v>9</v>
      </c>
      <c r="B395">
        <v>16</v>
      </c>
      <c r="C395" s="14">
        <v>127.07299999999999</v>
      </c>
      <c r="D395">
        <f>ROUNDUP(C395/GiaDinh!$C$4-0.0005,0)</f>
        <v>22</v>
      </c>
      <c r="E395">
        <f t="shared" si="6"/>
        <v>21</v>
      </c>
    </row>
    <row r="396" spans="1:5" x14ac:dyDescent="0.35">
      <c r="A396" t="s">
        <v>9</v>
      </c>
      <c r="B396">
        <v>17</v>
      </c>
      <c r="C396" s="14">
        <v>127.07599999999999</v>
      </c>
      <c r="D396">
        <f>ROUNDUP(C396/GiaDinh!$C$4-0.0005,0)</f>
        <v>22</v>
      </c>
      <c r="E396">
        <f t="shared" si="6"/>
        <v>21</v>
      </c>
    </row>
    <row r="397" spans="1:5" x14ac:dyDescent="0.35">
      <c r="A397" t="s">
        <v>9</v>
      </c>
      <c r="B397">
        <v>18</v>
      </c>
      <c r="C397" s="14">
        <v>127.08</v>
      </c>
      <c r="D397">
        <f>ROUNDUP(C397/GiaDinh!$C$4-0.0005,0)</f>
        <v>22</v>
      </c>
      <c r="E397">
        <f t="shared" si="6"/>
        <v>21</v>
      </c>
    </row>
    <row r="398" spans="1:5" x14ac:dyDescent="0.35">
      <c r="A398" t="s">
        <v>9</v>
      </c>
      <c r="B398">
        <v>19</v>
      </c>
      <c r="C398" s="14">
        <v>127.083</v>
      </c>
      <c r="D398">
        <f>ROUNDUP(C398/GiaDinh!$C$4-0.0005,0)</f>
        <v>22</v>
      </c>
      <c r="E398">
        <f t="shared" si="6"/>
        <v>21</v>
      </c>
    </row>
    <row r="399" spans="1:5" x14ac:dyDescent="0.35">
      <c r="A399" t="s">
        <v>9</v>
      </c>
      <c r="B399">
        <v>20</v>
      </c>
      <c r="C399" s="14">
        <v>127.087</v>
      </c>
      <c r="D399">
        <f>ROUNDUP(C399/GiaDinh!$C$4-0.0005,0)</f>
        <v>22</v>
      </c>
      <c r="E399">
        <f t="shared" si="6"/>
        <v>21</v>
      </c>
    </row>
    <row r="400" spans="1:5" x14ac:dyDescent="0.35">
      <c r="A400" t="s">
        <v>9</v>
      </c>
      <c r="B400">
        <v>21</v>
      </c>
      <c r="C400" s="14">
        <v>127.09</v>
      </c>
      <c r="D400">
        <f>ROUNDUP(C400/GiaDinh!$C$4-0.0005,0)</f>
        <v>22</v>
      </c>
      <c r="E400">
        <f t="shared" si="6"/>
        <v>21</v>
      </c>
    </row>
    <row r="401" spans="1:5" x14ac:dyDescent="0.35">
      <c r="A401" t="s">
        <v>9</v>
      </c>
      <c r="B401">
        <v>22</v>
      </c>
      <c r="C401" s="14">
        <v>127.09399999999999</v>
      </c>
      <c r="D401">
        <f>ROUNDUP(C401/GiaDinh!$C$4-0.0005,0)</f>
        <v>22</v>
      </c>
      <c r="E401">
        <f t="shared" si="6"/>
        <v>21</v>
      </c>
    </row>
    <row r="402" spans="1:5" x14ac:dyDescent="0.35">
      <c r="A402" t="s">
        <v>9</v>
      </c>
      <c r="B402">
        <v>23</v>
      </c>
      <c r="C402" s="14">
        <v>127.09699999999999</v>
      </c>
      <c r="D402">
        <f>ROUNDUP(C402/GiaDinh!$C$4-0.0005,0)</f>
        <v>22</v>
      </c>
      <c r="E402">
        <f t="shared" si="6"/>
        <v>21</v>
      </c>
    </row>
    <row r="403" spans="1:5" x14ac:dyDescent="0.35">
      <c r="A403" t="s">
        <v>9</v>
      </c>
      <c r="B403">
        <v>24</v>
      </c>
      <c r="C403" s="14">
        <v>127.101</v>
      </c>
      <c r="D403">
        <f>ROUNDUP(C403/GiaDinh!$C$4-0.0005,0)</f>
        <v>22</v>
      </c>
      <c r="E403">
        <f t="shared" si="6"/>
        <v>21</v>
      </c>
    </row>
    <row r="404" spans="1:5" x14ac:dyDescent="0.35">
      <c r="A404" t="s">
        <v>9</v>
      </c>
      <c r="B404">
        <v>25</v>
      </c>
      <c r="C404" s="14">
        <v>127.104</v>
      </c>
      <c r="D404">
        <f>ROUNDUP(C404/GiaDinh!$C$4-0.0005,0)</f>
        <v>22</v>
      </c>
      <c r="E404">
        <f t="shared" si="6"/>
        <v>21</v>
      </c>
    </row>
    <row r="405" spans="1:5" x14ac:dyDescent="0.35">
      <c r="A405" t="s">
        <v>9</v>
      </c>
      <c r="B405">
        <v>26</v>
      </c>
      <c r="C405" s="14">
        <v>127.108</v>
      </c>
      <c r="D405">
        <f>ROUNDUP(C405/GiaDinh!$C$4-0.0005,0)</f>
        <v>22</v>
      </c>
      <c r="E405">
        <f t="shared" si="6"/>
        <v>21</v>
      </c>
    </row>
    <row r="406" spans="1:5" x14ac:dyDescent="0.35">
      <c r="A406" t="s">
        <v>9</v>
      </c>
      <c r="B406">
        <v>27</v>
      </c>
      <c r="C406" s="14">
        <v>127.11</v>
      </c>
      <c r="D406">
        <f>ROUNDUP(C406/GiaDinh!$C$4-0.0005,0)</f>
        <v>22</v>
      </c>
      <c r="E406">
        <f t="shared" si="6"/>
        <v>21</v>
      </c>
    </row>
    <row r="407" spans="1:5" x14ac:dyDescent="0.35">
      <c r="A407" t="s">
        <v>9</v>
      </c>
      <c r="B407">
        <v>28</v>
      </c>
      <c r="C407" s="14">
        <v>127.11199999999999</v>
      </c>
      <c r="D407">
        <f>ROUNDUP(C407/GiaDinh!$C$4-0.0005,0)</f>
        <v>22</v>
      </c>
      <c r="E407">
        <f t="shared" si="6"/>
        <v>21</v>
      </c>
    </row>
    <row r="408" spans="1:5" x14ac:dyDescent="0.35">
      <c r="A408" t="s">
        <v>9</v>
      </c>
      <c r="B408">
        <v>29</v>
      </c>
      <c r="C408" s="14">
        <v>175.24700000000001</v>
      </c>
      <c r="D408">
        <f>ROUNDUP(C408/GiaDinh!$C$4-0.0005,0)</f>
        <v>30</v>
      </c>
      <c r="E408">
        <f t="shared" si="6"/>
        <v>29</v>
      </c>
    </row>
    <row r="409" spans="1:5" x14ac:dyDescent="0.35">
      <c r="A409" t="s">
        <v>9</v>
      </c>
      <c r="B409">
        <v>30</v>
      </c>
      <c r="C409" s="14">
        <v>175.24700000000001</v>
      </c>
      <c r="D409">
        <f>ROUNDUP(C409/GiaDinh!$C$4-0.0005,0)</f>
        <v>30</v>
      </c>
      <c r="E409">
        <f t="shared" si="6"/>
        <v>29</v>
      </c>
    </row>
    <row r="410" spans="1:5" x14ac:dyDescent="0.35">
      <c r="A410" t="s">
        <v>9</v>
      </c>
      <c r="B410">
        <v>31</v>
      </c>
      <c r="C410" s="14">
        <v>175.24700000000001</v>
      </c>
      <c r="D410">
        <f>ROUNDUP(C410/GiaDinh!$C$4-0.0005,0)</f>
        <v>30</v>
      </c>
      <c r="E410">
        <f t="shared" si="6"/>
        <v>29</v>
      </c>
    </row>
    <row r="411" spans="1:5" x14ac:dyDescent="0.35">
      <c r="A411" t="s">
        <v>9</v>
      </c>
      <c r="B411">
        <v>32</v>
      </c>
      <c r="C411" s="14">
        <v>175.24700000000001</v>
      </c>
      <c r="D411">
        <f>ROUNDUP(C411/GiaDinh!$C$4-0.0005,0)</f>
        <v>30</v>
      </c>
      <c r="E411">
        <f t="shared" si="6"/>
        <v>29</v>
      </c>
    </row>
    <row r="412" spans="1:5" x14ac:dyDescent="0.35">
      <c r="A412" t="s">
        <v>9</v>
      </c>
      <c r="B412">
        <v>33</v>
      </c>
      <c r="C412" s="14">
        <v>175.24700000000001</v>
      </c>
      <c r="D412">
        <f>ROUNDUP(C412/GiaDinh!$C$4-0.0005,0)</f>
        <v>30</v>
      </c>
      <c r="E412">
        <f t="shared" si="6"/>
        <v>29</v>
      </c>
    </row>
    <row r="413" spans="1:5" x14ac:dyDescent="0.35">
      <c r="A413" t="s">
        <v>9</v>
      </c>
      <c r="B413">
        <v>34</v>
      </c>
      <c r="C413" s="14">
        <v>175.24700000000001</v>
      </c>
      <c r="D413">
        <f>ROUNDUP(C413/GiaDinh!$C$4-0.0005,0)</f>
        <v>30</v>
      </c>
      <c r="E413">
        <f t="shared" si="6"/>
        <v>29</v>
      </c>
    </row>
    <row r="414" spans="1:5" x14ac:dyDescent="0.35">
      <c r="A414" t="s">
        <v>9</v>
      </c>
      <c r="B414">
        <v>35</v>
      </c>
      <c r="C414" s="14">
        <v>175.24700000000001</v>
      </c>
      <c r="D414">
        <f>ROUNDUP(C414/GiaDinh!$C$4-0.0005,0)</f>
        <v>30</v>
      </c>
      <c r="E414">
        <f t="shared" si="6"/>
        <v>29</v>
      </c>
    </row>
    <row r="415" spans="1:5" x14ac:dyDescent="0.35">
      <c r="A415" t="s">
        <v>9</v>
      </c>
      <c r="B415">
        <v>36</v>
      </c>
      <c r="C415" s="14">
        <v>175.24700000000001</v>
      </c>
      <c r="D415">
        <f>ROUNDUP(C415/GiaDinh!$C$4-0.0005,0)</f>
        <v>30</v>
      </c>
      <c r="E415">
        <f t="shared" si="6"/>
        <v>29</v>
      </c>
    </row>
    <row r="416" spans="1:5" x14ac:dyDescent="0.35">
      <c r="A416" t="s">
        <v>9</v>
      </c>
      <c r="B416">
        <v>37</v>
      </c>
      <c r="C416" s="14">
        <v>175.24700000000001</v>
      </c>
      <c r="D416">
        <f>ROUNDUP(C416/GiaDinh!$C$4-0.0005,0)</f>
        <v>30</v>
      </c>
      <c r="E416">
        <f t="shared" si="6"/>
        <v>29</v>
      </c>
    </row>
    <row r="417" spans="1:5" x14ac:dyDescent="0.35">
      <c r="A417" t="s">
        <v>9</v>
      </c>
      <c r="B417">
        <v>38</v>
      </c>
      <c r="C417" s="14">
        <v>175.24700000000001</v>
      </c>
      <c r="D417">
        <f>ROUNDUP(C417/GiaDinh!$C$4-0.0005,0)</f>
        <v>30</v>
      </c>
      <c r="E417">
        <f t="shared" si="6"/>
        <v>29</v>
      </c>
    </row>
    <row r="418" spans="1:5" x14ac:dyDescent="0.35">
      <c r="A418" t="s">
        <v>9</v>
      </c>
      <c r="B418">
        <v>39</v>
      </c>
      <c r="C418" s="14">
        <v>175.24700000000001</v>
      </c>
      <c r="D418">
        <f>ROUNDUP(C418/GiaDinh!$C$4-0.0005,0)</f>
        <v>30</v>
      </c>
      <c r="E418">
        <f t="shared" si="6"/>
        <v>29</v>
      </c>
    </row>
    <row r="419" spans="1:5" x14ac:dyDescent="0.35">
      <c r="A419" t="s">
        <v>9</v>
      </c>
      <c r="B419">
        <v>40</v>
      </c>
      <c r="C419" s="14">
        <v>175.24700000000001</v>
      </c>
      <c r="D419">
        <f>ROUNDUP(C419/GiaDinh!$C$4-0.0005,0)</f>
        <v>30</v>
      </c>
      <c r="E419">
        <f t="shared" si="6"/>
        <v>29</v>
      </c>
    </row>
    <row r="420" spans="1:5" x14ac:dyDescent="0.35">
      <c r="A420" t="s">
        <v>9</v>
      </c>
      <c r="B420">
        <v>41</v>
      </c>
      <c r="C420" s="14">
        <v>175.24700000000001</v>
      </c>
      <c r="D420">
        <f>ROUNDUP(C420/GiaDinh!$C$4-0.0005,0)</f>
        <v>30</v>
      </c>
      <c r="E420">
        <f t="shared" si="6"/>
        <v>29</v>
      </c>
    </row>
    <row r="421" spans="1:5" x14ac:dyDescent="0.35">
      <c r="A421" t="s">
        <v>9</v>
      </c>
      <c r="B421">
        <v>42</v>
      </c>
      <c r="C421" s="14">
        <v>175.24700000000001</v>
      </c>
      <c r="D421">
        <f>ROUNDUP(C421/GiaDinh!$C$4-0.0005,0)</f>
        <v>30</v>
      </c>
      <c r="E421">
        <f t="shared" si="6"/>
        <v>29</v>
      </c>
    </row>
    <row r="422" spans="1:5" x14ac:dyDescent="0.35">
      <c r="A422" t="s">
        <v>9</v>
      </c>
      <c r="B422">
        <v>43</v>
      </c>
      <c r="C422" s="14">
        <v>175.24700000000001</v>
      </c>
      <c r="D422">
        <f>ROUNDUP(C422/GiaDinh!$C$4-0.0005,0)</f>
        <v>30</v>
      </c>
      <c r="E422">
        <f t="shared" si="6"/>
        <v>29</v>
      </c>
    </row>
    <row r="423" spans="1:5" x14ac:dyDescent="0.35">
      <c r="A423" t="s">
        <v>9</v>
      </c>
      <c r="B423">
        <v>44</v>
      </c>
      <c r="C423" s="14">
        <v>175.24700000000001</v>
      </c>
      <c r="D423">
        <f>ROUNDUP(C423/GiaDinh!$C$4-0.0005,0)</f>
        <v>30</v>
      </c>
      <c r="E423">
        <f t="shared" si="6"/>
        <v>29</v>
      </c>
    </row>
    <row r="424" spans="1:5" x14ac:dyDescent="0.35">
      <c r="A424" t="s">
        <v>9</v>
      </c>
      <c r="B424">
        <v>45</v>
      </c>
      <c r="C424" s="14">
        <v>175.24700000000001</v>
      </c>
      <c r="D424">
        <f>ROUNDUP(C424/GiaDinh!$C$4-0.0005,0)</f>
        <v>30</v>
      </c>
      <c r="E424">
        <f t="shared" si="6"/>
        <v>29</v>
      </c>
    </row>
    <row r="425" spans="1:5" x14ac:dyDescent="0.35">
      <c r="A425" t="s">
        <v>9</v>
      </c>
      <c r="B425">
        <v>46</v>
      </c>
      <c r="C425" s="14">
        <v>175.24700000000001</v>
      </c>
      <c r="D425">
        <f>ROUNDUP(C425/GiaDinh!$C$4-0.0005,0)</f>
        <v>30</v>
      </c>
      <c r="E425">
        <f t="shared" si="6"/>
        <v>29</v>
      </c>
    </row>
    <row r="426" spans="1:5" x14ac:dyDescent="0.35">
      <c r="A426" t="s">
        <v>9</v>
      </c>
      <c r="B426">
        <v>47</v>
      </c>
      <c r="C426" s="14">
        <v>175.24700000000001</v>
      </c>
      <c r="D426">
        <f>ROUNDUP(C426/GiaDinh!$C$4-0.0005,0)</f>
        <v>30</v>
      </c>
      <c r="E426">
        <f t="shared" si="6"/>
        <v>29</v>
      </c>
    </row>
    <row r="427" spans="1:5" x14ac:dyDescent="0.35">
      <c r="A427" t="s">
        <v>9</v>
      </c>
      <c r="B427">
        <v>48</v>
      </c>
      <c r="C427" s="14">
        <v>175.24700000000001</v>
      </c>
      <c r="D427">
        <f>ROUNDUP(C427/GiaDinh!$C$4-0.0005,0)</f>
        <v>30</v>
      </c>
      <c r="E427">
        <f t="shared" si="6"/>
        <v>29</v>
      </c>
    </row>
    <row r="428" spans="1:5" x14ac:dyDescent="0.35">
      <c r="A428" t="s">
        <v>9</v>
      </c>
      <c r="B428">
        <v>49</v>
      </c>
      <c r="C428" s="14">
        <v>175.24700000000001</v>
      </c>
      <c r="D428">
        <f>ROUNDUP(C428/GiaDinh!$C$4-0.0005,0)</f>
        <v>30</v>
      </c>
      <c r="E428">
        <f t="shared" si="6"/>
        <v>29</v>
      </c>
    </row>
    <row r="429" spans="1:5" x14ac:dyDescent="0.35">
      <c r="A429" t="s">
        <v>9</v>
      </c>
      <c r="B429">
        <v>50</v>
      </c>
      <c r="C429" s="14">
        <v>175.24700000000001</v>
      </c>
      <c r="D429">
        <f>ROUNDUP(C429/GiaDinh!$C$4-0.0005,0)</f>
        <v>30</v>
      </c>
      <c r="E429">
        <f t="shared" si="6"/>
        <v>29</v>
      </c>
    </row>
    <row r="430" spans="1:5" x14ac:dyDescent="0.35">
      <c r="A430" t="s">
        <v>9</v>
      </c>
      <c r="B430">
        <v>51</v>
      </c>
      <c r="C430" s="14">
        <v>175.24700000000001</v>
      </c>
      <c r="D430">
        <f>ROUNDUP(C430/GiaDinh!$C$4-0.0005,0)</f>
        <v>30</v>
      </c>
      <c r="E430">
        <f t="shared" si="6"/>
        <v>29</v>
      </c>
    </row>
    <row r="431" spans="1:5" x14ac:dyDescent="0.35">
      <c r="A431" t="s">
        <v>9</v>
      </c>
      <c r="B431">
        <v>52</v>
      </c>
      <c r="C431" s="14">
        <v>175.24700000000001</v>
      </c>
      <c r="D431">
        <f>ROUNDUP(C431/GiaDinh!$C$4-0.0005,0)</f>
        <v>30</v>
      </c>
      <c r="E431">
        <f t="shared" si="6"/>
        <v>29</v>
      </c>
    </row>
    <row r="432" spans="1:5" x14ac:dyDescent="0.35">
      <c r="A432" t="s">
        <v>9</v>
      </c>
      <c r="B432">
        <v>53</v>
      </c>
      <c r="C432" s="14">
        <v>175.24700000000001</v>
      </c>
      <c r="D432">
        <f>ROUNDUP(C432/GiaDinh!$C$4-0.0005,0)</f>
        <v>30</v>
      </c>
      <c r="E432">
        <f t="shared" si="6"/>
        <v>29</v>
      </c>
    </row>
    <row r="433" spans="1:5" x14ac:dyDescent="0.35">
      <c r="A433" t="s">
        <v>9</v>
      </c>
      <c r="B433">
        <v>54</v>
      </c>
      <c r="C433" s="14">
        <v>175.24700000000001</v>
      </c>
      <c r="D433">
        <f>ROUNDUP(C433/GiaDinh!$C$4-0.0005,0)</f>
        <v>30</v>
      </c>
      <c r="E433">
        <f t="shared" si="6"/>
        <v>29</v>
      </c>
    </row>
    <row r="434" spans="1:5" x14ac:dyDescent="0.35">
      <c r="A434" t="s">
        <v>9</v>
      </c>
      <c r="B434">
        <v>55</v>
      </c>
      <c r="C434" s="14">
        <v>175.24700000000001</v>
      </c>
      <c r="D434">
        <f>ROUNDUP(C434/GiaDinh!$C$4-0.0005,0)</f>
        <v>30</v>
      </c>
      <c r="E434">
        <f t="shared" si="6"/>
        <v>29</v>
      </c>
    </row>
    <row r="435" spans="1:5" x14ac:dyDescent="0.35">
      <c r="A435" t="s">
        <v>9</v>
      </c>
      <c r="B435">
        <v>56</v>
      </c>
      <c r="C435" s="14">
        <v>175.24700000000001</v>
      </c>
      <c r="D435">
        <f>ROUNDUP(C435/GiaDinh!$C$4-0.0005,0)</f>
        <v>30</v>
      </c>
      <c r="E435">
        <f t="shared" si="6"/>
        <v>29</v>
      </c>
    </row>
    <row r="436" spans="1:5" x14ac:dyDescent="0.35">
      <c r="A436" t="s">
        <v>9</v>
      </c>
      <c r="B436">
        <v>57</v>
      </c>
      <c r="C436" s="14">
        <v>175.24700000000001</v>
      </c>
      <c r="D436">
        <f>ROUNDUP(C436/GiaDinh!$C$4-0.0005,0)</f>
        <v>30</v>
      </c>
      <c r="E436">
        <f t="shared" si="6"/>
        <v>29</v>
      </c>
    </row>
    <row r="437" spans="1:5" x14ac:dyDescent="0.35">
      <c r="A437" t="s">
        <v>9</v>
      </c>
      <c r="B437">
        <v>58</v>
      </c>
      <c r="C437" s="14">
        <v>175.24700000000001</v>
      </c>
      <c r="D437">
        <f>ROUNDUP(C437/GiaDinh!$C$4-0.0005,0)</f>
        <v>30</v>
      </c>
      <c r="E437">
        <f t="shared" si="6"/>
        <v>29</v>
      </c>
    </row>
    <row r="438" spans="1:5" x14ac:dyDescent="0.35">
      <c r="A438" t="s">
        <v>9</v>
      </c>
      <c r="B438">
        <v>59</v>
      </c>
      <c r="C438" s="14">
        <v>175.24700000000001</v>
      </c>
      <c r="D438">
        <f>ROUNDUP(C438/GiaDinh!$C$4-0.0005,0)</f>
        <v>30</v>
      </c>
      <c r="E438">
        <f t="shared" si="6"/>
        <v>29</v>
      </c>
    </row>
    <row r="439" spans="1:5" x14ac:dyDescent="0.35">
      <c r="A439" t="s">
        <v>9</v>
      </c>
      <c r="B439">
        <v>60</v>
      </c>
      <c r="C439" s="14">
        <v>175.24700000000001</v>
      </c>
      <c r="D439">
        <f>ROUNDUP(C439/GiaDinh!$C$4-0.0005,0)</f>
        <v>30</v>
      </c>
      <c r="E439">
        <f t="shared" si="6"/>
        <v>29</v>
      </c>
    </row>
    <row r="440" spans="1:5" x14ac:dyDescent="0.35">
      <c r="A440" t="s">
        <v>10</v>
      </c>
      <c r="B440">
        <v>1</v>
      </c>
      <c r="C440" s="14">
        <v>105.11199999999999</v>
      </c>
      <c r="D440">
        <f>ROUNDUP(C440/GiaDinh!$C$4-0.0005,0)</f>
        <v>18</v>
      </c>
      <c r="E440">
        <f t="shared" si="6"/>
        <v>17</v>
      </c>
    </row>
    <row r="441" spans="1:5" x14ac:dyDescent="0.35">
      <c r="A441" t="s">
        <v>10</v>
      </c>
      <c r="B441">
        <v>2</v>
      </c>
      <c r="C441" s="14">
        <v>105.11199999999999</v>
      </c>
      <c r="D441">
        <f>ROUNDUP(C441/GiaDinh!$C$4-0.0005,0)</f>
        <v>18</v>
      </c>
      <c r="E441">
        <f t="shared" si="6"/>
        <v>17</v>
      </c>
    </row>
    <row r="442" spans="1:5" x14ac:dyDescent="0.35">
      <c r="A442" t="s">
        <v>10</v>
      </c>
      <c r="B442">
        <v>3</v>
      </c>
      <c r="C442" s="14">
        <v>105.11199999999999</v>
      </c>
      <c r="D442">
        <f>ROUNDUP(C442/GiaDinh!$C$4-0.0005,0)</f>
        <v>18</v>
      </c>
      <c r="E442">
        <f t="shared" si="6"/>
        <v>17</v>
      </c>
    </row>
    <row r="443" spans="1:5" x14ac:dyDescent="0.35">
      <c r="A443" t="s">
        <v>10</v>
      </c>
      <c r="B443">
        <v>4</v>
      </c>
      <c r="C443" s="14">
        <v>105.11199999999999</v>
      </c>
      <c r="D443">
        <f>ROUNDUP(C443/GiaDinh!$C$4-0.0005,0)</f>
        <v>18</v>
      </c>
      <c r="E443">
        <f t="shared" si="6"/>
        <v>17</v>
      </c>
    </row>
    <row r="444" spans="1:5" x14ac:dyDescent="0.35">
      <c r="A444" t="s">
        <v>10</v>
      </c>
      <c r="B444">
        <v>5</v>
      </c>
      <c r="C444" s="14">
        <v>105.11199999999999</v>
      </c>
      <c r="D444">
        <f>ROUNDUP(C444/GiaDinh!$C$4-0.0005,0)</f>
        <v>18</v>
      </c>
      <c r="E444">
        <f t="shared" si="6"/>
        <v>17</v>
      </c>
    </row>
    <row r="445" spans="1:5" x14ac:dyDescent="0.35">
      <c r="A445" t="s">
        <v>10</v>
      </c>
      <c r="B445">
        <v>6</v>
      </c>
      <c r="C445" s="14">
        <v>105.11199999999999</v>
      </c>
      <c r="D445">
        <f>ROUNDUP(C445/GiaDinh!$C$4-0.0005,0)</f>
        <v>18</v>
      </c>
      <c r="E445">
        <f t="shared" si="6"/>
        <v>17</v>
      </c>
    </row>
    <row r="446" spans="1:5" x14ac:dyDescent="0.35">
      <c r="A446" t="s">
        <v>10</v>
      </c>
      <c r="B446">
        <v>7</v>
      </c>
      <c r="C446" s="14">
        <v>105.11199999999999</v>
      </c>
      <c r="D446">
        <f>ROUNDUP(C446/GiaDinh!$C$4-0.0005,0)</f>
        <v>18</v>
      </c>
      <c r="E446">
        <f t="shared" si="6"/>
        <v>17</v>
      </c>
    </row>
    <row r="447" spans="1:5" x14ac:dyDescent="0.35">
      <c r="A447" t="s">
        <v>10</v>
      </c>
      <c r="B447">
        <v>8</v>
      </c>
      <c r="C447" s="14">
        <v>105.11199999999999</v>
      </c>
      <c r="D447">
        <f>ROUNDUP(C447/GiaDinh!$C$4-0.0005,0)</f>
        <v>18</v>
      </c>
      <c r="E447">
        <f t="shared" si="6"/>
        <v>17</v>
      </c>
    </row>
    <row r="448" spans="1:5" x14ac:dyDescent="0.35">
      <c r="A448" t="s">
        <v>10</v>
      </c>
      <c r="B448">
        <v>9</v>
      </c>
      <c r="C448" s="14">
        <v>105.11199999999999</v>
      </c>
      <c r="D448">
        <f>ROUNDUP(C448/GiaDinh!$C$4-0.0005,0)</f>
        <v>18</v>
      </c>
      <c r="E448">
        <f t="shared" si="6"/>
        <v>17</v>
      </c>
    </row>
    <row r="449" spans="1:5" x14ac:dyDescent="0.35">
      <c r="A449" t="s">
        <v>10</v>
      </c>
      <c r="B449">
        <v>10</v>
      </c>
      <c r="C449" s="14">
        <v>105.11199999999999</v>
      </c>
      <c r="D449">
        <f>ROUNDUP(C449/GiaDinh!$C$4-0.0005,0)</f>
        <v>18</v>
      </c>
      <c r="E449">
        <f t="shared" si="6"/>
        <v>17</v>
      </c>
    </row>
    <row r="450" spans="1:5" x14ac:dyDescent="0.35">
      <c r="A450" t="s">
        <v>10</v>
      </c>
      <c r="B450">
        <v>11</v>
      </c>
      <c r="C450" s="14">
        <v>105.11199999999999</v>
      </c>
      <c r="D450">
        <f>ROUNDUP(C450/GiaDinh!$C$4-0.0005,0)</f>
        <v>18</v>
      </c>
      <c r="E450">
        <f t="shared" si="6"/>
        <v>17</v>
      </c>
    </row>
    <row r="451" spans="1:5" x14ac:dyDescent="0.35">
      <c r="A451" t="s">
        <v>10</v>
      </c>
      <c r="B451">
        <v>12</v>
      </c>
      <c r="C451" s="14">
        <v>105.11199999999999</v>
      </c>
      <c r="D451">
        <f>ROUNDUP(C451/GiaDinh!$C$4-0.0005,0)</f>
        <v>18</v>
      </c>
      <c r="E451">
        <f t="shared" si="6"/>
        <v>17</v>
      </c>
    </row>
    <row r="452" spans="1:5" x14ac:dyDescent="0.35">
      <c r="A452" t="s">
        <v>10</v>
      </c>
      <c r="B452">
        <v>13</v>
      </c>
      <c r="C452" s="14">
        <v>105.11199999999999</v>
      </c>
      <c r="D452">
        <f>ROUNDUP(C452/GiaDinh!$C$4-0.0005,0)</f>
        <v>18</v>
      </c>
      <c r="E452">
        <f t="shared" ref="E452:E515" si="7">D452-1</f>
        <v>17</v>
      </c>
    </row>
    <row r="453" spans="1:5" x14ac:dyDescent="0.35">
      <c r="A453" t="s">
        <v>10</v>
      </c>
      <c r="B453">
        <v>14</v>
      </c>
      <c r="C453" s="14">
        <v>105.11199999999999</v>
      </c>
      <c r="D453">
        <f>ROUNDUP(C453/GiaDinh!$C$4-0.0005,0)</f>
        <v>18</v>
      </c>
      <c r="E453">
        <f t="shared" si="7"/>
        <v>17</v>
      </c>
    </row>
    <row r="454" spans="1:5" x14ac:dyDescent="0.35">
      <c r="A454" t="s">
        <v>10</v>
      </c>
      <c r="B454">
        <v>15</v>
      </c>
      <c r="C454" s="14">
        <v>105.11199999999999</v>
      </c>
      <c r="D454">
        <f>ROUNDUP(C454/GiaDinh!$C$4-0.0005,0)</f>
        <v>18</v>
      </c>
      <c r="E454">
        <f t="shared" si="7"/>
        <v>17</v>
      </c>
    </row>
    <row r="455" spans="1:5" x14ac:dyDescent="0.35">
      <c r="A455" t="s">
        <v>10</v>
      </c>
      <c r="B455">
        <v>16</v>
      </c>
      <c r="C455" s="14">
        <v>105.11199999999999</v>
      </c>
      <c r="D455">
        <f>ROUNDUP(C455/GiaDinh!$C$4-0.0005,0)</f>
        <v>18</v>
      </c>
      <c r="E455">
        <f t="shared" si="7"/>
        <v>17</v>
      </c>
    </row>
    <row r="456" spans="1:5" x14ac:dyDescent="0.35">
      <c r="A456" t="s">
        <v>10</v>
      </c>
      <c r="B456">
        <v>17</v>
      </c>
      <c r="C456" s="14">
        <v>105.11199999999999</v>
      </c>
      <c r="D456">
        <f>ROUNDUP(C456/GiaDinh!$C$4-0.0005,0)</f>
        <v>18</v>
      </c>
      <c r="E456">
        <f t="shared" si="7"/>
        <v>17</v>
      </c>
    </row>
    <row r="457" spans="1:5" x14ac:dyDescent="0.35">
      <c r="A457" t="s">
        <v>10</v>
      </c>
      <c r="B457">
        <v>18</v>
      </c>
      <c r="C457" s="14">
        <v>105.11199999999999</v>
      </c>
      <c r="D457">
        <f>ROUNDUP(C457/GiaDinh!$C$4-0.0005,0)</f>
        <v>18</v>
      </c>
      <c r="E457">
        <f t="shared" si="7"/>
        <v>17</v>
      </c>
    </row>
    <row r="458" spans="1:5" x14ac:dyDescent="0.35">
      <c r="A458" t="s">
        <v>10</v>
      </c>
      <c r="B458">
        <v>19</v>
      </c>
      <c r="C458" s="14">
        <v>105.11199999999999</v>
      </c>
      <c r="D458">
        <f>ROUNDUP(C458/GiaDinh!$C$4-0.0005,0)</f>
        <v>18</v>
      </c>
      <c r="E458">
        <f t="shared" si="7"/>
        <v>17</v>
      </c>
    </row>
    <row r="459" spans="1:5" x14ac:dyDescent="0.35">
      <c r="A459" t="s">
        <v>10</v>
      </c>
      <c r="B459">
        <v>20</v>
      </c>
      <c r="C459" s="14">
        <v>105.11199999999999</v>
      </c>
      <c r="D459">
        <f>ROUNDUP(C459/GiaDinh!$C$4-0.0005,0)</f>
        <v>18</v>
      </c>
      <c r="E459">
        <f t="shared" si="7"/>
        <v>17</v>
      </c>
    </row>
    <row r="460" spans="1:5" x14ac:dyDescent="0.35">
      <c r="A460" t="s">
        <v>10</v>
      </c>
      <c r="B460">
        <v>21</v>
      </c>
      <c r="C460" s="14">
        <v>105.11199999999999</v>
      </c>
      <c r="D460">
        <f>ROUNDUP(C460/GiaDinh!$C$4-0.0005,0)</f>
        <v>18</v>
      </c>
      <c r="E460">
        <f t="shared" si="7"/>
        <v>17</v>
      </c>
    </row>
    <row r="461" spans="1:5" x14ac:dyDescent="0.35">
      <c r="A461" t="s">
        <v>10</v>
      </c>
      <c r="B461">
        <v>22</v>
      </c>
      <c r="C461" s="14">
        <v>105.11199999999999</v>
      </c>
      <c r="D461">
        <f>ROUNDUP(C461/GiaDinh!$C$4-0.0005,0)</f>
        <v>18</v>
      </c>
      <c r="E461">
        <f t="shared" si="7"/>
        <v>17</v>
      </c>
    </row>
    <row r="462" spans="1:5" x14ac:dyDescent="0.35">
      <c r="A462" t="s">
        <v>10</v>
      </c>
      <c r="B462">
        <v>23</v>
      </c>
      <c r="C462" s="14">
        <v>105.11199999999999</v>
      </c>
      <c r="D462">
        <f>ROUNDUP(C462/GiaDinh!$C$4-0.0005,0)</f>
        <v>18</v>
      </c>
      <c r="E462">
        <f t="shared" si="7"/>
        <v>17</v>
      </c>
    </row>
    <row r="463" spans="1:5" x14ac:dyDescent="0.35">
      <c r="A463" t="s">
        <v>10</v>
      </c>
      <c r="B463">
        <v>24</v>
      </c>
      <c r="C463" s="14">
        <v>105.11199999999999</v>
      </c>
      <c r="D463">
        <f>ROUNDUP(C463/GiaDinh!$C$4-0.0005,0)</f>
        <v>18</v>
      </c>
      <c r="E463">
        <f t="shared" si="7"/>
        <v>17</v>
      </c>
    </row>
    <row r="464" spans="1:5" x14ac:dyDescent="0.35">
      <c r="A464" t="s">
        <v>10</v>
      </c>
      <c r="B464">
        <v>25</v>
      </c>
      <c r="C464" s="14">
        <v>105.11199999999999</v>
      </c>
      <c r="D464">
        <f>ROUNDUP(C464/GiaDinh!$C$4-0.0005,0)</f>
        <v>18</v>
      </c>
      <c r="E464">
        <f t="shared" si="7"/>
        <v>17</v>
      </c>
    </row>
    <row r="465" spans="1:5" x14ac:dyDescent="0.35">
      <c r="A465" t="s">
        <v>10</v>
      </c>
      <c r="B465">
        <v>26</v>
      </c>
      <c r="C465" s="14">
        <v>105.11199999999999</v>
      </c>
      <c r="D465">
        <f>ROUNDUP(C465/GiaDinh!$C$4-0.0005,0)</f>
        <v>18</v>
      </c>
      <c r="E465">
        <f t="shared" si="7"/>
        <v>17</v>
      </c>
    </row>
    <row r="466" spans="1:5" x14ac:dyDescent="0.35">
      <c r="A466" t="s">
        <v>10</v>
      </c>
      <c r="B466">
        <v>27</v>
      </c>
      <c r="C466" s="14">
        <v>105.11199999999999</v>
      </c>
      <c r="D466">
        <f>ROUNDUP(C466/GiaDinh!$C$4-0.0005,0)</f>
        <v>18</v>
      </c>
      <c r="E466">
        <f t="shared" si="7"/>
        <v>17</v>
      </c>
    </row>
    <row r="467" spans="1:5" x14ac:dyDescent="0.35">
      <c r="A467" t="s">
        <v>10</v>
      </c>
      <c r="B467">
        <v>28</v>
      </c>
      <c r="C467" s="14">
        <v>105.11199999999999</v>
      </c>
      <c r="D467">
        <f>ROUNDUP(C467/GiaDinh!$C$4-0.0005,0)</f>
        <v>18</v>
      </c>
      <c r="E467">
        <f t="shared" si="7"/>
        <v>17</v>
      </c>
    </row>
    <row r="468" spans="1:5" x14ac:dyDescent="0.35">
      <c r="A468" t="s">
        <v>10</v>
      </c>
      <c r="B468">
        <v>29</v>
      </c>
      <c r="C468" s="14">
        <v>105.11199999999999</v>
      </c>
      <c r="D468">
        <f>ROUNDUP(C468/GiaDinh!$C$4-0.0005,0)</f>
        <v>18</v>
      </c>
      <c r="E468">
        <f t="shared" si="7"/>
        <v>17</v>
      </c>
    </row>
    <row r="469" spans="1:5" x14ac:dyDescent="0.35">
      <c r="A469" t="s">
        <v>10</v>
      </c>
      <c r="B469">
        <v>30</v>
      </c>
      <c r="C469" s="14">
        <v>105.11199999999999</v>
      </c>
      <c r="D469">
        <f>ROUNDUP(C469/GiaDinh!$C$4-0.0005,0)</f>
        <v>18</v>
      </c>
      <c r="E469">
        <f t="shared" si="7"/>
        <v>17</v>
      </c>
    </row>
    <row r="470" spans="1:5" x14ac:dyDescent="0.35">
      <c r="A470" t="s">
        <v>10</v>
      </c>
      <c r="B470">
        <v>31</v>
      </c>
      <c r="C470" s="14">
        <v>148.94900000000001</v>
      </c>
      <c r="D470">
        <f>ROUNDUP(C470/GiaDinh!$C$4-0.0005,0)</f>
        <v>25</v>
      </c>
      <c r="E470">
        <f t="shared" si="7"/>
        <v>24</v>
      </c>
    </row>
    <row r="471" spans="1:5" x14ac:dyDescent="0.35">
      <c r="A471" t="s">
        <v>10</v>
      </c>
      <c r="B471">
        <v>32</v>
      </c>
      <c r="C471" s="14">
        <v>148.94900000000001</v>
      </c>
      <c r="D471">
        <f>ROUNDUP(C471/GiaDinh!$C$4-0.0005,0)</f>
        <v>25</v>
      </c>
      <c r="E471">
        <f t="shared" si="7"/>
        <v>24</v>
      </c>
    </row>
    <row r="472" spans="1:5" x14ac:dyDescent="0.35">
      <c r="A472" t="s">
        <v>10</v>
      </c>
      <c r="B472">
        <v>33</v>
      </c>
      <c r="C472" s="14">
        <v>148.94900000000001</v>
      </c>
      <c r="D472">
        <f>ROUNDUP(C472/GiaDinh!$C$4-0.0005,0)</f>
        <v>25</v>
      </c>
      <c r="E472">
        <f t="shared" si="7"/>
        <v>24</v>
      </c>
    </row>
    <row r="473" spans="1:5" x14ac:dyDescent="0.35">
      <c r="A473" t="s">
        <v>10</v>
      </c>
      <c r="B473">
        <v>34</v>
      </c>
      <c r="C473" s="14">
        <v>148.94900000000001</v>
      </c>
      <c r="D473">
        <f>ROUNDUP(C473/GiaDinh!$C$4-0.0005,0)</f>
        <v>25</v>
      </c>
      <c r="E473">
        <f t="shared" si="7"/>
        <v>24</v>
      </c>
    </row>
    <row r="474" spans="1:5" x14ac:dyDescent="0.35">
      <c r="A474" t="s">
        <v>10</v>
      </c>
      <c r="B474">
        <v>35</v>
      </c>
      <c r="C474" s="14">
        <v>148.94900000000001</v>
      </c>
      <c r="D474">
        <f>ROUNDUP(C474/GiaDinh!$C$4-0.0005,0)</f>
        <v>25</v>
      </c>
      <c r="E474">
        <f t="shared" si="7"/>
        <v>24</v>
      </c>
    </row>
    <row r="475" spans="1:5" x14ac:dyDescent="0.35">
      <c r="A475" t="s">
        <v>10</v>
      </c>
      <c r="B475">
        <v>36</v>
      </c>
      <c r="C475" s="14">
        <v>148.94900000000001</v>
      </c>
      <c r="D475">
        <f>ROUNDUP(C475/GiaDinh!$C$4-0.0005,0)</f>
        <v>25</v>
      </c>
      <c r="E475">
        <f t="shared" si="7"/>
        <v>24</v>
      </c>
    </row>
    <row r="476" spans="1:5" x14ac:dyDescent="0.35">
      <c r="A476" t="s">
        <v>10</v>
      </c>
      <c r="B476">
        <v>37</v>
      </c>
      <c r="C476" s="14">
        <v>148.94900000000001</v>
      </c>
      <c r="D476">
        <f>ROUNDUP(C476/GiaDinh!$C$4-0.0005,0)</f>
        <v>25</v>
      </c>
      <c r="E476">
        <f t="shared" si="7"/>
        <v>24</v>
      </c>
    </row>
    <row r="477" spans="1:5" x14ac:dyDescent="0.35">
      <c r="A477" t="s">
        <v>10</v>
      </c>
      <c r="B477">
        <v>38</v>
      </c>
      <c r="C477" s="14">
        <v>148.94900000000001</v>
      </c>
      <c r="D477">
        <f>ROUNDUP(C477/GiaDinh!$C$4-0.0005,0)</f>
        <v>25</v>
      </c>
      <c r="E477">
        <f t="shared" si="7"/>
        <v>24</v>
      </c>
    </row>
    <row r="478" spans="1:5" x14ac:dyDescent="0.35">
      <c r="A478" t="s">
        <v>10</v>
      </c>
      <c r="B478">
        <v>39</v>
      </c>
      <c r="C478" s="14">
        <v>148.94900000000001</v>
      </c>
      <c r="D478">
        <f>ROUNDUP(C478/GiaDinh!$C$4-0.0005,0)</f>
        <v>25</v>
      </c>
      <c r="E478">
        <f t="shared" si="7"/>
        <v>24</v>
      </c>
    </row>
    <row r="479" spans="1:5" x14ac:dyDescent="0.35">
      <c r="A479" t="s">
        <v>10</v>
      </c>
      <c r="B479">
        <v>40</v>
      </c>
      <c r="C479" s="14">
        <v>148.94900000000001</v>
      </c>
      <c r="D479">
        <f>ROUNDUP(C479/GiaDinh!$C$4-0.0005,0)</f>
        <v>25</v>
      </c>
      <c r="E479">
        <f t="shared" si="7"/>
        <v>24</v>
      </c>
    </row>
    <row r="480" spans="1:5" x14ac:dyDescent="0.35">
      <c r="A480" t="s">
        <v>10</v>
      </c>
      <c r="B480">
        <v>41</v>
      </c>
      <c r="C480" s="14">
        <v>148.94900000000001</v>
      </c>
      <c r="D480">
        <f>ROUNDUP(C480/GiaDinh!$C$4-0.0005,0)</f>
        <v>25</v>
      </c>
      <c r="E480">
        <f t="shared" si="7"/>
        <v>24</v>
      </c>
    </row>
    <row r="481" spans="1:5" x14ac:dyDescent="0.35">
      <c r="A481" t="s">
        <v>10</v>
      </c>
      <c r="B481">
        <v>42</v>
      </c>
      <c r="C481" s="14">
        <v>148.94900000000001</v>
      </c>
      <c r="D481">
        <f>ROUNDUP(C481/GiaDinh!$C$4-0.0005,0)</f>
        <v>25</v>
      </c>
      <c r="E481">
        <f t="shared" si="7"/>
        <v>24</v>
      </c>
    </row>
    <row r="482" spans="1:5" x14ac:dyDescent="0.35">
      <c r="A482" t="s">
        <v>10</v>
      </c>
      <c r="B482">
        <v>43</v>
      </c>
      <c r="C482" s="14">
        <v>148.94900000000001</v>
      </c>
      <c r="D482">
        <f>ROUNDUP(C482/GiaDinh!$C$4-0.0005,0)</f>
        <v>25</v>
      </c>
      <c r="E482">
        <f t="shared" si="7"/>
        <v>24</v>
      </c>
    </row>
    <row r="483" spans="1:5" x14ac:dyDescent="0.35">
      <c r="A483" t="s">
        <v>10</v>
      </c>
      <c r="B483">
        <v>44</v>
      </c>
      <c r="C483" s="14">
        <v>148.94900000000001</v>
      </c>
      <c r="D483">
        <f>ROUNDUP(C483/GiaDinh!$C$4-0.0005,0)</f>
        <v>25</v>
      </c>
      <c r="E483">
        <f t="shared" si="7"/>
        <v>24</v>
      </c>
    </row>
    <row r="484" spans="1:5" x14ac:dyDescent="0.35">
      <c r="A484" t="s">
        <v>10</v>
      </c>
      <c r="B484">
        <v>45</v>
      </c>
      <c r="C484" s="14">
        <v>148.94900000000001</v>
      </c>
      <c r="D484">
        <f>ROUNDUP(C484/GiaDinh!$C$4-0.0005,0)</f>
        <v>25</v>
      </c>
      <c r="E484">
        <f t="shared" si="7"/>
        <v>24</v>
      </c>
    </row>
    <row r="485" spans="1:5" x14ac:dyDescent="0.35">
      <c r="A485" t="s">
        <v>10</v>
      </c>
      <c r="B485">
        <v>46</v>
      </c>
      <c r="C485" s="14">
        <v>148.94900000000001</v>
      </c>
      <c r="D485">
        <f>ROUNDUP(C485/GiaDinh!$C$4-0.0005,0)</f>
        <v>25</v>
      </c>
      <c r="E485">
        <f t="shared" si="7"/>
        <v>24</v>
      </c>
    </row>
    <row r="486" spans="1:5" x14ac:dyDescent="0.35">
      <c r="A486" t="s">
        <v>10</v>
      </c>
      <c r="B486">
        <v>47</v>
      </c>
      <c r="C486" s="14">
        <v>148.94900000000001</v>
      </c>
      <c r="D486">
        <f>ROUNDUP(C486/GiaDinh!$C$4-0.0005,0)</f>
        <v>25</v>
      </c>
      <c r="E486">
        <f t="shared" si="7"/>
        <v>24</v>
      </c>
    </row>
    <row r="487" spans="1:5" x14ac:dyDescent="0.35">
      <c r="A487" t="s">
        <v>10</v>
      </c>
      <c r="B487">
        <v>48</v>
      </c>
      <c r="C487" s="14">
        <v>148.94900000000001</v>
      </c>
      <c r="D487">
        <f>ROUNDUP(C487/GiaDinh!$C$4-0.0005,0)</f>
        <v>25</v>
      </c>
      <c r="E487">
        <f t="shared" si="7"/>
        <v>24</v>
      </c>
    </row>
    <row r="488" spans="1:5" x14ac:dyDescent="0.35">
      <c r="A488" t="s">
        <v>10</v>
      </c>
      <c r="B488">
        <v>49</v>
      </c>
      <c r="C488" s="14">
        <v>148.94900000000001</v>
      </c>
      <c r="D488">
        <f>ROUNDUP(C488/GiaDinh!$C$4-0.0005,0)</f>
        <v>25</v>
      </c>
      <c r="E488">
        <f t="shared" si="7"/>
        <v>24</v>
      </c>
    </row>
    <row r="489" spans="1:5" x14ac:dyDescent="0.35">
      <c r="A489" t="s">
        <v>10</v>
      </c>
      <c r="B489">
        <v>50</v>
      </c>
      <c r="C489" s="14">
        <v>148.94900000000001</v>
      </c>
      <c r="D489">
        <f>ROUNDUP(C489/GiaDinh!$C$4-0.0005,0)</f>
        <v>25</v>
      </c>
      <c r="E489">
        <f t="shared" si="7"/>
        <v>24</v>
      </c>
    </row>
    <row r="490" spans="1:5" x14ac:dyDescent="0.35">
      <c r="A490" t="s">
        <v>10</v>
      </c>
      <c r="B490">
        <v>51</v>
      </c>
      <c r="C490" s="14">
        <v>148.94900000000001</v>
      </c>
      <c r="D490">
        <f>ROUNDUP(C490/GiaDinh!$C$4-0.0005,0)</f>
        <v>25</v>
      </c>
      <c r="E490">
        <f t="shared" si="7"/>
        <v>24</v>
      </c>
    </row>
    <row r="491" spans="1:5" x14ac:dyDescent="0.35">
      <c r="A491" t="s">
        <v>10</v>
      </c>
      <c r="B491">
        <v>52</v>
      </c>
      <c r="C491" s="14">
        <v>148.94900000000001</v>
      </c>
      <c r="D491">
        <f>ROUNDUP(C491/GiaDinh!$C$4-0.0005,0)</f>
        <v>25</v>
      </c>
      <c r="E491">
        <f t="shared" si="7"/>
        <v>24</v>
      </c>
    </row>
    <row r="492" spans="1:5" x14ac:dyDescent="0.35">
      <c r="A492" t="s">
        <v>10</v>
      </c>
      <c r="B492">
        <v>53</v>
      </c>
      <c r="C492" s="14">
        <v>148.94900000000001</v>
      </c>
      <c r="D492">
        <f>ROUNDUP(C492/GiaDinh!$C$4-0.0005,0)</f>
        <v>25</v>
      </c>
      <c r="E492">
        <f t="shared" si="7"/>
        <v>24</v>
      </c>
    </row>
    <row r="493" spans="1:5" x14ac:dyDescent="0.35">
      <c r="A493" t="s">
        <v>10</v>
      </c>
      <c r="B493">
        <v>54</v>
      </c>
      <c r="C493" s="14">
        <v>148.94900000000001</v>
      </c>
      <c r="D493">
        <f>ROUNDUP(C493/GiaDinh!$C$4-0.0005,0)</f>
        <v>25</v>
      </c>
      <c r="E493">
        <f t="shared" si="7"/>
        <v>24</v>
      </c>
    </row>
    <row r="494" spans="1:5" x14ac:dyDescent="0.35">
      <c r="A494" t="s">
        <v>10</v>
      </c>
      <c r="B494">
        <v>55</v>
      </c>
      <c r="C494" s="14">
        <v>148.94900000000001</v>
      </c>
      <c r="D494">
        <f>ROUNDUP(C494/GiaDinh!$C$4-0.0005,0)</f>
        <v>25</v>
      </c>
      <c r="E494">
        <f t="shared" si="7"/>
        <v>24</v>
      </c>
    </row>
    <row r="495" spans="1:5" x14ac:dyDescent="0.35">
      <c r="A495" t="s">
        <v>10</v>
      </c>
      <c r="B495">
        <v>56</v>
      </c>
      <c r="C495" s="14">
        <v>148.94900000000001</v>
      </c>
      <c r="D495">
        <f>ROUNDUP(C495/GiaDinh!$C$4-0.0005,0)</f>
        <v>25</v>
      </c>
      <c r="E495">
        <f t="shared" si="7"/>
        <v>24</v>
      </c>
    </row>
    <row r="496" spans="1:5" x14ac:dyDescent="0.35">
      <c r="A496" t="s">
        <v>10</v>
      </c>
      <c r="B496">
        <v>57</v>
      </c>
      <c r="C496" s="14">
        <v>148.94900000000001</v>
      </c>
      <c r="D496">
        <f>ROUNDUP(C496/GiaDinh!$C$4-0.0005,0)</f>
        <v>25</v>
      </c>
      <c r="E496">
        <f t="shared" si="7"/>
        <v>24</v>
      </c>
    </row>
    <row r="497" spans="1:5" x14ac:dyDescent="0.35">
      <c r="A497" t="s">
        <v>10</v>
      </c>
      <c r="B497">
        <v>58</v>
      </c>
      <c r="C497" s="14">
        <v>148.94900000000001</v>
      </c>
      <c r="D497">
        <f>ROUNDUP(C497/GiaDinh!$C$4-0.0005,0)</f>
        <v>25</v>
      </c>
      <c r="E497">
        <f t="shared" si="7"/>
        <v>24</v>
      </c>
    </row>
    <row r="498" spans="1:5" x14ac:dyDescent="0.35">
      <c r="A498" t="s">
        <v>10</v>
      </c>
      <c r="B498">
        <v>59</v>
      </c>
      <c r="C498" s="14">
        <v>148.94900000000001</v>
      </c>
      <c r="D498">
        <f>ROUNDUP(C498/GiaDinh!$C$4-0.0005,0)</f>
        <v>25</v>
      </c>
      <c r="E498">
        <f t="shared" si="7"/>
        <v>24</v>
      </c>
    </row>
    <row r="499" spans="1:5" x14ac:dyDescent="0.35">
      <c r="A499" t="s">
        <v>10</v>
      </c>
      <c r="B499">
        <v>60</v>
      </c>
      <c r="C499" s="14">
        <v>148.94900000000001</v>
      </c>
      <c r="D499">
        <f>ROUNDUP(C499/GiaDinh!$C$4-0.0005,0)</f>
        <v>25</v>
      </c>
      <c r="E499">
        <f t="shared" si="7"/>
        <v>24</v>
      </c>
    </row>
    <row r="500" spans="1:5" x14ac:dyDescent="0.35">
      <c r="A500" t="s">
        <v>10</v>
      </c>
      <c r="B500">
        <v>61</v>
      </c>
      <c r="C500" s="14">
        <v>148.94900000000001</v>
      </c>
      <c r="D500">
        <f>ROUNDUP(C500/GiaDinh!$C$4-0.0005,0)</f>
        <v>25</v>
      </c>
      <c r="E500">
        <f t="shared" si="7"/>
        <v>24</v>
      </c>
    </row>
    <row r="501" spans="1:5" x14ac:dyDescent="0.35">
      <c r="A501" t="s">
        <v>10</v>
      </c>
      <c r="B501">
        <v>62</v>
      </c>
      <c r="C501" s="14">
        <v>148.94900000000001</v>
      </c>
      <c r="D501">
        <f>ROUNDUP(C501/GiaDinh!$C$4-0.0005,0)</f>
        <v>25</v>
      </c>
      <c r="E501">
        <f t="shared" si="7"/>
        <v>24</v>
      </c>
    </row>
    <row r="502" spans="1:5" x14ac:dyDescent="0.35">
      <c r="A502" t="s">
        <v>10</v>
      </c>
      <c r="B502">
        <v>63</v>
      </c>
      <c r="C502" s="14">
        <v>148.94900000000001</v>
      </c>
      <c r="D502">
        <f>ROUNDUP(C502/GiaDinh!$C$4-0.0005,0)</f>
        <v>25</v>
      </c>
      <c r="E502">
        <f t="shared" si="7"/>
        <v>24</v>
      </c>
    </row>
    <row r="503" spans="1:5" x14ac:dyDescent="0.35">
      <c r="A503" t="s">
        <v>10</v>
      </c>
      <c r="B503">
        <v>64</v>
      </c>
      <c r="C503" s="14">
        <v>148.94900000000001</v>
      </c>
      <c r="D503">
        <f>ROUNDUP(C503/GiaDinh!$C$4-0.0005,0)</f>
        <v>25</v>
      </c>
      <c r="E503">
        <f t="shared" si="7"/>
        <v>24</v>
      </c>
    </row>
    <row r="504" spans="1:5" x14ac:dyDescent="0.35">
      <c r="A504" t="s">
        <v>10</v>
      </c>
      <c r="B504">
        <v>65</v>
      </c>
      <c r="C504" s="14">
        <v>148.94900000000001</v>
      </c>
      <c r="D504">
        <f>ROUNDUP(C504/GiaDinh!$C$4-0.0005,0)</f>
        <v>25</v>
      </c>
      <c r="E504">
        <f t="shared" si="7"/>
        <v>24</v>
      </c>
    </row>
    <row r="505" spans="1:5" x14ac:dyDescent="0.35">
      <c r="A505" t="s">
        <v>10</v>
      </c>
      <c r="B505">
        <v>66</v>
      </c>
      <c r="C505" s="14">
        <v>148.94900000000001</v>
      </c>
      <c r="D505">
        <f>ROUNDUP(C505/GiaDinh!$C$4-0.0005,0)</f>
        <v>25</v>
      </c>
      <c r="E505">
        <f t="shared" si="7"/>
        <v>24</v>
      </c>
    </row>
    <row r="506" spans="1:5" x14ac:dyDescent="0.35">
      <c r="A506" t="s">
        <v>10</v>
      </c>
      <c r="B506">
        <v>67</v>
      </c>
      <c r="C506" s="14">
        <v>148.94900000000001</v>
      </c>
      <c r="D506">
        <f>ROUNDUP(C506/GiaDinh!$C$4-0.0005,0)</f>
        <v>25</v>
      </c>
      <c r="E506">
        <f t="shared" si="7"/>
        <v>24</v>
      </c>
    </row>
    <row r="507" spans="1:5" x14ac:dyDescent="0.35">
      <c r="A507" t="s">
        <v>10</v>
      </c>
      <c r="B507">
        <v>68</v>
      </c>
      <c r="C507" s="14">
        <v>148.94900000000001</v>
      </c>
      <c r="D507">
        <f>ROUNDUP(C507/GiaDinh!$C$4-0.0005,0)</f>
        <v>25</v>
      </c>
      <c r="E507">
        <f t="shared" si="7"/>
        <v>24</v>
      </c>
    </row>
    <row r="508" spans="1:5" x14ac:dyDescent="0.35">
      <c r="A508" t="s">
        <v>10</v>
      </c>
      <c r="B508">
        <v>69</v>
      </c>
      <c r="C508" s="14">
        <v>148.94900000000001</v>
      </c>
      <c r="D508">
        <f>ROUNDUP(C508/GiaDinh!$C$4-0.0005,0)</f>
        <v>25</v>
      </c>
      <c r="E508">
        <f t="shared" si="7"/>
        <v>24</v>
      </c>
    </row>
    <row r="509" spans="1:5" x14ac:dyDescent="0.35">
      <c r="A509" t="s">
        <v>10</v>
      </c>
      <c r="B509">
        <v>70</v>
      </c>
      <c r="C509" s="14">
        <v>148.94900000000001</v>
      </c>
      <c r="D509">
        <f>ROUNDUP(C509/GiaDinh!$C$4-0.0005,0)</f>
        <v>25</v>
      </c>
      <c r="E509">
        <f t="shared" si="7"/>
        <v>24</v>
      </c>
    </row>
    <row r="510" spans="1:5" x14ac:dyDescent="0.35">
      <c r="A510" t="s">
        <v>10</v>
      </c>
      <c r="B510">
        <v>71</v>
      </c>
      <c r="C510" s="14">
        <v>148.94900000000001</v>
      </c>
      <c r="D510">
        <f>ROUNDUP(C510/GiaDinh!$C$4-0.0005,0)</f>
        <v>25</v>
      </c>
      <c r="E510">
        <f t="shared" si="7"/>
        <v>24</v>
      </c>
    </row>
    <row r="511" spans="1:5" x14ac:dyDescent="0.35">
      <c r="A511" t="s">
        <v>10</v>
      </c>
      <c r="B511">
        <v>72</v>
      </c>
      <c r="C511" s="14">
        <v>148.94900000000001</v>
      </c>
      <c r="D511">
        <f>ROUNDUP(C511/GiaDinh!$C$4-0.0005,0)</f>
        <v>25</v>
      </c>
      <c r="E511">
        <f t="shared" si="7"/>
        <v>24</v>
      </c>
    </row>
    <row r="512" spans="1:5" x14ac:dyDescent="0.35">
      <c r="A512" t="s">
        <v>10</v>
      </c>
      <c r="B512">
        <v>73</v>
      </c>
      <c r="C512" s="14">
        <v>148.94900000000001</v>
      </c>
      <c r="D512">
        <f>ROUNDUP(C512/GiaDinh!$C$4-0.0005,0)</f>
        <v>25</v>
      </c>
      <c r="E512">
        <f t="shared" si="7"/>
        <v>24</v>
      </c>
    </row>
    <row r="513" spans="1:5" x14ac:dyDescent="0.35">
      <c r="A513" t="s">
        <v>10</v>
      </c>
      <c r="B513">
        <v>74</v>
      </c>
      <c r="C513" s="14">
        <v>148.94900000000001</v>
      </c>
      <c r="D513">
        <f>ROUNDUP(C513/GiaDinh!$C$4-0.0005,0)</f>
        <v>25</v>
      </c>
      <c r="E513">
        <f t="shared" si="7"/>
        <v>24</v>
      </c>
    </row>
    <row r="514" spans="1:5" x14ac:dyDescent="0.35">
      <c r="A514" t="s">
        <v>10</v>
      </c>
      <c r="B514">
        <v>75</v>
      </c>
      <c r="C514" s="14">
        <v>148.94900000000001</v>
      </c>
      <c r="D514">
        <f>ROUNDUP(C514/GiaDinh!$C$4-0.0005,0)</f>
        <v>25</v>
      </c>
      <c r="E514">
        <f t="shared" si="7"/>
        <v>24</v>
      </c>
    </row>
    <row r="515" spans="1:5" x14ac:dyDescent="0.35">
      <c r="A515" t="s">
        <v>10</v>
      </c>
      <c r="B515">
        <v>76</v>
      </c>
      <c r="C515" s="14">
        <v>148.94900000000001</v>
      </c>
      <c r="D515">
        <f>ROUNDUP(C515/GiaDinh!$C$4-0.0005,0)</f>
        <v>25</v>
      </c>
      <c r="E515">
        <f t="shared" si="7"/>
        <v>24</v>
      </c>
    </row>
    <row r="516" spans="1:5" x14ac:dyDescent="0.35">
      <c r="A516" t="s">
        <v>10</v>
      </c>
      <c r="B516">
        <v>77</v>
      </c>
      <c r="C516" s="14">
        <v>148.94900000000001</v>
      </c>
      <c r="D516">
        <f>ROUNDUP(C516/GiaDinh!$C$4-0.0005,0)</f>
        <v>25</v>
      </c>
      <c r="E516">
        <f t="shared" ref="E516:E579" si="8">D516-1</f>
        <v>24</v>
      </c>
    </row>
    <row r="517" spans="1:5" x14ac:dyDescent="0.35">
      <c r="A517" t="s">
        <v>10</v>
      </c>
      <c r="B517">
        <v>78</v>
      </c>
      <c r="C517" s="14">
        <v>148.94900000000001</v>
      </c>
      <c r="D517">
        <f>ROUNDUP(C517/GiaDinh!$C$4-0.0005,0)</f>
        <v>25</v>
      </c>
      <c r="E517">
        <f t="shared" si="8"/>
        <v>24</v>
      </c>
    </row>
    <row r="518" spans="1:5" x14ac:dyDescent="0.35">
      <c r="A518" t="s">
        <v>10</v>
      </c>
      <c r="B518">
        <v>79</v>
      </c>
      <c r="C518" s="14">
        <v>148.94900000000001</v>
      </c>
      <c r="D518">
        <f>ROUNDUP(C518/GiaDinh!$C$4-0.0005,0)</f>
        <v>25</v>
      </c>
      <c r="E518">
        <f t="shared" si="8"/>
        <v>24</v>
      </c>
    </row>
    <row r="519" spans="1:5" x14ac:dyDescent="0.35">
      <c r="A519" t="s">
        <v>10</v>
      </c>
      <c r="B519">
        <v>80</v>
      </c>
      <c r="C519" s="14">
        <v>148.94900000000001</v>
      </c>
      <c r="D519">
        <f>ROUNDUP(C519/GiaDinh!$C$4-0.0005,0)</f>
        <v>25</v>
      </c>
      <c r="E519">
        <f t="shared" si="8"/>
        <v>24</v>
      </c>
    </row>
    <row r="520" spans="1:5" x14ac:dyDescent="0.35">
      <c r="A520" t="s">
        <v>10</v>
      </c>
      <c r="B520">
        <v>81</v>
      </c>
      <c r="C520" s="14">
        <v>148.94900000000001</v>
      </c>
      <c r="D520">
        <f>ROUNDUP(C520/GiaDinh!$C$4-0.0005,0)</f>
        <v>25</v>
      </c>
      <c r="E520">
        <f t="shared" si="8"/>
        <v>24</v>
      </c>
    </row>
    <row r="521" spans="1:5" x14ac:dyDescent="0.35">
      <c r="A521" t="s">
        <v>10</v>
      </c>
      <c r="B521">
        <v>82</v>
      </c>
      <c r="C521" s="14">
        <v>148.94900000000001</v>
      </c>
      <c r="D521">
        <f>ROUNDUP(C521/GiaDinh!$C$4-0.0005,0)</f>
        <v>25</v>
      </c>
      <c r="E521">
        <f t="shared" si="8"/>
        <v>24</v>
      </c>
    </row>
    <row r="522" spans="1:5" x14ac:dyDescent="0.35">
      <c r="A522" t="s">
        <v>10</v>
      </c>
      <c r="B522">
        <v>83</v>
      </c>
      <c r="C522" s="14">
        <v>148.94900000000001</v>
      </c>
      <c r="D522">
        <f>ROUNDUP(C522/GiaDinh!$C$4-0.0005,0)</f>
        <v>25</v>
      </c>
      <c r="E522">
        <f t="shared" si="8"/>
        <v>24</v>
      </c>
    </row>
    <row r="523" spans="1:5" x14ac:dyDescent="0.35">
      <c r="A523" t="s">
        <v>10</v>
      </c>
      <c r="B523">
        <v>84</v>
      </c>
      <c r="C523" s="14">
        <v>148.94900000000001</v>
      </c>
      <c r="D523">
        <f>ROUNDUP(C523/GiaDinh!$C$4-0.0005,0)</f>
        <v>25</v>
      </c>
      <c r="E523">
        <f t="shared" si="8"/>
        <v>24</v>
      </c>
    </row>
    <row r="524" spans="1:5" x14ac:dyDescent="0.35">
      <c r="A524" t="s">
        <v>10</v>
      </c>
      <c r="B524">
        <v>85</v>
      </c>
      <c r="C524" s="14">
        <v>148.94900000000001</v>
      </c>
      <c r="D524">
        <f>ROUNDUP(C524/GiaDinh!$C$4-0.0005,0)</f>
        <v>25</v>
      </c>
      <c r="E524">
        <f t="shared" si="8"/>
        <v>24</v>
      </c>
    </row>
    <row r="525" spans="1:5" x14ac:dyDescent="0.35">
      <c r="A525" t="s">
        <v>10</v>
      </c>
      <c r="B525">
        <v>86</v>
      </c>
      <c r="C525" s="14">
        <v>148.94900000000001</v>
      </c>
      <c r="D525">
        <f>ROUNDUP(C525/GiaDinh!$C$4-0.0005,0)</f>
        <v>25</v>
      </c>
      <c r="E525">
        <f t="shared" si="8"/>
        <v>24</v>
      </c>
    </row>
    <row r="526" spans="1:5" x14ac:dyDescent="0.35">
      <c r="A526" t="s">
        <v>10</v>
      </c>
      <c r="B526">
        <v>87</v>
      </c>
      <c r="C526" s="14">
        <v>148.94900000000001</v>
      </c>
      <c r="D526">
        <f>ROUNDUP(C526/GiaDinh!$C$4-0.0005,0)</f>
        <v>25</v>
      </c>
      <c r="E526">
        <f t="shared" si="8"/>
        <v>24</v>
      </c>
    </row>
    <row r="527" spans="1:5" x14ac:dyDescent="0.35">
      <c r="A527" t="s">
        <v>10</v>
      </c>
      <c r="B527">
        <v>88</v>
      </c>
      <c r="C527" s="14">
        <v>148.94900000000001</v>
      </c>
      <c r="D527">
        <f>ROUNDUP(C527/GiaDinh!$C$4-0.0005,0)</f>
        <v>25</v>
      </c>
      <c r="E527">
        <f t="shared" si="8"/>
        <v>24</v>
      </c>
    </row>
    <row r="528" spans="1:5" x14ac:dyDescent="0.35">
      <c r="A528" t="s">
        <v>10</v>
      </c>
      <c r="B528">
        <v>89</v>
      </c>
      <c r="C528" s="14">
        <v>148.94900000000001</v>
      </c>
      <c r="D528">
        <f>ROUNDUP(C528/GiaDinh!$C$4-0.0005,0)</f>
        <v>25</v>
      </c>
      <c r="E528">
        <f t="shared" si="8"/>
        <v>24</v>
      </c>
    </row>
    <row r="529" spans="1:5" x14ac:dyDescent="0.35">
      <c r="A529" t="s">
        <v>10</v>
      </c>
      <c r="B529">
        <v>90</v>
      </c>
      <c r="C529" s="14">
        <v>148.94900000000001</v>
      </c>
      <c r="D529">
        <f>ROUNDUP(C529/GiaDinh!$C$4-0.0005,0)</f>
        <v>25</v>
      </c>
      <c r="E529">
        <f t="shared" si="8"/>
        <v>24</v>
      </c>
    </row>
    <row r="530" spans="1:5" x14ac:dyDescent="0.35">
      <c r="A530" t="s">
        <v>10</v>
      </c>
      <c r="B530">
        <v>91</v>
      </c>
      <c r="C530" s="14">
        <v>148.94900000000001</v>
      </c>
      <c r="D530">
        <f>ROUNDUP(C530/GiaDinh!$C$4-0.0005,0)</f>
        <v>25</v>
      </c>
      <c r="E530">
        <f t="shared" si="8"/>
        <v>24</v>
      </c>
    </row>
    <row r="531" spans="1:5" x14ac:dyDescent="0.35">
      <c r="A531" t="s">
        <v>10</v>
      </c>
      <c r="B531">
        <v>92</v>
      </c>
      <c r="C531" s="14">
        <v>148.94900000000001</v>
      </c>
      <c r="D531">
        <f>ROUNDUP(C531/GiaDinh!$C$4-0.0005,0)</f>
        <v>25</v>
      </c>
      <c r="E531">
        <f t="shared" si="8"/>
        <v>24</v>
      </c>
    </row>
    <row r="532" spans="1:5" x14ac:dyDescent="0.35">
      <c r="A532" t="s">
        <v>11</v>
      </c>
      <c r="B532">
        <v>1</v>
      </c>
      <c r="C532" s="14">
        <v>63.277999999999999</v>
      </c>
      <c r="D532">
        <f>ROUNDUP(C532/GiaDinh!$C$4-0.0005,0)</f>
        <v>11</v>
      </c>
      <c r="E532">
        <f t="shared" si="8"/>
        <v>10</v>
      </c>
    </row>
    <row r="533" spans="1:5" x14ac:dyDescent="0.35">
      <c r="A533" t="s">
        <v>11</v>
      </c>
      <c r="B533">
        <v>2</v>
      </c>
      <c r="C533" s="14">
        <v>63.277999999999999</v>
      </c>
      <c r="D533">
        <f>ROUNDUP(C533/GiaDinh!$C$4-0.0005,0)</f>
        <v>11</v>
      </c>
      <c r="E533">
        <f t="shared" si="8"/>
        <v>10</v>
      </c>
    </row>
    <row r="534" spans="1:5" x14ac:dyDescent="0.35">
      <c r="A534" t="s">
        <v>11</v>
      </c>
      <c r="B534">
        <v>3</v>
      </c>
      <c r="C534" s="14">
        <v>67.120999999999995</v>
      </c>
      <c r="D534">
        <f>ROUNDUP(C534/GiaDinh!$C$4-0.0005,0)</f>
        <v>12</v>
      </c>
      <c r="E534">
        <f t="shared" si="8"/>
        <v>11</v>
      </c>
    </row>
    <row r="535" spans="1:5" x14ac:dyDescent="0.35">
      <c r="A535" t="s">
        <v>11</v>
      </c>
      <c r="B535">
        <v>4</v>
      </c>
      <c r="C535" s="14">
        <v>67.120999999999995</v>
      </c>
      <c r="D535">
        <f>ROUNDUP(C535/GiaDinh!$C$4-0.0005,0)</f>
        <v>12</v>
      </c>
      <c r="E535">
        <f t="shared" si="8"/>
        <v>11</v>
      </c>
    </row>
    <row r="536" spans="1:5" x14ac:dyDescent="0.35">
      <c r="A536" t="s">
        <v>11</v>
      </c>
      <c r="B536">
        <v>5</v>
      </c>
      <c r="C536" s="14">
        <v>67.120999999999995</v>
      </c>
      <c r="D536">
        <f>ROUNDUP(C536/GiaDinh!$C$4-0.0005,0)</f>
        <v>12</v>
      </c>
      <c r="E536">
        <f t="shared" si="8"/>
        <v>11</v>
      </c>
    </row>
    <row r="537" spans="1:5" x14ac:dyDescent="0.35">
      <c r="A537" t="s">
        <v>11</v>
      </c>
      <c r="B537">
        <v>6</v>
      </c>
      <c r="C537" s="14">
        <v>67.120999999999995</v>
      </c>
      <c r="D537">
        <f>ROUNDUP(C537/GiaDinh!$C$4-0.0005,0)</f>
        <v>12</v>
      </c>
      <c r="E537">
        <f t="shared" si="8"/>
        <v>11</v>
      </c>
    </row>
    <row r="538" spans="1:5" x14ac:dyDescent="0.35">
      <c r="A538" t="s">
        <v>11</v>
      </c>
      <c r="B538">
        <v>7</v>
      </c>
      <c r="C538" s="14">
        <v>67.120999999999995</v>
      </c>
      <c r="D538">
        <f>ROUNDUP(C538/GiaDinh!$C$4-0.0005,0)</f>
        <v>12</v>
      </c>
      <c r="E538">
        <f t="shared" si="8"/>
        <v>11</v>
      </c>
    </row>
    <row r="539" spans="1:5" x14ac:dyDescent="0.35">
      <c r="A539" t="s">
        <v>11</v>
      </c>
      <c r="B539">
        <v>8</v>
      </c>
      <c r="C539" s="14">
        <v>67.120999999999995</v>
      </c>
      <c r="D539">
        <f>ROUNDUP(C539/GiaDinh!$C$4-0.0005,0)</f>
        <v>12</v>
      </c>
      <c r="E539">
        <f t="shared" si="8"/>
        <v>11</v>
      </c>
    </row>
    <row r="540" spans="1:5" x14ac:dyDescent="0.35">
      <c r="A540" t="s">
        <v>11</v>
      </c>
      <c r="B540">
        <v>9</v>
      </c>
      <c r="C540" s="14">
        <v>67.120999999999995</v>
      </c>
      <c r="D540">
        <f>ROUNDUP(C540/GiaDinh!$C$4-0.0005,0)</f>
        <v>12</v>
      </c>
      <c r="E540">
        <f t="shared" si="8"/>
        <v>11</v>
      </c>
    </row>
    <row r="541" spans="1:5" x14ac:dyDescent="0.35">
      <c r="A541" t="s">
        <v>11</v>
      </c>
      <c r="B541">
        <v>10</v>
      </c>
      <c r="C541" s="14">
        <v>67.120999999999995</v>
      </c>
      <c r="D541">
        <f>ROUNDUP(C541/GiaDinh!$C$4-0.0005,0)</f>
        <v>12</v>
      </c>
      <c r="E541">
        <f t="shared" si="8"/>
        <v>11</v>
      </c>
    </row>
    <row r="542" spans="1:5" x14ac:dyDescent="0.35">
      <c r="A542" t="s">
        <v>11</v>
      </c>
      <c r="B542">
        <v>11</v>
      </c>
      <c r="C542" s="14">
        <v>67.120999999999995</v>
      </c>
      <c r="D542">
        <f>ROUNDUP(C542/GiaDinh!$C$4-0.0005,0)</f>
        <v>12</v>
      </c>
      <c r="E542">
        <f t="shared" si="8"/>
        <v>11</v>
      </c>
    </row>
    <row r="543" spans="1:5" x14ac:dyDescent="0.35">
      <c r="A543" t="s">
        <v>11</v>
      </c>
      <c r="B543">
        <v>12</v>
      </c>
      <c r="C543" s="14">
        <v>67.120999999999995</v>
      </c>
      <c r="D543">
        <f>ROUNDUP(C543/GiaDinh!$C$4-0.0005,0)</f>
        <v>12</v>
      </c>
      <c r="E543">
        <f t="shared" si="8"/>
        <v>11</v>
      </c>
    </row>
    <row r="544" spans="1:5" x14ac:dyDescent="0.35">
      <c r="A544" t="s">
        <v>11</v>
      </c>
      <c r="B544">
        <v>13</v>
      </c>
      <c r="C544" s="14">
        <v>67.120999999999995</v>
      </c>
      <c r="D544">
        <f>ROUNDUP(C544/GiaDinh!$C$4-0.0005,0)</f>
        <v>12</v>
      </c>
      <c r="E544">
        <f t="shared" si="8"/>
        <v>11</v>
      </c>
    </row>
    <row r="545" spans="1:5" x14ac:dyDescent="0.35">
      <c r="A545" t="s">
        <v>11</v>
      </c>
      <c r="B545">
        <v>14</v>
      </c>
      <c r="C545" s="14">
        <v>67.120999999999995</v>
      </c>
      <c r="D545">
        <f>ROUNDUP(C545/GiaDinh!$C$4-0.0005,0)</f>
        <v>12</v>
      </c>
      <c r="E545">
        <f t="shared" si="8"/>
        <v>11</v>
      </c>
    </row>
    <row r="546" spans="1:5" x14ac:dyDescent="0.35">
      <c r="A546" t="s">
        <v>11</v>
      </c>
      <c r="B546">
        <v>15</v>
      </c>
      <c r="C546" s="14">
        <v>67.120999999999995</v>
      </c>
      <c r="D546">
        <f>ROUNDUP(C546/GiaDinh!$C$4-0.0005,0)</f>
        <v>12</v>
      </c>
      <c r="E546">
        <f t="shared" si="8"/>
        <v>11</v>
      </c>
    </row>
    <row r="547" spans="1:5" x14ac:dyDescent="0.35">
      <c r="A547" t="s">
        <v>11</v>
      </c>
      <c r="B547">
        <v>16</v>
      </c>
      <c r="C547" s="14">
        <v>67.120999999999995</v>
      </c>
      <c r="D547">
        <f>ROUNDUP(C547/GiaDinh!$C$4-0.0005,0)</f>
        <v>12</v>
      </c>
      <c r="E547">
        <f t="shared" si="8"/>
        <v>11</v>
      </c>
    </row>
    <row r="548" spans="1:5" x14ac:dyDescent="0.35">
      <c r="A548" t="s">
        <v>11</v>
      </c>
      <c r="B548">
        <v>17</v>
      </c>
      <c r="C548" s="14">
        <v>67.120999999999995</v>
      </c>
      <c r="D548">
        <f>ROUNDUP(C548/GiaDinh!$C$4-0.0005,0)</f>
        <v>12</v>
      </c>
      <c r="E548">
        <f t="shared" si="8"/>
        <v>11</v>
      </c>
    </row>
    <row r="549" spans="1:5" x14ac:dyDescent="0.35">
      <c r="A549" t="s">
        <v>11</v>
      </c>
      <c r="B549">
        <v>18</v>
      </c>
      <c r="C549" s="14">
        <v>67.120999999999995</v>
      </c>
      <c r="D549">
        <f>ROUNDUP(C549/GiaDinh!$C$4-0.0005,0)</f>
        <v>12</v>
      </c>
      <c r="E549">
        <f t="shared" si="8"/>
        <v>11</v>
      </c>
    </row>
    <row r="550" spans="1:5" x14ac:dyDescent="0.35">
      <c r="A550" t="s">
        <v>11</v>
      </c>
      <c r="B550">
        <v>19</v>
      </c>
      <c r="C550" s="14">
        <v>67.120999999999995</v>
      </c>
      <c r="D550">
        <f>ROUNDUP(C550/GiaDinh!$C$4-0.0005,0)</f>
        <v>12</v>
      </c>
      <c r="E550">
        <f t="shared" si="8"/>
        <v>11</v>
      </c>
    </row>
    <row r="551" spans="1:5" x14ac:dyDescent="0.35">
      <c r="A551" t="s">
        <v>11</v>
      </c>
      <c r="B551">
        <v>20</v>
      </c>
      <c r="C551" s="14">
        <v>67.120999999999995</v>
      </c>
      <c r="D551">
        <f>ROUNDUP(C551/GiaDinh!$C$4-0.0005,0)</f>
        <v>12</v>
      </c>
      <c r="E551">
        <f t="shared" si="8"/>
        <v>11</v>
      </c>
    </row>
    <row r="552" spans="1:5" x14ac:dyDescent="0.35">
      <c r="A552" t="s">
        <v>11</v>
      </c>
      <c r="B552">
        <v>21</v>
      </c>
      <c r="C552" s="14">
        <v>67.120999999999995</v>
      </c>
      <c r="D552">
        <f>ROUNDUP(C552/GiaDinh!$C$4-0.0005,0)</f>
        <v>12</v>
      </c>
      <c r="E552">
        <f t="shared" si="8"/>
        <v>11</v>
      </c>
    </row>
    <row r="553" spans="1:5" x14ac:dyDescent="0.35">
      <c r="A553" t="s">
        <v>11</v>
      </c>
      <c r="B553">
        <v>22</v>
      </c>
      <c r="C553" s="14">
        <v>67.120999999999995</v>
      </c>
      <c r="D553">
        <f>ROUNDUP(C553/GiaDinh!$C$4-0.0005,0)</f>
        <v>12</v>
      </c>
      <c r="E553">
        <f t="shared" si="8"/>
        <v>11</v>
      </c>
    </row>
    <row r="554" spans="1:5" x14ac:dyDescent="0.35">
      <c r="A554" t="s">
        <v>11</v>
      </c>
      <c r="B554">
        <v>23</v>
      </c>
      <c r="C554" s="14">
        <v>67.120999999999995</v>
      </c>
      <c r="D554">
        <f>ROUNDUP(C554/GiaDinh!$C$4-0.0005,0)</f>
        <v>12</v>
      </c>
      <c r="E554">
        <f t="shared" si="8"/>
        <v>11</v>
      </c>
    </row>
    <row r="555" spans="1:5" x14ac:dyDescent="0.35">
      <c r="A555" t="s">
        <v>11</v>
      </c>
      <c r="B555">
        <v>24</v>
      </c>
      <c r="C555" s="14">
        <v>67.120999999999995</v>
      </c>
      <c r="D555">
        <f>ROUNDUP(C555/GiaDinh!$C$4-0.0005,0)</f>
        <v>12</v>
      </c>
      <c r="E555">
        <f t="shared" si="8"/>
        <v>11</v>
      </c>
    </row>
    <row r="556" spans="1:5" x14ac:dyDescent="0.35">
      <c r="A556" t="s">
        <v>11</v>
      </c>
      <c r="B556">
        <v>25</v>
      </c>
      <c r="C556" s="14">
        <v>67.120999999999995</v>
      </c>
      <c r="D556">
        <f>ROUNDUP(C556/GiaDinh!$C$4-0.0005,0)</f>
        <v>12</v>
      </c>
      <c r="E556">
        <f t="shared" si="8"/>
        <v>11</v>
      </c>
    </row>
    <row r="557" spans="1:5" x14ac:dyDescent="0.35">
      <c r="A557" t="s">
        <v>11</v>
      </c>
      <c r="B557">
        <v>26</v>
      </c>
      <c r="C557" s="14">
        <v>67.120999999999995</v>
      </c>
      <c r="D557">
        <f>ROUNDUP(C557/GiaDinh!$C$4-0.0005,0)</f>
        <v>12</v>
      </c>
      <c r="E557">
        <f t="shared" si="8"/>
        <v>11</v>
      </c>
    </row>
    <row r="558" spans="1:5" x14ac:dyDescent="0.35">
      <c r="A558" t="s">
        <v>11</v>
      </c>
      <c r="B558">
        <v>27</v>
      </c>
      <c r="C558" s="14">
        <v>67.120999999999995</v>
      </c>
      <c r="D558">
        <f>ROUNDUP(C558/GiaDinh!$C$4-0.0005,0)</f>
        <v>12</v>
      </c>
      <c r="E558">
        <f t="shared" si="8"/>
        <v>11</v>
      </c>
    </row>
    <row r="559" spans="1:5" x14ac:dyDescent="0.35">
      <c r="A559" t="s">
        <v>11</v>
      </c>
      <c r="B559">
        <v>28</v>
      </c>
      <c r="C559" s="14">
        <v>67.120999999999995</v>
      </c>
      <c r="D559">
        <f>ROUNDUP(C559/GiaDinh!$C$4-0.0005,0)</f>
        <v>12</v>
      </c>
      <c r="E559">
        <f t="shared" si="8"/>
        <v>11</v>
      </c>
    </row>
    <row r="560" spans="1:5" x14ac:dyDescent="0.35">
      <c r="A560" t="s">
        <v>11</v>
      </c>
      <c r="B560">
        <v>29</v>
      </c>
      <c r="C560" s="14">
        <v>67.120999999999995</v>
      </c>
      <c r="D560">
        <f>ROUNDUP(C560/GiaDinh!$C$4-0.0005,0)</f>
        <v>12</v>
      </c>
      <c r="E560">
        <f t="shared" si="8"/>
        <v>11</v>
      </c>
    </row>
    <row r="561" spans="1:5" x14ac:dyDescent="0.35">
      <c r="A561" t="s">
        <v>11</v>
      </c>
      <c r="B561">
        <v>30</v>
      </c>
      <c r="C561" s="14">
        <v>67.120999999999995</v>
      </c>
      <c r="D561">
        <f>ROUNDUP(C561/GiaDinh!$C$4-0.0005,0)</f>
        <v>12</v>
      </c>
      <c r="E561">
        <f t="shared" si="8"/>
        <v>11</v>
      </c>
    </row>
    <row r="562" spans="1:5" x14ac:dyDescent="0.35">
      <c r="A562" t="s">
        <v>11</v>
      </c>
      <c r="B562">
        <v>31</v>
      </c>
      <c r="C562" s="14">
        <v>67.120999999999995</v>
      </c>
      <c r="D562">
        <f>ROUNDUP(C562/GiaDinh!$C$4-0.0005,0)</f>
        <v>12</v>
      </c>
      <c r="E562">
        <f t="shared" si="8"/>
        <v>11</v>
      </c>
    </row>
    <row r="563" spans="1:5" x14ac:dyDescent="0.35">
      <c r="A563" t="s">
        <v>11</v>
      </c>
      <c r="B563">
        <v>32</v>
      </c>
      <c r="C563" s="14">
        <v>67.120999999999995</v>
      </c>
      <c r="D563">
        <f>ROUNDUP(C563/GiaDinh!$C$4-0.0005,0)</f>
        <v>12</v>
      </c>
      <c r="E563">
        <f t="shared" si="8"/>
        <v>11</v>
      </c>
    </row>
    <row r="564" spans="1:5" x14ac:dyDescent="0.35">
      <c r="A564" t="s">
        <v>11</v>
      </c>
      <c r="B564">
        <v>33</v>
      </c>
      <c r="C564" s="14">
        <v>67.120999999999995</v>
      </c>
      <c r="D564">
        <f>ROUNDUP(C564/GiaDinh!$C$4-0.0005,0)</f>
        <v>12</v>
      </c>
      <c r="E564">
        <f t="shared" si="8"/>
        <v>11</v>
      </c>
    </row>
    <row r="565" spans="1:5" x14ac:dyDescent="0.35">
      <c r="A565" t="s">
        <v>11</v>
      </c>
      <c r="B565">
        <v>34</v>
      </c>
      <c r="C565" s="14">
        <v>67.120999999999995</v>
      </c>
      <c r="D565">
        <f>ROUNDUP(C565/GiaDinh!$C$4-0.0005,0)</f>
        <v>12</v>
      </c>
      <c r="E565">
        <f t="shared" si="8"/>
        <v>11</v>
      </c>
    </row>
    <row r="566" spans="1:5" x14ac:dyDescent="0.35">
      <c r="A566" t="s">
        <v>11</v>
      </c>
      <c r="B566">
        <v>35</v>
      </c>
      <c r="C566" s="14">
        <v>67.120999999999995</v>
      </c>
      <c r="D566">
        <f>ROUNDUP(C566/GiaDinh!$C$4-0.0005,0)</f>
        <v>12</v>
      </c>
      <c r="E566">
        <f t="shared" si="8"/>
        <v>11</v>
      </c>
    </row>
    <row r="567" spans="1:5" x14ac:dyDescent="0.35">
      <c r="A567" t="s">
        <v>11</v>
      </c>
      <c r="B567">
        <v>36</v>
      </c>
      <c r="C567" s="14">
        <v>67.120999999999995</v>
      </c>
      <c r="D567">
        <f>ROUNDUP(C567/GiaDinh!$C$4-0.0005,0)</f>
        <v>12</v>
      </c>
      <c r="E567">
        <f t="shared" si="8"/>
        <v>11</v>
      </c>
    </row>
    <row r="568" spans="1:5" x14ac:dyDescent="0.35">
      <c r="A568" t="s">
        <v>11</v>
      </c>
      <c r="B568">
        <v>37</v>
      </c>
      <c r="C568" s="14">
        <v>67.120999999999995</v>
      </c>
      <c r="D568">
        <f>ROUNDUP(C568/GiaDinh!$C$4-0.0005,0)</f>
        <v>12</v>
      </c>
      <c r="E568">
        <f t="shared" si="8"/>
        <v>11</v>
      </c>
    </row>
    <row r="569" spans="1:5" x14ac:dyDescent="0.35">
      <c r="A569" t="s">
        <v>11</v>
      </c>
      <c r="B569">
        <v>38</v>
      </c>
      <c r="C569" s="14">
        <v>67.120999999999995</v>
      </c>
      <c r="D569">
        <f>ROUNDUP(C569/GiaDinh!$C$4-0.0005,0)</f>
        <v>12</v>
      </c>
      <c r="E569">
        <f t="shared" si="8"/>
        <v>11</v>
      </c>
    </row>
    <row r="570" spans="1:5" x14ac:dyDescent="0.35">
      <c r="A570" t="s">
        <v>11</v>
      </c>
      <c r="B570">
        <v>39</v>
      </c>
      <c r="C570" s="14">
        <v>67.120999999999995</v>
      </c>
      <c r="D570">
        <f>ROUNDUP(C570/GiaDinh!$C$4-0.0005,0)</f>
        <v>12</v>
      </c>
      <c r="E570">
        <f t="shared" si="8"/>
        <v>11</v>
      </c>
    </row>
    <row r="571" spans="1:5" x14ac:dyDescent="0.35">
      <c r="A571" t="s">
        <v>11</v>
      </c>
      <c r="B571">
        <v>40</v>
      </c>
      <c r="C571" s="14">
        <v>67.120999999999995</v>
      </c>
      <c r="D571">
        <f>ROUNDUP(C571/GiaDinh!$C$4-0.0005,0)</f>
        <v>12</v>
      </c>
      <c r="E571">
        <f t="shared" si="8"/>
        <v>11</v>
      </c>
    </row>
    <row r="572" spans="1:5" x14ac:dyDescent="0.35">
      <c r="A572" t="s">
        <v>11</v>
      </c>
      <c r="B572">
        <v>41</v>
      </c>
      <c r="C572" s="14">
        <v>67.120999999999995</v>
      </c>
      <c r="D572">
        <f>ROUNDUP(C572/GiaDinh!$C$4-0.0005,0)</f>
        <v>12</v>
      </c>
      <c r="E572">
        <f t="shared" si="8"/>
        <v>11</v>
      </c>
    </row>
    <row r="573" spans="1:5" x14ac:dyDescent="0.35">
      <c r="A573" t="s">
        <v>11</v>
      </c>
      <c r="B573">
        <v>42</v>
      </c>
      <c r="C573" s="14">
        <v>67.120999999999995</v>
      </c>
      <c r="D573">
        <f>ROUNDUP(C573/GiaDinh!$C$4-0.0005,0)</f>
        <v>12</v>
      </c>
      <c r="E573">
        <f t="shared" si="8"/>
        <v>11</v>
      </c>
    </row>
    <row r="574" spans="1:5" x14ac:dyDescent="0.35">
      <c r="A574" t="s">
        <v>11</v>
      </c>
      <c r="B574">
        <v>43</v>
      </c>
      <c r="C574" s="14">
        <v>67.120999999999995</v>
      </c>
      <c r="D574">
        <f>ROUNDUP(C574/GiaDinh!$C$4-0.0005,0)</f>
        <v>12</v>
      </c>
      <c r="E574">
        <f t="shared" si="8"/>
        <v>11</v>
      </c>
    </row>
    <row r="575" spans="1:5" x14ac:dyDescent="0.35">
      <c r="A575" t="s">
        <v>11</v>
      </c>
      <c r="B575">
        <v>44</v>
      </c>
      <c r="C575" s="14">
        <v>67.120999999999995</v>
      </c>
      <c r="D575">
        <f>ROUNDUP(C575/GiaDinh!$C$4-0.0005,0)</f>
        <v>12</v>
      </c>
      <c r="E575">
        <f t="shared" si="8"/>
        <v>11</v>
      </c>
    </row>
    <row r="576" spans="1:5" x14ac:dyDescent="0.35">
      <c r="A576" t="s">
        <v>11</v>
      </c>
      <c r="B576">
        <v>45</v>
      </c>
      <c r="C576" s="14">
        <v>67.120999999999995</v>
      </c>
      <c r="D576">
        <f>ROUNDUP(C576/GiaDinh!$C$4-0.0005,0)</f>
        <v>12</v>
      </c>
      <c r="E576">
        <f t="shared" si="8"/>
        <v>11</v>
      </c>
    </row>
    <row r="577" spans="1:5" x14ac:dyDescent="0.35">
      <c r="A577" t="s">
        <v>11</v>
      </c>
      <c r="B577">
        <v>46</v>
      </c>
      <c r="C577" s="14">
        <v>67.120999999999995</v>
      </c>
      <c r="D577">
        <f>ROUNDUP(C577/GiaDinh!$C$4-0.0005,0)</f>
        <v>12</v>
      </c>
      <c r="E577">
        <f t="shared" si="8"/>
        <v>11</v>
      </c>
    </row>
    <row r="578" spans="1:5" x14ac:dyDescent="0.35">
      <c r="A578" t="s">
        <v>11</v>
      </c>
      <c r="B578">
        <v>47</v>
      </c>
      <c r="C578" s="14">
        <v>67.120999999999995</v>
      </c>
      <c r="D578">
        <f>ROUNDUP(C578/GiaDinh!$C$4-0.0005,0)</f>
        <v>12</v>
      </c>
      <c r="E578">
        <f t="shared" si="8"/>
        <v>11</v>
      </c>
    </row>
    <row r="579" spans="1:5" x14ac:dyDescent="0.35">
      <c r="A579" t="s">
        <v>11</v>
      </c>
      <c r="B579">
        <v>48</v>
      </c>
      <c r="C579" s="14">
        <v>67.120999999999995</v>
      </c>
      <c r="D579">
        <f>ROUNDUP(C579/GiaDinh!$C$4-0.0005,0)</f>
        <v>12</v>
      </c>
      <c r="E579">
        <f t="shared" si="8"/>
        <v>11</v>
      </c>
    </row>
    <row r="580" spans="1:5" x14ac:dyDescent="0.35">
      <c r="A580" t="s">
        <v>11</v>
      </c>
      <c r="B580">
        <v>49</v>
      </c>
      <c r="C580" s="14">
        <v>67.120999999999995</v>
      </c>
      <c r="D580">
        <f>ROUNDUP(C580/GiaDinh!$C$4-0.0005,0)</f>
        <v>12</v>
      </c>
      <c r="E580">
        <f t="shared" ref="E580:E643" si="9">D580-1</f>
        <v>11</v>
      </c>
    </row>
    <row r="581" spans="1:5" x14ac:dyDescent="0.35">
      <c r="A581" t="s">
        <v>11</v>
      </c>
      <c r="B581">
        <v>50</v>
      </c>
      <c r="C581" s="14">
        <v>67.120999999999995</v>
      </c>
      <c r="D581">
        <f>ROUNDUP(C581/GiaDinh!$C$4-0.0005,0)</f>
        <v>12</v>
      </c>
      <c r="E581">
        <f t="shared" si="9"/>
        <v>11</v>
      </c>
    </row>
    <row r="582" spans="1:5" x14ac:dyDescent="0.35">
      <c r="A582" t="s">
        <v>11</v>
      </c>
      <c r="B582">
        <v>51</v>
      </c>
      <c r="C582" s="14">
        <v>67.120999999999995</v>
      </c>
      <c r="D582">
        <f>ROUNDUP(C582/GiaDinh!$C$4-0.0005,0)</f>
        <v>12</v>
      </c>
      <c r="E582">
        <f t="shared" si="9"/>
        <v>11</v>
      </c>
    </row>
    <row r="583" spans="1:5" x14ac:dyDescent="0.35">
      <c r="A583" t="s">
        <v>11</v>
      </c>
      <c r="B583">
        <v>52</v>
      </c>
      <c r="C583" s="14">
        <v>67.120999999999995</v>
      </c>
      <c r="D583">
        <f>ROUNDUP(C583/GiaDinh!$C$4-0.0005,0)</f>
        <v>12</v>
      </c>
      <c r="E583">
        <f t="shared" si="9"/>
        <v>11</v>
      </c>
    </row>
    <row r="584" spans="1:5" x14ac:dyDescent="0.35">
      <c r="A584" t="s">
        <v>11</v>
      </c>
      <c r="B584">
        <v>53</v>
      </c>
      <c r="C584" s="14">
        <v>67.120999999999995</v>
      </c>
      <c r="D584">
        <f>ROUNDUP(C584/GiaDinh!$C$4-0.0005,0)</f>
        <v>12</v>
      </c>
      <c r="E584">
        <f t="shared" si="9"/>
        <v>11</v>
      </c>
    </row>
    <row r="585" spans="1:5" x14ac:dyDescent="0.35">
      <c r="A585" t="s">
        <v>11</v>
      </c>
      <c r="B585">
        <v>54</v>
      </c>
      <c r="C585" s="14">
        <v>67.120999999999995</v>
      </c>
      <c r="D585">
        <f>ROUNDUP(C585/GiaDinh!$C$4-0.0005,0)</f>
        <v>12</v>
      </c>
      <c r="E585">
        <f t="shared" si="9"/>
        <v>11</v>
      </c>
    </row>
    <row r="586" spans="1:5" x14ac:dyDescent="0.35">
      <c r="A586" t="s">
        <v>11</v>
      </c>
      <c r="B586">
        <v>55</v>
      </c>
      <c r="C586" s="14">
        <v>67.120999999999995</v>
      </c>
      <c r="D586">
        <f>ROUNDUP(C586/GiaDinh!$C$4-0.0005,0)</f>
        <v>12</v>
      </c>
      <c r="E586">
        <f t="shared" si="9"/>
        <v>11</v>
      </c>
    </row>
    <row r="587" spans="1:5" x14ac:dyDescent="0.35">
      <c r="A587" t="s">
        <v>11</v>
      </c>
      <c r="B587">
        <v>56</v>
      </c>
      <c r="C587" s="14">
        <v>67.120999999999995</v>
      </c>
      <c r="D587">
        <f>ROUNDUP(C587/GiaDinh!$C$4-0.0005,0)</f>
        <v>12</v>
      </c>
      <c r="E587">
        <f t="shared" si="9"/>
        <v>11</v>
      </c>
    </row>
    <row r="588" spans="1:5" x14ac:dyDescent="0.35">
      <c r="A588" t="s">
        <v>11</v>
      </c>
      <c r="B588">
        <v>57</v>
      </c>
      <c r="C588" s="14">
        <v>67.120999999999995</v>
      </c>
      <c r="D588">
        <f>ROUNDUP(C588/GiaDinh!$C$4-0.0005,0)</f>
        <v>12</v>
      </c>
      <c r="E588">
        <f t="shared" si="9"/>
        <v>11</v>
      </c>
    </row>
    <row r="589" spans="1:5" x14ac:dyDescent="0.35">
      <c r="A589" t="s">
        <v>11</v>
      </c>
      <c r="B589">
        <v>58</v>
      </c>
      <c r="C589" s="14">
        <v>67.120999999999995</v>
      </c>
      <c r="D589">
        <f>ROUNDUP(C589/GiaDinh!$C$4-0.0005,0)</f>
        <v>12</v>
      </c>
      <c r="E589">
        <f t="shared" si="9"/>
        <v>11</v>
      </c>
    </row>
    <row r="590" spans="1:5" x14ac:dyDescent="0.35">
      <c r="A590" t="s">
        <v>11</v>
      </c>
      <c r="B590">
        <v>59</v>
      </c>
      <c r="C590" s="14">
        <v>67.120999999999995</v>
      </c>
      <c r="D590">
        <f>ROUNDUP(C590/GiaDinh!$C$4-0.0005,0)</f>
        <v>12</v>
      </c>
      <c r="E590">
        <f t="shared" si="9"/>
        <v>11</v>
      </c>
    </row>
    <row r="591" spans="1:5" x14ac:dyDescent="0.35">
      <c r="A591" t="s">
        <v>11</v>
      </c>
      <c r="B591">
        <v>60</v>
      </c>
      <c r="C591" s="14">
        <v>67.120999999999995</v>
      </c>
      <c r="D591">
        <f>ROUNDUP(C591/GiaDinh!$C$4-0.0005,0)</f>
        <v>12</v>
      </c>
      <c r="E591">
        <f t="shared" si="9"/>
        <v>11</v>
      </c>
    </row>
    <row r="592" spans="1:5" x14ac:dyDescent="0.35">
      <c r="A592" t="s">
        <v>11</v>
      </c>
      <c r="B592">
        <v>61</v>
      </c>
      <c r="C592" s="14">
        <v>79.227000000000004</v>
      </c>
      <c r="D592">
        <f>ROUNDUP(C592/GiaDinh!$C$4-0.0005,0)</f>
        <v>14</v>
      </c>
      <c r="E592">
        <f t="shared" si="9"/>
        <v>13</v>
      </c>
    </row>
    <row r="593" spans="1:5" x14ac:dyDescent="0.35">
      <c r="A593" t="s">
        <v>11</v>
      </c>
      <c r="B593">
        <v>62</v>
      </c>
      <c r="C593" s="14">
        <v>79.227000000000004</v>
      </c>
      <c r="D593">
        <f>ROUNDUP(C593/GiaDinh!$C$4-0.0005,0)</f>
        <v>14</v>
      </c>
      <c r="E593">
        <f t="shared" si="9"/>
        <v>13</v>
      </c>
    </row>
    <row r="594" spans="1:5" x14ac:dyDescent="0.35">
      <c r="A594" t="s">
        <v>11</v>
      </c>
      <c r="B594">
        <v>63</v>
      </c>
      <c r="C594" s="14">
        <v>79.227000000000004</v>
      </c>
      <c r="D594">
        <f>ROUNDUP(C594/GiaDinh!$C$4-0.0005,0)</f>
        <v>14</v>
      </c>
      <c r="E594">
        <f t="shared" si="9"/>
        <v>13</v>
      </c>
    </row>
    <row r="595" spans="1:5" x14ac:dyDescent="0.35">
      <c r="A595" t="s">
        <v>11</v>
      </c>
      <c r="B595">
        <v>64</v>
      </c>
      <c r="C595" s="14">
        <v>79.227000000000004</v>
      </c>
      <c r="D595">
        <f>ROUNDUP(C595/GiaDinh!$C$4-0.0005,0)</f>
        <v>14</v>
      </c>
      <c r="E595">
        <f t="shared" si="9"/>
        <v>13</v>
      </c>
    </row>
    <row r="596" spans="1:5" x14ac:dyDescent="0.35">
      <c r="A596" t="s">
        <v>11</v>
      </c>
      <c r="B596">
        <v>65</v>
      </c>
      <c r="C596" s="14">
        <v>79.227000000000004</v>
      </c>
      <c r="D596">
        <f>ROUNDUP(C596/GiaDinh!$C$4-0.0005,0)</f>
        <v>14</v>
      </c>
      <c r="E596">
        <f t="shared" si="9"/>
        <v>13</v>
      </c>
    </row>
    <row r="597" spans="1:5" x14ac:dyDescent="0.35">
      <c r="A597" t="s">
        <v>11</v>
      </c>
      <c r="B597">
        <v>66</v>
      </c>
      <c r="C597" s="14">
        <v>79.227000000000004</v>
      </c>
      <c r="D597">
        <f>ROUNDUP(C597/GiaDinh!$C$4-0.0005,0)</f>
        <v>14</v>
      </c>
      <c r="E597">
        <f t="shared" si="9"/>
        <v>13</v>
      </c>
    </row>
    <row r="598" spans="1:5" x14ac:dyDescent="0.35">
      <c r="A598" t="s">
        <v>11</v>
      </c>
      <c r="B598">
        <v>67</v>
      </c>
      <c r="C598" s="14">
        <v>79.227000000000004</v>
      </c>
      <c r="D598">
        <f>ROUNDUP(C598/GiaDinh!$C$4-0.0005,0)</f>
        <v>14</v>
      </c>
      <c r="E598">
        <f t="shared" si="9"/>
        <v>13</v>
      </c>
    </row>
    <row r="599" spans="1:5" x14ac:dyDescent="0.35">
      <c r="A599" t="s">
        <v>11</v>
      </c>
      <c r="B599">
        <v>68</v>
      </c>
      <c r="C599" s="14">
        <v>79.227000000000004</v>
      </c>
      <c r="D599">
        <f>ROUNDUP(C599/GiaDinh!$C$4-0.0005,0)</f>
        <v>14</v>
      </c>
      <c r="E599">
        <f t="shared" si="9"/>
        <v>13</v>
      </c>
    </row>
    <row r="600" spans="1:5" x14ac:dyDescent="0.35">
      <c r="A600" t="s">
        <v>11</v>
      </c>
      <c r="B600">
        <v>69</v>
      </c>
      <c r="C600" s="14">
        <v>79.227000000000004</v>
      </c>
      <c r="D600">
        <f>ROUNDUP(C600/GiaDinh!$C$4-0.0005,0)</f>
        <v>14</v>
      </c>
      <c r="E600">
        <f t="shared" si="9"/>
        <v>13</v>
      </c>
    </row>
    <row r="601" spans="1:5" x14ac:dyDescent="0.35">
      <c r="A601" t="s">
        <v>11</v>
      </c>
      <c r="B601">
        <v>70</v>
      </c>
      <c r="C601" s="14">
        <v>79.227000000000004</v>
      </c>
      <c r="D601">
        <f>ROUNDUP(C601/GiaDinh!$C$4-0.0005,0)</f>
        <v>14</v>
      </c>
      <c r="E601">
        <f t="shared" si="9"/>
        <v>13</v>
      </c>
    </row>
    <row r="602" spans="1:5" x14ac:dyDescent="0.35">
      <c r="A602" t="s">
        <v>11</v>
      </c>
      <c r="B602">
        <v>71</v>
      </c>
      <c r="C602" s="14">
        <v>79.227000000000004</v>
      </c>
      <c r="D602">
        <f>ROUNDUP(C602/GiaDinh!$C$4-0.0005,0)</f>
        <v>14</v>
      </c>
      <c r="E602">
        <f t="shared" si="9"/>
        <v>13</v>
      </c>
    </row>
    <row r="603" spans="1:5" x14ac:dyDescent="0.35">
      <c r="A603" t="s">
        <v>11</v>
      </c>
      <c r="B603">
        <v>72</v>
      </c>
      <c r="C603" s="14">
        <v>79.227000000000004</v>
      </c>
      <c r="D603">
        <f>ROUNDUP(C603/GiaDinh!$C$4-0.0005,0)</f>
        <v>14</v>
      </c>
      <c r="E603">
        <f t="shared" si="9"/>
        <v>13</v>
      </c>
    </row>
    <row r="604" spans="1:5" x14ac:dyDescent="0.35">
      <c r="A604" t="s">
        <v>11</v>
      </c>
      <c r="B604">
        <v>73</v>
      </c>
      <c r="C604" s="14">
        <v>79.227000000000004</v>
      </c>
      <c r="D604">
        <f>ROUNDUP(C604/GiaDinh!$C$4-0.0005,0)</f>
        <v>14</v>
      </c>
      <c r="E604">
        <f t="shared" si="9"/>
        <v>13</v>
      </c>
    </row>
    <row r="605" spans="1:5" x14ac:dyDescent="0.35">
      <c r="A605" t="s">
        <v>11</v>
      </c>
      <c r="B605">
        <v>74</v>
      </c>
      <c r="C605" s="14">
        <v>79.227000000000004</v>
      </c>
      <c r="D605">
        <f>ROUNDUP(C605/GiaDinh!$C$4-0.0005,0)</f>
        <v>14</v>
      </c>
      <c r="E605">
        <f t="shared" si="9"/>
        <v>13</v>
      </c>
    </row>
    <row r="606" spans="1:5" x14ac:dyDescent="0.35">
      <c r="A606" t="s">
        <v>11</v>
      </c>
      <c r="B606">
        <v>75</v>
      </c>
      <c r="C606" s="14">
        <v>79.227000000000004</v>
      </c>
      <c r="D606">
        <f>ROUNDUP(C606/GiaDinh!$C$4-0.0005,0)</f>
        <v>14</v>
      </c>
      <c r="E606">
        <f t="shared" si="9"/>
        <v>13</v>
      </c>
    </row>
    <row r="607" spans="1:5" x14ac:dyDescent="0.35">
      <c r="A607" t="s">
        <v>11</v>
      </c>
      <c r="B607">
        <v>76</v>
      </c>
      <c r="C607" s="14">
        <v>79.227000000000004</v>
      </c>
      <c r="D607">
        <f>ROUNDUP(C607/GiaDinh!$C$4-0.0005,0)</f>
        <v>14</v>
      </c>
      <c r="E607">
        <f t="shared" si="9"/>
        <v>13</v>
      </c>
    </row>
    <row r="608" spans="1:5" x14ac:dyDescent="0.35">
      <c r="A608" t="s">
        <v>11</v>
      </c>
      <c r="B608">
        <v>77</v>
      </c>
      <c r="C608" s="14">
        <v>79.227000000000004</v>
      </c>
      <c r="D608">
        <f>ROUNDUP(C608/GiaDinh!$C$4-0.0005,0)</f>
        <v>14</v>
      </c>
      <c r="E608">
        <f t="shared" si="9"/>
        <v>13</v>
      </c>
    </row>
    <row r="609" spans="1:5" x14ac:dyDescent="0.35">
      <c r="A609" t="s">
        <v>11</v>
      </c>
      <c r="B609">
        <v>78</v>
      </c>
      <c r="C609" s="14">
        <v>79.227000000000004</v>
      </c>
      <c r="D609">
        <f>ROUNDUP(C609/GiaDinh!$C$4-0.0005,0)</f>
        <v>14</v>
      </c>
      <c r="E609">
        <f t="shared" si="9"/>
        <v>13</v>
      </c>
    </row>
    <row r="610" spans="1:5" x14ac:dyDescent="0.35">
      <c r="A610" t="s">
        <v>11</v>
      </c>
      <c r="B610">
        <v>79</v>
      </c>
      <c r="C610" s="14">
        <v>79.227000000000004</v>
      </c>
      <c r="D610">
        <f>ROUNDUP(C610/GiaDinh!$C$4-0.0005,0)</f>
        <v>14</v>
      </c>
      <c r="E610">
        <f t="shared" si="9"/>
        <v>13</v>
      </c>
    </row>
    <row r="611" spans="1:5" x14ac:dyDescent="0.35">
      <c r="A611" t="s">
        <v>11</v>
      </c>
      <c r="B611">
        <v>80</v>
      </c>
      <c r="C611" s="14">
        <v>79.227000000000004</v>
      </c>
      <c r="D611">
        <f>ROUNDUP(C611/GiaDinh!$C$4-0.0005,0)</f>
        <v>14</v>
      </c>
      <c r="E611">
        <f t="shared" si="9"/>
        <v>13</v>
      </c>
    </row>
    <row r="612" spans="1:5" x14ac:dyDescent="0.35">
      <c r="A612" t="s">
        <v>11</v>
      </c>
      <c r="B612">
        <v>81</v>
      </c>
      <c r="C612" s="14">
        <v>79.227000000000004</v>
      </c>
      <c r="D612">
        <f>ROUNDUP(C612/GiaDinh!$C$4-0.0005,0)</f>
        <v>14</v>
      </c>
      <c r="E612">
        <f t="shared" si="9"/>
        <v>13</v>
      </c>
    </row>
    <row r="613" spans="1:5" x14ac:dyDescent="0.35">
      <c r="A613" t="s">
        <v>11</v>
      </c>
      <c r="B613">
        <v>82</v>
      </c>
      <c r="C613" s="14">
        <v>79.227000000000004</v>
      </c>
      <c r="D613">
        <f>ROUNDUP(C613/GiaDinh!$C$4-0.0005,0)</f>
        <v>14</v>
      </c>
      <c r="E613">
        <f t="shared" si="9"/>
        <v>13</v>
      </c>
    </row>
    <row r="614" spans="1:5" x14ac:dyDescent="0.35">
      <c r="A614" t="s">
        <v>11</v>
      </c>
      <c r="B614">
        <v>83</v>
      </c>
      <c r="C614" s="14">
        <v>79.227000000000004</v>
      </c>
      <c r="D614">
        <f>ROUNDUP(C614/GiaDinh!$C$4-0.0005,0)</f>
        <v>14</v>
      </c>
      <c r="E614">
        <f t="shared" si="9"/>
        <v>13</v>
      </c>
    </row>
    <row r="615" spans="1:5" x14ac:dyDescent="0.35">
      <c r="A615" t="s">
        <v>11</v>
      </c>
      <c r="B615">
        <v>84</v>
      </c>
      <c r="C615" s="14">
        <v>79.227000000000004</v>
      </c>
      <c r="D615">
        <f>ROUNDUP(C615/GiaDinh!$C$4-0.0005,0)</f>
        <v>14</v>
      </c>
      <c r="E615">
        <f t="shared" si="9"/>
        <v>13</v>
      </c>
    </row>
    <row r="616" spans="1:5" x14ac:dyDescent="0.35">
      <c r="A616" t="s">
        <v>11</v>
      </c>
      <c r="B616">
        <v>85</v>
      </c>
      <c r="C616" s="14">
        <v>79.227000000000004</v>
      </c>
      <c r="D616">
        <f>ROUNDUP(C616/GiaDinh!$C$4-0.0005,0)</f>
        <v>14</v>
      </c>
      <c r="E616">
        <f t="shared" si="9"/>
        <v>13</v>
      </c>
    </row>
    <row r="617" spans="1:5" x14ac:dyDescent="0.35">
      <c r="A617" t="s">
        <v>11</v>
      </c>
      <c r="B617">
        <v>86</v>
      </c>
      <c r="C617" s="14">
        <v>79.227000000000004</v>
      </c>
      <c r="D617">
        <f>ROUNDUP(C617/GiaDinh!$C$4-0.0005,0)</f>
        <v>14</v>
      </c>
      <c r="E617">
        <f t="shared" si="9"/>
        <v>13</v>
      </c>
    </row>
    <row r="618" spans="1:5" x14ac:dyDescent="0.35">
      <c r="A618" t="s">
        <v>11</v>
      </c>
      <c r="B618">
        <v>87</v>
      </c>
      <c r="C618" s="14">
        <v>79.227000000000004</v>
      </c>
      <c r="D618">
        <f>ROUNDUP(C618/GiaDinh!$C$4-0.0005,0)</f>
        <v>14</v>
      </c>
      <c r="E618">
        <f t="shared" si="9"/>
        <v>13</v>
      </c>
    </row>
    <row r="619" spans="1:5" x14ac:dyDescent="0.35">
      <c r="A619" t="s">
        <v>11</v>
      </c>
      <c r="B619">
        <v>88</v>
      </c>
      <c r="C619" s="14">
        <v>79.227000000000004</v>
      </c>
      <c r="D619">
        <f>ROUNDUP(C619/GiaDinh!$C$4-0.0005,0)</f>
        <v>14</v>
      </c>
      <c r="E619">
        <f t="shared" si="9"/>
        <v>13</v>
      </c>
    </row>
    <row r="620" spans="1:5" x14ac:dyDescent="0.35">
      <c r="A620" t="s">
        <v>11</v>
      </c>
      <c r="B620">
        <v>89</v>
      </c>
      <c r="C620" s="14">
        <v>79.227000000000004</v>
      </c>
      <c r="D620">
        <f>ROUNDUP(C620/GiaDinh!$C$4-0.0005,0)</f>
        <v>14</v>
      </c>
      <c r="E620">
        <f t="shared" si="9"/>
        <v>13</v>
      </c>
    </row>
    <row r="621" spans="1:5" x14ac:dyDescent="0.35">
      <c r="A621" t="s">
        <v>11</v>
      </c>
      <c r="B621">
        <v>90</v>
      </c>
      <c r="C621" s="14">
        <v>79.227000000000004</v>
      </c>
      <c r="D621">
        <f>ROUNDUP(C621/GiaDinh!$C$4-0.0005,0)</f>
        <v>14</v>
      </c>
      <c r="E621">
        <f t="shared" si="9"/>
        <v>13</v>
      </c>
    </row>
    <row r="622" spans="1:5" x14ac:dyDescent="0.35">
      <c r="A622" t="s">
        <v>11</v>
      </c>
      <c r="B622">
        <v>91</v>
      </c>
      <c r="C622" s="14">
        <v>79.227000000000004</v>
      </c>
      <c r="D622">
        <f>ROUNDUP(C622/GiaDinh!$C$4-0.0005,0)</f>
        <v>14</v>
      </c>
      <c r="E622">
        <f t="shared" si="9"/>
        <v>13</v>
      </c>
    </row>
    <row r="623" spans="1:5" x14ac:dyDescent="0.35">
      <c r="A623" t="s">
        <v>11</v>
      </c>
      <c r="B623">
        <v>92</v>
      </c>
      <c r="C623" s="14">
        <v>79.227000000000004</v>
      </c>
      <c r="D623">
        <f>ROUNDUP(C623/GiaDinh!$C$4-0.0005,0)</f>
        <v>14</v>
      </c>
      <c r="E623">
        <f t="shared" si="9"/>
        <v>13</v>
      </c>
    </row>
    <row r="624" spans="1:5" x14ac:dyDescent="0.35">
      <c r="A624" t="s">
        <v>11</v>
      </c>
      <c r="B624">
        <v>93</v>
      </c>
      <c r="C624" s="14">
        <v>79.227000000000004</v>
      </c>
      <c r="D624">
        <f>ROUNDUP(C624/GiaDinh!$C$4-0.0005,0)</f>
        <v>14</v>
      </c>
      <c r="E624">
        <f t="shared" si="9"/>
        <v>13</v>
      </c>
    </row>
    <row r="625" spans="1:5" x14ac:dyDescent="0.35">
      <c r="A625" t="s">
        <v>11</v>
      </c>
      <c r="B625">
        <v>94</v>
      </c>
      <c r="C625" s="14">
        <v>79.227000000000004</v>
      </c>
      <c r="D625">
        <f>ROUNDUP(C625/GiaDinh!$C$4-0.0005,0)</f>
        <v>14</v>
      </c>
      <c r="E625">
        <f t="shared" si="9"/>
        <v>13</v>
      </c>
    </row>
    <row r="626" spans="1:5" x14ac:dyDescent="0.35">
      <c r="A626" t="s">
        <v>11</v>
      </c>
      <c r="B626">
        <v>95</v>
      </c>
      <c r="C626" s="14">
        <v>79.227000000000004</v>
      </c>
      <c r="D626">
        <f>ROUNDUP(C626/GiaDinh!$C$4-0.0005,0)</f>
        <v>14</v>
      </c>
      <c r="E626">
        <f t="shared" si="9"/>
        <v>13</v>
      </c>
    </row>
    <row r="627" spans="1:5" x14ac:dyDescent="0.35">
      <c r="A627" t="s">
        <v>11</v>
      </c>
      <c r="B627">
        <v>96</v>
      </c>
      <c r="C627" s="14">
        <v>79.227000000000004</v>
      </c>
      <c r="D627">
        <f>ROUNDUP(C627/GiaDinh!$C$4-0.0005,0)</f>
        <v>14</v>
      </c>
      <c r="E627">
        <f t="shared" si="9"/>
        <v>13</v>
      </c>
    </row>
    <row r="628" spans="1:5" x14ac:dyDescent="0.35">
      <c r="A628" t="s">
        <v>11</v>
      </c>
      <c r="B628">
        <v>97</v>
      </c>
      <c r="C628" s="14">
        <v>79.227000000000004</v>
      </c>
      <c r="D628">
        <f>ROUNDUP(C628/GiaDinh!$C$4-0.0005,0)</f>
        <v>14</v>
      </c>
      <c r="E628">
        <f t="shared" si="9"/>
        <v>13</v>
      </c>
    </row>
    <row r="629" spans="1:5" x14ac:dyDescent="0.35">
      <c r="A629" t="s">
        <v>11</v>
      </c>
      <c r="B629">
        <v>98</v>
      </c>
      <c r="C629" s="14">
        <v>79.227000000000004</v>
      </c>
      <c r="D629">
        <f>ROUNDUP(C629/GiaDinh!$C$4-0.0005,0)</f>
        <v>14</v>
      </c>
      <c r="E629">
        <f t="shared" si="9"/>
        <v>13</v>
      </c>
    </row>
    <row r="630" spans="1:5" x14ac:dyDescent="0.35">
      <c r="A630" t="s">
        <v>11</v>
      </c>
      <c r="B630">
        <v>99</v>
      </c>
      <c r="C630" s="14">
        <v>79.227000000000004</v>
      </c>
      <c r="D630">
        <f>ROUNDUP(C630/GiaDinh!$C$4-0.0005,0)</f>
        <v>14</v>
      </c>
      <c r="E630">
        <f t="shared" si="9"/>
        <v>13</v>
      </c>
    </row>
    <row r="631" spans="1:5" x14ac:dyDescent="0.35">
      <c r="A631" t="s">
        <v>11</v>
      </c>
      <c r="B631">
        <v>100</v>
      </c>
      <c r="C631" s="14">
        <v>79.227000000000004</v>
      </c>
      <c r="D631">
        <f>ROUNDUP(C631/GiaDinh!$C$4-0.0005,0)</f>
        <v>14</v>
      </c>
      <c r="E631">
        <f t="shared" si="9"/>
        <v>13</v>
      </c>
    </row>
    <row r="632" spans="1:5" x14ac:dyDescent="0.35">
      <c r="A632" t="s">
        <v>11</v>
      </c>
      <c r="B632">
        <v>101</v>
      </c>
      <c r="C632" s="14">
        <v>79.227000000000004</v>
      </c>
      <c r="D632">
        <f>ROUNDUP(C632/GiaDinh!$C$4-0.0005,0)</f>
        <v>14</v>
      </c>
      <c r="E632">
        <f t="shared" si="9"/>
        <v>13</v>
      </c>
    </row>
    <row r="633" spans="1:5" x14ac:dyDescent="0.35">
      <c r="A633" t="s">
        <v>11</v>
      </c>
      <c r="B633">
        <v>102</v>
      </c>
      <c r="C633" s="14">
        <v>79.227000000000004</v>
      </c>
      <c r="D633">
        <f>ROUNDUP(C633/GiaDinh!$C$4-0.0005,0)</f>
        <v>14</v>
      </c>
      <c r="E633">
        <f t="shared" si="9"/>
        <v>13</v>
      </c>
    </row>
    <row r="634" spans="1:5" x14ac:dyDescent="0.35">
      <c r="A634" t="s">
        <v>11</v>
      </c>
      <c r="B634">
        <v>103</v>
      </c>
      <c r="C634" s="14">
        <v>79.227000000000004</v>
      </c>
      <c r="D634">
        <f>ROUNDUP(C634/GiaDinh!$C$4-0.0005,0)</f>
        <v>14</v>
      </c>
      <c r="E634">
        <f t="shared" si="9"/>
        <v>13</v>
      </c>
    </row>
    <row r="635" spans="1:5" x14ac:dyDescent="0.35">
      <c r="A635" t="s">
        <v>11</v>
      </c>
      <c r="B635">
        <v>104</v>
      </c>
      <c r="C635" s="14">
        <v>79.227000000000004</v>
      </c>
      <c r="D635">
        <f>ROUNDUP(C635/GiaDinh!$C$4-0.0005,0)</f>
        <v>14</v>
      </c>
      <c r="E635">
        <f t="shared" si="9"/>
        <v>13</v>
      </c>
    </row>
    <row r="636" spans="1:5" x14ac:dyDescent="0.35">
      <c r="A636" t="s">
        <v>11</v>
      </c>
      <c r="B636">
        <v>105</v>
      </c>
      <c r="C636" s="14">
        <v>79.227000000000004</v>
      </c>
      <c r="D636">
        <f>ROUNDUP(C636/GiaDinh!$C$4-0.0005,0)</f>
        <v>14</v>
      </c>
      <c r="E636">
        <f t="shared" si="9"/>
        <v>13</v>
      </c>
    </row>
    <row r="637" spans="1:5" x14ac:dyDescent="0.35">
      <c r="A637" t="s">
        <v>11</v>
      </c>
      <c r="B637">
        <v>106</v>
      </c>
      <c r="C637" s="14">
        <v>79.227000000000004</v>
      </c>
      <c r="D637">
        <f>ROUNDUP(C637/GiaDinh!$C$4-0.0005,0)</f>
        <v>14</v>
      </c>
      <c r="E637">
        <f t="shared" si="9"/>
        <v>13</v>
      </c>
    </row>
    <row r="638" spans="1:5" x14ac:dyDescent="0.35">
      <c r="A638" t="s">
        <v>11</v>
      </c>
      <c r="B638">
        <v>107</v>
      </c>
      <c r="C638" s="14">
        <v>79.227000000000004</v>
      </c>
      <c r="D638">
        <f>ROUNDUP(C638/GiaDinh!$C$4-0.0005,0)</f>
        <v>14</v>
      </c>
      <c r="E638">
        <f t="shared" si="9"/>
        <v>13</v>
      </c>
    </row>
    <row r="639" spans="1:5" x14ac:dyDescent="0.35">
      <c r="A639" t="s">
        <v>11</v>
      </c>
      <c r="B639">
        <v>108</v>
      </c>
      <c r="C639" s="14">
        <v>79.227000000000004</v>
      </c>
      <c r="D639">
        <f>ROUNDUP(C639/GiaDinh!$C$4-0.0005,0)</f>
        <v>14</v>
      </c>
      <c r="E639">
        <f t="shared" si="9"/>
        <v>13</v>
      </c>
    </row>
    <row r="640" spans="1:5" x14ac:dyDescent="0.35">
      <c r="A640" t="s">
        <v>11</v>
      </c>
      <c r="B640">
        <v>109</v>
      </c>
      <c r="C640" s="14">
        <v>79.227000000000004</v>
      </c>
      <c r="D640">
        <f>ROUNDUP(C640/GiaDinh!$C$4-0.0005,0)</f>
        <v>14</v>
      </c>
      <c r="E640">
        <f t="shared" si="9"/>
        <v>13</v>
      </c>
    </row>
    <row r="641" spans="1:5" x14ac:dyDescent="0.35">
      <c r="A641" t="s">
        <v>11</v>
      </c>
      <c r="B641">
        <v>110</v>
      </c>
      <c r="C641" s="14">
        <v>79.227000000000004</v>
      </c>
      <c r="D641">
        <f>ROUNDUP(C641/GiaDinh!$C$4-0.0005,0)</f>
        <v>14</v>
      </c>
      <c r="E641">
        <f t="shared" si="9"/>
        <v>13</v>
      </c>
    </row>
    <row r="642" spans="1:5" x14ac:dyDescent="0.35">
      <c r="A642" t="s">
        <v>11</v>
      </c>
      <c r="B642">
        <v>111</v>
      </c>
      <c r="C642" s="14">
        <v>79.227000000000004</v>
      </c>
      <c r="D642">
        <f>ROUNDUP(C642/GiaDinh!$C$4-0.0005,0)</f>
        <v>14</v>
      </c>
      <c r="E642">
        <f t="shared" si="9"/>
        <v>13</v>
      </c>
    </row>
    <row r="643" spans="1:5" x14ac:dyDescent="0.35">
      <c r="A643" t="s">
        <v>11</v>
      </c>
      <c r="B643">
        <v>112</v>
      </c>
      <c r="C643" s="14">
        <v>79.227000000000004</v>
      </c>
      <c r="D643">
        <f>ROUNDUP(C643/GiaDinh!$C$4-0.0005,0)</f>
        <v>14</v>
      </c>
      <c r="E643">
        <f t="shared" si="9"/>
        <v>13</v>
      </c>
    </row>
    <row r="644" spans="1:5" x14ac:dyDescent="0.35">
      <c r="A644" t="s">
        <v>11</v>
      </c>
      <c r="B644">
        <v>113</v>
      </c>
      <c r="C644" s="14">
        <v>79.227000000000004</v>
      </c>
      <c r="D644">
        <f>ROUNDUP(C644/GiaDinh!$C$4-0.0005,0)</f>
        <v>14</v>
      </c>
      <c r="E644">
        <f t="shared" ref="E644:E707" si="10">D644-1</f>
        <v>13</v>
      </c>
    </row>
    <row r="645" spans="1:5" x14ac:dyDescent="0.35">
      <c r="A645" t="s">
        <v>11</v>
      </c>
      <c r="B645">
        <v>114</v>
      </c>
      <c r="C645" s="14">
        <v>79.227000000000004</v>
      </c>
      <c r="D645">
        <f>ROUNDUP(C645/GiaDinh!$C$4-0.0005,0)</f>
        <v>14</v>
      </c>
      <c r="E645">
        <f t="shared" si="10"/>
        <v>13</v>
      </c>
    </row>
    <row r="646" spans="1:5" x14ac:dyDescent="0.35">
      <c r="A646" t="s">
        <v>11</v>
      </c>
      <c r="B646">
        <v>115</v>
      </c>
      <c r="C646" s="14">
        <v>79.227000000000004</v>
      </c>
      <c r="D646">
        <f>ROUNDUP(C646/GiaDinh!$C$4-0.0005,0)</f>
        <v>14</v>
      </c>
      <c r="E646">
        <f t="shared" si="10"/>
        <v>13</v>
      </c>
    </row>
    <row r="647" spans="1:5" x14ac:dyDescent="0.35">
      <c r="A647" t="s">
        <v>11</v>
      </c>
      <c r="B647">
        <v>116</v>
      </c>
      <c r="C647" s="14">
        <v>79.227000000000004</v>
      </c>
      <c r="D647">
        <f>ROUNDUP(C647/GiaDinh!$C$4-0.0005,0)</f>
        <v>14</v>
      </c>
      <c r="E647">
        <f t="shared" si="10"/>
        <v>13</v>
      </c>
    </row>
    <row r="648" spans="1:5" x14ac:dyDescent="0.35">
      <c r="A648" t="s">
        <v>11</v>
      </c>
      <c r="B648">
        <v>117</v>
      </c>
      <c r="C648" s="14">
        <v>79.227000000000004</v>
      </c>
      <c r="D648">
        <f>ROUNDUP(C648/GiaDinh!$C$4-0.0005,0)</f>
        <v>14</v>
      </c>
      <c r="E648">
        <f t="shared" si="10"/>
        <v>13</v>
      </c>
    </row>
    <row r="649" spans="1:5" x14ac:dyDescent="0.35">
      <c r="A649" t="s">
        <v>11</v>
      </c>
      <c r="B649">
        <v>118</v>
      </c>
      <c r="C649" s="14">
        <v>79.227000000000004</v>
      </c>
      <c r="D649">
        <f>ROUNDUP(C649/GiaDinh!$C$4-0.0005,0)</f>
        <v>14</v>
      </c>
      <c r="E649">
        <f t="shared" si="10"/>
        <v>13</v>
      </c>
    </row>
    <row r="650" spans="1:5" x14ac:dyDescent="0.35">
      <c r="A650" t="s">
        <v>11</v>
      </c>
      <c r="B650">
        <v>119</v>
      </c>
      <c r="C650" s="14">
        <v>79.227000000000004</v>
      </c>
      <c r="D650">
        <f>ROUNDUP(C650/GiaDinh!$C$4-0.0005,0)</f>
        <v>14</v>
      </c>
      <c r="E650">
        <f t="shared" si="10"/>
        <v>13</v>
      </c>
    </row>
    <row r="651" spans="1:5" x14ac:dyDescent="0.35">
      <c r="A651" t="s">
        <v>11</v>
      </c>
      <c r="B651">
        <v>120</v>
      </c>
      <c r="C651" s="14">
        <v>79.227000000000004</v>
      </c>
      <c r="D651">
        <f>ROUNDUP(C651/GiaDinh!$C$4-0.0005,0)</f>
        <v>14</v>
      </c>
      <c r="E651">
        <f t="shared" si="10"/>
        <v>13</v>
      </c>
    </row>
    <row r="652" spans="1:5" x14ac:dyDescent="0.35">
      <c r="A652" t="s">
        <v>11</v>
      </c>
      <c r="B652">
        <v>121</v>
      </c>
      <c r="C652" s="14">
        <v>79.227000000000004</v>
      </c>
      <c r="D652">
        <f>ROUNDUP(C652/GiaDinh!$C$4-0.0005,0)</f>
        <v>14</v>
      </c>
      <c r="E652">
        <f t="shared" si="10"/>
        <v>13</v>
      </c>
    </row>
    <row r="653" spans="1:5" x14ac:dyDescent="0.35">
      <c r="A653" t="s">
        <v>11</v>
      </c>
      <c r="B653">
        <v>122</v>
      </c>
      <c r="C653" s="14">
        <v>79.227000000000004</v>
      </c>
      <c r="D653">
        <f>ROUNDUP(C653/GiaDinh!$C$4-0.0005,0)</f>
        <v>14</v>
      </c>
      <c r="E653">
        <f t="shared" si="10"/>
        <v>13</v>
      </c>
    </row>
    <row r="654" spans="1:5" x14ac:dyDescent="0.35">
      <c r="A654" t="s">
        <v>11</v>
      </c>
      <c r="B654">
        <v>123</v>
      </c>
      <c r="C654" s="14">
        <v>79.227000000000004</v>
      </c>
      <c r="D654">
        <f>ROUNDUP(C654/GiaDinh!$C$4-0.0005,0)</f>
        <v>14</v>
      </c>
      <c r="E654">
        <f t="shared" si="10"/>
        <v>13</v>
      </c>
    </row>
    <row r="655" spans="1:5" x14ac:dyDescent="0.35">
      <c r="A655" t="s">
        <v>11</v>
      </c>
      <c r="B655">
        <v>124</v>
      </c>
      <c r="C655" s="14">
        <v>79.227000000000004</v>
      </c>
      <c r="D655">
        <f>ROUNDUP(C655/GiaDinh!$C$4-0.0005,0)</f>
        <v>14</v>
      </c>
      <c r="E655">
        <f t="shared" si="10"/>
        <v>13</v>
      </c>
    </row>
    <row r="656" spans="1:5" x14ac:dyDescent="0.35">
      <c r="A656" t="s">
        <v>11</v>
      </c>
      <c r="B656">
        <v>125</v>
      </c>
      <c r="C656" s="14">
        <v>79.227000000000004</v>
      </c>
      <c r="D656">
        <f>ROUNDUP(C656/GiaDinh!$C$4-0.0005,0)</f>
        <v>14</v>
      </c>
      <c r="E656">
        <f t="shared" si="10"/>
        <v>13</v>
      </c>
    </row>
    <row r="657" spans="1:5" x14ac:dyDescent="0.35">
      <c r="A657" t="s">
        <v>11</v>
      </c>
      <c r="B657">
        <v>126</v>
      </c>
      <c r="C657" s="14">
        <v>79.227000000000004</v>
      </c>
      <c r="D657">
        <f>ROUNDUP(C657/GiaDinh!$C$4-0.0005,0)</f>
        <v>14</v>
      </c>
      <c r="E657">
        <f t="shared" si="10"/>
        <v>13</v>
      </c>
    </row>
    <row r="658" spans="1:5" x14ac:dyDescent="0.35">
      <c r="A658" t="s">
        <v>11</v>
      </c>
      <c r="B658">
        <v>127</v>
      </c>
      <c r="C658" s="14">
        <v>79.227000000000004</v>
      </c>
      <c r="D658">
        <f>ROUNDUP(C658/GiaDinh!$C$4-0.0005,0)</f>
        <v>14</v>
      </c>
      <c r="E658">
        <f t="shared" si="10"/>
        <v>13</v>
      </c>
    </row>
    <row r="659" spans="1:5" x14ac:dyDescent="0.35">
      <c r="A659" t="s">
        <v>11</v>
      </c>
      <c r="B659">
        <v>128</v>
      </c>
      <c r="C659" s="14">
        <v>79.227000000000004</v>
      </c>
      <c r="D659">
        <f>ROUNDUP(C659/GiaDinh!$C$4-0.0005,0)</f>
        <v>14</v>
      </c>
      <c r="E659">
        <f t="shared" si="10"/>
        <v>13</v>
      </c>
    </row>
    <row r="660" spans="1:5" x14ac:dyDescent="0.35">
      <c r="A660" t="s">
        <v>11</v>
      </c>
      <c r="B660">
        <v>129</v>
      </c>
      <c r="C660" s="14">
        <v>79.227000000000004</v>
      </c>
      <c r="D660">
        <f>ROUNDUP(C660/GiaDinh!$C$4-0.0005,0)</f>
        <v>14</v>
      </c>
      <c r="E660">
        <f t="shared" si="10"/>
        <v>13</v>
      </c>
    </row>
    <row r="661" spans="1:5" x14ac:dyDescent="0.35">
      <c r="A661" t="s">
        <v>11</v>
      </c>
      <c r="B661">
        <v>130</v>
      </c>
      <c r="C661" s="14">
        <v>79.227000000000004</v>
      </c>
      <c r="D661">
        <f>ROUNDUP(C661/GiaDinh!$C$4-0.0005,0)</f>
        <v>14</v>
      </c>
      <c r="E661">
        <f t="shared" si="10"/>
        <v>13</v>
      </c>
    </row>
    <row r="662" spans="1:5" x14ac:dyDescent="0.35">
      <c r="A662" t="s">
        <v>11</v>
      </c>
      <c r="B662">
        <v>131</v>
      </c>
      <c r="C662" s="14">
        <v>79.227000000000004</v>
      </c>
      <c r="D662">
        <f>ROUNDUP(C662/GiaDinh!$C$4-0.0005,0)</f>
        <v>14</v>
      </c>
      <c r="E662">
        <f t="shared" si="10"/>
        <v>13</v>
      </c>
    </row>
    <row r="663" spans="1:5" x14ac:dyDescent="0.35">
      <c r="A663" t="s">
        <v>11</v>
      </c>
      <c r="B663">
        <v>132</v>
      </c>
      <c r="C663" s="14">
        <v>79.227000000000004</v>
      </c>
      <c r="D663">
        <f>ROUNDUP(C663/GiaDinh!$C$4-0.0005,0)</f>
        <v>14</v>
      </c>
      <c r="E663">
        <f t="shared" si="10"/>
        <v>13</v>
      </c>
    </row>
    <row r="664" spans="1:5" x14ac:dyDescent="0.35">
      <c r="A664" t="s">
        <v>11</v>
      </c>
      <c r="B664">
        <v>133</v>
      </c>
      <c r="C664" s="14">
        <v>79.227000000000004</v>
      </c>
      <c r="D664">
        <f>ROUNDUP(C664/GiaDinh!$C$4-0.0005,0)</f>
        <v>14</v>
      </c>
      <c r="E664">
        <f t="shared" si="10"/>
        <v>13</v>
      </c>
    </row>
    <row r="665" spans="1:5" x14ac:dyDescent="0.35">
      <c r="A665" t="s">
        <v>11</v>
      </c>
      <c r="B665">
        <v>134</v>
      </c>
      <c r="C665" s="14">
        <v>79.227000000000004</v>
      </c>
      <c r="D665">
        <f>ROUNDUP(C665/GiaDinh!$C$4-0.0005,0)</f>
        <v>14</v>
      </c>
      <c r="E665">
        <f t="shared" si="10"/>
        <v>13</v>
      </c>
    </row>
    <row r="666" spans="1:5" x14ac:dyDescent="0.35">
      <c r="A666" t="s">
        <v>11</v>
      </c>
      <c r="B666">
        <v>135</v>
      </c>
      <c r="C666" s="14">
        <v>79.227000000000004</v>
      </c>
      <c r="D666">
        <f>ROUNDUP(C666/GiaDinh!$C$4-0.0005,0)</f>
        <v>14</v>
      </c>
      <c r="E666">
        <f t="shared" si="10"/>
        <v>13</v>
      </c>
    </row>
    <row r="667" spans="1:5" x14ac:dyDescent="0.35">
      <c r="A667" t="s">
        <v>11</v>
      </c>
      <c r="B667">
        <v>136</v>
      </c>
      <c r="C667" s="14">
        <v>79.227000000000004</v>
      </c>
      <c r="D667">
        <f>ROUNDUP(C667/GiaDinh!$C$4-0.0005,0)</f>
        <v>14</v>
      </c>
      <c r="E667">
        <f t="shared" si="10"/>
        <v>13</v>
      </c>
    </row>
    <row r="668" spans="1:5" x14ac:dyDescent="0.35">
      <c r="A668" t="s">
        <v>11</v>
      </c>
      <c r="B668">
        <v>137</v>
      </c>
      <c r="C668" s="14">
        <v>79.227000000000004</v>
      </c>
      <c r="D668">
        <f>ROUNDUP(C668/GiaDinh!$C$4-0.0005,0)</f>
        <v>14</v>
      </c>
      <c r="E668">
        <f t="shared" si="10"/>
        <v>13</v>
      </c>
    </row>
    <row r="669" spans="1:5" x14ac:dyDescent="0.35">
      <c r="A669" t="s">
        <v>11</v>
      </c>
      <c r="B669">
        <v>138</v>
      </c>
      <c r="C669" s="14">
        <v>79.227000000000004</v>
      </c>
      <c r="D669">
        <f>ROUNDUP(C669/GiaDinh!$C$4-0.0005,0)</f>
        <v>14</v>
      </c>
      <c r="E669">
        <f t="shared" si="10"/>
        <v>13</v>
      </c>
    </row>
    <row r="670" spans="1:5" x14ac:dyDescent="0.35">
      <c r="A670" t="s">
        <v>11</v>
      </c>
      <c r="B670">
        <v>139</v>
      </c>
      <c r="C670" s="14">
        <v>79.227000000000004</v>
      </c>
      <c r="D670">
        <f>ROUNDUP(C670/GiaDinh!$C$4-0.0005,0)</f>
        <v>14</v>
      </c>
      <c r="E670">
        <f t="shared" si="10"/>
        <v>13</v>
      </c>
    </row>
    <row r="671" spans="1:5" x14ac:dyDescent="0.35">
      <c r="A671" t="s">
        <v>11</v>
      </c>
      <c r="B671">
        <v>140</v>
      </c>
      <c r="C671" s="14">
        <v>79.227000000000004</v>
      </c>
      <c r="D671">
        <f>ROUNDUP(C671/GiaDinh!$C$4-0.0005,0)</f>
        <v>14</v>
      </c>
      <c r="E671">
        <f t="shared" si="10"/>
        <v>13</v>
      </c>
    </row>
    <row r="672" spans="1:5" x14ac:dyDescent="0.35">
      <c r="A672" t="s">
        <v>11</v>
      </c>
      <c r="B672">
        <v>141</v>
      </c>
      <c r="C672" s="14">
        <v>79.227000000000004</v>
      </c>
      <c r="D672">
        <f>ROUNDUP(C672/GiaDinh!$C$4-0.0005,0)</f>
        <v>14</v>
      </c>
      <c r="E672">
        <f t="shared" si="10"/>
        <v>13</v>
      </c>
    </row>
    <row r="673" spans="1:5" x14ac:dyDescent="0.35">
      <c r="A673" t="s">
        <v>11</v>
      </c>
      <c r="B673">
        <v>142</v>
      </c>
      <c r="C673" s="14">
        <v>79.227000000000004</v>
      </c>
      <c r="D673">
        <f>ROUNDUP(C673/GiaDinh!$C$4-0.0005,0)</f>
        <v>14</v>
      </c>
      <c r="E673">
        <f t="shared" si="10"/>
        <v>13</v>
      </c>
    </row>
    <row r="674" spans="1:5" x14ac:dyDescent="0.35">
      <c r="A674" t="s">
        <v>11</v>
      </c>
      <c r="B674">
        <v>143</v>
      </c>
      <c r="C674" s="14">
        <v>79.227000000000004</v>
      </c>
      <c r="D674">
        <f>ROUNDUP(C674/GiaDinh!$C$4-0.0005,0)</f>
        <v>14</v>
      </c>
      <c r="E674">
        <f t="shared" si="10"/>
        <v>13</v>
      </c>
    </row>
    <row r="675" spans="1:5" x14ac:dyDescent="0.35">
      <c r="A675" t="s">
        <v>11</v>
      </c>
      <c r="B675">
        <v>144</v>
      </c>
      <c r="C675" s="14">
        <v>79.227000000000004</v>
      </c>
      <c r="D675">
        <f>ROUNDUP(C675/GiaDinh!$C$4-0.0005,0)</f>
        <v>14</v>
      </c>
      <c r="E675">
        <f t="shared" si="10"/>
        <v>13</v>
      </c>
    </row>
    <row r="676" spans="1:5" x14ac:dyDescent="0.35">
      <c r="A676" t="s">
        <v>11</v>
      </c>
      <c r="B676">
        <v>145</v>
      </c>
      <c r="C676" s="14">
        <v>79.227000000000004</v>
      </c>
      <c r="D676">
        <f>ROUNDUP(C676/GiaDinh!$C$4-0.0005,0)</f>
        <v>14</v>
      </c>
      <c r="E676">
        <f t="shared" si="10"/>
        <v>13</v>
      </c>
    </row>
    <row r="677" spans="1:5" x14ac:dyDescent="0.35">
      <c r="A677" t="s">
        <v>11</v>
      </c>
      <c r="B677">
        <v>146</v>
      </c>
      <c r="C677" s="14">
        <v>79.227000000000004</v>
      </c>
      <c r="D677">
        <f>ROUNDUP(C677/GiaDinh!$C$4-0.0005,0)</f>
        <v>14</v>
      </c>
      <c r="E677">
        <f t="shared" si="10"/>
        <v>13</v>
      </c>
    </row>
    <row r="678" spans="1:5" x14ac:dyDescent="0.35">
      <c r="A678" t="s">
        <v>11</v>
      </c>
      <c r="B678">
        <v>147</v>
      </c>
      <c r="C678" s="14">
        <v>79.227000000000004</v>
      </c>
      <c r="D678">
        <f>ROUNDUP(C678/GiaDinh!$C$4-0.0005,0)</f>
        <v>14</v>
      </c>
      <c r="E678">
        <f t="shared" si="10"/>
        <v>13</v>
      </c>
    </row>
    <row r="679" spans="1:5" x14ac:dyDescent="0.35">
      <c r="A679" t="s">
        <v>11</v>
      </c>
      <c r="B679">
        <v>148</v>
      </c>
      <c r="C679" s="14">
        <v>79.227000000000004</v>
      </c>
      <c r="D679">
        <f>ROUNDUP(C679/GiaDinh!$C$4-0.0005,0)</f>
        <v>14</v>
      </c>
      <c r="E679">
        <f t="shared" si="10"/>
        <v>13</v>
      </c>
    </row>
    <row r="680" spans="1:5" x14ac:dyDescent="0.35">
      <c r="A680" t="s">
        <v>11</v>
      </c>
      <c r="B680">
        <v>149</v>
      </c>
      <c r="C680" s="14">
        <v>79.227000000000004</v>
      </c>
      <c r="D680">
        <f>ROUNDUP(C680/GiaDinh!$C$4-0.0005,0)</f>
        <v>14</v>
      </c>
      <c r="E680">
        <f t="shared" si="10"/>
        <v>13</v>
      </c>
    </row>
    <row r="681" spans="1:5" x14ac:dyDescent="0.35">
      <c r="A681" t="s">
        <v>11</v>
      </c>
      <c r="B681">
        <v>150</v>
      </c>
      <c r="C681" s="14">
        <v>79.227000000000004</v>
      </c>
      <c r="D681">
        <f>ROUNDUP(C681/GiaDinh!$C$4-0.0005,0)</f>
        <v>14</v>
      </c>
      <c r="E681">
        <f t="shared" si="10"/>
        <v>13</v>
      </c>
    </row>
    <row r="682" spans="1:5" x14ac:dyDescent="0.35">
      <c r="A682" t="s">
        <v>11</v>
      </c>
      <c r="B682">
        <v>151</v>
      </c>
      <c r="C682" s="14">
        <v>79.227000000000004</v>
      </c>
      <c r="D682">
        <f>ROUNDUP(C682/GiaDinh!$C$4-0.0005,0)</f>
        <v>14</v>
      </c>
      <c r="E682">
        <f t="shared" si="10"/>
        <v>13</v>
      </c>
    </row>
    <row r="683" spans="1:5" x14ac:dyDescent="0.35">
      <c r="A683" t="s">
        <v>11</v>
      </c>
      <c r="B683">
        <v>152</v>
      </c>
      <c r="C683" s="14">
        <v>79.227000000000004</v>
      </c>
      <c r="D683">
        <f>ROUNDUP(C683/GiaDinh!$C$4-0.0005,0)</f>
        <v>14</v>
      </c>
      <c r="E683">
        <f t="shared" si="10"/>
        <v>13</v>
      </c>
    </row>
    <row r="684" spans="1:5" x14ac:dyDescent="0.35">
      <c r="A684" t="s">
        <v>11</v>
      </c>
      <c r="B684">
        <v>153</v>
      </c>
      <c r="C684" s="14">
        <v>79.227000000000004</v>
      </c>
      <c r="D684">
        <f>ROUNDUP(C684/GiaDinh!$C$4-0.0005,0)</f>
        <v>14</v>
      </c>
      <c r="E684">
        <f t="shared" si="10"/>
        <v>13</v>
      </c>
    </row>
    <row r="685" spans="1:5" x14ac:dyDescent="0.35">
      <c r="A685" t="s">
        <v>11</v>
      </c>
      <c r="B685">
        <v>154</v>
      </c>
      <c r="C685" s="14">
        <v>79.227000000000004</v>
      </c>
      <c r="D685">
        <f>ROUNDUP(C685/GiaDinh!$C$4-0.0005,0)</f>
        <v>14</v>
      </c>
      <c r="E685">
        <f t="shared" si="10"/>
        <v>13</v>
      </c>
    </row>
    <row r="686" spans="1:5" x14ac:dyDescent="0.35">
      <c r="A686" t="s">
        <v>11</v>
      </c>
      <c r="B686">
        <v>155</v>
      </c>
      <c r="C686" s="14">
        <v>79.227000000000004</v>
      </c>
      <c r="D686">
        <f>ROUNDUP(C686/GiaDinh!$C$4-0.0005,0)</f>
        <v>14</v>
      </c>
      <c r="E686">
        <f t="shared" si="10"/>
        <v>13</v>
      </c>
    </row>
    <row r="687" spans="1:5" x14ac:dyDescent="0.35">
      <c r="A687" t="s">
        <v>11</v>
      </c>
      <c r="B687">
        <v>156</v>
      </c>
      <c r="C687" s="14">
        <v>79.227000000000004</v>
      </c>
      <c r="D687">
        <f>ROUNDUP(C687/GiaDinh!$C$4-0.0005,0)</f>
        <v>14</v>
      </c>
      <c r="E687">
        <f t="shared" si="10"/>
        <v>13</v>
      </c>
    </row>
    <row r="688" spans="1:5" x14ac:dyDescent="0.35">
      <c r="A688" t="s">
        <v>11</v>
      </c>
      <c r="B688">
        <v>157</v>
      </c>
      <c r="C688" s="14">
        <v>79.227000000000004</v>
      </c>
      <c r="D688">
        <f>ROUNDUP(C688/GiaDinh!$C$4-0.0005,0)</f>
        <v>14</v>
      </c>
      <c r="E688">
        <f t="shared" si="10"/>
        <v>13</v>
      </c>
    </row>
    <row r="689" spans="1:5" x14ac:dyDescent="0.35">
      <c r="A689" t="s">
        <v>11</v>
      </c>
      <c r="B689">
        <v>158</v>
      </c>
      <c r="C689" s="14">
        <v>79.227000000000004</v>
      </c>
      <c r="D689">
        <f>ROUNDUP(C689/GiaDinh!$C$4-0.0005,0)</f>
        <v>14</v>
      </c>
      <c r="E689">
        <f t="shared" si="10"/>
        <v>13</v>
      </c>
    </row>
    <row r="690" spans="1:5" x14ac:dyDescent="0.35">
      <c r="A690" t="s">
        <v>11</v>
      </c>
      <c r="B690">
        <v>159</v>
      </c>
      <c r="C690" s="14">
        <v>79.227000000000004</v>
      </c>
      <c r="D690">
        <f>ROUNDUP(C690/GiaDinh!$C$4-0.0005,0)</f>
        <v>14</v>
      </c>
      <c r="E690">
        <f t="shared" si="10"/>
        <v>13</v>
      </c>
    </row>
    <row r="691" spans="1:5" x14ac:dyDescent="0.35">
      <c r="A691" t="s">
        <v>11</v>
      </c>
      <c r="B691">
        <v>160</v>
      </c>
      <c r="C691" s="14">
        <v>79.227000000000004</v>
      </c>
      <c r="D691">
        <f>ROUNDUP(C691/GiaDinh!$C$4-0.0005,0)</f>
        <v>14</v>
      </c>
      <c r="E691">
        <f t="shared" si="10"/>
        <v>13</v>
      </c>
    </row>
    <row r="692" spans="1:5" x14ac:dyDescent="0.35">
      <c r="A692" t="s">
        <v>11</v>
      </c>
      <c r="B692">
        <v>161</v>
      </c>
      <c r="C692" s="14">
        <v>79.227000000000004</v>
      </c>
      <c r="D692">
        <f>ROUNDUP(C692/GiaDinh!$C$4-0.0005,0)</f>
        <v>14</v>
      </c>
      <c r="E692">
        <f t="shared" si="10"/>
        <v>13</v>
      </c>
    </row>
    <row r="693" spans="1:5" x14ac:dyDescent="0.35">
      <c r="A693" t="s">
        <v>11</v>
      </c>
      <c r="B693">
        <v>162</v>
      </c>
      <c r="C693" s="14">
        <v>79.227000000000004</v>
      </c>
      <c r="D693">
        <f>ROUNDUP(C693/GiaDinh!$C$4-0.0005,0)</f>
        <v>14</v>
      </c>
      <c r="E693">
        <f t="shared" si="10"/>
        <v>13</v>
      </c>
    </row>
    <row r="694" spans="1:5" x14ac:dyDescent="0.35">
      <c r="A694" t="s">
        <v>11</v>
      </c>
      <c r="B694">
        <v>163</v>
      </c>
      <c r="C694" s="14">
        <v>79.227000000000004</v>
      </c>
      <c r="D694">
        <f>ROUNDUP(C694/GiaDinh!$C$4-0.0005,0)</f>
        <v>14</v>
      </c>
      <c r="E694">
        <f t="shared" si="10"/>
        <v>13</v>
      </c>
    </row>
    <row r="695" spans="1:5" x14ac:dyDescent="0.35">
      <c r="A695" t="s">
        <v>11</v>
      </c>
      <c r="B695">
        <v>164</v>
      </c>
      <c r="C695" s="14">
        <v>79.227000000000004</v>
      </c>
      <c r="D695">
        <f>ROUNDUP(C695/GiaDinh!$C$4-0.0005,0)</f>
        <v>14</v>
      </c>
      <c r="E695">
        <f t="shared" si="10"/>
        <v>13</v>
      </c>
    </row>
    <row r="696" spans="1:5" x14ac:dyDescent="0.35">
      <c r="A696" t="s">
        <v>11</v>
      </c>
      <c r="B696">
        <v>165</v>
      </c>
      <c r="C696" s="14">
        <v>79.227000000000004</v>
      </c>
      <c r="D696">
        <f>ROUNDUP(C696/GiaDinh!$C$4-0.0005,0)</f>
        <v>14</v>
      </c>
      <c r="E696">
        <f t="shared" si="10"/>
        <v>13</v>
      </c>
    </row>
    <row r="697" spans="1:5" x14ac:dyDescent="0.35">
      <c r="A697" t="s">
        <v>11</v>
      </c>
      <c r="B697">
        <v>166</v>
      </c>
      <c r="C697" s="14">
        <v>79.227000000000004</v>
      </c>
      <c r="D697">
        <f>ROUNDUP(C697/GiaDinh!$C$4-0.0005,0)</f>
        <v>14</v>
      </c>
      <c r="E697">
        <f t="shared" si="10"/>
        <v>13</v>
      </c>
    </row>
    <row r="698" spans="1:5" x14ac:dyDescent="0.35">
      <c r="A698" t="s">
        <v>11</v>
      </c>
      <c r="B698">
        <v>167</v>
      </c>
      <c r="C698" s="14">
        <v>79.227000000000004</v>
      </c>
      <c r="D698">
        <f>ROUNDUP(C698/GiaDinh!$C$4-0.0005,0)</f>
        <v>14</v>
      </c>
      <c r="E698">
        <f t="shared" si="10"/>
        <v>13</v>
      </c>
    </row>
    <row r="699" spans="1:5" x14ac:dyDescent="0.35">
      <c r="A699" t="s">
        <v>11</v>
      </c>
      <c r="B699">
        <v>168</v>
      </c>
      <c r="C699" s="14">
        <v>79.227000000000004</v>
      </c>
      <c r="D699">
        <f>ROUNDUP(C699/GiaDinh!$C$4-0.0005,0)</f>
        <v>14</v>
      </c>
      <c r="E699">
        <f t="shared" si="10"/>
        <v>13</v>
      </c>
    </row>
    <row r="700" spans="1:5" x14ac:dyDescent="0.35">
      <c r="A700" t="s">
        <v>11</v>
      </c>
      <c r="B700">
        <v>169</v>
      </c>
      <c r="C700" s="14">
        <v>79.227000000000004</v>
      </c>
      <c r="D700">
        <f>ROUNDUP(C700/GiaDinh!$C$4-0.0005,0)</f>
        <v>14</v>
      </c>
      <c r="E700">
        <f t="shared" si="10"/>
        <v>13</v>
      </c>
    </row>
    <row r="701" spans="1:5" x14ac:dyDescent="0.35">
      <c r="A701" t="s">
        <v>11</v>
      </c>
      <c r="B701">
        <v>170</v>
      </c>
      <c r="C701" s="14">
        <v>79.227000000000004</v>
      </c>
      <c r="D701">
        <f>ROUNDUP(C701/GiaDinh!$C$4-0.0005,0)</f>
        <v>14</v>
      </c>
      <c r="E701">
        <f t="shared" si="10"/>
        <v>13</v>
      </c>
    </row>
    <row r="702" spans="1:5" x14ac:dyDescent="0.35">
      <c r="A702" t="s">
        <v>11</v>
      </c>
      <c r="B702">
        <v>171</v>
      </c>
      <c r="C702" s="14">
        <v>79.227000000000004</v>
      </c>
      <c r="D702">
        <f>ROUNDUP(C702/GiaDinh!$C$4-0.0005,0)</f>
        <v>14</v>
      </c>
      <c r="E702">
        <f t="shared" si="10"/>
        <v>13</v>
      </c>
    </row>
    <row r="703" spans="1:5" x14ac:dyDescent="0.35">
      <c r="A703" t="s">
        <v>11</v>
      </c>
      <c r="B703">
        <v>172</v>
      </c>
      <c r="C703" s="14">
        <v>79.227000000000004</v>
      </c>
      <c r="D703">
        <f>ROUNDUP(C703/GiaDinh!$C$4-0.0005,0)</f>
        <v>14</v>
      </c>
      <c r="E703">
        <f t="shared" si="10"/>
        <v>13</v>
      </c>
    </row>
    <row r="704" spans="1:5" x14ac:dyDescent="0.35">
      <c r="A704" t="s">
        <v>11</v>
      </c>
      <c r="B704">
        <v>173</v>
      </c>
      <c r="C704" s="14">
        <v>79.227000000000004</v>
      </c>
      <c r="D704">
        <f>ROUNDUP(C704/GiaDinh!$C$4-0.0005,0)</f>
        <v>14</v>
      </c>
      <c r="E704">
        <f t="shared" si="10"/>
        <v>13</v>
      </c>
    </row>
    <row r="705" spans="1:5" x14ac:dyDescent="0.35">
      <c r="A705" t="s">
        <v>11</v>
      </c>
      <c r="B705">
        <v>174</v>
      </c>
      <c r="C705" s="14">
        <v>79.227000000000004</v>
      </c>
      <c r="D705">
        <f>ROUNDUP(C705/GiaDinh!$C$4-0.0005,0)</f>
        <v>14</v>
      </c>
      <c r="E705">
        <f t="shared" si="10"/>
        <v>13</v>
      </c>
    </row>
    <row r="706" spans="1:5" x14ac:dyDescent="0.35">
      <c r="A706" t="s">
        <v>11</v>
      </c>
      <c r="B706">
        <v>175</v>
      </c>
      <c r="C706" s="14">
        <v>79.227000000000004</v>
      </c>
      <c r="D706">
        <f>ROUNDUP(C706/GiaDinh!$C$4-0.0005,0)</f>
        <v>14</v>
      </c>
      <c r="E706">
        <f t="shared" si="10"/>
        <v>13</v>
      </c>
    </row>
    <row r="707" spans="1:5" x14ac:dyDescent="0.35">
      <c r="A707" t="s">
        <v>11</v>
      </c>
      <c r="B707">
        <v>176</v>
      </c>
      <c r="C707" s="14">
        <v>79.227000000000004</v>
      </c>
      <c r="D707">
        <f>ROUNDUP(C707/GiaDinh!$C$4-0.0005,0)</f>
        <v>14</v>
      </c>
      <c r="E707">
        <f t="shared" si="10"/>
        <v>13</v>
      </c>
    </row>
    <row r="708" spans="1:5" x14ac:dyDescent="0.35">
      <c r="A708" t="s">
        <v>11</v>
      </c>
      <c r="B708">
        <v>177</v>
      </c>
      <c r="C708" s="14">
        <v>79.227000000000004</v>
      </c>
      <c r="D708">
        <f>ROUNDUP(C708/GiaDinh!$C$4-0.0005,0)</f>
        <v>14</v>
      </c>
      <c r="E708">
        <f t="shared" ref="E708:E771" si="11">D708-1</f>
        <v>13</v>
      </c>
    </row>
    <row r="709" spans="1:5" x14ac:dyDescent="0.35">
      <c r="A709" t="s">
        <v>11</v>
      </c>
      <c r="B709">
        <v>178</v>
      </c>
      <c r="C709" s="14">
        <v>79.227000000000004</v>
      </c>
      <c r="D709">
        <f>ROUNDUP(C709/GiaDinh!$C$4-0.0005,0)</f>
        <v>14</v>
      </c>
      <c r="E709">
        <f t="shared" si="11"/>
        <v>13</v>
      </c>
    </row>
    <row r="710" spans="1:5" x14ac:dyDescent="0.35">
      <c r="A710" t="s">
        <v>11</v>
      </c>
      <c r="B710">
        <v>179</v>
      </c>
      <c r="C710" s="14">
        <v>79.227000000000004</v>
      </c>
      <c r="D710">
        <f>ROUNDUP(C710/GiaDinh!$C$4-0.0005,0)</f>
        <v>14</v>
      </c>
      <c r="E710">
        <f t="shared" si="11"/>
        <v>13</v>
      </c>
    </row>
    <row r="711" spans="1:5" x14ac:dyDescent="0.35">
      <c r="A711" t="s">
        <v>11</v>
      </c>
      <c r="B711">
        <v>180</v>
      </c>
      <c r="C711" s="14">
        <v>79.227000000000004</v>
      </c>
      <c r="D711">
        <f>ROUNDUP(C711/GiaDinh!$C$4-0.0005,0)</f>
        <v>14</v>
      </c>
      <c r="E711">
        <f t="shared" si="11"/>
        <v>13</v>
      </c>
    </row>
    <row r="712" spans="1:5" x14ac:dyDescent="0.35">
      <c r="A712" t="s">
        <v>11</v>
      </c>
      <c r="B712">
        <v>181</v>
      </c>
      <c r="C712" s="14">
        <v>79.227000000000004</v>
      </c>
      <c r="D712">
        <f>ROUNDUP(C712/GiaDinh!$C$4-0.0005,0)</f>
        <v>14</v>
      </c>
      <c r="E712">
        <f t="shared" si="11"/>
        <v>13</v>
      </c>
    </row>
    <row r="713" spans="1:5" x14ac:dyDescent="0.35">
      <c r="A713" t="s">
        <v>11</v>
      </c>
      <c r="B713">
        <v>182</v>
      </c>
      <c r="C713" s="14">
        <v>79.227000000000004</v>
      </c>
      <c r="D713">
        <f>ROUNDUP(C713/GiaDinh!$C$4-0.0005,0)</f>
        <v>14</v>
      </c>
      <c r="E713">
        <f t="shared" si="11"/>
        <v>13</v>
      </c>
    </row>
    <row r="714" spans="1:5" x14ac:dyDescent="0.35">
      <c r="A714" t="s">
        <v>11</v>
      </c>
      <c r="B714">
        <v>183</v>
      </c>
      <c r="C714" s="14">
        <v>79.227000000000004</v>
      </c>
      <c r="D714">
        <f>ROUNDUP(C714/GiaDinh!$C$4-0.0005,0)</f>
        <v>14</v>
      </c>
      <c r="E714">
        <f t="shared" si="11"/>
        <v>13</v>
      </c>
    </row>
    <row r="715" spans="1:5" x14ac:dyDescent="0.35">
      <c r="A715" t="s">
        <v>11</v>
      </c>
      <c r="B715">
        <v>184</v>
      </c>
      <c r="C715" s="14">
        <v>79.227000000000004</v>
      </c>
      <c r="D715">
        <f>ROUNDUP(C715/GiaDinh!$C$4-0.0005,0)</f>
        <v>14</v>
      </c>
      <c r="E715">
        <f t="shared" si="11"/>
        <v>13</v>
      </c>
    </row>
    <row r="716" spans="1:5" x14ac:dyDescent="0.35">
      <c r="A716" t="s">
        <v>11</v>
      </c>
      <c r="B716">
        <v>185</v>
      </c>
      <c r="C716" s="14">
        <v>79.227000000000004</v>
      </c>
      <c r="D716">
        <f>ROUNDUP(C716/GiaDinh!$C$4-0.0005,0)</f>
        <v>14</v>
      </c>
      <c r="E716">
        <f t="shared" si="11"/>
        <v>13</v>
      </c>
    </row>
    <row r="717" spans="1:5" x14ac:dyDescent="0.35">
      <c r="A717" t="s">
        <v>11</v>
      </c>
      <c r="B717">
        <v>186</v>
      </c>
      <c r="C717" s="14">
        <v>79.227000000000004</v>
      </c>
      <c r="D717">
        <f>ROUNDUP(C717/GiaDinh!$C$4-0.0005,0)</f>
        <v>14</v>
      </c>
      <c r="E717">
        <f t="shared" si="11"/>
        <v>13</v>
      </c>
    </row>
    <row r="718" spans="1:5" x14ac:dyDescent="0.35">
      <c r="A718" t="s">
        <v>11</v>
      </c>
      <c r="B718">
        <v>187</v>
      </c>
      <c r="C718" s="14">
        <v>79.227000000000004</v>
      </c>
      <c r="D718">
        <f>ROUNDUP(C718/GiaDinh!$C$4-0.0005,0)</f>
        <v>14</v>
      </c>
      <c r="E718">
        <f t="shared" si="11"/>
        <v>13</v>
      </c>
    </row>
    <row r="719" spans="1:5" x14ac:dyDescent="0.35">
      <c r="A719" t="s">
        <v>11</v>
      </c>
      <c r="B719">
        <v>188</v>
      </c>
      <c r="C719" s="14">
        <v>79.227000000000004</v>
      </c>
      <c r="D719">
        <f>ROUNDUP(C719/GiaDinh!$C$4-0.0005,0)</f>
        <v>14</v>
      </c>
      <c r="E719">
        <f t="shared" si="11"/>
        <v>13</v>
      </c>
    </row>
    <row r="720" spans="1:5" x14ac:dyDescent="0.35">
      <c r="A720" t="s">
        <v>11</v>
      </c>
      <c r="B720">
        <v>189</v>
      </c>
      <c r="C720" s="14">
        <v>79.227000000000004</v>
      </c>
      <c r="D720">
        <f>ROUNDUP(C720/GiaDinh!$C$4-0.0005,0)</f>
        <v>14</v>
      </c>
      <c r="E720">
        <f t="shared" si="11"/>
        <v>13</v>
      </c>
    </row>
    <row r="721" spans="1:5" x14ac:dyDescent="0.35">
      <c r="A721" t="s">
        <v>11</v>
      </c>
      <c r="B721">
        <v>190</v>
      </c>
      <c r="C721" s="14">
        <v>79.227000000000004</v>
      </c>
      <c r="D721">
        <f>ROUNDUP(C721/GiaDinh!$C$4-0.0005,0)</f>
        <v>14</v>
      </c>
      <c r="E721">
        <f t="shared" si="11"/>
        <v>13</v>
      </c>
    </row>
    <row r="722" spans="1:5" x14ac:dyDescent="0.35">
      <c r="A722" t="s">
        <v>11</v>
      </c>
      <c r="B722">
        <v>191</v>
      </c>
      <c r="C722" s="14">
        <v>79.227000000000004</v>
      </c>
      <c r="D722">
        <f>ROUNDUP(C722/GiaDinh!$C$4-0.0005,0)</f>
        <v>14</v>
      </c>
      <c r="E722">
        <f t="shared" si="11"/>
        <v>13</v>
      </c>
    </row>
    <row r="723" spans="1:5" x14ac:dyDescent="0.35">
      <c r="A723" t="s">
        <v>11</v>
      </c>
      <c r="B723">
        <v>192</v>
      </c>
      <c r="C723" s="14">
        <v>79.227000000000004</v>
      </c>
      <c r="D723">
        <f>ROUNDUP(C723/GiaDinh!$C$4-0.0005,0)</f>
        <v>14</v>
      </c>
      <c r="E723">
        <f t="shared" si="11"/>
        <v>13</v>
      </c>
    </row>
    <row r="724" spans="1:5" x14ac:dyDescent="0.35">
      <c r="A724" t="s">
        <v>11</v>
      </c>
      <c r="B724">
        <v>193</v>
      </c>
      <c r="C724" s="14">
        <v>79.227000000000004</v>
      </c>
      <c r="D724">
        <f>ROUNDUP(C724/GiaDinh!$C$4-0.0005,0)</f>
        <v>14</v>
      </c>
      <c r="E724">
        <f t="shared" si="11"/>
        <v>13</v>
      </c>
    </row>
    <row r="725" spans="1:5" x14ac:dyDescent="0.35">
      <c r="A725" t="s">
        <v>11</v>
      </c>
      <c r="B725">
        <v>194</v>
      </c>
      <c r="C725" s="14">
        <v>79.227000000000004</v>
      </c>
      <c r="D725">
        <f>ROUNDUP(C725/GiaDinh!$C$4-0.0005,0)</f>
        <v>14</v>
      </c>
      <c r="E725">
        <f t="shared" si="11"/>
        <v>13</v>
      </c>
    </row>
    <row r="726" spans="1:5" x14ac:dyDescent="0.35">
      <c r="A726" t="s">
        <v>11</v>
      </c>
      <c r="B726">
        <v>195</v>
      </c>
      <c r="C726" s="14">
        <v>79.227000000000004</v>
      </c>
      <c r="D726">
        <f>ROUNDUP(C726/GiaDinh!$C$4-0.0005,0)</f>
        <v>14</v>
      </c>
      <c r="E726">
        <f t="shared" si="11"/>
        <v>13</v>
      </c>
    </row>
    <row r="727" spans="1:5" x14ac:dyDescent="0.35">
      <c r="A727" t="s">
        <v>11</v>
      </c>
      <c r="B727">
        <v>196</v>
      </c>
      <c r="C727" s="14">
        <v>79.227000000000004</v>
      </c>
      <c r="D727">
        <f>ROUNDUP(C727/GiaDinh!$C$4-0.0005,0)</f>
        <v>14</v>
      </c>
      <c r="E727">
        <f t="shared" si="11"/>
        <v>13</v>
      </c>
    </row>
    <row r="728" spans="1:5" x14ac:dyDescent="0.35">
      <c r="A728" t="s">
        <v>11</v>
      </c>
      <c r="B728">
        <v>197</v>
      </c>
      <c r="C728" s="14">
        <v>79.227000000000004</v>
      </c>
      <c r="D728">
        <f>ROUNDUP(C728/GiaDinh!$C$4-0.0005,0)</f>
        <v>14</v>
      </c>
      <c r="E728">
        <f t="shared" si="11"/>
        <v>13</v>
      </c>
    </row>
    <row r="729" spans="1:5" x14ac:dyDescent="0.35">
      <c r="A729" t="s">
        <v>11</v>
      </c>
      <c r="B729">
        <v>198</v>
      </c>
      <c r="C729" s="14">
        <v>79.227000000000004</v>
      </c>
      <c r="D729">
        <f>ROUNDUP(C729/GiaDinh!$C$4-0.0005,0)</f>
        <v>14</v>
      </c>
      <c r="E729">
        <f t="shared" si="11"/>
        <v>13</v>
      </c>
    </row>
    <row r="730" spans="1:5" x14ac:dyDescent="0.35">
      <c r="A730" t="s">
        <v>11</v>
      </c>
      <c r="B730">
        <v>199</v>
      </c>
      <c r="C730" s="14">
        <v>79.227000000000004</v>
      </c>
      <c r="D730">
        <f>ROUNDUP(C730/GiaDinh!$C$4-0.0005,0)</f>
        <v>14</v>
      </c>
      <c r="E730">
        <f t="shared" si="11"/>
        <v>13</v>
      </c>
    </row>
    <row r="731" spans="1:5" x14ac:dyDescent="0.35">
      <c r="A731" t="s">
        <v>11</v>
      </c>
      <c r="B731">
        <v>200</v>
      </c>
      <c r="C731" s="14">
        <v>79.227000000000004</v>
      </c>
      <c r="D731">
        <f>ROUNDUP(C731/GiaDinh!$C$4-0.0005,0)</f>
        <v>14</v>
      </c>
      <c r="E731">
        <f t="shared" si="11"/>
        <v>13</v>
      </c>
    </row>
    <row r="732" spans="1:5" x14ac:dyDescent="0.35">
      <c r="A732" t="s">
        <v>11</v>
      </c>
      <c r="B732">
        <v>201</v>
      </c>
      <c r="C732" s="14">
        <v>79.227000000000004</v>
      </c>
      <c r="D732">
        <f>ROUNDUP(C732/GiaDinh!$C$4-0.0005,0)</f>
        <v>14</v>
      </c>
      <c r="E732">
        <f t="shared" si="11"/>
        <v>13</v>
      </c>
    </row>
    <row r="733" spans="1:5" x14ac:dyDescent="0.35">
      <c r="A733" t="s">
        <v>11</v>
      </c>
      <c r="B733">
        <v>202</v>
      </c>
      <c r="C733" s="14">
        <v>79.227000000000004</v>
      </c>
      <c r="D733">
        <f>ROUNDUP(C733/GiaDinh!$C$4-0.0005,0)</f>
        <v>14</v>
      </c>
      <c r="E733">
        <f t="shared" si="11"/>
        <v>13</v>
      </c>
    </row>
    <row r="734" spans="1:5" x14ac:dyDescent="0.35">
      <c r="A734" t="s">
        <v>11</v>
      </c>
      <c r="B734">
        <v>203</v>
      </c>
      <c r="C734" s="14">
        <v>79.227000000000004</v>
      </c>
      <c r="D734">
        <f>ROUNDUP(C734/GiaDinh!$C$4-0.0005,0)</f>
        <v>14</v>
      </c>
      <c r="E734">
        <f t="shared" si="11"/>
        <v>13</v>
      </c>
    </row>
    <row r="735" spans="1:5" x14ac:dyDescent="0.35">
      <c r="A735" t="s">
        <v>11</v>
      </c>
      <c r="B735">
        <v>204</v>
      </c>
      <c r="C735" s="14">
        <v>79.227000000000004</v>
      </c>
      <c r="D735">
        <f>ROUNDUP(C735/GiaDinh!$C$4-0.0005,0)</f>
        <v>14</v>
      </c>
      <c r="E735">
        <f t="shared" si="11"/>
        <v>13</v>
      </c>
    </row>
    <row r="736" spans="1:5" x14ac:dyDescent="0.35">
      <c r="A736" t="s">
        <v>11</v>
      </c>
      <c r="B736">
        <v>205</v>
      </c>
      <c r="C736" s="14">
        <v>79.227000000000004</v>
      </c>
      <c r="D736">
        <f>ROUNDUP(C736/GiaDinh!$C$4-0.0005,0)</f>
        <v>14</v>
      </c>
      <c r="E736">
        <f t="shared" si="11"/>
        <v>13</v>
      </c>
    </row>
    <row r="737" spans="1:5" x14ac:dyDescent="0.35">
      <c r="A737" t="s">
        <v>11</v>
      </c>
      <c r="B737">
        <v>206</v>
      </c>
      <c r="C737" s="14">
        <v>79.227000000000004</v>
      </c>
      <c r="D737">
        <f>ROUNDUP(C737/GiaDinh!$C$4-0.0005,0)</f>
        <v>14</v>
      </c>
      <c r="E737">
        <f t="shared" si="11"/>
        <v>13</v>
      </c>
    </row>
    <row r="738" spans="1:5" x14ac:dyDescent="0.35">
      <c r="A738" t="s">
        <v>11</v>
      </c>
      <c r="B738">
        <v>207</v>
      </c>
      <c r="C738" s="14">
        <v>79.227000000000004</v>
      </c>
      <c r="D738">
        <f>ROUNDUP(C738/GiaDinh!$C$4-0.0005,0)</f>
        <v>14</v>
      </c>
      <c r="E738">
        <f t="shared" si="11"/>
        <v>13</v>
      </c>
    </row>
    <row r="739" spans="1:5" x14ac:dyDescent="0.35">
      <c r="A739" t="s">
        <v>11</v>
      </c>
      <c r="B739">
        <v>208</v>
      </c>
      <c r="C739" s="14">
        <v>79.227000000000004</v>
      </c>
      <c r="D739">
        <f>ROUNDUP(C739/GiaDinh!$C$4-0.0005,0)</f>
        <v>14</v>
      </c>
      <c r="E739">
        <f t="shared" si="11"/>
        <v>13</v>
      </c>
    </row>
    <row r="740" spans="1:5" x14ac:dyDescent="0.35">
      <c r="A740" t="s">
        <v>11</v>
      </c>
      <c r="B740">
        <v>209</v>
      </c>
      <c r="C740" s="14">
        <v>79.227000000000004</v>
      </c>
      <c r="D740">
        <f>ROUNDUP(C740/GiaDinh!$C$4-0.0005,0)</f>
        <v>14</v>
      </c>
      <c r="E740">
        <f t="shared" si="11"/>
        <v>13</v>
      </c>
    </row>
    <row r="741" spans="1:5" x14ac:dyDescent="0.35">
      <c r="A741" t="s">
        <v>11</v>
      </c>
      <c r="B741">
        <v>210</v>
      </c>
      <c r="C741" s="14">
        <v>79.227000000000004</v>
      </c>
      <c r="D741">
        <f>ROUNDUP(C741/GiaDinh!$C$4-0.0005,0)</f>
        <v>14</v>
      </c>
      <c r="E741">
        <f t="shared" si="11"/>
        <v>13</v>
      </c>
    </row>
    <row r="742" spans="1:5" x14ac:dyDescent="0.35">
      <c r="A742" t="s">
        <v>11</v>
      </c>
      <c r="B742">
        <v>211</v>
      </c>
      <c r="C742" s="14">
        <v>79.227000000000004</v>
      </c>
      <c r="D742">
        <f>ROUNDUP(C742/GiaDinh!$C$4-0.0005,0)</f>
        <v>14</v>
      </c>
      <c r="E742">
        <f t="shared" si="11"/>
        <v>13</v>
      </c>
    </row>
    <row r="743" spans="1:5" x14ac:dyDescent="0.35">
      <c r="A743" t="s">
        <v>11</v>
      </c>
      <c r="B743">
        <v>212</v>
      </c>
      <c r="C743" s="14">
        <v>79.227000000000004</v>
      </c>
      <c r="D743">
        <f>ROUNDUP(C743/GiaDinh!$C$4-0.0005,0)</f>
        <v>14</v>
      </c>
      <c r="E743">
        <f t="shared" si="11"/>
        <v>13</v>
      </c>
    </row>
    <row r="744" spans="1:5" x14ac:dyDescent="0.35">
      <c r="A744" t="s">
        <v>11</v>
      </c>
      <c r="B744">
        <v>213</v>
      </c>
      <c r="C744" s="14">
        <v>79.227000000000004</v>
      </c>
      <c r="D744">
        <f>ROUNDUP(C744/GiaDinh!$C$4-0.0005,0)</f>
        <v>14</v>
      </c>
      <c r="E744">
        <f t="shared" si="11"/>
        <v>13</v>
      </c>
    </row>
    <row r="745" spans="1:5" x14ac:dyDescent="0.35">
      <c r="A745" t="s">
        <v>11</v>
      </c>
      <c r="B745">
        <v>214</v>
      </c>
      <c r="C745" s="14">
        <v>79.227000000000004</v>
      </c>
      <c r="D745">
        <f>ROUNDUP(C745/GiaDinh!$C$4-0.0005,0)</f>
        <v>14</v>
      </c>
      <c r="E745">
        <f t="shared" si="11"/>
        <v>13</v>
      </c>
    </row>
    <row r="746" spans="1:5" x14ac:dyDescent="0.35">
      <c r="A746" t="s">
        <v>11</v>
      </c>
      <c r="B746">
        <v>215</v>
      </c>
      <c r="C746" s="14">
        <v>79.227000000000004</v>
      </c>
      <c r="D746">
        <f>ROUNDUP(C746/GiaDinh!$C$4-0.0005,0)</f>
        <v>14</v>
      </c>
      <c r="E746">
        <f t="shared" si="11"/>
        <v>13</v>
      </c>
    </row>
    <row r="747" spans="1:5" x14ac:dyDescent="0.35">
      <c r="A747" t="s">
        <v>11</v>
      </c>
      <c r="B747">
        <v>216</v>
      </c>
      <c r="C747" s="14">
        <v>79.227000000000004</v>
      </c>
      <c r="D747">
        <f>ROUNDUP(C747/GiaDinh!$C$4-0.0005,0)</f>
        <v>14</v>
      </c>
      <c r="E747">
        <f t="shared" si="11"/>
        <v>13</v>
      </c>
    </row>
    <row r="748" spans="1:5" x14ac:dyDescent="0.35">
      <c r="A748" t="s">
        <v>11</v>
      </c>
      <c r="B748">
        <v>217</v>
      </c>
      <c r="C748" s="14">
        <v>79.227000000000004</v>
      </c>
      <c r="D748">
        <f>ROUNDUP(C748/GiaDinh!$C$4-0.0005,0)</f>
        <v>14</v>
      </c>
      <c r="E748">
        <f t="shared" si="11"/>
        <v>13</v>
      </c>
    </row>
    <row r="749" spans="1:5" x14ac:dyDescent="0.35">
      <c r="A749" t="s">
        <v>11</v>
      </c>
      <c r="B749">
        <v>218</v>
      </c>
      <c r="C749" s="14">
        <v>79.227000000000004</v>
      </c>
      <c r="D749">
        <f>ROUNDUP(C749/GiaDinh!$C$4-0.0005,0)</f>
        <v>14</v>
      </c>
      <c r="E749">
        <f t="shared" si="11"/>
        <v>13</v>
      </c>
    </row>
    <row r="750" spans="1:5" x14ac:dyDescent="0.35">
      <c r="A750" t="s">
        <v>11</v>
      </c>
      <c r="B750">
        <v>219</v>
      </c>
      <c r="C750" s="14">
        <v>79.227000000000004</v>
      </c>
      <c r="D750">
        <f>ROUNDUP(C750/GiaDinh!$C$4-0.0005,0)</f>
        <v>14</v>
      </c>
      <c r="E750">
        <f t="shared" si="11"/>
        <v>13</v>
      </c>
    </row>
    <row r="751" spans="1:5" x14ac:dyDescent="0.35">
      <c r="A751" t="s">
        <v>11</v>
      </c>
      <c r="B751">
        <v>220</v>
      </c>
      <c r="C751" s="14">
        <v>79.227000000000004</v>
      </c>
      <c r="D751">
        <f>ROUNDUP(C751/GiaDinh!$C$4-0.0005,0)</f>
        <v>14</v>
      </c>
      <c r="E751">
        <f t="shared" si="11"/>
        <v>13</v>
      </c>
    </row>
    <row r="752" spans="1:5" x14ac:dyDescent="0.35">
      <c r="A752" t="s">
        <v>11</v>
      </c>
      <c r="B752">
        <v>221</v>
      </c>
      <c r="C752" s="14">
        <v>79.227000000000004</v>
      </c>
      <c r="D752">
        <f>ROUNDUP(C752/GiaDinh!$C$4-0.0005,0)</f>
        <v>14</v>
      </c>
      <c r="E752">
        <f t="shared" si="11"/>
        <v>13</v>
      </c>
    </row>
    <row r="753" spans="1:5" x14ac:dyDescent="0.35">
      <c r="A753" t="s">
        <v>11</v>
      </c>
      <c r="B753">
        <v>222</v>
      </c>
      <c r="C753" s="14">
        <v>79.227000000000004</v>
      </c>
      <c r="D753">
        <f>ROUNDUP(C753/GiaDinh!$C$4-0.0005,0)</f>
        <v>14</v>
      </c>
      <c r="E753">
        <f t="shared" si="11"/>
        <v>13</v>
      </c>
    </row>
    <row r="754" spans="1:5" x14ac:dyDescent="0.35">
      <c r="A754" t="s">
        <v>11</v>
      </c>
      <c r="B754">
        <v>223</v>
      </c>
      <c r="C754" s="14">
        <v>79.227000000000004</v>
      </c>
      <c r="D754">
        <f>ROUNDUP(C754/GiaDinh!$C$4-0.0005,0)</f>
        <v>14</v>
      </c>
      <c r="E754">
        <f t="shared" si="11"/>
        <v>13</v>
      </c>
    </row>
    <row r="755" spans="1:5" x14ac:dyDescent="0.35">
      <c r="A755" t="s">
        <v>11</v>
      </c>
      <c r="B755">
        <v>224</v>
      </c>
      <c r="C755" s="14">
        <v>79.227000000000004</v>
      </c>
      <c r="D755">
        <f>ROUNDUP(C755/GiaDinh!$C$4-0.0005,0)</f>
        <v>14</v>
      </c>
      <c r="E755">
        <f t="shared" si="11"/>
        <v>13</v>
      </c>
    </row>
    <row r="756" spans="1:5" x14ac:dyDescent="0.35">
      <c r="A756" t="s">
        <v>11</v>
      </c>
      <c r="B756">
        <v>225</v>
      </c>
      <c r="C756" s="14">
        <v>79.227000000000004</v>
      </c>
      <c r="D756">
        <f>ROUNDUP(C756/GiaDinh!$C$4-0.0005,0)</f>
        <v>14</v>
      </c>
      <c r="E756">
        <f t="shared" si="11"/>
        <v>13</v>
      </c>
    </row>
    <row r="757" spans="1:5" x14ac:dyDescent="0.35">
      <c r="A757" t="s">
        <v>11</v>
      </c>
      <c r="B757">
        <v>226</v>
      </c>
      <c r="C757" s="14">
        <v>79.227000000000004</v>
      </c>
      <c r="D757">
        <f>ROUNDUP(C757/GiaDinh!$C$4-0.0005,0)</f>
        <v>14</v>
      </c>
      <c r="E757">
        <f t="shared" si="11"/>
        <v>13</v>
      </c>
    </row>
    <row r="758" spans="1:5" x14ac:dyDescent="0.35">
      <c r="A758" t="s">
        <v>11</v>
      </c>
      <c r="B758">
        <v>227</v>
      </c>
      <c r="C758" s="14">
        <v>79.227000000000004</v>
      </c>
      <c r="D758">
        <f>ROUNDUP(C758/GiaDinh!$C$4-0.0005,0)</f>
        <v>14</v>
      </c>
      <c r="E758">
        <f t="shared" si="11"/>
        <v>13</v>
      </c>
    </row>
    <row r="759" spans="1:5" x14ac:dyDescent="0.35">
      <c r="A759" t="s">
        <v>11</v>
      </c>
      <c r="B759">
        <v>228</v>
      </c>
      <c r="C759" s="14">
        <v>79.227000000000004</v>
      </c>
      <c r="D759">
        <f>ROUNDUP(C759/GiaDinh!$C$4-0.0005,0)</f>
        <v>14</v>
      </c>
      <c r="E759">
        <f t="shared" si="11"/>
        <v>13</v>
      </c>
    </row>
    <row r="760" spans="1:5" x14ac:dyDescent="0.35">
      <c r="A760" t="s">
        <v>11</v>
      </c>
      <c r="B760">
        <v>229</v>
      </c>
      <c r="C760" s="14">
        <v>79.227000000000004</v>
      </c>
      <c r="D760">
        <f>ROUNDUP(C760/GiaDinh!$C$4-0.0005,0)</f>
        <v>14</v>
      </c>
      <c r="E760">
        <f t="shared" si="11"/>
        <v>13</v>
      </c>
    </row>
    <row r="761" spans="1:5" x14ac:dyDescent="0.35">
      <c r="A761" t="s">
        <v>11</v>
      </c>
      <c r="B761">
        <v>230</v>
      </c>
      <c r="C761" s="14">
        <v>79.227000000000004</v>
      </c>
      <c r="D761">
        <f>ROUNDUP(C761/GiaDinh!$C$4-0.0005,0)</f>
        <v>14</v>
      </c>
      <c r="E761">
        <f t="shared" si="11"/>
        <v>13</v>
      </c>
    </row>
    <row r="762" spans="1:5" x14ac:dyDescent="0.35">
      <c r="A762" t="s">
        <v>11</v>
      </c>
      <c r="B762">
        <v>231</v>
      </c>
      <c r="C762" s="14">
        <v>79.227000000000004</v>
      </c>
      <c r="D762">
        <f>ROUNDUP(C762/GiaDinh!$C$4-0.0005,0)</f>
        <v>14</v>
      </c>
      <c r="E762">
        <f t="shared" si="11"/>
        <v>13</v>
      </c>
    </row>
    <row r="763" spans="1:5" x14ac:dyDescent="0.35">
      <c r="A763" t="s">
        <v>11</v>
      </c>
      <c r="B763">
        <v>232</v>
      </c>
      <c r="C763" s="14">
        <v>79.227000000000004</v>
      </c>
      <c r="D763">
        <f>ROUNDUP(C763/GiaDinh!$C$4-0.0005,0)</f>
        <v>14</v>
      </c>
      <c r="E763">
        <f t="shared" si="11"/>
        <v>13</v>
      </c>
    </row>
    <row r="764" spans="1:5" x14ac:dyDescent="0.35">
      <c r="A764" t="s">
        <v>11</v>
      </c>
      <c r="B764">
        <v>233</v>
      </c>
      <c r="C764" s="14">
        <v>79.227000000000004</v>
      </c>
      <c r="D764">
        <f>ROUNDUP(C764/GiaDinh!$C$4-0.0005,0)</f>
        <v>14</v>
      </c>
      <c r="E764">
        <f t="shared" si="11"/>
        <v>13</v>
      </c>
    </row>
    <row r="765" spans="1:5" x14ac:dyDescent="0.35">
      <c r="A765" t="s">
        <v>11</v>
      </c>
      <c r="B765">
        <v>234</v>
      </c>
      <c r="C765" s="14">
        <v>79.227000000000004</v>
      </c>
      <c r="D765">
        <f>ROUNDUP(C765/GiaDinh!$C$4-0.0005,0)</f>
        <v>14</v>
      </c>
      <c r="E765">
        <f t="shared" si="11"/>
        <v>13</v>
      </c>
    </row>
    <row r="766" spans="1:5" x14ac:dyDescent="0.35">
      <c r="A766" t="s">
        <v>11</v>
      </c>
      <c r="B766">
        <v>235</v>
      </c>
      <c r="C766" s="14">
        <v>79.227000000000004</v>
      </c>
      <c r="D766">
        <f>ROUNDUP(C766/GiaDinh!$C$4-0.0005,0)</f>
        <v>14</v>
      </c>
      <c r="E766">
        <f t="shared" si="11"/>
        <v>13</v>
      </c>
    </row>
    <row r="767" spans="1:5" x14ac:dyDescent="0.35">
      <c r="A767" t="s">
        <v>11</v>
      </c>
      <c r="B767">
        <v>236</v>
      </c>
      <c r="C767" s="14">
        <v>79.227000000000004</v>
      </c>
      <c r="D767">
        <f>ROUNDUP(C767/GiaDinh!$C$4-0.0005,0)</f>
        <v>14</v>
      </c>
      <c r="E767">
        <f t="shared" si="11"/>
        <v>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54"/>
  <sheetViews>
    <sheetView workbookViewId="0">
      <pane ySplit="3" topLeftCell="A4" activePane="bottomLeft" state="frozen"/>
      <selection pane="bottomLeft"/>
    </sheetView>
  </sheetViews>
  <sheetFormatPr defaultRowHeight="14.5" x14ac:dyDescent="0.35"/>
  <cols>
    <col min="1" max="1" width="8" customWidth="1"/>
    <col min="2" max="2" width="6" customWidth="1"/>
    <col min="3" max="3" width="14" customWidth="1"/>
    <col min="4" max="4" width="22" customWidth="1"/>
    <col min="5" max="5" width="18" customWidth="1"/>
  </cols>
  <sheetData>
    <row r="1" spans="1:5" ht="15.5" x14ac:dyDescent="0.35">
      <c r="A1" s="10" t="s">
        <v>807</v>
      </c>
    </row>
    <row r="3" spans="1:5" ht="31" x14ac:dyDescent="0.35">
      <c r="A3" s="13" t="s">
        <v>154</v>
      </c>
      <c r="B3" s="13" t="s">
        <v>2</v>
      </c>
      <c r="C3" s="13" t="s">
        <v>804</v>
      </c>
      <c r="D3" s="13" t="s">
        <v>808</v>
      </c>
      <c r="E3" s="13" t="s">
        <v>806</v>
      </c>
    </row>
    <row r="4" spans="1:5" x14ac:dyDescent="0.35">
      <c r="A4" t="s">
        <v>6</v>
      </c>
      <c r="B4">
        <v>1</v>
      </c>
      <c r="C4" s="14">
        <v>34.698</v>
      </c>
      <c r="D4">
        <f>ROUNDUP(C4/GiaDinh!$C$5-0.0005,0)</f>
        <v>6</v>
      </c>
      <c r="E4">
        <f t="shared" ref="E4:E35" si="0">D4-1</f>
        <v>5</v>
      </c>
    </row>
    <row r="5" spans="1:5" x14ac:dyDescent="0.35">
      <c r="A5" t="s">
        <v>6</v>
      </c>
      <c r="B5">
        <v>2</v>
      </c>
      <c r="C5" s="14">
        <v>35.762</v>
      </c>
      <c r="D5">
        <f>ROUNDUP(C5/GiaDinh!$C$5-0.0005,0)</f>
        <v>6</v>
      </c>
      <c r="E5">
        <f t="shared" si="0"/>
        <v>5</v>
      </c>
    </row>
    <row r="6" spans="1:5" x14ac:dyDescent="0.35">
      <c r="A6" t="s">
        <v>6</v>
      </c>
      <c r="B6">
        <v>3</v>
      </c>
      <c r="C6" s="14">
        <v>74.344999999999999</v>
      </c>
      <c r="D6">
        <f>ROUNDUP(C6/GiaDinh!$C$5-0.0005,0)</f>
        <v>13</v>
      </c>
      <c r="E6">
        <f t="shared" si="0"/>
        <v>12</v>
      </c>
    </row>
    <row r="7" spans="1:5" x14ac:dyDescent="0.35">
      <c r="A7" t="s">
        <v>6</v>
      </c>
      <c r="B7">
        <v>4</v>
      </c>
      <c r="C7" s="14">
        <v>74.344999999999999</v>
      </c>
      <c r="D7">
        <f>ROUNDUP(C7/GiaDinh!$C$5-0.0005,0)</f>
        <v>13</v>
      </c>
      <c r="E7">
        <f t="shared" si="0"/>
        <v>12</v>
      </c>
    </row>
    <row r="8" spans="1:5" x14ac:dyDescent="0.35">
      <c r="A8" t="s">
        <v>6</v>
      </c>
      <c r="B8">
        <v>5</v>
      </c>
      <c r="C8" s="14">
        <v>74.344999999999999</v>
      </c>
      <c r="D8">
        <f>ROUNDUP(C8/GiaDinh!$C$5-0.0005,0)</f>
        <v>13</v>
      </c>
      <c r="E8">
        <f t="shared" si="0"/>
        <v>12</v>
      </c>
    </row>
    <row r="9" spans="1:5" x14ac:dyDescent="0.35">
      <c r="A9" t="s">
        <v>6</v>
      </c>
      <c r="B9">
        <v>6</v>
      </c>
      <c r="C9" s="14">
        <v>74.344999999999999</v>
      </c>
      <c r="D9">
        <f>ROUNDUP(C9/GiaDinh!$C$5-0.0005,0)</f>
        <v>13</v>
      </c>
      <c r="E9">
        <f t="shared" si="0"/>
        <v>12</v>
      </c>
    </row>
    <row r="10" spans="1:5" x14ac:dyDescent="0.35">
      <c r="A10" t="s">
        <v>6</v>
      </c>
      <c r="B10">
        <v>7</v>
      </c>
      <c r="C10" s="14">
        <v>75.409000000000006</v>
      </c>
      <c r="D10">
        <f>ROUNDUP(C10/GiaDinh!$C$5-0.0005,0)</f>
        <v>13</v>
      </c>
      <c r="E10">
        <f t="shared" si="0"/>
        <v>12</v>
      </c>
    </row>
    <row r="11" spans="1:5" x14ac:dyDescent="0.35">
      <c r="A11" t="s">
        <v>6</v>
      </c>
      <c r="B11">
        <v>8</v>
      </c>
      <c r="C11" s="14">
        <v>75.409000000000006</v>
      </c>
      <c r="D11">
        <f>ROUNDUP(C11/GiaDinh!$C$5-0.0005,0)</f>
        <v>13</v>
      </c>
      <c r="E11">
        <f t="shared" si="0"/>
        <v>12</v>
      </c>
    </row>
    <row r="12" spans="1:5" x14ac:dyDescent="0.35">
      <c r="A12" t="s">
        <v>6</v>
      </c>
      <c r="B12">
        <v>9</v>
      </c>
      <c r="C12" s="14">
        <v>75.409000000000006</v>
      </c>
      <c r="D12">
        <f>ROUNDUP(C12/GiaDinh!$C$5-0.0005,0)</f>
        <v>13</v>
      </c>
      <c r="E12">
        <f t="shared" si="0"/>
        <v>12</v>
      </c>
    </row>
    <row r="13" spans="1:5" x14ac:dyDescent="0.35">
      <c r="A13" t="s">
        <v>6</v>
      </c>
      <c r="B13">
        <v>10</v>
      </c>
      <c r="C13" s="14">
        <v>75.409000000000006</v>
      </c>
      <c r="D13">
        <f>ROUNDUP(C13/GiaDinh!$C$5-0.0005,0)</f>
        <v>13</v>
      </c>
      <c r="E13">
        <f t="shared" si="0"/>
        <v>12</v>
      </c>
    </row>
    <row r="14" spans="1:5" x14ac:dyDescent="0.35">
      <c r="A14" t="s">
        <v>6</v>
      </c>
      <c r="B14">
        <v>11</v>
      </c>
      <c r="C14" s="14">
        <v>75.713999999999999</v>
      </c>
      <c r="D14">
        <f>ROUNDUP(C14/GiaDinh!$C$5-0.0005,0)</f>
        <v>13</v>
      </c>
      <c r="E14">
        <f t="shared" si="0"/>
        <v>12</v>
      </c>
    </row>
    <row r="15" spans="1:5" x14ac:dyDescent="0.35">
      <c r="A15" t="s">
        <v>6</v>
      </c>
      <c r="B15">
        <v>12</v>
      </c>
      <c r="C15" s="14">
        <v>75.713999999999999</v>
      </c>
      <c r="D15">
        <f>ROUNDUP(C15/GiaDinh!$C$5-0.0005,0)</f>
        <v>13</v>
      </c>
      <c r="E15">
        <f t="shared" si="0"/>
        <v>12</v>
      </c>
    </row>
    <row r="16" spans="1:5" x14ac:dyDescent="0.35">
      <c r="A16" t="s">
        <v>6</v>
      </c>
      <c r="B16">
        <v>13</v>
      </c>
      <c r="C16" s="14">
        <v>75.713999999999999</v>
      </c>
      <c r="D16">
        <f>ROUNDUP(C16/GiaDinh!$C$5-0.0005,0)</f>
        <v>13</v>
      </c>
      <c r="E16">
        <f t="shared" si="0"/>
        <v>12</v>
      </c>
    </row>
    <row r="17" spans="1:5" x14ac:dyDescent="0.35">
      <c r="A17" t="s">
        <v>6</v>
      </c>
      <c r="B17">
        <v>14</v>
      </c>
      <c r="C17" s="14">
        <v>75.713999999999999</v>
      </c>
      <c r="D17">
        <f>ROUNDUP(C17/GiaDinh!$C$5-0.0005,0)</f>
        <v>13</v>
      </c>
      <c r="E17">
        <f t="shared" si="0"/>
        <v>12</v>
      </c>
    </row>
    <row r="18" spans="1:5" x14ac:dyDescent="0.35">
      <c r="A18" t="s">
        <v>6</v>
      </c>
      <c r="B18">
        <v>15</v>
      </c>
      <c r="C18" s="14">
        <v>75.713999999999999</v>
      </c>
      <c r="D18">
        <f>ROUNDUP(C18/GiaDinh!$C$5-0.0005,0)</f>
        <v>13</v>
      </c>
      <c r="E18">
        <f t="shared" si="0"/>
        <v>12</v>
      </c>
    </row>
    <row r="19" spans="1:5" x14ac:dyDescent="0.35">
      <c r="A19" t="s">
        <v>6</v>
      </c>
      <c r="B19">
        <v>16</v>
      </c>
      <c r="C19" s="14">
        <v>75.713999999999999</v>
      </c>
      <c r="D19">
        <f>ROUNDUP(C19/GiaDinh!$C$5-0.0005,0)</f>
        <v>13</v>
      </c>
      <c r="E19">
        <f t="shared" si="0"/>
        <v>12</v>
      </c>
    </row>
    <row r="20" spans="1:5" x14ac:dyDescent="0.35">
      <c r="A20" t="s">
        <v>6</v>
      </c>
      <c r="B20">
        <v>17</v>
      </c>
      <c r="C20" s="14">
        <v>75.713999999999999</v>
      </c>
      <c r="D20">
        <f>ROUNDUP(C20/GiaDinh!$C$5-0.0005,0)</f>
        <v>13</v>
      </c>
      <c r="E20">
        <f t="shared" si="0"/>
        <v>12</v>
      </c>
    </row>
    <row r="21" spans="1:5" x14ac:dyDescent="0.35">
      <c r="A21" t="s">
        <v>6</v>
      </c>
      <c r="B21">
        <v>18</v>
      </c>
      <c r="C21" s="14">
        <v>75.713999999999999</v>
      </c>
      <c r="D21">
        <f>ROUNDUP(C21/GiaDinh!$C$5-0.0005,0)</f>
        <v>13</v>
      </c>
      <c r="E21">
        <f t="shared" si="0"/>
        <v>12</v>
      </c>
    </row>
    <row r="22" spans="1:5" x14ac:dyDescent="0.35">
      <c r="A22" t="s">
        <v>6</v>
      </c>
      <c r="B22">
        <v>19</v>
      </c>
      <c r="C22" s="14">
        <v>75.713999999999999</v>
      </c>
      <c r="D22">
        <f>ROUNDUP(C22/GiaDinh!$C$5-0.0005,0)</f>
        <v>13</v>
      </c>
      <c r="E22">
        <f t="shared" si="0"/>
        <v>12</v>
      </c>
    </row>
    <row r="23" spans="1:5" x14ac:dyDescent="0.35">
      <c r="A23" t="s">
        <v>6</v>
      </c>
      <c r="B23">
        <v>20</v>
      </c>
      <c r="C23" s="14">
        <v>75.713999999999999</v>
      </c>
      <c r="D23">
        <f>ROUNDUP(C23/GiaDinh!$C$5-0.0005,0)</f>
        <v>13</v>
      </c>
      <c r="E23">
        <f t="shared" si="0"/>
        <v>12</v>
      </c>
    </row>
    <row r="24" spans="1:5" x14ac:dyDescent="0.35">
      <c r="A24" t="s">
        <v>6</v>
      </c>
      <c r="B24">
        <v>21</v>
      </c>
      <c r="C24" s="14">
        <v>75.713999999999999</v>
      </c>
      <c r="D24">
        <f>ROUNDUP(C24/GiaDinh!$C$5-0.0005,0)</f>
        <v>13</v>
      </c>
      <c r="E24">
        <f t="shared" si="0"/>
        <v>12</v>
      </c>
    </row>
    <row r="25" spans="1:5" x14ac:dyDescent="0.35">
      <c r="A25" t="s">
        <v>6</v>
      </c>
      <c r="B25">
        <v>22</v>
      </c>
      <c r="C25" s="14">
        <v>75.713999999999999</v>
      </c>
      <c r="D25">
        <f>ROUNDUP(C25/GiaDinh!$C$5-0.0005,0)</f>
        <v>13</v>
      </c>
      <c r="E25">
        <f t="shared" si="0"/>
        <v>12</v>
      </c>
    </row>
    <row r="26" spans="1:5" x14ac:dyDescent="0.35">
      <c r="A26" t="s">
        <v>6</v>
      </c>
      <c r="B26">
        <v>23</v>
      </c>
      <c r="C26" s="14">
        <v>75.713999999999999</v>
      </c>
      <c r="D26">
        <f>ROUNDUP(C26/GiaDinh!$C$5-0.0005,0)</f>
        <v>13</v>
      </c>
      <c r="E26">
        <f t="shared" si="0"/>
        <v>12</v>
      </c>
    </row>
    <row r="27" spans="1:5" x14ac:dyDescent="0.35">
      <c r="A27" t="s">
        <v>6</v>
      </c>
      <c r="B27">
        <v>24</v>
      </c>
      <c r="C27" s="14">
        <v>75.713999999999999</v>
      </c>
      <c r="D27">
        <f>ROUNDUP(C27/GiaDinh!$C$5-0.0005,0)</f>
        <v>13</v>
      </c>
      <c r="E27">
        <f t="shared" si="0"/>
        <v>12</v>
      </c>
    </row>
    <row r="28" spans="1:5" x14ac:dyDescent="0.35">
      <c r="A28" t="s">
        <v>6</v>
      </c>
      <c r="B28">
        <v>25</v>
      </c>
      <c r="C28" s="14">
        <v>75.713999999999999</v>
      </c>
      <c r="D28">
        <f>ROUNDUP(C28/GiaDinh!$C$5-0.0005,0)</f>
        <v>13</v>
      </c>
      <c r="E28">
        <f t="shared" si="0"/>
        <v>12</v>
      </c>
    </row>
    <row r="29" spans="1:5" x14ac:dyDescent="0.35">
      <c r="A29" t="s">
        <v>6</v>
      </c>
      <c r="B29">
        <v>26</v>
      </c>
      <c r="C29" s="14">
        <v>75.713999999999999</v>
      </c>
      <c r="D29">
        <f>ROUNDUP(C29/GiaDinh!$C$5-0.0005,0)</f>
        <v>13</v>
      </c>
      <c r="E29">
        <f t="shared" si="0"/>
        <v>12</v>
      </c>
    </row>
    <row r="30" spans="1:5" x14ac:dyDescent="0.35">
      <c r="A30" t="s">
        <v>6</v>
      </c>
      <c r="B30">
        <v>27</v>
      </c>
      <c r="C30" s="14">
        <v>75.713999999999999</v>
      </c>
      <c r="D30">
        <f>ROUNDUP(C30/GiaDinh!$C$5-0.0005,0)</f>
        <v>13</v>
      </c>
      <c r="E30">
        <f t="shared" si="0"/>
        <v>12</v>
      </c>
    </row>
    <row r="31" spans="1:5" x14ac:dyDescent="0.35">
      <c r="A31" t="s">
        <v>6</v>
      </c>
      <c r="B31">
        <v>28</v>
      </c>
      <c r="C31" s="14">
        <v>89.405000000000001</v>
      </c>
      <c r="D31">
        <f>ROUNDUP(C31/GiaDinh!$C$5-0.0005,0)</f>
        <v>15</v>
      </c>
      <c r="E31">
        <f t="shared" si="0"/>
        <v>14</v>
      </c>
    </row>
    <row r="32" spans="1:5" x14ac:dyDescent="0.35">
      <c r="A32" t="s">
        <v>6</v>
      </c>
      <c r="B32">
        <v>29</v>
      </c>
      <c r="C32" s="14">
        <v>90.471999999999994</v>
      </c>
      <c r="D32">
        <f>ROUNDUP(C32/GiaDinh!$C$5-0.0005,0)</f>
        <v>16</v>
      </c>
      <c r="E32">
        <f t="shared" si="0"/>
        <v>15</v>
      </c>
    </row>
    <row r="33" spans="1:5" x14ac:dyDescent="0.35">
      <c r="A33" t="s">
        <v>6</v>
      </c>
      <c r="B33">
        <v>30</v>
      </c>
      <c r="C33" s="14">
        <v>94.432000000000002</v>
      </c>
      <c r="D33">
        <f>ROUNDUP(C33/GiaDinh!$C$5-0.0005,0)</f>
        <v>16</v>
      </c>
      <c r="E33">
        <f t="shared" si="0"/>
        <v>15</v>
      </c>
    </row>
    <row r="34" spans="1:5" x14ac:dyDescent="0.35">
      <c r="A34" t="s">
        <v>6</v>
      </c>
      <c r="B34">
        <v>31</v>
      </c>
      <c r="C34" s="14">
        <v>94.432000000000002</v>
      </c>
      <c r="D34">
        <f>ROUNDUP(C34/GiaDinh!$C$5-0.0005,0)</f>
        <v>16</v>
      </c>
      <c r="E34">
        <f t="shared" si="0"/>
        <v>15</v>
      </c>
    </row>
    <row r="35" spans="1:5" x14ac:dyDescent="0.35">
      <c r="A35" t="s">
        <v>6</v>
      </c>
      <c r="B35">
        <v>32</v>
      </c>
      <c r="C35" s="14">
        <v>94.432000000000002</v>
      </c>
      <c r="D35">
        <f>ROUNDUP(C35/GiaDinh!$C$5-0.0005,0)</f>
        <v>16</v>
      </c>
      <c r="E35">
        <f t="shared" si="0"/>
        <v>15</v>
      </c>
    </row>
    <row r="36" spans="1:5" x14ac:dyDescent="0.35">
      <c r="A36" t="s">
        <v>6</v>
      </c>
      <c r="B36">
        <v>33</v>
      </c>
      <c r="C36" s="14">
        <v>94.432000000000002</v>
      </c>
      <c r="D36">
        <f>ROUNDUP(C36/GiaDinh!$C$5-0.0005,0)</f>
        <v>16</v>
      </c>
      <c r="E36">
        <f t="shared" ref="E36:E67" si="1">D36-1</f>
        <v>15</v>
      </c>
    </row>
    <row r="37" spans="1:5" x14ac:dyDescent="0.35">
      <c r="A37" t="s">
        <v>6</v>
      </c>
      <c r="B37">
        <v>34</v>
      </c>
      <c r="C37" s="14">
        <v>94.432000000000002</v>
      </c>
      <c r="D37">
        <f>ROUNDUP(C37/GiaDinh!$C$5-0.0005,0)</f>
        <v>16</v>
      </c>
      <c r="E37">
        <f t="shared" si="1"/>
        <v>15</v>
      </c>
    </row>
    <row r="38" spans="1:5" x14ac:dyDescent="0.35">
      <c r="A38" t="s">
        <v>6</v>
      </c>
      <c r="B38">
        <v>35</v>
      </c>
      <c r="C38" s="14">
        <v>94.432000000000002</v>
      </c>
      <c r="D38">
        <f>ROUNDUP(C38/GiaDinh!$C$5-0.0005,0)</f>
        <v>16</v>
      </c>
      <c r="E38">
        <f t="shared" si="1"/>
        <v>15</v>
      </c>
    </row>
    <row r="39" spans="1:5" x14ac:dyDescent="0.35">
      <c r="A39" t="s">
        <v>6</v>
      </c>
      <c r="B39">
        <v>36</v>
      </c>
      <c r="C39" s="14">
        <v>94.432000000000002</v>
      </c>
      <c r="D39">
        <f>ROUNDUP(C39/GiaDinh!$C$5-0.0005,0)</f>
        <v>16</v>
      </c>
      <c r="E39">
        <f t="shared" si="1"/>
        <v>15</v>
      </c>
    </row>
    <row r="40" spans="1:5" x14ac:dyDescent="0.35">
      <c r="A40" t="s">
        <v>6</v>
      </c>
      <c r="B40">
        <v>37</v>
      </c>
      <c r="C40" s="14">
        <v>94.432000000000002</v>
      </c>
      <c r="D40">
        <f>ROUNDUP(C40/GiaDinh!$C$5-0.0005,0)</f>
        <v>16</v>
      </c>
      <c r="E40">
        <f t="shared" si="1"/>
        <v>15</v>
      </c>
    </row>
    <row r="41" spans="1:5" x14ac:dyDescent="0.35">
      <c r="A41" t="s">
        <v>6</v>
      </c>
      <c r="B41">
        <v>38</v>
      </c>
      <c r="C41" s="14">
        <v>94.432000000000002</v>
      </c>
      <c r="D41">
        <f>ROUNDUP(C41/GiaDinh!$C$5-0.0005,0)</f>
        <v>16</v>
      </c>
      <c r="E41">
        <f t="shared" si="1"/>
        <v>15</v>
      </c>
    </row>
    <row r="42" spans="1:5" x14ac:dyDescent="0.35">
      <c r="A42" t="s">
        <v>7</v>
      </c>
      <c r="B42">
        <v>1</v>
      </c>
      <c r="C42" s="14">
        <v>28.521000000000001</v>
      </c>
      <c r="D42">
        <f>ROUNDUP(C42/GiaDinh!$C$5-0.0005,0)</f>
        <v>5</v>
      </c>
      <c r="E42">
        <f t="shared" si="1"/>
        <v>4</v>
      </c>
    </row>
    <row r="43" spans="1:5" x14ac:dyDescent="0.35">
      <c r="A43" t="s">
        <v>7</v>
      </c>
      <c r="B43">
        <v>2</v>
      </c>
      <c r="C43" s="14">
        <v>113.08799999999999</v>
      </c>
      <c r="D43">
        <f>ROUNDUP(C43/GiaDinh!$C$5-0.0005,0)</f>
        <v>19</v>
      </c>
      <c r="E43">
        <f t="shared" si="1"/>
        <v>18</v>
      </c>
    </row>
    <row r="44" spans="1:5" x14ac:dyDescent="0.35">
      <c r="A44" t="s">
        <v>7</v>
      </c>
      <c r="B44">
        <v>3</v>
      </c>
      <c r="C44" s="14">
        <v>113.08799999999999</v>
      </c>
      <c r="D44">
        <f>ROUNDUP(C44/GiaDinh!$C$5-0.0005,0)</f>
        <v>19</v>
      </c>
      <c r="E44">
        <f t="shared" si="1"/>
        <v>18</v>
      </c>
    </row>
    <row r="45" spans="1:5" x14ac:dyDescent="0.35">
      <c r="A45" t="s">
        <v>7</v>
      </c>
      <c r="B45">
        <v>4</v>
      </c>
      <c r="C45" s="14">
        <v>150.78899999999999</v>
      </c>
      <c r="D45">
        <f>ROUNDUP(C45/GiaDinh!$C$5-0.0005,0)</f>
        <v>26</v>
      </c>
      <c r="E45">
        <f t="shared" si="1"/>
        <v>25</v>
      </c>
    </row>
    <row r="46" spans="1:5" x14ac:dyDescent="0.35">
      <c r="A46" t="s">
        <v>7</v>
      </c>
      <c r="B46">
        <v>5</v>
      </c>
      <c r="C46" s="14">
        <v>184.83500000000001</v>
      </c>
      <c r="D46">
        <f>ROUNDUP(C46/GiaDinh!$C$5-0.0005,0)</f>
        <v>31</v>
      </c>
      <c r="E46">
        <f t="shared" si="1"/>
        <v>30</v>
      </c>
    </row>
    <row r="47" spans="1:5" x14ac:dyDescent="0.35">
      <c r="A47" t="s">
        <v>7</v>
      </c>
      <c r="B47">
        <v>6</v>
      </c>
      <c r="C47" s="14">
        <v>184.83500000000001</v>
      </c>
      <c r="D47">
        <f>ROUNDUP(C47/GiaDinh!$C$5-0.0005,0)</f>
        <v>31</v>
      </c>
      <c r="E47">
        <f t="shared" si="1"/>
        <v>30</v>
      </c>
    </row>
    <row r="48" spans="1:5" x14ac:dyDescent="0.35">
      <c r="A48" t="s">
        <v>7</v>
      </c>
      <c r="B48">
        <v>7</v>
      </c>
      <c r="C48" s="14">
        <v>219.999</v>
      </c>
      <c r="D48">
        <f>ROUNDUP(C48/GiaDinh!$C$5-0.0005,0)</f>
        <v>37</v>
      </c>
      <c r="E48">
        <f t="shared" si="1"/>
        <v>36</v>
      </c>
    </row>
    <row r="49" spans="1:5" x14ac:dyDescent="0.35">
      <c r="A49" t="s">
        <v>7</v>
      </c>
      <c r="B49">
        <v>8</v>
      </c>
      <c r="C49" s="14">
        <v>219.999</v>
      </c>
      <c r="D49">
        <f>ROUNDUP(C49/GiaDinh!$C$5-0.0005,0)</f>
        <v>37</v>
      </c>
      <c r="E49">
        <f t="shared" si="1"/>
        <v>36</v>
      </c>
    </row>
    <row r="50" spans="1:5" x14ac:dyDescent="0.35">
      <c r="A50" t="s">
        <v>7</v>
      </c>
      <c r="B50">
        <v>9</v>
      </c>
      <c r="C50" s="14">
        <v>219.999</v>
      </c>
      <c r="D50">
        <f>ROUNDUP(C50/GiaDinh!$C$5-0.0005,0)</f>
        <v>37</v>
      </c>
      <c r="E50">
        <f t="shared" si="1"/>
        <v>36</v>
      </c>
    </row>
    <row r="51" spans="1:5" x14ac:dyDescent="0.35">
      <c r="A51" t="s">
        <v>7</v>
      </c>
      <c r="B51">
        <v>10</v>
      </c>
      <c r="C51" s="14">
        <v>219.999</v>
      </c>
      <c r="D51">
        <f>ROUNDUP(C51/GiaDinh!$C$5-0.0005,0)</f>
        <v>37</v>
      </c>
      <c r="E51">
        <f t="shared" si="1"/>
        <v>36</v>
      </c>
    </row>
    <row r="52" spans="1:5" x14ac:dyDescent="0.35">
      <c r="A52" t="s">
        <v>7</v>
      </c>
      <c r="B52">
        <v>11</v>
      </c>
      <c r="C52" s="14">
        <v>219.999</v>
      </c>
      <c r="D52">
        <f>ROUNDUP(C52/GiaDinh!$C$5-0.0005,0)</f>
        <v>37</v>
      </c>
      <c r="E52">
        <f t="shared" si="1"/>
        <v>36</v>
      </c>
    </row>
    <row r="53" spans="1:5" x14ac:dyDescent="0.35">
      <c r="A53" t="s">
        <v>7</v>
      </c>
      <c r="B53">
        <v>12</v>
      </c>
      <c r="C53" s="14">
        <v>219.999</v>
      </c>
      <c r="D53">
        <f>ROUNDUP(C53/GiaDinh!$C$5-0.0005,0)</f>
        <v>37</v>
      </c>
      <c r="E53">
        <f t="shared" si="1"/>
        <v>36</v>
      </c>
    </row>
    <row r="54" spans="1:5" x14ac:dyDescent="0.35">
      <c r="A54" t="s">
        <v>7</v>
      </c>
      <c r="B54">
        <v>13</v>
      </c>
      <c r="C54" s="14">
        <v>292.81400000000002</v>
      </c>
      <c r="D54">
        <f>ROUNDUP(C54/GiaDinh!$C$5-0.0005,0)</f>
        <v>49</v>
      </c>
      <c r="E54">
        <f t="shared" si="1"/>
        <v>48</v>
      </c>
    </row>
    <row r="55" spans="1:5" x14ac:dyDescent="0.35">
      <c r="A55" t="s">
        <v>7</v>
      </c>
      <c r="B55">
        <v>14</v>
      </c>
      <c r="C55" s="14">
        <v>292.81400000000002</v>
      </c>
      <c r="D55">
        <f>ROUNDUP(C55/GiaDinh!$C$5-0.0005,0)</f>
        <v>49</v>
      </c>
      <c r="E55">
        <f t="shared" si="1"/>
        <v>48</v>
      </c>
    </row>
    <row r="56" spans="1:5" x14ac:dyDescent="0.35">
      <c r="A56" t="s">
        <v>7</v>
      </c>
      <c r="B56">
        <v>15</v>
      </c>
      <c r="C56" s="14">
        <v>292.81400000000002</v>
      </c>
      <c r="D56">
        <f>ROUNDUP(C56/GiaDinh!$C$5-0.0005,0)</f>
        <v>49</v>
      </c>
      <c r="E56">
        <f t="shared" si="1"/>
        <v>48</v>
      </c>
    </row>
    <row r="57" spans="1:5" x14ac:dyDescent="0.35">
      <c r="A57" t="s">
        <v>7</v>
      </c>
      <c r="B57">
        <v>16</v>
      </c>
      <c r="C57" s="14">
        <v>292.81400000000002</v>
      </c>
      <c r="D57">
        <f>ROUNDUP(C57/GiaDinh!$C$5-0.0005,0)</f>
        <v>49</v>
      </c>
      <c r="E57">
        <f t="shared" si="1"/>
        <v>48</v>
      </c>
    </row>
    <row r="58" spans="1:5" x14ac:dyDescent="0.35">
      <c r="A58" t="s">
        <v>7</v>
      </c>
      <c r="B58">
        <v>17</v>
      </c>
      <c r="C58" s="14">
        <v>292.81400000000002</v>
      </c>
      <c r="D58">
        <f>ROUNDUP(C58/GiaDinh!$C$5-0.0005,0)</f>
        <v>49</v>
      </c>
      <c r="E58">
        <f t="shared" si="1"/>
        <v>48</v>
      </c>
    </row>
    <row r="59" spans="1:5" x14ac:dyDescent="0.35">
      <c r="A59" t="s">
        <v>7</v>
      </c>
      <c r="B59">
        <v>18</v>
      </c>
      <c r="C59" s="14">
        <v>292.839</v>
      </c>
      <c r="D59">
        <f>ROUNDUP(C59/GiaDinh!$C$5-0.0005,0)</f>
        <v>49</v>
      </c>
      <c r="E59">
        <f t="shared" si="1"/>
        <v>48</v>
      </c>
    </row>
    <row r="60" spans="1:5" x14ac:dyDescent="0.35">
      <c r="A60" t="s">
        <v>7</v>
      </c>
      <c r="B60">
        <v>19</v>
      </c>
      <c r="C60" s="14">
        <v>292.839</v>
      </c>
      <c r="D60">
        <f>ROUNDUP(C60/GiaDinh!$C$5-0.0005,0)</f>
        <v>49</v>
      </c>
      <c r="E60">
        <f t="shared" si="1"/>
        <v>48</v>
      </c>
    </row>
    <row r="61" spans="1:5" x14ac:dyDescent="0.35">
      <c r="A61" t="s">
        <v>7</v>
      </c>
      <c r="B61">
        <v>20</v>
      </c>
      <c r="C61" s="14">
        <v>304.24599999999998</v>
      </c>
      <c r="D61">
        <f>ROUNDUP(C61/GiaDinh!$C$5-0.0005,0)</f>
        <v>51</v>
      </c>
      <c r="E61">
        <f t="shared" si="1"/>
        <v>50</v>
      </c>
    </row>
    <row r="62" spans="1:5" x14ac:dyDescent="0.35">
      <c r="A62" t="s">
        <v>8</v>
      </c>
      <c r="B62">
        <v>1</v>
      </c>
      <c r="C62" s="14">
        <v>39.204999999999998</v>
      </c>
      <c r="D62">
        <f>ROUNDUP(C62/GiaDinh!$C$5-0.0005,0)</f>
        <v>7</v>
      </c>
      <c r="E62">
        <f t="shared" si="1"/>
        <v>6</v>
      </c>
    </row>
    <row r="63" spans="1:5" x14ac:dyDescent="0.35">
      <c r="A63" t="s">
        <v>8</v>
      </c>
      <c r="B63">
        <v>2</v>
      </c>
      <c r="C63" s="14">
        <v>39.204999999999998</v>
      </c>
      <c r="D63">
        <f>ROUNDUP(C63/GiaDinh!$C$5-0.0005,0)</f>
        <v>7</v>
      </c>
      <c r="E63">
        <f t="shared" si="1"/>
        <v>6</v>
      </c>
    </row>
    <row r="64" spans="1:5" x14ac:dyDescent="0.35">
      <c r="A64" t="s">
        <v>8</v>
      </c>
      <c r="B64">
        <v>3</v>
      </c>
      <c r="C64" s="14">
        <v>39.204999999999998</v>
      </c>
      <c r="D64">
        <f>ROUNDUP(C64/GiaDinh!$C$5-0.0005,0)</f>
        <v>7</v>
      </c>
      <c r="E64">
        <f t="shared" si="1"/>
        <v>6</v>
      </c>
    </row>
    <row r="65" spans="1:5" x14ac:dyDescent="0.35">
      <c r="A65" t="s">
        <v>8</v>
      </c>
      <c r="B65">
        <v>4</v>
      </c>
      <c r="C65" s="14">
        <v>39.204999999999998</v>
      </c>
      <c r="D65">
        <f>ROUNDUP(C65/GiaDinh!$C$5-0.0005,0)</f>
        <v>7</v>
      </c>
      <c r="E65">
        <f t="shared" si="1"/>
        <v>6</v>
      </c>
    </row>
    <row r="66" spans="1:5" x14ac:dyDescent="0.35">
      <c r="A66" t="s">
        <v>8</v>
      </c>
      <c r="B66">
        <v>5</v>
      </c>
      <c r="C66" s="14">
        <v>39.204999999999998</v>
      </c>
      <c r="D66">
        <f>ROUNDUP(C66/GiaDinh!$C$5-0.0005,0)</f>
        <v>7</v>
      </c>
      <c r="E66">
        <f t="shared" si="1"/>
        <v>6</v>
      </c>
    </row>
    <row r="67" spans="1:5" x14ac:dyDescent="0.35">
      <c r="A67" t="s">
        <v>8</v>
      </c>
      <c r="B67">
        <v>6</v>
      </c>
      <c r="C67" s="14">
        <v>39.204999999999998</v>
      </c>
      <c r="D67">
        <f>ROUNDUP(C67/GiaDinh!$C$5-0.0005,0)</f>
        <v>7</v>
      </c>
      <c r="E67">
        <f t="shared" si="1"/>
        <v>6</v>
      </c>
    </row>
    <row r="68" spans="1:5" x14ac:dyDescent="0.35">
      <c r="A68" t="s">
        <v>8</v>
      </c>
      <c r="B68">
        <v>7</v>
      </c>
      <c r="C68" s="14">
        <v>39.204999999999998</v>
      </c>
      <c r="D68">
        <f>ROUNDUP(C68/GiaDinh!$C$5-0.0005,0)</f>
        <v>7</v>
      </c>
      <c r="E68">
        <f t="shared" ref="E68:E99" si="2">D68-1</f>
        <v>6</v>
      </c>
    </row>
    <row r="69" spans="1:5" x14ac:dyDescent="0.35">
      <c r="A69" t="s">
        <v>8</v>
      </c>
      <c r="B69">
        <v>8</v>
      </c>
      <c r="C69" s="14">
        <v>39.204999999999998</v>
      </c>
      <c r="D69">
        <f>ROUNDUP(C69/GiaDinh!$C$5-0.0005,0)</f>
        <v>7</v>
      </c>
      <c r="E69">
        <f t="shared" si="2"/>
        <v>6</v>
      </c>
    </row>
    <row r="70" spans="1:5" x14ac:dyDescent="0.35">
      <c r="A70" t="s">
        <v>8</v>
      </c>
      <c r="B70">
        <v>9</v>
      </c>
      <c r="C70" s="14">
        <v>39.204999999999998</v>
      </c>
      <c r="D70">
        <f>ROUNDUP(C70/GiaDinh!$C$5-0.0005,0)</f>
        <v>7</v>
      </c>
      <c r="E70">
        <f t="shared" si="2"/>
        <v>6</v>
      </c>
    </row>
    <row r="71" spans="1:5" x14ac:dyDescent="0.35">
      <c r="A71" t="s">
        <v>8</v>
      </c>
      <c r="B71">
        <v>10</v>
      </c>
      <c r="C71" s="14">
        <v>39.204999999999998</v>
      </c>
      <c r="D71">
        <f>ROUNDUP(C71/GiaDinh!$C$5-0.0005,0)</f>
        <v>7</v>
      </c>
      <c r="E71">
        <f t="shared" si="2"/>
        <v>6</v>
      </c>
    </row>
    <row r="72" spans="1:5" x14ac:dyDescent="0.35">
      <c r="A72" t="s">
        <v>8</v>
      </c>
      <c r="B72">
        <v>11</v>
      </c>
      <c r="C72" s="14">
        <v>39.204999999999998</v>
      </c>
      <c r="D72">
        <f>ROUNDUP(C72/GiaDinh!$C$5-0.0005,0)</f>
        <v>7</v>
      </c>
      <c r="E72">
        <f t="shared" si="2"/>
        <v>6</v>
      </c>
    </row>
    <row r="73" spans="1:5" x14ac:dyDescent="0.35">
      <c r="A73" t="s">
        <v>8</v>
      </c>
      <c r="B73">
        <v>12</v>
      </c>
      <c r="C73" s="14">
        <v>39.204999999999998</v>
      </c>
      <c r="D73">
        <f>ROUNDUP(C73/GiaDinh!$C$5-0.0005,0)</f>
        <v>7</v>
      </c>
      <c r="E73">
        <f t="shared" si="2"/>
        <v>6</v>
      </c>
    </row>
    <row r="74" spans="1:5" x14ac:dyDescent="0.35">
      <c r="A74" t="s">
        <v>8</v>
      </c>
      <c r="B74">
        <v>13</v>
      </c>
      <c r="C74" s="14">
        <v>39.204999999999998</v>
      </c>
      <c r="D74">
        <f>ROUNDUP(C74/GiaDinh!$C$5-0.0005,0)</f>
        <v>7</v>
      </c>
      <c r="E74">
        <f t="shared" si="2"/>
        <v>6</v>
      </c>
    </row>
    <row r="75" spans="1:5" x14ac:dyDescent="0.35">
      <c r="A75" t="s">
        <v>8</v>
      </c>
      <c r="B75">
        <v>14</v>
      </c>
      <c r="C75" s="14">
        <v>39.204999999999998</v>
      </c>
      <c r="D75">
        <f>ROUNDUP(C75/GiaDinh!$C$5-0.0005,0)</f>
        <v>7</v>
      </c>
      <c r="E75">
        <f t="shared" si="2"/>
        <v>6</v>
      </c>
    </row>
    <row r="76" spans="1:5" x14ac:dyDescent="0.35">
      <c r="A76" t="s">
        <v>8</v>
      </c>
      <c r="B76">
        <v>15</v>
      </c>
      <c r="C76" s="14">
        <v>39.204999999999998</v>
      </c>
      <c r="D76">
        <f>ROUNDUP(C76/GiaDinh!$C$5-0.0005,0)</f>
        <v>7</v>
      </c>
      <c r="E76">
        <f t="shared" si="2"/>
        <v>6</v>
      </c>
    </row>
    <row r="77" spans="1:5" x14ac:dyDescent="0.35">
      <c r="A77" t="s">
        <v>8</v>
      </c>
      <c r="B77">
        <v>16</v>
      </c>
      <c r="C77" s="14">
        <v>39.204999999999998</v>
      </c>
      <c r="D77">
        <f>ROUNDUP(C77/GiaDinh!$C$5-0.0005,0)</f>
        <v>7</v>
      </c>
      <c r="E77">
        <f t="shared" si="2"/>
        <v>6</v>
      </c>
    </row>
    <row r="78" spans="1:5" x14ac:dyDescent="0.35">
      <c r="A78" t="s">
        <v>8</v>
      </c>
      <c r="B78">
        <v>17</v>
      </c>
      <c r="C78" s="14">
        <v>39.204999999999998</v>
      </c>
      <c r="D78">
        <f>ROUNDUP(C78/GiaDinh!$C$5-0.0005,0)</f>
        <v>7</v>
      </c>
      <c r="E78">
        <f t="shared" si="2"/>
        <v>6</v>
      </c>
    </row>
    <row r="79" spans="1:5" x14ac:dyDescent="0.35">
      <c r="A79" t="s">
        <v>8</v>
      </c>
      <c r="B79">
        <v>18</v>
      </c>
      <c r="C79" s="14">
        <v>39.204999999999998</v>
      </c>
      <c r="D79">
        <f>ROUNDUP(C79/GiaDinh!$C$5-0.0005,0)</f>
        <v>7</v>
      </c>
      <c r="E79">
        <f t="shared" si="2"/>
        <v>6</v>
      </c>
    </row>
    <row r="80" spans="1:5" x14ac:dyDescent="0.35">
      <c r="A80" t="s">
        <v>9</v>
      </c>
      <c r="B80">
        <v>1</v>
      </c>
      <c r="C80" s="14">
        <v>40.292999999999999</v>
      </c>
      <c r="D80">
        <f>ROUNDUP(C80/GiaDinh!$C$5-0.0005,0)</f>
        <v>7</v>
      </c>
      <c r="E80">
        <f t="shared" si="2"/>
        <v>6</v>
      </c>
    </row>
    <row r="81" spans="1:5" x14ac:dyDescent="0.35">
      <c r="A81" t="s">
        <v>9</v>
      </c>
      <c r="B81">
        <v>2</v>
      </c>
      <c r="C81" s="14">
        <v>40.292999999999999</v>
      </c>
      <c r="D81">
        <f>ROUNDUP(C81/GiaDinh!$C$5-0.0005,0)</f>
        <v>7</v>
      </c>
      <c r="E81">
        <f t="shared" si="2"/>
        <v>6</v>
      </c>
    </row>
    <row r="82" spans="1:5" x14ac:dyDescent="0.35">
      <c r="A82" t="s">
        <v>9</v>
      </c>
      <c r="B82">
        <v>3</v>
      </c>
      <c r="C82" s="14">
        <v>40.292999999999999</v>
      </c>
      <c r="D82">
        <f>ROUNDUP(C82/GiaDinh!$C$5-0.0005,0)</f>
        <v>7</v>
      </c>
      <c r="E82">
        <f t="shared" si="2"/>
        <v>6</v>
      </c>
    </row>
    <row r="83" spans="1:5" x14ac:dyDescent="0.35">
      <c r="A83" t="s">
        <v>9</v>
      </c>
      <c r="B83">
        <v>4</v>
      </c>
      <c r="C83" s="14">
        <v>40.292999999999999</v>
      </c>
      <c r="D83">
        <f>ROUNDUP(C83/GiaDinh!$C$5-0.0005,0)</f>
        <v>7</v>
      </c>
      <c r="E83">
        <f t="shared" si="2"/>
        <v>6</v>
      </c>
    </row>
    <row r="84" spans="1:5" x14ac:dyDescent="0.35">
      <c r="A84" t="s">
        <v>9</v>
      </c>
      <c r="B84">
        <v>5</v>
      </c>
      <c r="C84" s="14">
        <v>40.298999999999999</v>
      </c>
      <c r="D84">
        <f>ROUNDUP(C84/GiaDinh!$C$5-0.0005,0)</f>
        <v>7</v>
      </c>
      <c r="E84">
        <f t="shared" si="2"/>
        <v>6</v>
      </c>
    </row>
    <row r="85" spans="1:5" x14ac:dyDescent="0.35">
      <c r="A85" t="s">
        <v>9</v>
      </c>
      <c r="B85">
        <v>6</v>
      </c>
      <c r="C85" s="14">
        <v>40.298999999999999</v>
      </c>
      <c r="D85">
        <f>ROUNDUP(C85/GiaDinh!$C$5-0.0005,0)</f>
        <v>7</v>
      </c>
      <c r="E85">
        <f t="shared" si="2"/>
        <v>6</v>
      </c>
    </row>
    <row r="86" spans="1:5" x14ac:dyDescent="0.35">
      <c r="A86" t="s">
        <v>9</v>
      </c>
      <c r="B86">
        <v>7</v>
      </c>
      <c r="C86" s="14">
        <v>40.298999999999999</v>
      </c>
      <c r="D86">
        <f>ROUNDUP(C86/GiaDinh!$C$5-0.0005,0)</f>
        <v>7</v>
      </c>
      <c r="E86">
        <f t="shared" si="2"/>
        <v>6</v>
      </c>
    </row>
    <row r="87" spans="1:5" x14ac:dyDescent="0.35">
      <c r="A87" t="s">
        <v>9</v>
      </c>
      <c r="B87">
        <v>8</v>
      </c>
      <c r="C87" s="14">
        <v>40.298999999999999</v>
      </c>
      <c r="D87">
        <f>ROUNDUP(C87/GiaDinh!$C$5-0.0005,0)</f>
        <v>7</v>
      </c>
      <c r="E87">
        <f t="shared" si="2"/>
        <v>6</v>
      </c>
    </row>
    <row r="88" spans="1:5" x14ac:dyDescent="0.35">
      <c r="A88" t="s">
        <v>9</v>
      </c>
      <c r="B88">
        <v>9</v>
      </c>
      <c r="C88" s="14">
        <v>40.298999999999999</v>
      </c>
      <c r="D88">
        <f>ROUNDUP(C88/GiaDinh!$C$5-0.0005,0)</f>
        <v>7</v>
      </c>
      <c r="E88">
        <f t="shared" si="2"/>
        <v>6</v>
      </c>
    </row>
    <row r="89" spans="1:5" x14ac:dyDescent="0.35">
      <c r="A89" t="s">
        <v>9</v>
      </c>
      <c r="B89">
        <v>10</v>
      </c>
      <c r="C89" s="14">
        <v>74.316000000000003</v>
      </c>
      <c r="D89">
        <f>ROUNDUP(C89/GiaDinh!$C$5-0.0005,0)</f>
        <v>13</v>
      </c>
      <c r="E89">
        <f t="shared" si="2"/>
        <v>12</v>
      </c>
    </row>
    <row r="90" spans="1:5" x14ac:dyDescent="0.35">
      <c r="A90" t="s">
        <v>9</v>
      </c>
      <c r="B90">
        <v>11</v>
      </c>
      <c r="C90" s="14">
        <v>74.316000000000003</v>
      </c>
      <c r="D90">
        <f>ROUNDUP(C90/GiaDinh!$C$5-0.0005,0)</f>
        <v>13</v>
      </c>
      <c r="E90">
        <f t="shared" si="2"/>
        <v>12</v>
      </c>
    </row>
    <row r="91" spans="1:5" x14ac:dyDescent="0.35">
      <c r="A91" t="s">
        <v>9</v>
      </c>
      <c r="B91">
        <v>12</v>
      </c>
      <c r="C91" s="14">
        <v>74.316000000000003</v>
      </c>
      <c r="D91">
        <f>ROUNDUP(C91/GiaDinh!$C$5-0.0005,0)</f>
        <v>13</v>
      </c>
      <c r="E91">
        <f t="shared" si="2"/>
        <v>12</v>
      </c>
    </row>
    <row r="92" spans="1:5" x14ac:dyDescent="0.35">
      <c r="A92" t="s">
        <v>9</v>
      </c>
      <c r="B92">
        <v>13</v>
      </c>
      <c r="C92" s="14">
        <v>74.319999999999993</v>
      </c>
      <c r="D92">
        <f>ROUNDUP(C92/GiaDinh!$C$5-0.0005,0)</f>
        <v>13</v>
      </c>
      <c r="E92">
        <f t="shared" si="2"/>
        <v>12</v>
      </c>
    </row>
    <row r="93" spans="1:5" x14ac:dyDescent="0.35">
      <c r="A93" t="s">
        <v>9</v>
      </c>
      <c r="B93">
        <v>14</v>
      </c>
      <c r="C93" s="14">
        <v>74.319999999999993</v>
      </c>
      <c r="D93">
        <f>ROUNDUP(C93/GiaDinh!$C$5-0.0005,0)</f>
        <v>13</v>
      </c>
      <c r="E93">
        <f t="shared" si="2"/>
        <v>12</v>
      </c>
    </row>
    <row r="94" spans="1:5" x14ac:dyDescent="0.35">
      <c r="A94" t="s">
        <v>9</v>
      </c>
      <c r="B94">
        <v>15</v>
      </c>
      <c r="C94" s="14">
        <v>74.319999999999993</v>
      </c>
      <c r="D94">
        <f>ROUNDUP(C94/GiaDinh!$C$5-0.0005,0)</f>
        <v>13</v>
      </c>
      <c r="E94">
        <f t="shared" si="2"/>
        <v>12</v>
      </c>
    </row>
    <row r="95" spans="1:5" x14ac:dyDescent="0.35">
      <c r="A95" t="s">
        <v>9</v>
      </c>
      <c r="B95">
        <v>16</v>
      </c>
      <c r="C95" s="14">
        <v>74.319999999999993</v>
      </c>
      <c r="D95">
        <f>ROUNDUP(C95/GiaDinh!$C$5-0.0005,0)</f>
        <v>13</v>
      </c>
      <c r="E95">
        <f t="shared" si="2"/>
        <v>12</v>
      </c>
    </row>
    <row r="96" spans="1:5" x14ac:dyDescent="0.35">
      <c r="A96" t="s">
        <v>9</v>
      </c>
      <c r="B96">
        <v>17</v>
      </c>
      <c r="C96" s="14">
        <v>74.319999999999993</v>
      </c>
      <c r="D96">
        <f>ROUNDUP(C96/GiaDinh!$C$5-0.0005,0)</f>
        <v>13</v>
      </c>
      <c r="E96">
        <f t="shared" si="2"/>
        <v>12</v>
      </c>
    </row>
    <row r="97" spans="1:5" x14ac:dyDescent="0.35">
      <c r="A97" t="s">
        <v>9</v>
      </c>
      <c r="B97">
        <v>18</v>
      </c>
      <c r="C97" s="14">
        <v>74.319999999999993</v>
      </c>
      <c r="D97">
        <f>ROUNDUP(C97/GiaDinh!$C$5-0.0005,0)</f>
        <v>13</v>
      </c>
      <c r="E97">
        <f t="shared" si="2"/>
        <v>12</v>
      </c>
    </row>
    <row r="98" spans="1:5" x14ac:dyDescent="0.35">
      <c r="A98" t="s">
        <v>9</v>
      </c>
      <c r="B98">
        <v>19</v>
      </c>
      <c r="C98" s="14">
        <v>74.319999999999993</v>
      </c>
      <c r="D98">
        <f>ROUNDUP(C98/GiaDinh!$C$5-0.0005,0)</f>
        <v>13</v>
      </c>
      <c r="E98">
        <f t="shared" si="2"/>
        <v>12</v>
      </c>
    </row>
    <row r="99" spans="1:5" x14ac:dyDescent="0.35">
      <c r="A99" t="s">
        <v>9</v>
      </c>
      <c r="B99">
        <v>20</v>
      </c>
      <c r="C99" s="14">
        <v>74.319999999999993</v>
      </c>
      <c r="D99">
        <f>ROUNDUP(C99/GiaDinh!$C$5-0.0005,0)</f>
        <v>13</v>
      </c>
      <c r="E99">
        <f t="shared" si="2"/>
        <v>12</v>
      </c>
    </row>
    <row r="100" spans="1:5" x14ac:dyDescent="0.35">
      <c r="A100" t="s">
        <v>9</v>
      </c>
      <c r="B100">
        <v>21</v>
      </c>
      <c r="C100" s="14">
        <v>74.319999999999993</v>
      </c>
      <c r="D100">
        <f>ROUNDUP(C100/GiaDinh!$C$5-0.0005,0)</f>
        <v>13</v>
      </c>
      <c r="E100">
        <f t="shared" ref="E100:E131" si="3">D100-1</f>
        <v>12</v>
      </c>
    </row>
    <row r="101" spans="1:5" x14ac:dyDescent="0.35">
      <c r="A101" t="s">
        <v>9</v>
      </c>
      <c r="B101">
        <v>22</v>
      </c>
      <c r="C101" s="14">
        <v>74.319999999999993</v>
      </c>
      <c r="D101">
        <f>ROUNDUP(C101/GiaDinh!$C$5-0.0005,0)</f>
        <v>13</v>
      </c>
      <c r="E101">
        <f t="shared" si="3"/>
        <v>12</v>
      </c>
    </row>
    <row r="102" spans="1:5" x14ac:dyDescent="0.35">
      <c r="A102" t="s">
        <v>9</v>
      </c>
      <c r="B102">
        <v>23</v>
      </c>
      <c r="C102" s="14">
        <v>74.319999999999993</v>
      </c>
      <c r="D102">
        <f>ROUNDUP(C102/GiaDinh!$C$5-0.0005,0)</f>
        <v>13</v>
      </c>
      <c r="E102">
        <f t="shared" si="3"/>
        <v>12</v>
      </c>
    </row>
    <row r="103" spans="1:5" x14ac:dyDescent="0.35">
      <c r="A103" t="s">
        <v>9</v>
      </c>
      <c r="B103">
        <v>24</v>
      </c>
      <c r="C103" s="14">
        <v>74.319999999999993</v>
      </c>
      <c r="D103">
        <f>ROUNDUP(C103/GiaDinh!$C$5-0.0005,0)</f>
        <v>13</v>
      </c>
      <c r="E103">
        <f t="shared" si="3"/>
        <v>12</v>
      </c>
    </row>
    <row r="104" spans="1:5" x14ac:dyDescent="0.35">
      <c r="A104" t="s">
        <v>9</v>
      </c>
      <c r="B104">
        <v>25</v>
      </c>
      <c r="C104" s="14">
        <v>74.319999999999993</v>
      </c>
      <c r="D104">
        <f>ROUNDUP(C104/GiaDinh!$C$5-0.0005,0)</f>
        <v>13</v>
      </c>
      <c r="E104">
        <f t="shared" si="3"/>
        <v>12</v>
      </c>
    </row>
    <row r="105" spans="1:5" x14ac:dyDescent="0.35">
      <c r="A105" t="s">
        <v>9</v>
      </c>
      <c r="B105">
        <v>26</v>
      </c>
      <c r="C105" s="14">
        <v>74.319999999999993</v>
      </c>
      <c r="D105">
        <f>ROUNDUP(C105/GiaDinh!$C$5-0.0005,0)</f>
        <v>13</v>
      </c>
      <c r="E105">
        <f t="shared" si="3"/>
        <v>12</v>
      </c>
    </row>
    <row r="106" spans="1:5" x14ac:dyDescent="0.35">
      <c r="A106" t="s">
        <v>9</v>
      </c>
      <c r="B106">
        <v>27</v>
      </c>
      <c r="C106" s="14">
        <v>74.319999999999993</v>
      </c>
      <c r="D106">
        <f>ROUNDUP(C106/GiaDinh!$C$5-0.0005,0)</f>
        <v>13</v>
      </c>
      <c r="E106">
        <f t="shared" si="3"/>
        <v>12</v>
      </c>
    </row>
    <row r="107" spans="1:5" x14ac:dyDescent="0.35">
      <c r="A107" t="s">
        <v>9</v>
      </c>
      <c r="B107">
        <v>28</v>
      </c>
      <c r="C107" s="14">
        <v>74.319999999999993</v>
      </c>
      <c r="D107">
        <f>ROUNDUP(C107/GiaDinh!$C$5-0.0005,0)</f>
        <v>13</v>
      </c>
      <c r="E107">
        <f t="shared" si="3"/>
        <v>12</v>
      </c>
    </row>
    <row r="108" spans="1:5" x14ac:dyDescent="0.35">
      <c r="A108" t="s">
        <v>9</v>
      </c>
      <c r="B108">
        <v>29</v>
      </c>
      <c r="C108" s="14">
        <v>74.319999999999993</v>
      </c>
      <c r="D108">
        <f>ROUNDUP(C108/GiaDinh!$C$5-0.0005,0)</f>
        <v>13</v>
      </c>
      <c r="E108">
        <f t="shared" si="3"/>
        <v>12</v>
      </c>
    </row>
    <row r="109" spans="1:5" x14ac:dyDescent="0.35">
      <c r="A109" t="s">
        <v>9</v>
      </c>
      <c r="B109">
        <v>30</v>
      </c>
      <c r="C109" s="14">
        <v>74.319999999999993</v>
      </c>
      <c r="D109">
        <f>ROUNDUP(C109/GiaDinh!$C$5-0.0005,0)</f>
        <v>13</v>
      </c>
      <c r="E109">
        <f t="shared" si="3"/>
        <v>12</v>
      </c>
    </row>
    <row r="110" spans="1:5" x14ac:dyDescent="0.35">
      <c r="A110" t="s">
        <v>9</v>
      </c>
      <c r="B110">
        <v>31</v>
      </c>
      <c r="C110" s="14">
        <v>74.319999999999993</v>
      </c>
      <c r="D110">
        <f>ROUNDUP(C110/GiaDinh!$C$5-0.0005,0)</f>
        <v>13</v>
      </c>
      <c r="E110">
        <f t="shared" si="3"/>
        <v>12</v>
      </c>
    </row>
    <row r="111" spans="1:5" x14ac:dyDescent="0.35">
      <c r="A111" t="s">
        <v>9</v>
      </c>
      <c r="B111">
        <v>32</v>
      </c>
      <c r="C111" s="14">
        <v>74.319999999999993</v>
      </c>
      <c r="D111">
        <f>ROUNDUP(C111/GiaDinh!$C$5-0.0005,0)</f>
        <v>13</v>
      </c>
      <c r="E111">
        <f t="shared" si="3"/>
        <v>12</v>
      </c>
    </row>
    <row r="112" spans="1:5" x14ac:dyDescent="0.35">
      <c r="A112" t="s">
        <v>10</v>
      </c>
      <c r="B112">
        <v>1</v>
      </c>
      <c r="C112" s="14">
        <v>76.838999999999999</v>
      </c>
      <c r="D112">
        <f>ROUNDUP(C112/GiaDinh!$C$5-0.0005,0)</f>
        <v>13</v>
      </c>
      <c r="E112">
        <f t="shared" si="3"/>
        <v>12</v>
      </c>
    </row>
    <row r="113" spans="1:5" x14ac:dyDescent="0.35">
      <c r="A113" t="s">
        <v>10</v>
      </c>
      <c r="B113">
        <v>2</v>
      </c>
      <c r="C113" s="14">
        <v>76.838999999999999</v>
      </c>
      <c r="D113">
        <f>ROUNDUP(C113/GiaDinh!$C$5-0.0005,0)</f>
        <v>13</v>
      </c>
      <c r="E113">
        <f t="shared" si="3"/>
        <v>12</v>
      </c>
    </row>
    <row r="114" spans="1:5" x14ac:dyDescent="0.35">
      <c r="A114" t="s">
        <v>10</v>
      </c>
      <c r="B114">
        <v>3</v>
      </c>
      <c r="C114" s="14">
        <v>76.838999999999999</v>
      </c>
      <c r="D114">
        <f>ROUNDUP(C114/GiaDinh!$C$5-0.0005,0)</f>
        <v>13</v>
      </c>
      <c r="E114">
        <f t="shared" si="3"/>
        <v>12</v>
      </c>
    </row>
    <row r="115" spans="1:5" x14ac:dyDescent="0.35">
      <c r="A115" t="s">
        <v>10</v>
      </c>
      <c r="B115">
        <v>4</v>
      </c>
      <c r="C115" s="14">
        <v>76.838999999999999</v>
      </c>
      <c r="D115">
        <f>ROUNDUP(C115/GiaDinh!$C$5-0.0005,0)</f>
        <v>13</v>
      </c>
      <c r="E115">
        <f t="shared" si="3"/>
        <v>12</v>
      </c>
    </row>
    <row r="116" spans="1:5" x14ac:dyDescent="0.35">
      <c r="A116" t="s">
        <v>10</v>
      </c>
      <c r="B116">
        <v>5</v>
      </c>
      <c r="C116" s="14">
        <v>76.838999999999999</v>
      </c>
      <c r="D116">
        <f>ROUNDUP(C116/GiaDinh!$C$5-0.0005,0)</f>
        <v>13</v>
      </c>
      <c r="E116">
        <f t="shared" si="3"/>
        <v>12</v>
      </c>
    </row>
    <row r="117" spans="1:5" x14ac:dyDescent="0.35">
      <c r="A117" t="s">
        <v>10</v>
      </c>
      <c r="B117">
        <v>6</v>
      </c>
      <c r="C117" s="14">
        <v>76.838999999999999</v>
      </c>
      <c r="D117">
        <f>ROUNDUP(C117/GiaDinh!$C$5-0.0005,0)</f>
        <v>13</v>
      </c>
      <c r="E117">
        <f t="shared" si="3"/>
        <v>12</v>
      </c>
    </row>
    <row r="118" spans="1:5" x14ac:dyDescent="0.35">
      <c r="A118" t="s">
        <v>10</v>
      </c>
      <c r="B118">
        <v>7</v>
      </c>
      <c r="C118" s="14">
        <v>76.838999999999999</v>
      </c>
      <c r="D118">
        <f>ROUNDUP(C118/GiaDinh!$C$5-0.0005,0)</f>
        <v>13</v>
      </c>
      <c r="E118">
        <f t="shared" si="3"/>
        <v>12</v>
      </c>
    </row>
    <row r="119" spans="1:5" x14ac:dyDescent="0.35">
      <c r="A119" t="s">
        <v>10</v>
      </c>
      <c r="B119">
        <v>8</v>
      </c>
      <c r="C119" s="14">
        <v>76.838999999999999</v>
      </c>
      <c r="D119">
        <f>ROUNDUP(C119/GiaDinh!$C$5-0.0005,0)</f>
        <v>13</v>
      </c>
      <c r="E119">
        <f t="shared" si="3"/>
        <v>12</v>
      </c>
    </row>
    <row r="120" spans="1:5" x14ac:dyDescent="0.35">
      <c r="A120" t="s">
        <v>10</v>
      </c>
      <c r="B120">
        <v>9</v>
      </c>
      <c r="C120" s="14">
        <v>111.95399999999999</v>
      </c>
      <c r="D120">
        <f>ROUNDUP(C120/GiaDinh!$C$5-0.0005,0)</f>
        <v>19</v>
      </c>
      <c r="E120">
        <f t="shared" si="3"/>
        <v>18</v>
      </c>
    </row>
    <row r="121" spans="1:5" x14ac:dyDescent="0.35">
      <c r="A121" t="s">
        <v>10</v>
      </c>
      <c r="B121">
        <v>10</v>
      </c>
      <c r="C121" s="14">
        <v>111.95399999999999</v>
      </c>
      <c r="D121">
        <f>ROUNDUP(C121/GiaDinh!$C$5-0.0005,0)</f>
        <v>19</v>
      </c>
      <c r="E121">
        <f t="shared" si="3"/>
        <v>18</v>
      </c>
    </row>
    <row r="122" spans="1:5" x14ac:dyDescent="0.35">
      <c r="A122" t="s">
        <v>10</v>
      </c>
      <c r="B122">
        <v>11</v>
      </c>
      <c r="C122" s="14">
        <v>111.95399999999999</v>
      </c>
      <c r="D122">
        <f>ROUNDUP(C122/GiaDinh!$C$5-0.0005,0)</f>
        <v>19</v>
      </c>
      <c r="E122">
        <f t="shared" si="3"/>
        <v>18</v>
      </c>
    </row>
    <row r="123" spans="1:5" x14ac:dyDescent="0.35">
      <c r="A123" t="s">
        <v>10</v>
      </c>
      <c r="B123">
        <v>12</v>
      </c>
      <c r="C123" s="14">
        <v>111.95399999999999</v>
      </c>
      <c r="D123">
        <f>ROUNDUP(C123/GiaDinh!$C$5-0.0005,0)</f>
        <v>19</v>
      </c>
      <c r="E123">
        <f t="shared" si="3"/>
        <v>18</v>
      </c>
    </row>
    <row r="124" spans="1:5" x14ac:dyDescent="0.35">
      <c r="A124" t="s">
        <v>10</v>
      </c>
      <c r="B124">
        <v>13</v>
      </c>
      <c r="C124" s="14">
        <v>111.95399999999999</v>
      </c>
      <c r="D124">
        <f>ROUNDUP(C124/GiaDinh!$C$5-0.0005,0)</f>
        <v>19</v>
      </c>
      <c r="E124">
        <f t="shared" si="3"/>
        <v>18</v>
      </c>
    </row>
    <row r="125" spans="1:5" x14ac:dyDescent="0.35">
      <c r="A125" t="s">
        <v>10</v>
      </c>
      <c r="B125">
        <v>14</v>
      </c>
      <c r="C125" s="14">
        <v>111.95399999999999</v>
      </c>
      <c r="D125">
        <f>ROUNDUP(C125/GiaDinh!$C$5-0.0005,0)</f>
        <v>19</v>
      </c>
      <c r="E125">
        <f t="shared" si="3"/>
        <v>18</v>
      </c>
    </row>
    <row r="126" spans="1:5" x14ac:dyDescent="0.35">
      <c r="A126" t="s">
        <v>10</v>
      </c>
      <c r="B126">
        <v>15</v>
      </c>
      <c r="C126" s="14">
        <v>111.95399999999999</v>
      </c>
      <c r="D126">
        <f>ROUNDUP(C126/GiaDinh!$C$5-0.0005,0)</f>
        <v>19</v>
      </c>
      <c r="E126">
        <f t="shared" si="3"/>
        <v>18</v>
      </c>
    </row>
    <row r="127" spans="1:5" x14ac:dyDescent="0.35">
      <c r="A127" t="s">
        <v>10</v>
      </c>
      <c r="B127">
        <v>16</v>
      </c>
      <c r="C127" s="14">
        <v>111.95399999999999</v>
      </c>
      <c r="D127">
        <f>ROUNDUP(C127/GiaDinh!$C$5-0.0005,0)</f>
        <v>19</v>
      </c>
      <c r="E127">
        <f t="shared" si="3"/>
        <v>18</v>
      </c>
    </row>
    <row r="128" spans="1:5" x14ac:dyDescent="0.35">
      <c r="A128" t="s">
        <v>10</v>
      </c>
      <c r="B128">
        <v>17</v>
      </c>
      <c r="C128" s="14">
        <v>111.95399999999999</v>
      </c>
      <c r="D128">
        <f>ROUNDUP(C128/GiaDinh!$C$5-0.0005,0)</f>
        <v>19</v>
      </c>
      <c r="E128">
        <f t="shared" si="3"/>
        <v>18</v>
      </c>
    </row>
    <row r="129" spans="1:5" x14ac:dyDescent="0.35">
      <c r="A129" t="s">
        <v>10</v>
      </c>
      <c r="B129">
        <v>18</v>
      </c>
      <c r="C129" s="14">
        <v>111.964</v>
      </c>
      <c r="D129">
        <f>ROUNDUP(C129/GiaDinh!$C$5-0.0005,0)</f>
        <v>19</v>
      </c>
      <c r="E129">
        <f t="shared" si="3"/>
        <v>18</v>
      </c>
    </row>
    <row r="130" spans="1:5" x14ac:dyDescent="0.35">
      <c r="A130" t="s">
        <v>10</v>
      </c>
      <c r="B130">
        <v>19</v>
      </c>
      <c r="C130" s="14">
        <v>111.964</v>
      </c>
      <c r="D130">
        <f>ROUNDUP(C130/GiaDinh!$C$5-0.0005,0)</f>
        <v>19</v>
      </c>
      <c r="E130">
        <f t="shared" si="3"/>
        <v>18</v>
      </c>
    </row>
    <row r="131" spans="1:5" x14ac:dyDescent="0.35">
      <c r="A131" t="s">
        <v>10</v>
      </c>
      <c r="B131">
        <v>20</v>
      </c>
      <c r="C131" s="14">
        <v>111.964</v>
      </c>
      <c r="D131">
        <f>ROUNDUP(C131/GiaDinh!$C$5-0.0005,0)</f>
        <v>19</v>
      </c>
      <c r="E131">
        <f t="shared" si="3"/>
        <v>18</v>
      </c>
    </row>
    <row r="132" spans="1:5" x14ac:dyDescent="0.35">
      <c r="A132" t="s">
        <v>10</v>
      </c>
      <c r="B132">
        <v>21</v>
      </c>
      <c r="C132" s="14">
        <v>111.964</v>
      </c>
      <c r="D132">
        <f>ROUNDUP(C132/GiaDinh!$C$5-0.0005,0)</f>
        <v>19</v>
      </c>
      <c r="E132">
        <f t="shared" ref="E132:E163" si="4">D132-1</f>
        <v>18</v>
      </c>
    </row>
    <row r="133" spans="1:5" x14ac:dyDescent="0.35">
      <c r="A133" t="s">
        <v>10</v>
      </c>
      <c r="B133">
        <v>22</v>
      </c>
      <c r="C133" s="14">
        <v>111.964</v>
      </c>
      <c r="D133">
        <f>ROUNDUP(C133/GiaDinh!$C$5-0.0005,0)</f>
        <v>19</v>
      </c>
      <c r="E133">
        <f t="shared" si="4"/>
        <v>18</v>
      </c>
    </row>
    <row r="134" spans="1:5" x14ac:dyDescent="0.35">
      <c r="A134" t="s">
        <v>10</v>
      </c>
      <c r="B134">
        <v>23</v>
      </c>
      <c r="C134" s="14">
        <v>111.964</v>
      </c>
      <c r="D134">
        <f>ROUNDUP(C134/GiaDinh!$C$5-0.0005,0)</f>
        <v>19</v>
      </c>
      <c r="E134">
        <f t="shared" si="4"/>
        <v>18</v>
      </c>
    </row>
    <row r="135" spans="1:5" x14ac:dyDescent="0.35">
      <c r="A135" t="s">
        <v>10</v>
      </c>
      <c r="B135">
        <v>24</v>
      </c>
      <c r="C135" s="14">
        <v>111.964</v>
      </c>
      <c r="D135">
        <f>ROUNDUP(C135/GiaDinh!$C$5-0.0005,0)</f>
        <v>19</v>
      </c>
      <c r="E135">
        <f t="shared" si="4"/>
        <v>18</v>
      </c>
    </row>
    <row r="136" spans="1:5" x14ac:dyDescent="0.35">
      <c r="A136" t="s">
        <v>10</v>
      </c>
      <c r="B136">
        <v>25</v>
      </c>
      <c r="C136" s="14">
        <v>111.964</v>
      </c>
      <c r="D136">
        <f>ROUNDUP(C136/GiaDinh!$C$5-0.0005,0)</f>
        <v>19</v>
      </c>
      <c r="E136">
        <f t="shared" si="4"/>
        <v>18</v>
      </c>
    </row>
    <row r="137" spans="1:5" x14ac:dyDescent="0.35">
      <c r="A137" t="s">
        <v>10</v>
      </c>
      <c r="B137">
        <v>26</v>
      </c>
      <c r="C137" s="14">
        <v>111.964</v>
      </c>
      <c r="D137">
        <f>ROUNDUP(C137/GiaDinh!$C$5-0.0005,0)</f>
        <v>19</v>
      </c>
      <c r="E137">
        <f t="shared" si="4"/>
        <v>18</v>
      </c>
    </row>
    <row r="138" spans="1:5" x14ac:dyDescent="0.35">
      <c r="A138" t="s">
        <v>10</v>
      </c>
      <c r="B138">
        <v>27</v>
      </c>
      <c r="C138" s="14">
        <v>111.964</v>
      </c>
      <c r="D138">
        <f>ROUNDUP(C138/GiaDinh!$C$5-0.0005,0)</f>
        <v>19</v>
      </c>
      <c r="E138">
        <f t="shared" si="4"/>
        <v>18</v>
      </c>
    </row>
    <row r="139" spans="1:5" x14ac:dyDescent="0.35">
      <c r="A139" t="s">
        <v>11</v>
      </c>
      <c r="B139">
        <v>1</v>
      </c>
      <c r="C139" s="14">
        <v>92.525000000000006</v>
      </c>
      <c r="D139">
        <f>ROUNDUP(C139/GiaDinh!$C$5-0.0005,0)</f>
        <v>16</v>
      </c>
      <c r="E139">
        <f t="shared" si="4"/>
        <v>15</v>
      </c>
    </row>
    <row r="140" spans="1:5" x14ac:dyDescent="0.35">
      <c r="A140" t="s">
        <v>11</v>
      </c>
      <c r="B140">
        <v>2</v>
      </c>
      <c r="C140" s="14">
        <v>220.066</v>
      </c>
      <c r="D140">
        <f>ROUNDUP(C140/GiaDinh!$C$5-0.0005,0)</f>
        <v>37</v>
      </c>
      <c r="E140">
        <f t="shared" si="4"/>
        <v>36</v>
      </c>
    </row>
    <row r="141" spans="1:5" x14ac:dyDescent="0.35">
      <c r="A141" t="s">
        <v>11</v>
      </c>
      <c r="B141">
        <v>3</v>
      </c>
      <c r="C141" s="14">
        <v>220.066</v>
      </c>
      <c r="D141">
        <f>ROUNDUP(C141/GiaDinh!$C$5-0.0005,0)</f>
        <v>37</v>
      </c>
      <c r="E141">
        <f t="shared" si="4"/>
        <v>36</v>
      </c>
    </row>
    <row r="142" spans="1:5" x14ac:dyDescent="0.35">
      <c r="A142" t="s">
        <v>11</v>
      </c>
      <c r="B142">
        <v>4</v>
      </c>
      <c r="C142" s="14">
        <v>220.066</v>
      </c>
      <c r="D142">
        <f>ROUNDUP(C142/GiaDinh!$C$5-0.0005,0)</f>
        <v>37</v>
      </c>
      <c r="E142">
        <f t="shared" si="4"/>
        <v>36</v>
      </c>
    </row>
    <row r="143" spans="1:5" x14ac:dyDescent="0.35">
      <c r="A143" t="s">
        <v>11</v>
      </c>
      <c r="B143">
        <v>5</v>
      </c>
      <c r="C143" s="14">
        <v>291.78199999999998</v>
      </c>
      <c r="D143">
        <f>ROUNDUP(C143/GiaDinh!$C$5-0.0005,0)</f>
        <v>49</v>
      </c>
      <c r="E143">
        <f t="shared" si="4"/>
        <v>48</v>
      </c>
    </row>
    <row r="144" spans="1:5" x14ac:dyDescent="0.35">
      <c r="A144" t="s">
        <v>11</v>
      </c>
      <c r="B144">
        <v>6</v>
      </c>
      <c r="C144" s="14">
        <v>291.78199999999998</v>
      </c>
      <c r="D144">
        <f>ROUNDUP(C144/GiaDinh!$C$5-0.0005,0)</f>
        <v>49</v>
      </c>
      <c r="E144">
        <f t="shared" si="4"/>
        <v>48</v>
      </c>
    </row>
    <row r="145" spans="1:5" x14ac:dyDescent="0.35">
      <c r="A145" t="s">
        <v>11</v>
      </c>
      <c r="B145">
        <v>7</v>
      </c>
      <c r="C145" s="14">
        <v>291.78199999999998</v>
      </c>
      <c r="D145">
        <f>ROUNDUP(C145/GiaDinh!$C$5-0.0005,0)</f>
        <v>49</v>
      </c>
      <c r="E145">
        <f t="shared" si="4"/>
        <v>48</v>
      </c>
    </row>
    <row r="146" spans="1:5" x14ac:dyDescent="0.35">
      <c r="A146" t="s">
        <v>11</v>
      </c>
      <c r="B146">
        <v>8</v>
      </c>
      <c r="C146" s="14">
        <v>291.78199999999998</v>
      </c>
      <c r="D146">
        <f>ROUNDUP(C146/GiaDinh!$C$5-0.0005,0)</f>
        <v>49</v>
      </c>
      <c r="E146">
        <f t="shared" si="4"/>
        <v>48</v>
      </c>
    </row>
    <row r="147" spans="1:5" x14ac:dyDescent="0.35">
      <c r="A147" t="s">
        <v>11</v>
      </c>
      <c r="B147">
        <v>9</v>
      </c>
      <c r="C147" s="14">
        <v>291.78199999999998</v>
      </c>
      <c r="D147">
        <f>ROUNDUP(C147/GiaDinh!$C$5-0.0005,0)</f>
        <v>49</v>
      </c>
      <c r="E147">
        <f t="shared" si="4"/>
        <v>48</v>
      </c>
    </row>
    <row r="148" spans="1:5" x14ac:dyDescent="0.35">
      <c r="A148" t="s">
        <v>11</v>
      </c>
      <c r="B148">
        <v>10</v>
      </c>
      <c r="C148" s="14">
        <v>291.78199999999998</v>
      </c>
      <c r="D148">
        <f>ROUNDUP(C148/GiaDinh!$C$5-0.0005,0)</f>
        <v>49</v>
      </c>
      <c r="E148">
        <f t="shared" si="4"/>
        <v>48</v>
      </c>
    </row>
    <row r="149" spans="1:5" x14ac:dyDescent="0.35">
      <c r="A149" t="s">
        <v>11</v>
      </c>
      <c r="B149">
        <v>11</v>
      </c>
      <c r="C149" s="14">
        <v>291.78199999999998</v>
      </c>
      <c r="D149">
        <f>ROUNDUP(C149/GiaDinh!$C$5-0.0005,0)</f>
        <v>49</v>
      </c>
      <c r="E149">
        <f t="shared" si="4"/>
        <v>48</v>
      </c>
    </row>
    <row r="150" spans="1:5" x14ac:dyDescent="0.35">
      <c r="A150" t="s">
        <v>11</v>
      </c>
      <c r="B150">
        <v>12</v>
      </c>
      <c r="C150" s="14">
        <v>291.78199999999998</v>
      </c>
      <c r="D150">
        <f>ROUNDUP(C150/GiaDinh!$C$5-0.0005,0)</f>
        <v>49</v>
      </c>
      <c r="E150">
        <f t="shared" si="4"/>
        <v>48</v>
      </c>
    </row>
    <row r="151" spans="1:5" x14ac:dyDescent="0.35">
      <c r="A151" t="s">
        <v>11</v>
      </c>
      <c r="B151">
        <v>13</v>
      </c>
      <c r="C151" s="14">
        <v>291.78199999999998</v>
      </c>
      <c r="D151">
        <f>ROUNDUP(C151/GiaDinh!$C$5-0.0005,0)</f>
        <v>49</v>
      </c>
      <c r="E151">
        <f t="shared" si="4"/>
        <v>48</v>
      </c>
    </row>
    <row r="152" spans="1:5" x14ac:dyDescent="0.35">
      <c r="A152" t="s">
        <v>11</v>
      </c>
      <c r="B152">
        <v>14</v>
      </c>
      <c r="C152" s="14">
        <v>291.78199999999998</v>
      </c>
      <c r="D152">
        <f>ROUNDUP(C152/GiaDinh!$C$5-0.0005,0)</f>
        <v>49</v>
      </c>
      <c r="E152">
        <f t="shared" si="4"/>
        <v>48</v>
      </c>
    </row>
    <row r="153" spans="1:5" x14ac:dyDescent="0.35">
      <c r="A153" t="s">
        <v>11</v>
      </c>
      <c r="B153">
        <v>15</v>
      </c>
      <c r="C153" s="14">
        <v>291.78199999999998</v>
      </c>
      <c r="D153">
        <f>ROUNDUP(C153/GiaDinh!$C$5-0.0005,0)</f>
        <v>49</v>
      </c>
      <c r="E153">
        <f t="shared" si="4"/>
        <v>48</v>
      </c>
    </row>
    <row r="154" spans="1:5" x14ac:dyDescent="0.35">
      <c r="A154" t="s">
        <v>11</v>
      </c>
      <c r="B154">
        <v>16</v>
      </c>
      <c r="C154" s="14">
        <v>291.78199999999998</v>
      </c>
      <c r="D154">
        <f>ROUNDUP(C154/GiaDinh!$C$5-0.0005,0)</f>
        <v>49</v>
      </c>
      <c r="E154">
        <f t="shared" si="4"/>
        <v>48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workbookViewId="0"/>
  </sheetViews>
  <sheetFormatPr defaultRowHeight="14.5" x14ac:dyDescent="0.35"/>
  <cols>
    <col min="1" max="1" width="8" customWidth="1"/>
    <col min="2" max="2" width="12" customWidth="1"/>
    <col min="3" max="4" width="11" customWidth="1"/>
    <col min="5" max="5" width="8" customWidth="1"/>
    <col min="6" max="7" width="14" customWidth="1"/>
    <col min="8" max="8" width="10" customWidth="1"/>
    <col min="9" max="9" width="40" customWidth="1"/>
  </cols>
  <sheetData>
    <row r="1" spans="1:9" ht="15.5" x14ac:dyDescent="0.35">
      <c r="A1" s="10" t="s">
        <v>809</v>
      </c>
    </row>
    <row r="3" spans="1:9" ht="31" x14ac:dyDescent="0.35">
      <c r="A3" s="2" t="s">
        <v>154</v>
      </c>
      <c r="B3" s="2" t="s">
        <v>3</v>
      </c>
      <c r="C3" s="2" t="s">
        <v>810</v>
      </c>
      <c r="D3" s="2" t="s">
        <v>811</v>
      </c>
      <c r="E3" s="2" t="s">
        <v>812</v>
      </c>
      <c r="F3" s="2" t="s">
        <v>813</v>
      </c>
      <c r="G3" s="2" t="s">
        <v>814</v>
      </c>
      <c r="H3" s="2" t="s">
        <v>815</v>
      </c>
      <c r="I3" s="2" t="s">
        <v>816</v>
      </c>
    </row>
    <row r="4" spans="1:9" ht="15.5" x14ac:dyDescent="0.35">
      <c r="A4" s="7" t="s">
        <v>6</v>
      </c>
      <c r="B4" s="7" t="s">
        <v>817</v>
      </c>
      <c r="C4" s="7">
        <f>DuLieuBanVe!C18</f>
        <v>100</v>
      </c>
      <c r="D4" s="7">
        <f>DuLieuBanVe!C14</f>
        <v>100</v>
      </c>
      <c r="E4" s="7">
        <f t="shared" ref="E4:E15" si="0">D4-C4</f>
        <v>0</v>
      </c>
      <c r="F4" s="9">
        <f>DuLieuBanVe!C19</f>
        <v>12652.9</v>
      </c>
      <c r="G4" s="9">
        <f>DuLieuBanVe!C15</f>
        <v>12652.92</v>
      </c>
      <c r="H4" s="9">
        <f t="shared" ref="H4:H15" si="1">G4-F4</f>
        <v>2.0000000000436557E-2</v>
      </c>
      <c r="I4" s="7" t="str">
        <f t="shared" ref="I4:I15" si="2">IF(AND(E4=0,ABS(H4)&lt;=0.05),"KHỚP",IF(AND(E4=0,ABS(H4)&lt;=0.01*F4),"KHỚP (lệch nhỏ)","KHÔNG KHỚP bảng tờ — lấy theo bản vẽ CAD"))</f>
        <v>KHỚP</v>
      </c>
    </row>
    <row r="5" spans="1:9" ht="15.5" x14ac:dyDescent="0.35">
      <c r="A5" s="7" t="s">
        <v>6</v>
      </c>
      <c r="B5" s="7" t="s">
        <v>818</v>
      </c>
      <c r="C5" s="7">
        <f>DuLieuBanVe!C20</f>
        <v>38</v>
      </c>
      <c r="D5" s="7">
        <f>DuLieuBanVe!C16</f>
        <v>38</v>
      </c>
      <c r="E5" s="7">
        <f t="shared" si="0"/>
        <v>0</v>
      </c>
      <c r="F5" s="9">
        <f>DuLieuBanVe!C21</f>
        <v>2986.38</v>
      </c>
      <c r="G5" s="9">
        <f>DuLieuBanVe!C17</f>
        <v>2986.38</v>
      </c>
      <c r="H5" s="9">
        <f t="shared" si="1"/>
        <v>0</v>
      </c>
      <c r="I5" s="7" t="str">
        <f t="shared" si="2"/>
        <v>KHỚP</v>
      </c>
    </row>
    <row r="6" spans="1:9" ht="15.5" x14ac:dyDescent="0.35">
      <c r="A6" s="7" t="s">
        <v>7</v>
      </c>
      <c r="B6" s="7" t="s">
        <v>817</v>
      </c>
      <c r="C6" s="7">
        <f>DuLieuBanVe!D18</f>
        <v>244</v>
      </c>
      <c r="D6" s="7">
        <f>DuLieuBanVe!D14</f>
        <v>244</v>
      </c>
      <c r="E6" s="7">
        <f t="shared" si="0"/>
        <v>0</v>
      </c>
      <c r="F6" s="9">
        <f>DuLieuBanVe!D19</f>
        <v>17906.84</v>
      </c>
      <c r="G6" s="9">
        <f>DuLieuBanVe!D15</f>
        <v>17906.830000000002</v>
      </c>
      <c r="H6" s="9">
        <f t="shared" si="1"/>
        <v>-9.9999999983992893E-3</v>
      </c>
      <c r="I6" s="7" t="str">
        <f t="shared" si="2"/>
        <v>KHỚP</v>
      </c>
    </row>
    <row r="7" spans="1:9" ht="15.5" x14ac:dyDescent="0.35">
      <c r="A7" s="7" t="s">
        <v>7</v>
      </c>
      <c r="B7" s="7" t="s">
        <v>818</v>
      </c>
      <c r="C7" s="7">
        <f>DuLieuBanVe!D20</f>
        <v>20</v>
      </c>
      <c r="D7" s="7">
        <f>DuLieuBanVe!D16</f>
        <v>20</v>
      </c>
      <c r="E7" s="7">
        <f t="shared" si="0"/>
        <v>0</v>
      </c>
      <c r="F7" s="9">
        <f>DuLieuBanVe!D21</f>
        <v>4449.1499999999996</v>
      </c>
      <c r="G7" s="9">
        <f>DuLieuBanVe!D17</f>
        <v>4449.1400000000003</v>
      </c>
      <c r="H7" s="9">
        <f t="shared" si="1"/>
        <v>-9.999999999308784E-3</v>
      </c>
      <c r="I7" s="7" t="str">
        <f t="shared" si="2"/>
        <v>KHỚP</v>
      </c>
    </row>
    <row r="8" spans="1:9" ht="15.5" x14ac:dyDescent="0.35">
      <c r="A8" s="7" t="s">
        <v>8</v>
      </c>
      <c r="B8" s="7" t="s">
        <v>817</v>
      </c>
      <c r="C8" s="7">
        <f>DuLieuBanVe!E18</f>
        <v>32</v>
      </c>
      <c r="D8" s="7">
        <f>DuLieuBanVe!E14</f>
        <v>32</v>
      </c>
      <c r="E8" s="7">
        <f t="shared" si="0"/>
        <v>0</v>
      </c>
      <c r="F8" s="9">
        <f>DuLieuBanVe!E19</f>
        <v>3236.01</v>
      </c>
      <c r="G8" s="9">
        <f>DuLieuBanVe!E15</f>
        <v>3236</v>
      </c>
      <c r="H8" s="9">
        <f t="shared" si="1"/>
        <v>-1.0000000000218279E-2</v>
      </c>
      <c r="I8" s="7" t="str">
        <f t="shared" si="2"/>
        <v>KHỚP</v>
      </c>
    </row>
    <row r="9" spans="1:9" ht="15.5" x14ac:dyDescent="0.35">
      <c r="A9" s="7" t="s">
        <v>8</v>
      </c>
      <c r="B9" s="7" t="s">
        <v>818</v>
      </c>
      <c r="C9" s="7">
        <f>DuLieuBanVe!E20</f>
        <v>18</v>
      </c>
      <c r="D9" s="7">
        <f>DuLieuBanVe!E16</f>
        <v>18</v>
      </c>
      <c r="E9" s="7">
        <f t="shared" si="0"/>
        <v>0</v>
      </c>
      <c r="F9" s="9">
        <f>DuLieuBanVe!E21</f>
        <v>705.69</v>
      </c>
      <c r="G9" s="9">
        <f>DuLieuBanVe!E17</f>
        <v>705.69</v>
      </c>
      <c r="H9" s="9">
        <f t="shared" si="1"/>
        <v>0</v>
      </c>
      <c r="I9" s="7" t="str">
        <f t="shared" si="2"/>
        <v>KHỚP</v>
      </c>
    </row>
    <row r="10" spans="1:9" ht="15.5" x14ac:dyDescent="0.35">
      <c r="A10" s="7" t="s">
        <v>9</v>
      </c>
      <c r="B10" s="7" t="s">
        <v>817</v>
      </c>
      <c r="C10" s="7">
        <f>DuLieuBanVe!F18</f>
        <v>60</v>
      </c>
      <c r="D10" s="7">
        <f>DuLieuBanVe!F14</f>
        <v>60</v>
      </c>
      <c r="E10" s="7">
        <f t="shared" si="0"/>
        <v>0</v>
      </c>
      <c r="F10" s="9">
        <f>DuLieuBanVe!F19</f>
        <v>9165.7900000000009</v>
      </c>
      <c r="G10" s="9">
        <f>DuLieuBanVe!F15</f>
        <v>9165.7999999999993</v>
      </c>
      <c r="H10" s="9">
        <f t="shared" si="1"/>
        <v>9.9999999983992893E-3</v>
      </c>
      <c r="I10" s="7" t="str">
        <f t="shared" si="2"/>
        <v>KHỚP</v>
      </c>
    </row>
    <row r="11" spans="1:9" ht="15.5" x14ac:dyDescent="0.35">
      <c r="A11" s="7" t="s">
        <v>9</v>
      </c>
      <c r="B11" s="7" t="s">
        <v>818</v>
      </c>
      <c r="C11" s="7">
        <f>DuLieuBanVe!F20</f>
        <v>32</v>
      </c>
      <c r="D11" s="7">
        <f>DuLieuBanVe!F16</f>
        <v>32</v>
      </c>
      <c r="E11" s="7">
        <f t="shared" si="0"/>
        <v>0</v>
      </c>
      <c r="F11" s="9">
        <f>DuLieuBanVe!F21</f>
        <v>2072.02</v>
      </c>
      <c r="G11" s="9">
        <f>DuLieuBanVe!F17</f>
        <v>2072.0100000000002</v>
      </c>
      <c r="H11" s="9">
        <f t="shared" si="1"/>
        <v>-9.9999999997635314E-3</v>
      </c>
      <c r="I11" s="7" t="str">
        <f t="shared" si="2"/>
        <v>KHỚP</v>
      </c>
    </row>
    <row r="12" spans="1:9" ht="15.5" x14ac:dyDescent="0.35">
      <c r="A12" s="7" t="s">
        <v>10</v>
      </c>
      <c r="B12" s="7" t="s">
        <v>817</v>
      </c>
      <c r="C12" s="7">
        <f>DuLieuBanVe!G18</f>
        <v>92</v>
      </c>
      <c r="D12" s="7">
        <f>DuLieuBanVe!G14</f>
        <v>92</v>
      </c>
      <c r="E12" s="7">
        <f t="shared" si="0"/>
        <v>0</v>
      </c>
      <c r="F12" s="9">
        <f>DuLieuBanVe!G19</f>
        <v>12388.18</v>
      </c>
      <c r="G12" s="9">
        <f>DuLieuBanVe!G15</f>
        <v>12388.2</v>
      </c>
      <c r="H12" s="9">
        <f t="shared" si="1"/>
        <v>2.0000000000436557E-2</v>
      </c>
      <c r="I12" s="7" t="str">
        <f t="shared" si="2"/>
        <v>KHỚP</v>
      </c>
    </row>
    <row r="13" spans="1:9" ht="15.5" x14ac:dyDescent="0.35">
      <c r="A13" s="7" t="s">
        <v>10</v>
      </c>
      <c r="B13" s="7" t="s">
        <v>818</v>
      </c>
      <c r="C13" s="7">
        <f>DuLieuBanVe!G20</f>
        <v>27</v>
      </c>
      <c r="D13" s="7">
        <f>DuLieuBanVe!G16</f>
        <v>27</v>
      </c>
      <c r="E13" s="7">
        <f t="shared" si="0"/>
        <v>0</v>
      </c>
      <c r="F13" s="9">
        <f>DuLieuBanVe!G21</f>
        <v>2741.95</v>
      </c>
      <c r="G13" s="9">
        <f>DuLieuBanVe!G17</f>
        <v>2741.94</v>
      </c>
      <c r="H13" s="9">
        <f t="shared" si="1"/>
        <v>-9.9999999997635314E-3</v>
      </c>
      <c r="I13" s="7" t="str">
        <f t="shared" si="2"/>
        <v>KHỚP</v>
      </c>
    </row>
    <row r="14" spans="1:9" ht="15.5" x14ac:dyDescent="0.35">
      <c r="A14" s="7" t="s">
        <v>11</v>
      </c>
      <c r="B14" s="7" t="s">
        <v>817</v>
      </c>
      <c r="C14" s="7">
        <f>DuLieuBanVe!H18</f>
        <v>236</v>
      </c>
      <c r="D14" s="7">
        <f>DuLieuBanVe!H14</f>
        <v>236</v>
      </c>
      <c r="E14" s="7">
        <f t="shared" si="0"/>
        <v>0</v>
      </c>
      <c r="F14" s="9">
        <f>DuLieuBanVe!H19</f>
        <v>17963.45</v>
      </c>
      <c r="G14" s="9">
        <f>DuLieuBanVe!H15</f>
        <v>17963.53</v>
      </c>
      <c r="H14" s="9">
        <f t="shared" si="1"/>
        <v>7.9999999998108251E-2</v>
      </c>
      <c r="I14" s="7" t="str">
        <f t="shared" si="2"/>
        <v>KHỚP (lệch nhỏ)</v>
      </c>
    </row>
    <row r="15" spans="1:9" ht="15.5" x14ac:dyDescent="0.35">
      <c r="A15" s="7" t="s">
        <v>11</v>
      </c>
      <c r="B15" s="7" t="s">
        <v>818</v>
      </c>
      <c r="C15" s="7">
        <f>DuLieuBanVe!H20</f>
        <v>16</v>
      </c>
      <c r="D15" s="7">
        <f>DuLieuBanVe!H16</f>
        <v>16</v>
      </c>
      <c r="E15" s="7">
        <f t="shared" si="0"/>
        <v>0</v>
      </c>
      <c r="F15" s="9">
        <f>DuLieuBanVe!H21</f>
        <v>4254.1099999999997</v>
      </c>
      <c r="G15" s="9">
        <f>DuLieuBanVe!H17</f>
        <v>4254.1099999999997</v>
      </c>
      <c r="H15" s="9">
        <f t="shared" si="1"/>
        <v>0</v>
      </c>
      <c r="I15" s="7" t="str">
        <f t="shared" si="2"/>
        <v>KHỚP</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
  <sheetViews>
    <sheetView workbookViewId="0"/>
  </sheetViews>
  <sheetFormatPr defaultRowHeight="14.5" x14ac:dyDescent="0.35"/>
  <cols>
    <col min="1" max="1" width="8" customWidth="1"/>
    <col min="2" max="2" width="13" customWidth="1"/>
    <col min="3" max="3" width="12" customWidth="1"/>
    <col min="4" max="4" width="10" customWidth="1"/>
    <col min="5" max="5" width="12" customWidth="1"/>
    <col min="6" max="7" width="11" customWidth="1"/>
    <col min="8" max="9" width="10" customWidth="1"/>
    <col min="10" max="10" width="9" customWidth="1"/>
    <col min="11" max="11" width="10" customWidth="1"/>
  </cols>
  <sheetData>
    <row r="1" spans="1:11" ht="17" x14ac:dyDescent="0.4">
      <c r="A1" s="1" t="s">
        <v>819</v>
      </c>
    </row>
    <row r="2" spans="1:11" ht="34" customHeight="1" x14ac:dyDescent="0.35">
      <c r="A2" s="20" t="s">
        <v>820</v>
      </c>
      <c r="B2" s="21"/>
      <c r="C2" s="21"/>
      <c r="D2" s="21"/>
      <c r="E2" s="21"/>
      <c r="F2" s="21"/>
      <c r="G2" s="21"/>
      <c r="H2" s="21"/>
      <c r="I2" s="21"/>
      <c r="J2" s="21"/>
      <c r="K2" s="21"/>
    </row>
    <row r="3" spans="1:11" ht="48" customHeight="1" x14ac:dyDescent="0.35">
      <c r="A3" s="2" t="s">
        <v>154</v>
      </c>
      <c r="B3" s="2" t="s">
        <v>821</v>
      </c>
      <c r="C3" s="2" t="s">
        <v>822</v>
      </c>
      <c r="D3" s="2" t="s">
        <v>823</v>
      </c>
      <c r="E3" s="2" t="s">
        <v>824</v>
      </c>
      <c r="F3" s="2" t="s">
        <v>825</v>
      </c>
      <c r="G3" s="2" t="s">
        <v>826</v>
      </c>
      <c r="H3" s="2" t="s">
        <v>827</v>
      </c>
      <c r="I3" s="2" t="s">
        <v>828</v>
      </c>
      <c r="J3" s="2" t="s">
        <v>829</v>
      </c>
      <c r="K3" s="2" t="s">
        <v>830</v>
      </c>
    </row>
    <row r="4" spans="1:11" ht="15.5" x14ac:dyDescent="0.35">
      <c r="A4" s="7" t="s">
        <v>6</v>
      </c>
      <c r="B4" s="8">
        <v>15820</v>
      </c>
      <c r="C4" s="8">
        <v>15185</v>
      </c>
      <c r="D4" s="15">
        <f t="shared" ref="D4:D10" si="0">B4/C4-1</f>
        <v>4.1817583141257719E-2</v>
      </c>
      <c r="E4" s="8">
        <v>2912</v>
      </c>
      <c r="F4" s="11">
        <f>DuLieuBanVe!C15/DuLieuBanVe!C14</f>
        <v>126.5292</v>
      </c>
      <c r="G4" s="11">
        <f>DuLieuBanVe!C17/DuLieuBanVe!C16</f>
        <v>78.58894736842106</v>
      </c>
      <c r="H4" s="7">
        <v>105</v>
      </c>
      <c r="I4" s="7">
        <v>0.81</v>
      </c>
      <c r="J4" s="7">
        <v>43</v>
      </c>
      <c r="K4" s="8">
        <v>15845</v>
      </c>
    </row>
    <row r="5" spans="1:11" ht="15.5" x14ac:dyDescent="0.35">
      <c r="A5" s="7" t="s">
        <v>7</v>
      </c>
      <c r="B5" s="8">
        <v>22358</v>
      </c>
      <c r="C5" s="8">
        <v>21836</v>
      </c>
      <c r="D5" s="15">
        <f t="shared" si="0"/>
        <v>2.3905477193625124E-2</v>
      </c>
      <c r="E5" s="8">
        <v>4200</v>
      </c>
      <c r="F5" s="11">
        <f>DuLieuBanVe!D15/DuLieuBanVe!D14</f>
        <v>73.388647540983612</v>
      </c>
      <c r="G5" s="11">
        <f>DuLieuBanVe!D17/DuLieuBanVe!D16</f>
        <v>222.45700000000002</v>
      </c>
      <c r="H5" s="7">
        <v>15</v>
      </c>
      <c r="I5" s="7">
        <v>0.39</v>
      </c>
      <c r="J5" s="7">
        <v>52</v>
      </c>
      <c r="K5" s="8">
        <v>22397</v>
      </c>
    </row>
    <row r="6" spans="1:11" ht="15.5" x14ac:dyDescent="0.35">
      <c r="A6" s="7" t="s">
        <v>8</v>
      </c>
      <c r="B6" s="8">
        <v>3958</v>
      </c>
      <c r="C6" s="8">
        <v>3714</v>
      </c>
      <c r="D6" s="15">
        <f t="shared" si="0"/>
        <v>6.5697361335487425E-2</v>
      </c>
      <c r="E6" s="8">
        <v>700</v>
      </c>
      <c r="F6" s="11">
        <f>DuLieuBanVe!E15/DuLieuBanVe!E14</f>
        <v>101.125</v>
      </c>
      <c r="G6" s="11">
        <f>DuLieuBanVe!E17/DuLieuBanVe!E16</f>
        <v>39.205000000000005</v>
      </c>
      <c r="H6" s="7">
        <v>94</v>
      </c>
      <c r="I6" s="7">
        <v>0.76</v>
      </c>
      <c r="J6" s="7">
        <v>19</v>
      </c>
      <c r="K6" s="8">
        <v>3966</v>
      </c>
    </row>
    <row r="7" spans="1:11" ht="15.5" x14ac:dyDescent="0.35">
      <c r="A7" s="7" t="s">
        <v>9</v>
      </c>
      <c r="B7" s="8">
        <v>11375</v>
      </c>
      <c r="C7" s="8">
        <v>10912</v>
      </c>
      <c r="D7" s="15">
        <f t="shared" si="0"/>
        <v>4.2430351906158403E-2</v>
      </c>
      <c r="E7" s="8">
        <v>2100</v>
      </c>
      <c r="F7" s="11">
        <f>DuLieuBanVe!F15/DuLieuBanVe!F14</f>
        <v>152.76333333333332</v>
      </c>
      <c r="G7" s="11">
        <f>DuLieuBanVe!F17/DuLieuBanVe!F16</f>
        <v>64.750312500000007</v>
      </c>
      <c r="H7" s="7">
        <v>84.9</v>
      </c>
      <c r="I7" s="7">
        <v>0.82</v>
      </c>
      <c r="J7" s="7">
        <v>30</v>
      </c>
      <c r="K7" s="8">
        <v>11434</v>
      </c>
    </row>
    <row r="8" spans="1:11" ht="15.5" x14ac:dyDescent="0.35">
      <c r="A8" s="7" t="s">
        <v>10</v>
      </c>
      <c r="B8" s="8">
        <v>15129</v>
      </c>
      <c r="C8" s="8">
        <v>14633</v>
      </c>
      <c r="D8" s="15">
        <f t="shared" si="0"/>
        <v>3.3895988519100584E-2</v>
      </c>
      <c r="E8" s="8">
        <v>2800</v>
      </c>
      <c r="F8" s="11">
        <f>DuLieuBanVe!G15/DuLieuBanVe!G14</f>
        <v>134.65434782608696</v>
      </c>
      <c r="G8" s="11">
        <f>DuLieuBanVe!G17/DuLieuBanVe!G16</f>
        <v>101.55333333333334</v>
      </c>
      <c r="H8" s="7">
        <v>60.3</v>
      </c>
      <c r="I8" s="7">
        <v>0.82</v>
      </c>
      <c r="J8" s="7">
        <v>37</v>
      </c>
      <c r="K8" s="8">
        <v>15352</v>
      </c>
    </row>
    <row r="9" spans="1:11" ht="15.5" x14ac:dyDescent="0.35">
      <c r="A9" s="7" t="s">
        <v>11</v>
      </c>
      <c r="B9" s="8">
        <v>22200</v>
      </c>
      <c r="C9" s="8">
        <v>21763</v>
      </c>
      <c r="D9" s="15">
        <f t="shared" si="0"/>
        <v>2.0079952212470609E-2</v>
      </c>
      <c r="E9" s="8">
        <v>4200</v>
      </c>
      <c r="F9" s="11">
        <f>DuLieuBanVe!H15/DuLieuBanVe!H14</f>
        <v>76.116652542372876</v>
      </c>
      <c r="G9" s="11">
        <f>DuLieuBanVe!H17/DuLieuBanVe!H16</f>
        <v>265.88187499999998</v>
      </c>
      <c r="H9" s="7">
        <v>35</v>
      </c>
      <c r="I9" s="7">
        <v>0.32</v>
      </c>
      <c r="J9" s="7">
        <v>50</v>
      </c>
      <c r="K9" s="8">
        <v>22263</v>
      </c>
    </row>
    <row r="10" spans="1:11" ht="15.5" x14ac:dyDescent="0.35">
      <c r="A10" s="16" t="s">
        <v>12</v>
      </c>
      <c r="B10" s="17">
        <f>SUM(B4:B9)</f>
        <v>90840</v>
      </c>
      <c r="C10" s="17">
        <f>SUM(C4:C9)</f>
        <v>88043</v>
      </c>
      <c r="D10" s="18">
        <f t="shared" si="0"/>
        <v>3.176856763172542E-2</v>
      </c>
      <c r="E10" s="17">
        <f>SUM(E4:E9)</f>
        <v>16912</v>
      </c>
      <c r="F10" s="16"/>
      <c r="G10" s="16"/>
      <c r="H10" s="16"/>
      <c r="I10" s="16"/>
      <c r="J10" s="17">
        <f>SUM(J4:J9)</f>
        <v>231</v>
      </c>
      <c r="K10" s="17">
        <f>SUM(K4:K9)</f>
        <v>91257</v>
      </c>
    </row>
  </sheetData>
  <mergeCells count="1">
    <mergeCell ref="A2:K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sheetViews>
  <sheetFormatPr defaultRowHeight="14.5" x14ac:dyDescent="0.35"/>
  <cols>
    <col min="1" max="1" width="9" customWidth="1"/>
    <col min="2" max="2" width="52" customWidth="1"/>
    <col min="3" max="4" width="10" customWidth="1"/>
    <col min="5" max="5" width="110" customWidth="1"/>
  </cols>
  <sheetData>
    <row r="1" spans="1:5" ht="17" x14ac:dyDescent="0.4">
      <c r="A1" s="1" t="s">
        <v>831</v>
      </c>
    </row>
    <row r="3" spans="1:5" ht="15.5" x14ac:dyDescent="0.35">
      <c r="A3" s="2" t="s">
        <v>93</v>
      </c>
      <c r="B3" s="2" t="s">
        <v>832</v>
      </c>
      <c r="C3" s="2" t="s">
        <v>833</v>
      </c>
      <c r="D3" s="2" t="s">
        <v>5</v>
      </c>
      <c r="E3" s="2" t="s">
        <v>15</v>
      </c>
    </row>
    <row r="4" spans="1:5" ht="15.5" x14ac:dyDescent="0.35">
      <c r="A4" s="7" t="s">
        <v>834</v>
      </c>
      <c r="B4" s="7" t="s">
        <v>835</v>
      </c>
      <c r="C4" s="19">
        <v>6</v>
      </c>
      <c r="D4" s="7" t="s">
        <v>43</v>
      </c>
      <c r="E4" s="7" t="s">
        <v>836</v>
      </c>
    </row>
    <row r="5" spans="1:5" ht="15.5" x14ac:dyDescent="0.35">
      <c r="A5" s="7" t="s">
        <v>837</v>
      </c>
      <c r="B5" s="7" t="s">
        <v>838</v>
      </c>
      <c r="C5" s="19">
        <v>6</v>
      </c>
      <c r="D5" s="7" t="s">
        <v>43</v>
      </c>
      <c r="E5" s="7" t="s">
        <v>839</v>
      </c>
    </row>
    <row r="6" spans="1:5" ht="15.5" x14ac:dyDescent="0.35">
      <c r="A6" s="7" t="s">
        <v>840</v>
      </c>
      <c r="B6" s="7" t="s">
        <v>841</v>
      </c>
      <c r="C6" s="19">
        <v>2.36</v>
      </c>
      <c r="D6" s="7" t="s">
        <v>842</v>
      </c>
      <c r="E6" s="7" t="s">
        <v>843</v>
      </c>
    </row>
    <row r="7" spans="1:5" ht="15.5" x14ac:dyDescent="0.35">
      <c r="A7" s="7" t="s">
        <v>844</v>
      </c>
      <c r="B7" s="7" t="s">
        <v>845</v>
      </c>
      <c r="C7" s="19">
        <v>3.01</v>
      </c>
      <c r="D7" s="7" t="s">
        <v>842</v>
      </c>
      <c r="E7" s="7" t="s">
        <v>846</v>
      </c>
    </row>
    <row r="8" spans="1:5" ht="15.5" x14ac:dyDescent="0.35">
      <c r="A8" s="7" t="s">
        <v>847</v>
      </c>
      <c r="B8" s="7" t="s">
        <v>848</v>
      </c>
      <c r="C8" s="19">
        <v>2</v>
      </c>
      <c r="D8" s="7" t="s">
        <v>849</v>
      </c>
      <c r="E8" s="7" t="s">
        <v>850</v>
      </c>
    </row>
    <row r="9" spans="1:5" ht="15.5" x14ac:dyDescent="0.35">
      <c r="A9" s="7" t="s">
        <v>851</v>
      </c>
      <c r="B9" s="7" t="s">
        <v>852</v>
      </c>
      <c r="C9" s="19">
        <v>2</v>
      </c>
      <c r="D9" s="7" t="s">
        <v>849</v>
      </c>
      <c r="E9" s="7" t="s">
        <v>853</v>
      </c>
    </row>
    <row r="10" spans="1:5" ht="15.5" x14ac:dyDescent="0.35">
      <c r="A10" s="7" t="s">
        <v>854</v>
      </c>
      <c r="B10" s="7" t="s">
        <v>855</v>
      </c>
      <c r="C10" s="19">
        <v>2</v>
      </c>
      <c r="D10" s="7" t="s">
        <v>856</v>
      </c>
      <c r="E10" s="7" t="s">
        <v>853</v>
      </c>
    </row>
    <row r="11" spans="1:5" ht="15.5" x14ac:dyDescent="0.35">
      <c r="A11" s="7" t="s">
        <v>857</v>
      </c>
      <c r="B11" s="7" t="s">
        <v>858</v>
      </c>
      <c r="C11" s="19">
        <v>2</v>
      </c>
      <c r="D11" s="7" t="s">
        <v>856</v>
      </c>
      <c r="E11" s="7" t="s">
        <v>859</v>
      </c>
    </row>
    <row r="12" spans="1:5" ht="15.5" x14ac:dyDescent="0.35">
      <c r="A12" s="7" t="s">
        <v>860</v>
      </c>
      <c r="B12" s="7" t="s">
        <v>861</v>
      </c>
      <c r="C12" s="19">
        <v>4</v>
      </c>
      <c r="D12" s="7" t="s">
        <v>856</v>
      </c>
      <c r="E12" s="7" t="s">
        <v>862</v>
      </c>
    </row>
    <row r="13" spans="1:5" ht="15.5" x14ac:dyDescent="0.35">
      <c r="A13" s="7" t="s">
        <v>863</v>
      </c>
      <c r="B13" s="7" t="s">
        <v>34</v>
      </c>
      <c r="C13" s="19">
        <v>2</v>
      </c>
      <c r="D13" s="7" t="s">
        <v>864</v>
      </c>
      <c r="E13" s="7" t="s">
        <v>865</v>
      </c>
    </row>
    <row r="14" spans="1:5" ht="15.5" x14ac:dyDescent="0.35">
      <c r="A14" s="7" t="s">
        <v>866</v>
      </c>
      <c r="B14" s="7" t="s">
        <v>867</v>
      </c>
      <c r="C14" s="19">
        <v>3</v>
      </c>
      <c r="D14" s="7" t="s">
        <v>868</v>
      </c>
      <c r="E14" s="7" t="s">
        <v>869</v>
      </c>
    </row>
    <row r="15" spans="1:5" ht="15.5" x14ac:dyDescent="0.35">
      <c r="A15" s="7" t="s">
        <v>870</v>
      </c>
      <c r="B15" s="7" t="s">
        <v>871</v>
      </c>
      <c r="C15" s="19">
        <v>15</v>
      </c>
      <c r="D15" s="7" t="s">
        <v>43</v>
      </c>
      <c r="E15" s="7" t="s">
        <v>872</v>
      </c>
    </row>
    <row r="16" spans="1:5" ht="31" x14ac:dyDescent="0.35">
      <c r="A16" s="7" t="s">
        <v>873</v>
      </c>
      <c r="B16" s="7" t="s">
        <v>874</v>
      </c>
      <c r="C16" s="19">
        <v>7</v>
      </c>
      <c r="D16" s="7" t="s">
        <v>875</v>
      </c>
      <c r="E16" s="7" t="s">
        <v>876</v>
      </c>
    </row>
    <row r="17" spans="1:5" ht="15.5" x14ac:dyDescent="0.35">
      <c r="A17" s="7" t="s">
        <v>877</v>
      </c>
      <c r="B17" s="7" t="s">
        <v>878</v>
      </c>
      <c r="C17" s="19">
        <v>1.2</v>
      </c>
      <c r="D17" s="7"/>
      <c r="E17" s="7" t="s">
        <v>879</v>
      </c>
    </row>
    <row r="18" spans="1:5" ht="31" x14ac:dyDescent="0.35">
      <c r="A18" s="7" t="s">
        <v>880</v>
      </c>
      <c r="B18" s="7" t="s">
        <v>881</v>
      </c>
      <c r="C18" s="19">
        <v>0.7</v>
      </c>
      <c r="D18" s="7" t="s">
        <v>882</v>
      </c>
      <c r="E18" s="7" t="s">
        <v>883</v>
      </c>
    </row>
    <row r="19" spans="1:5" ht="15.5" x14ac:dyDescent="0.35">
      <c r="A19" s="7" t="s">
        <v>884</v>
      </c>
      <c r="B19" s="7" t="s">
        <v>885</v>
      </c>
      <c r="C19" s="19">
        <v>0.5</v>
      </c>
      <c r="D19" s="7" t="s">
        <v>886</v>
      </c>
      <c r="E19" s="7" t="s">
        <v>887</v>
      </c>
    </row>
    <row r="20" spans="1:5" ht="31" x14ac:dyDescent="0.35">
      <c r="A20" s="7" t="s">
        <v>888</v>
      </c>
      <c r="B20" s="7" t="s">
        <v>889</v>
      </c>
      <c r="C20" s="19">
        <v>1.2070000000000001</v>
      </c>
      <c r="D20" s="7" t="s">
        <v>43</v>
      </c>
      <c r="E20" s="7" t="s">
        <v>890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workbookViewId="0"/>
  </sheetViews>
  <sheetFormatPr defaultRowHeight="14.5" x14ac:dyDescent="0.35"/>
  <cols>
    <col min="1" max="1" width="5" customWidth="1"/>
    <col min="2" max="2" width="150" customWidth="1"/>
  </cols>
  <sheetData>
    <row r="1" spans="1:2" ht="17" x14ac:dyDescent="0.4">
      <c r="A1" s="1" t="s">
        <v>891</v>
      </c>
    </row>
    <row r="3" spans="1:2" ht="46.5" x14ac:dyDescent="0.35">
      <c r="A3" s="7">
        <v>1</v>
      </c>
      <c r="B3" s="7" t="s">
        <v>892</v>
      </c>
    </row>
    <row r="4" spans="1:2" ht="31" x14ac:dyDescent="0.35">
      <c r="A4" s="7">
        <v>2</v>
      </c>
      <c r="B4" s="7" t="s">
        <v>893</v>
      </c>
    </row>
    <row r="5" spans="1:2" ht="31" x14ac:dyDescent="0.35">
      <c r="A5" s="7">
        <v>3</v>
      </c>
      <c r="B5" s="7" t="s">
        <v>894</v>
      </c>
    </row>
    <row r="6" spans="1:2" ht="62" x14ac:dyDescent="0.35">
      <c r="A6" s="7">
        <v>4</v>
      </c>
      <c r="B6" s="7" t="s">
        <v>895</v>
      </c>
    </row>
    <row r="7" spans="1:2" ht="46.5" x14ac:dyDescent="0.35">
      <c r="A7" s="7">
        <v>5</v>
      </c>
      <c r="B7" s="7" t="s">
        <v>896</v>
      </c>
    </row>
    <row r="8" spans="1:2" ht="15.5" x14ac:dyDescent="0.35">
      <c r="A8" s="7">
        <v>6</v>
      </c>
      <c r="B8" s="7" t="s">
        <v>897</v>
      </c>
    </row>
    <row r="9" spans="1:2" ht="31" x14ac:dyDescent="0.35">
      <c r="A9" s="7">
        <v>7</v>
      </c>
      <c r="B9" s="7" t="s">
        <v>898</v>
      </c>
    </row>
    <row r="10" spans="1:2" ht="31" x14ac:dyDescent="0.35">
      <c r="A10" s="7">
        <v>8</v>
      </c>
      <c r="B10" s="7" t="s">
        <v>899</v>
      </c>
    </row>
    <row r="11" spans="1:2" ht="15.5" x14ac:dyDescent="0.35">
      <c r="A11" s="7">
        <v>9</v>
      </c>
      <c r="B11" s="7" t="s">
        <v>900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TongHop</vt:lpstr>
      <vt:lpstr>DuLieuBanVe</vt:lpstr>
      <vt:lpstr>GiaCuong_TaiNeo</vt:lpstr>
      <vt:lpstr>C52_TungThanh</vt:lpstr>
      <vt:lpstr>Hop40x60_TungThanh</vt:lpstr>
      <vt:lpstr>DoiChieu_KhungThep</vt:lpstr>
      <vt:lpstr>DoiChieu_MatBang</vt:lpstr>
      <vt:lpstr>GiaDinh</vt:lpstr>
      <vt:lpstr>GhiChu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Lê</cp:lastModifiedBy>
  <dcterms:created xsi:type="dcterms:W3CDTF">2026-10-30T08:40:55Z</dcterms:created>
  <dcterms:modified xsi:type="dcterms:W3CDTF">2026-10-30T08:41:33Z</dcterms:modified>
</cp:coreProperties>
</file>