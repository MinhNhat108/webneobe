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mc:AlternateContent xmlns:mc="http://schemas.openxmlformats.org/markup-compatibility/2006">
    <mc:Choice Requires="x15">
      <x15ac:absPath xmlns:x15ac="http://schemas.microsoft.com/office/spreadsheetml/2010/11/ac" url="C:\Users\nhatm\AppData\Local\Temp\claude\E--Out-Job-Chu-Giap-Web-t-nh-neo-b-\17de47ba-3ced-4bee-89f5-94221cee3fa7\scratchpad\"/>
    </mc:Choice>
  </mc:AlternateContent>
  <xr:revisionPtr revIDLastSave="0" documentId="8_{43553F04-B611-4773-B589-987985F47475}" xr6:coauthVersionLast="47" xr6:coauthVersionMax="47" xr10:uidLastSave="{00000000-0000-0000-0000-000000000000}"/>
  <bookViews>
    <workbookView xWindow="1380" yWindow="4110" windowWidth="19200" windowHeight="11170" xr2:uid="{00000000-000D-0000-FFFF-FFFF00000000}"/>
  </bookViews>
  <sheets>
    <sheet name="ThuyetMinh" sheetId="1" r:id="rId1"/>
    <sheet name="ThongSo" sheetId="2" r:id="rId2"/>
    <sheet name="LucDay" sheetId="3" r:id="rId3"/>
    <sheet name="CocKhoanNhoi_TheoBe" sheetId="4" r:id="rId4"/>
    <sheet name="CocKhoanNhoi_TungCoc" sheetId="5" r:id="rId5"/>
    <sheet name="DeNeoDay_TungDe" sheetId="6" r:id="rId6"/>
    <sheet name="VitXoan" sheetId="7" r:id="rId7"/>
    <sheet name="KhoiLuong_BaoGia" sheetId="8" r:id="rId8"/>
    <sheet name="ChieuDaiCatCap" sheetId="9" r:id="rId9"/>
    <sheet name="CT_ThongSo" sheetId="10" r:id="rId10"/>
    <sheet name="CT_LucDay" sheetId="11" r:id="rId11"/>
    <sheet name="CT_CocKhoanNhoi" sheetId="12" r:id="rId12"/>
    <sheet name="CT_DeVitXoan" sheetId="13" r:id="rId13"/>
  </sheets>
  <calcPr calcId="181029"/>
</workbook>
</file>

<file path=xl/calcChain.xml><?xml version="1.0" encoding="utf-8"?>
<calcChain xmlns="http://schemas.openxmlformats.org/spreadsheetml/2006/main">
  <c r="BO37" i="13" l="1"/>
  <c r="V37" i="13"/>
  <c r="X37" i="13" s="1"/>
  <c r="S37" i="13"/>
  <c r="U37" i="13" s="1"/>
  <c r="Q37" i="13"/>
  <c r="O37" i="13"/>
  <c r="BO36" i="13"/>
  <c r="V36" i="13"/>
  <c r="X36" i="13" s="1"/>
  <c r="S36" i="13"/>
  <c r="U36" i="13" s="1"/>
  <c r="Q36" i="13"/>
  <c r="O36" i="13"/>
  <c r="BO35" i="13"/>
  <c r="BM35" i="13"/>
  <c r="V35" i="13"/>
  <c r="X35" i="13" s="1"/>
  <c r="T35" i="13"/>
  <c r="S35" i="13"/>
  <c r="U35" i="13" s="1"/>
  <c r="Q35" i="13"/>
  <c r="O35" i="13"/>
  <c r="BO34" i="13"/>
  <c r="V34" i="13"/>
  <c r="X34" i="13" s="1"/>
  <c r="S34" i="13"/>
  <c r="Q34" i="13"/>
  <c r="O34" i="13"/>
  <c r="BM34" i="13" s="1"/>
  <c r="BO33" i="13"/>
  <c r="V33" i="13"/>
  <c r="W33" i="13" s="1"/>
  <c r="S33" i="13"/>
  <c r="U33" i="13" s="1"/>
  <c r="Q33" i="13"/>
  <c r="O33" i="13"/>
  <c r="BM33" i="13" s="1"/>
  <c r="BO32" i="13"/>
  <c r="V32" i="13"/>
  <c r="X32" i="13" s="1"/>
  <c r="S32" i="13"/>
  <c r="U32" i="13" s="1"/>
  <c r="Q32" i="13"/>
  <c r="O32" i="13"/>
  <c r="BM32" i="13" s="1"/>
  <c r="BO31" i="13"/>
  <c r="BM31" i="13"/>
  <c r="V31" i="13"/>
  <c r="W31" i="13" s="1"/>
  <c r="S31" i="13"/>
  <c r="U31" i="13" s="1"/>
  <c r="Q31" i="13"/>
  <c r="O31" i="13"/>
  <c r="BO30" i="13"/>
  <c r="V30" i="13"/>
  <c r="X30" i="13" s="1"/>
  <c r="S30" i="13"/>
  <c r="T30" i="13" s="1"/>
  <c r="Q30" i="13"/>
  <c r="O30" i="13"/>
  <c r="BO29" i="13"/>
  <c r="V29" i="13"/>
  <c r="S29" i="13"/>
  <c r="T29" i="13" s="1"/>
  <c r="Q29" i="13"/>
  <c r="O29" i="13"/>
  <c r="BO28" i="13"/>
  <c r="V28" i="13"/>
  <c r="X28" i="13" s="1"/>
  <c r="S28" i="13"/>
  <c r="Q28" i="13"/>
  <c r="O28" i="13"/>
  <c r="BO27" i="13"/>
  <c r="V27" i="13"/>
  <c r="X27" i="13" s="1"/>
  <c r="T27" i="13"/>
  <c r="S27" i="13"/>
  <c r="U27" i="13" s="1"/>
  <c r="Q27" i="13"/>
  <c r="O27" i="13"/>
  <c r="BO26" i="13"/>
  <c r="BM26" i="13"/>
  <c r="V26" i="13"/>
  <c r="X26" i="13" s="1"/>
  <c r="S26" i="13"/>
  <c r="U26" i="13" s="1"/>
  <c r="Q26" i="13"/>
  <c r="O26" i="13"/>
  <c r="BO25" i="13"/>
  <c r="V25" i="13"/>
  <c r="W25" i="13" s="1"/>
  <c r="S25" i="13"/>
  <c r="U25" i="13" s="1"/>
  <c r="Q25" i="13"/>
  <c r="O25" i="13"/>
  <c r="BM25" i="13" s="1"/>
  <c r="BO24" i="13"/>
  <c r="V24" i="13"/>
  <c r="W24" i="13" s="1"/>
  <c r="S24" i="13"/>
  <c r="U24" i="13" s="1"/>
  <c r="Q24" i="13"/>
  <c r="O24" i="13"/>
  <c r="BO23" i="13"/>
  <c r="V23" i="13"/>
  <c r="S23" i="13"/>
  <c r="U23" i="13" s="1"/>
  <c r="Q23" i="13"/>
  <c r="O23" i="13"/>
  <c r="BO22" i="13"/>
  <c r="V22" i="13"/>
  <c r="X22" i="13" s="1"/>
  <c r="S22" i="13"/>
  <c r="U22" i="13" s="1"/>
  <c r="Q22" i="13"/>
  <c r="O22" i="13"/>
  <c r="BO21" i="13"/>
  <c r="V21" i="13"/>
  <c r="X21" i="13" s="1"/>
  <c r="T21" i="13"/>
  <c r="S21" i="13"/>
  <c r="U21" i="13" s="1"/>
  <c r="Q21" i="13"/>
  <c r="O21" i="13"/>
  <c r="BO20" i="13"/>
  <c r="V20" i="13"/>
  <c r="X20" i="13" s="1"/>
  <c r="S20" i="13"/>
  <c r="U20" i="13" s="1"/>
  <c r="Q20" i="13"/>
  <c r="O20" i="13"/>
  <c r="BO19" i="13"/>
  <c r="V19" i="13"/>
  <c r="X19" i="13" s="1"/>
  <c r="S19" i="13"/>
  <c r="T19" i="13" s="1"/>
  <c r="Q19" i="13"/>
  <c r="O19" i="13"/>
  <c r="BM19" i="13" s="1"/>
  <c r="BO18" i="13"/>
  <c r="V18" i="13"/>
  <c r="X18" i="13" s="1"/>
  <c r="S18" i="13"/>
  <c r="Q18" i="13"/>
  <c r="O18" i="13"/>
  <c r="BM18" i="13" s="1"/>
  <c r="BO17" i="13"/>
  <c r="V17" i="13"/>
  <c r="X17" i="13" s="1"/>
  <c r="S17" i="13"/>
  <c r="U17" i="13" s="1"/>
  <c r="Q17" i="13"/>
  <c r="O17" i="13"/>
  <c r="BM17" i="13" s="1"/>
  <c r="BO16" i="13"/>
  <c r="BM16" i="13"/>
  <c r="V16" i="13"/>
  <c r="X16" i="13" s="1"/>
  <c r="U16" i="13"/>
  <c r="T16" i="13"/>
  <c r="S16" i="13"/>
  <c r="Q16" i="13"/>
  <c r="O16" i="13"/>
  <c r="BO15" i="13"/>
  <c r="W15" i="13"/>
  <c r="V15" i="13"/>
  <c r="X15" i="13" s="1"/>
  <c r="S15" i="13"/>
  <c r="U15" i="13" s="1"/>
  <c r="Q15" i="13"/>
  <c r="O15" i="13"/>
  <c r="BM15" i="13" s="1"/>
  <c r="BO14" i="13"/>
  <c r="V14" i="13"/>
  <c r="X14" i="13" s="1"/>
  <c r="S14" i="13"/>
  <c r="T14" i="13" s="1"/>
  <c r="Q14" i="13"/>
  <c r="O14" i="13"/>
  <c r="BO13" i="13"/>
  <c r="V13" i="13"/>
  <c r="X13" i="13" s="1"/>
  <c r="T13" i="13"/>
  <c r="S13" i="13"/>
  <c r="U13" i="13" s="1"/>
  <c r="Q13" i="13"/>
  <c r="O13" i="13"/>
  <c r="BO12" i="13"/>
  <c r="BM12" i="13"/>
  <c r="V12" i="13"/>
  <c r="X12" i="13" s="1"/>
  <c r="S12" i="13"/>
  <c r="T12" i="13" s="1"/>
  <c r="Q12" i="13"/>
  <c r="O12" i="13"/>
  <c r="BO11" i="13"/>
  <c r="V11" i="13"/>
  <c r="X11" i="13" s="1"/>
  <c r="S11" i="13"/>
  <c r="U11" i="13" s="1"/>
  <c r="Q11" i="13"/>
  <c r="O11" i="13"/>
  <c r="BO10" i="13"/>
  <c r="V10" i="13"/>
  <c r="X10" i="13" s="1"/>
  <c r="S10" i="13"/>
  <c r="U10" i="13" s="1"/>
  <c r="Q10" i="13"/>
  <c r="O10" i="13"/>
  <c r="BO9" i="13"/>
  <c r="V9" i="13"/>
  <c r="X9" i="13" s="1"/>
  <c r="S9" i="13"/>
  <c r="U9" i="13" s="1"/>
  <c r="Q9" i="13"/>
  <c r="O9" i="13"/>
  <c r="BM9" i="13" s="1"/>
  <c r="BO8" i="13"/>
  <c r="V8" i="13"/>
  <c r="X8" i="13" s="1"/>
  <c r="S8" i="13"/>
  <c r="T8" i="13" s="1"/>
  <c r="Q8" i="13"/>
  <c r="O8" i="13"/>
  <c r="BM8" i="13" s="1"/>
  <c r="BO7" i="13"/>
  <c r="V7" i="13"/>
  <c r="W7" i="13" s="1"/>
  <c r="S7" i="13"/>
  <c r="U7" i="13" s="1"/>
  <c r="Q7" i="13"/>
  <c r="O7" i="13"/>
  <c r="BM7" i="13" s="1"/>
  <c r="BO6" i="13"/>
  <c r="V6" i="13"/>
  <c r="X6" i="13" s="1"/>
  <c r="S6" i="13"/>
  <c r="U6" i="13" s="1"/>
  <c r="Q6" i="13"/>
  <c r="O6" i="13"/>
  <c r="B15" i="12"/>
  <c r="O14" i="12"/>
  <c r="P14" i="12" s="1"/>
  <c r="K14" i="12"/>
  <c r="L14" i="12" s="1"/>
  <c r="O13" i="12"/>
  <c r="P13" i="12" s="1"/>
  <c r="K13" i="12"/>
  <c r="L13" i="12" s="1"/>
  <c r="O12" i="12"/>
  <c r="P12" i="12" s="1"/>
  <c r="K12" i="12"/>
  <c r="L12" i="12" s="1"/>
  <c r="O11" i="12"/>
  <c r="P11" i="12" s="1"/>
  <c r="K11" i="12"/>
  <c r="L11" i="12" s="1"/>
  <c r="O10" i="12"/>
  <c r="P10" i="12" s="1"/>
  <c r="L10" i="12"/>
  <c r="K10" i="12"/>
  <c r="O9" i="12"/>
  <c r="P9" i="12" s="1"/>
  <c r="K9" i="12"/>
  <c r="L9" i="12" s="1"/>
  <c r="O8" i="12"/>
  <c r="P8" i="12" s="1"/>
  <c r="K8" i="12"/>
  <c r="L8" i="12" s="1"/>
  <c r="O7" i="12"/>
  <c r="P7" i="12" s="1"/>
  <c r="K7" i="12"/>
  <c r="L7" i="12" s="1"/>
  <c r="O6" i="12"/>
  <c r="P6" i="12" s="1"/>
  <c r="K6" i="12"/>
  <c r="L6" i="12" s="1"/>
  <c r="I14" i="11"/>
  <c r="G14" i="11"/>
  <c r="G13" i="11"/>
  <c r="G12" i="11"/>
  <c r="G11" i="11"/>
  <c r="H11" i="11" s="1"/>
  <c r="G10" i="11"/>
  <c r="I9" i="11"/>
  <c r="G9" i="11"/>
  <c r="H9" i="11" s="1"/>
  <c r="J9" i="11" s="1"/>
  <c r="G8" i="11"/>
  <c r="I7" i="11"/>
  <c r="G7" i="11"/>
  <c r="H7" i="11" s="1"/>
  <c r="J7" i="11" s="1"/>
  <c r="G6" i="11"/>
  <c r="H6" i="11" s="1"/>
  <c r="C59" i="10"/>
  <c r="C60" i="10" s="1"/>
  <c r="C57" i="10"/>
  <c r="C58" i="10" s="1"/>
  <c r="C61" i="10" s="1"/>
  <c r="C54" i="10"/>
  <c r="C53" i="10"/>
  <c r="C55" i="10" s="1"/>
  <c r="R25" i="13" s="1"/>
  <c r="C30" i="10"/>
  <c r="C31" i="10" s="1"/>
  <c r="C32" i="10" s="1"/>
  <c r="C29" i="10"/>
  <c r="C7" i="10"/>
  <c r="I12" i="11" s="1"/>
  <c r="X33" i="13" l="1"/>
  <c r="U19" i="13"/>
  <c r="T36" i="13"/>
  <c r="R10" i="13"/>
  <c r="X31" i="13"/>
  <c r="T22" i="13"/>
  <c r="W34" i="13"/>
  <c r="W16" i="13"/>
  <c r="W21" i="13"/>
  <c r="R6" i="13"/>
  <c r="T20" i="13"/>
  <c r="W22" i="13"/>
  <c r="U30" i="13"/>
  <c r="W14" i="13"/>
  <c r="T26" i="13"/>
  <c r="W12" i="13"/>
  <c r="X7" i="13"/>
  <c r="W32" i="13"/>
  <c r="W11" i="13"/>
  <c r="X25" i="13"/>
  <c r="W30" i="13"/>
  <c r="X24" i="13"/>
  <c r="T7" i="13"/>
  <c r="U29" i="13"/>
  <c r="I13" i="11"/>
  <c r="W6" i="13"/>
  <c r="T37" i="13"/>
  <c r="T23" i="13"/>
  <c r="H14" i="11"/>
  <c r="J14" i="11" s="1"/>
  <c r="U14" i="13"/>
  <c r="L7" i="11"/>
  <c r="K7" i="11"/>
  <c r="M7" i="11" s="1"/>
  <c r="L9" i="11"/>
  <c r="K9" i="11"/>
  <c r="M9" i="11" s="1"/>
  <c r="P15" i="12"/>
  <c r="G8" i="12"/>
  <c r="G14" i="12"/>
  <c r="G11" i="12"/>
  <c r="G9" i="12"/>
  <c r="G12" i="12"/>
  <c r="G6" i="12"/>
  <c r="G7" i="12"/>
  <c r="G13" i="12"/>
  <c r="G10" i="12"/>
  <c r="L14" i="11"/>
  <c r="K14" i="11"/>
  <c r="M14" i="11" s="1"/>
  <c r="T10" i="13"/>
  <c r="R20" i="13"/>
  <c r="R21" i="13"/>
  <c r="R22" i="13"/>
  <c r="R36" i="13"/>
  <c r="BM11" i="13"/>
  <c r="R19" i="13"/>
  <c r="W23" i="13"/>
  <c r="X23" i="13"/>
  <c r="R26" i="13"/>
  <c r="P6" i="13"/>
  <c r="BM6" i="13"/>
  <c r="BO38" i="13"/>
  <c r="U8" i="13"/>
  <c r="W10" i="13"/>
  <c r="R11" i="13"/>
  <c r="R18" i="13"/>
  <c r="R29" i="13"/>
  <c r="T6" i="13"/>
  <c r="U18" i="13"/>
  <c r="T18" i="13"/>
  <c r="P25" i="13"/>
  <c r="I11" i="11"/>
  <c r="J11" i="11" s="1"/>
  <c r="W8" i="13"/>
  <c r="T11" i="13"/>
  <c r="H13" i="11"/>
  <c r="R13" i="13"/>
  <c r="BM13" i="13"/>
  <c r="R35" i="13"/>
  <c r="R32" i="13"/>
  <c r="R16" i="13"/>
  <c r="R34" i="13"/>
  <c r="R31" i="13"/>
  <c r="R15" i="13"/>
  <c r="R33" i="13"/>
  <c r="R17" i="13"/>
  <c r="R8" i="13"/>
  <c r="R9" i="13"/>
  <c r="X29" i="13"/>
  <c r="W29" i="13"/>
  <c r="R24" i="13"/>
  <c r="BM24" i="13"/>
  <c r="R7" i="13"/>
  <c r="T9" i="13"/>
  <c r="R12" i="13"/>
  <c r="R28" i="13"/>
  <c r="R37" i="13"/>
  <c r="H8" i="11"/>
  <c r="I8" i="11"/>
  <c r="H10" i="11"/>
  <c r="O15" i="12"/>
  <c r="T28" i="13"/>
  <c r="U28" i="13"/>
  <c r="I10" i="11"/>
  <c r="W9" i="13"/>
  <c r="BM10" i="13"/>
  <c r="W13" i="13"/>
  <c r="R14" i="13"/>
  <c r="BM14" i="13"/>
  <c r="R23" i="13"/>
  <c r="I6" i="11"/>
  <c r="J6" i="11" s="1"/>
  <c r="H12" i="11"/>
  <c r="J12" i="11" s="1"/>
  <c r="U12" i="13"/>
  <c r="R27" i="13"/>
  <c r="U34" i="13"/>
  <c r="T34" i="13"/>
  <c r="C56" i="10"/>
  <c r="P8" i="13" s="1"/>
  <c r="R30" i="13"/>
  <c r="BM30" i="13"/>
  <c r="P30" i="13"/>
  <c r="W37" i="13"/>
  <c r="T17" i="13"/>
  <c r="BM22" i="13"/>
  <c r="W28" i="13"/>
  <c r="T33" i="13"/>
  <c r="W19" i="13"/>
  <c r="T24" i="13"/>
  <c r="BM29" i="13"/>
  <c r="W35" i="13"/>
  <c r="P36" i="13"/>
  <c r="T15" i="13"/>
  <c r="BM20" i="13"/>
  <c r="W26" i="13"/>
  <c r="T31" i="13"/>
  <c r="BM36" i="13"/>
  <c r="W17" i="13"/>
  <c r="BM27" i="13"/>
  <c r="BM23" i="13"/>
  <c r="W20" i="13"/>
  <c r="T25" i="13"/>
  <c r="W36" i="13"/>
  <c r="P37" i="13"/>
  <c r="BM21" i="13"/>
  <c r="W27" i="13"/>
  <c r="T32" i="13"/>
  <c r="BM37" i="13"/>
  <c r="W18" i="13"/>
  <c r="BM28" i="13"/>
  <c r="J13" i="11" l="1"/>
  <c r="P27" i="13"/>
  <c r="J10" i="11"/>
  <c r="K11" i="11"/>
  <c r="L11" i="11"/>
  <c r="L6" i="11"/>
  <c r="K6" i="11"/>
  <c r="P11" i="13"/>
  <c r="K13" i="11"/>
  <c r="L13" i="11"/>
  <c r="P33" i="13"/>
  <c r="P35" i="13"/>
  <c r="P19" i="13"/>
  <c r="P32" i="13"/>
  <c r="P34" i="13"/>
  <c r="P22" i="13"/>
  <c r="P31" i="13"/>
  <c r="P15" i="13"/>
  <c r="P23" i="13"/>
  <c r="P14" i="13"/>
  <c r="P12" i="13"/>
  <c r="P7" i="13"/>
  <c r="P17" i="13"/>
  <c r="P16" i="13"/>
  <c r="P21" i="13"/>
  <c r="D29" i="13"/>
  <c r="D15" i="13"/>
  <c r="D24" i="13"/>
  <c r="D17" i="13"/>
  <c r="D26" i="13"/>
  <c r="D19" i="13"/>
  <c r="D23" i="13"/>
  <c r="D16" i="13"/>
  <c r="D25" i="13"/>
  <c r="D18" i="13"/>
  <c r="D27" i="13"/>
  <c r="D20" i="13"/>
  <c r="D21" i="13"/>
  <c r="N9" i="11"/>
  <c r="O9" i="11" s="1"/>
  <c r="I14" i="13"/>
  <c r="D22" i="13"/>
  <c r="D28" i="13"/>
  <c r="I12" i="13"/>
  <c r="F9" i="12"/>
  <c r="I13" i="13"/>
  <c r="I11" i="13"/>
  <c r="P20" i="13"/>
  <c r="P10" i="13"/>
  <c r="L12" i="11"/>
  <c r="K12" i="11"/>
  <c r="M12" i="11" s="1"/>
  <c r="P13" i="13"/>
  <c r="I6" i="13"/>
  <c r="D8" i="13"/>
  <c r="D10" i="13"/>
  <c r="F7" i="12"/>
  <c r="N7" i="11"/>
  <c r="O7" i="11" s="1"/>
  <c r="I7" i="13"/>
  <c r="D9" i="13"/>
  <c r="K10" i="11"/>
  <c r="L10" i="11"/>
  <c r="J8" i="11"/>
  <c r="P26" i="13"/>
  <c r="I37" i="13"/>
  <c r="N14" i="11"/>
  <c r="O14" i="11" s="1"/>
  <c r="F14" i="12"/>
  <c r="P18" i="13"/>
  <c r="P29" i="13"/>
  <c r="P28" i="13"/>
  <c r="P24" i="13"/>
  <c r="P9" i="13"/>
  <c r="M13" i="11" l="1"/>
  <c r="I14" i="12"/>
  <c r="J14" i="12" s="1"/>
  <c r="M14" i="12" s="1"/>
  <c r="H14" i="12"/>
  <c r="N14" i="12" s="1"/>
  <c r="M6" i="11"/>
  <c r="I33" i="13"/>
  <c r="I35" i="13"/>
  <c r="D37" i="13"/>
  <c r="I34" i="13"/>
  <c r="I36" i="13"/>
  <c r="N13" i="11"/>
  <c r="O13" i="11" s="1"/>
  <c r="F13" i="12"/>
  <c r="AR28" i="13"/>
  <c r="AQ28" i="13"/>
  <c r="Z28" i="13"/>
  <c r="BD28" i="13"/>
  <c r="BC28" i="13"/>
  <c r="D33" i="13"/>
  <c r="I26" i="13"/>
  <c r="D35" i="13"/>
  <c r="I28" i="13"/>
  <c r="AL28" i="13" s="1"/>
  <c r="I25" i="13"/>
  <c r="Z25" i="13" s="1"/>
  <c r="D34" i="13"/>
  <c r="I27" i="13"/>
  <c r="AQ27" i="13" s="1"/>
  <c r="D36" i="13"/>
  <c r="I29" i="13"/>
  <c r="BD29" i="13" s="1"/>
  <c r="N12" i="11"/>
  <c r="O12" i="11" s="1"/>
  <c r="F12" i="12"/>
  <c r="Y25" i="13"/>
  <c r="BC25" i="13"/>
  <c r="AL25" i="13"/>
  <c r="M10" i="11"/>
  <c r="L8" i="11"/>
  <c r="K8" i="11"/>
  <c r="M8" i="11" s="1"/>
  <c r="I9" i="12"/>
  <c r="J9" i="12" s="1"/>
  <c r="M9" i="12" s="1"/>
  <c r="H9" i="12"/>
  <c r="AX37" i="13"/>
  <c r="I7" i="12"/>
  <c r="J7" i="12" s="1"/>
  <c r="M7" i="12" s="1"/>
  <c r="H7" i="12"/>
  <c r="AR27" i="13"/>
  <c r="Z27" i="13"/>
  <c r="M11" i="11"/>
  <c r="AL29" i="13" l="1"/>
  <c r="BD27" i="13"/>
  <c r="AK27" i="13"/>
  <c r="AL27" i="13"/>
  <c r="Y27" i="13"/>
  <c r="AR29" i="13"/>
  <c r="BC27" i="13"/>
  <c r="Z29" i="13"/>
  <c r="AQ29" i="13"/>
  <c r="Y29" i="13"/>
  <c r="AC29" i="13" s="1"/>
  <c r="AQ25" i="13"/>
  <c r="AK28" i="13"/>
  <c r="AP28" i="13" s="1"/>
  <c r="AK29" i="13"/>
  <c r="AN29" i="13" s="1"/>
  <c r="BC29" i="13"/>
  <c r="BH29" i="13" s="1"/>
  <c r="AR25" i="13"/>
  <c r="AV25" i="13" s="1"/>
  <c r="AD25" i="13"/>
  <c r="AA25" i="13"/>
  <c r="AK37" i="13"/>
  <c r="AR37" i="13"/>
  <c r="AQ37" i="13"/>
  <c r="Z37" i="13"/>
  <c r="Y37" i="13"/>
  <c r="BD37" i="13"/>
  <c r="BC37" i="13"/>
  <c r="AL37" i="13"/>
  <c r="AM25" i="13"/>
  <c r="AE35" i="13"/>
  <c r="AF35" i="13"/>
  <c r="AW35" i="13"/>
  <c r="AX35" i="13"/>
  <c r="AA28" i="13"/>
  <c r="BE29" i="13"/>
  <c r="AW33" i="13"/>
  <c r="AX33" i="13"/>
  <c r="AF33" i="13"/>
  <c r="AE33" i="13"/>
  <c r="AU28" i="13"/>
  <c r="AT28" i="13"/>
  <c r="D6" i="13"/>
  <c r="N6" i="11"/>
  <c r="O6" i="11" s="1"/>
  <c r="F6" i="12"/>
  <c r="D7" i="13"/>
  <c r="AS29" i="13"/>
  <c r="AV29" i="13"/>
  <c r="AE26" i="13"/>
  <c r="AF26" i="13"/>
  <c r="AW26" i="13"/>
  <c r="AX26" i="13"/>
  <c r="N7" i="12"/>
  <c r="BC26" i="13"/>
  <c r="AX34" i="13"/>
  <c r="AW34" i="13"/>
  <c r="AE34" i="13"/>
  <c r="AF34" i="13"/>
  <c r="AV28" i="13"/>
  <c r="AS28" i="13"/>
  <c r="AA29" i="13"/>
  <c r="AD29" i="13"/>
  <c r="Y26" i="13"/>
  <c r="AW37" i="13"/>
  <c r="BB37" i="13" s="1"/>
  <c r="I12" i="12"/>
  <c r="J12" i="12" s="1"/>
  <c r="M12" i="12" s="1"/>
  <c r="H12" i="12"/>
  <c r="AC25" i="13"/>
  <c r="AB25" i="13"/>
  <c r="I30" i="13"/>
  <c r="I32" i="13"/>
  <c r="F11" i="12"/>
  <c r="I31" i="13"/>
  <c r="N11" i="11"/>
  <c r="O11" i="11" s="1"/>
  <c r="AU27" i="13"/>
  <c r="AT27" i="13"/>
  <c r="AK26" i="13"/>
  <c r="AL26" i="13"/>
  <c r="Z26" i="13"/>
  <c r="AF37" i="13"/>
  <c r="AA27" i="13"/>
  <c r="AD27" i="13"/>
  <c r="AR26" i="13"/>
  <c r="AE37" i="13"/>
  <c r="AE29" i="13"/>
  <c r="AF29" i="13"/>
  <c r="AW29" i="13"/>
  <c r="AX29" i="13"/>
  <c r="AQ35" i="13"/>
  <c r="Z35" i="13"/>
  <c r="Y35" i="13"/>
  <c r="BD35" i="13"/>
  <c r="BC35" i="13"/>
  <c r="AL35" i="13"/>
  <c r="AK35" i="13"/>
  <c r="AR35" i="13"/>
  <c r="AY37" i="13"/>
  <c r="AV27" i="13"/>
  <c r="AS27" i="13"/>
  <c r="BD25" i="13"/>
  <c r="AR36" i="13"/>
  <c r="AQ36" i="13"/>
  <c r="Z36" i="13"/>
  <c r="Y36" i="13"/>
  <c r="BD36" i="13"/>
  <c r="BC36" i="13"/>
  <c r="AL36" i="13"/>
  <c r="AK36" i="13"/>
  <c r="AO28" i="13"/>
  <c r="AN28" i="13"/>
  <c r="AC27" i="13"/>
  <c r="AB27" i="13"/>
  <c r="AO29" i="13"/>
  <c r="AO27" i="13"/>
  <c r="AN27" i="13"/>
  <c r="AF27" i="13"/>
  <c r="AE27" i="13"/>
  <c r="AX27" i="13"/>
  <c r="AW27" i="13"/>
  <c r="AM28" i="13"/>
  <c r="Z34" i="13"/>
  <c r="Y34" i="13"/>
  <c r="BD34" i="13"/>
  <c r="BC34" i="13"/>
  <c r="AL34" i="13"/>
  <c r="AK34" i="13"/>
  <c r="AR34" i="13"/>
  <c r="AQ34" i="13"/>
  <c r="BG28" i="13"/>
  <c r="BF28" i="13"/>
  <c r="I13" i="12"/>
  <c r="J13" i="12" s="1"/>
  <c r="M13" i="12" s="1"/>
  <c r="H13" i="12"/>
  <c r="N13" i="12" s="1"/>
  <c r="BG25" i="13"/>
  <c r="BF25" i="13"/>
  <c r="AQ26" i="13"/>
  <c r="AU29" i="13"/>
  <c r="AT29" i="13"/>
  <c r="AS25" i="13"/>
  <c r="AW25" i="13"/>
  <c r="AX25" i="13"/>
  <c r="AF25" i="13"/>
  <c r="AE25" i="13"/>
  <c r="BH28" i="13"/>
  <c r="BE28" i="13"/>
  <c r="D13" i="13"/>
  <c r="D14" i="13"/>
  <c r="F8" i="12"/>
  <c r="I8" i="13"/>
  <c r="I10" i="13"/>
  <c r="D12" i="13"/>
  <c r="D11" i="13"/>
  <c r="N8" i="11"/>
  <c r="O8" i="11" s="1"/>
  <c r="I9" i="13"/>
  <c r="AR33" i="13"/>
  <c r="AQ33" i="13"/>
  <c r="Y33" i="13"/>
  <c r="BD33" i="13"/>
  <c r="BC33" i="13"/>
  <c r="AL33" i="13"/>
  <c r="AK33" i="13"/>
  <c r="Z33" i="13"/>
  <c r="BD26" i="13"/>
  <c r="AM27" i="13"/>
  <c r="AP27" i="13"/>
  <c r="BG27" i="13"/>
  <c r="BF27" i="13"/>
  <c r="BE27" i="13"/>
  <c r="BH27" i="13"/>
  <c r="N9" i="12"/>
  <c r="AP29" i="13"/>
  <c r="AM29" i="13"/>
  <c r="I22" i="13"/>
  <c r="D31" i="13"/>
  <c r="I24" i="13"/>
  <c r="I17" i="13"/>
  <c r="I19" i="13"/>
  <c r="D30" i="13"/>
  <c r="I23" i="13"/>
  <c r="I16" i="13"/>
  <c r="D32" i="13"/>
  <c r="I18" i="13"/>
  <c r="I20" i="13"/>
  <c r="F10" i="12"/>
  <c r="I21" i="13"/>
  <c r="N10" i="11"/>
  <c r="O10" i="11" s="1"/>
  <c r="I15" i="13"/>
  <c r="AK25" i="13"/>
  <c r="AP25" i="13" s="1"/>
  <c r="AX28" i="13"/>
  <c r="AF28" i="13"/>
  <c r="AW28" i="13"/>
  <c r="AE28" i="13"/>
  <c r="Y28" i="13"/>
  <c r="AE36" i="13"/>
  <c r="AF36" i="13"/>
  <c r="AW36" i="13"/>
  <c r="AX36" i="13"/>
  <c r="AB29" i="13" l="1"/>
  <c r="AT25" i="13"/>
  <c r="AU25" i="13"/>
  <c r="BG29" i="13"/>
  <c r="BF29" i="13"/>
  <c r="AQ11" i="13"/>
  <c r="Y11" i="13"/>
  <c r="AL11" i="13"/>
  <c r="Z11" i="13"/>
  <c r="AR11" i="13"/>
  <c r="BC11" i="13"/>
  <c r="AK11" i="13"/>
  <c r="BD11" i="13"/>
  <c r="AE11" i="13"/>
  <c r="AF11" i="13"/>
  <c r="AW11" i="13"/>
  <c r="AX11" i="13"/>
  <c r="AO35" i="13"/>
  <c r="AN35" i="13"/>
  <c r="AD26" i="13"/>
  <c r="AA26" i="13"/>
  <c r="BC7" i="13"/>
  <c r="AL7" i="13"/>
  <c r="AK7" i="13"/>
  <c r="AQ7" i="13"/>
  <c r="Z7" i="13"/>
  <c r="BD7" i="13"/>
  <c r="AR7" i="13"/>
  <c r="Y7" i="13"/>
  <c r="AX7" i="13"/>
  <c r="AW7" i="13"/>
  <c r="AE7" i="13"/>
  <c r="AF7" i="13"/>
  <c r="AY35" i="13"/>
  <c r="BB35" i="13"/>
  <c r="AP26" i="13"/>
  <c r="AM26" i="13"/>
  <c r="AE18" i="13"/>
  <c r="AW18" i="13"/>
  <c r="AF18" i="13"/>
  <c r="AX18" i="13"/>
  <c r="Z18" i="13"/>
  <c r="AR18" i="13"/>
  <c r="Y18" i="13"/>
  <c r="BD18" i="13"/>
  <c r="BC18" i="13"/>
  <c r="AL18" i="13"/>
  <c r="AK18" i="13"/>
  <c r="AQ18" i="13"/>
  <c r="BD32" i="13"/>
  <c r="BC32" i="13"/>
  <c r="AL32" i="13"/>
  <c r="AK32" i="13"/>
  <c r="AR32" i="13"/>
  <c r="AQ32" i="13"/>
  <c r="Z32" i="13"/>
  <c r="Y32" i="13"/>
  <c r="AR6" i="13"/>
  <c r="AQ6" i="13"/>
  <c r="Z6" i="13"/>
  <c r="Y6" i="13"/>
  <c r="BD6" i="13"/>
  <c r="BC6" i="13"/>
  <c r="AL6" i="13"/>
  <c r="AK6" i="13"/>
  <c r="AE6" i="13"/>
  <c r="AX6" i="13"/>
  <c r="AW6" i="13"/>
  <c r="AF6" i="13"/>
  <c r="AI35" i="13"/>
  <c r="AH35" i="13"/>
  <c r="AU26" i="13"/>
  <c r="AT26" i="13"/>
  <c r="H8" i="12"/>
  <c r="I8" i="12"/>
  <c r="J8" i="12" s="1"/>
  <c r="M8" i="12" s="1"/>
  <c r="BG36" i="13"/>
  <c r="BF36" i="13"/>
  <c r="AC35" i="13"/>
  <c r="AB35" i="13"/>
  <c r="AJ34" i="13"/>
  <c r="AG34" i="13"/>
  <c r="H6" i="12"/>
  <c r="I6" i="12"/>
  <c r="J6" i="12" s="1"/>
  <c r="M6" i="12" s="1"/>
  <c r="AH34" i="13"/>
  <c r="AI34" i="13"/>
  <c r="AQ12" i="13"/>
  <c r="Z12" i="13"/>
  <c r="Y12" i="13"/>
  <c r="BD12" i="13"/>
  <c r="BC12" i="13"/>
  <c r="AR12" i="13"/>
  <c r="AL12" i="13"/>
  <c r="AK12" i="13"/>
  <c r="AF12" i="13"/>
  <c r="AW12" i="13"/>
  <c r="AE12" i="13"/>
  <c r="AX12" i="13"/>
  <c r="BG35" i="13"/>
  <c r="BF35" i="13"/>
  <c r="BE35" i="13"/>
  <c r="BH35" i="13"/>
  <c r="BA27" i="13"/>
  <c r="AZ27" i="13"/>
  <c r="AB36" i="13"/>
  <c r="AC36" i="13"/>
  <c r="AU35" i="13"/>
  <c r="AT35" i="13"/>
  <c r="AX31" i="13"/>
  <c r="AW31" i="13"/>
  <c r="AE31" i="13"/>
  <c r="AF31" i="13"/>
  <c r="BA34" i="13"/>
  <c r="AZ34" i="13"/>
  <c r="AP37" i="13"/>
  <c r="AM37" i="13"/>
  <c r="AJ36" i="13"/>
  <c r="AG36" i="13"/>
  <c r="AF19" i="13"/>
  <c r="AE19" i="13"/>
  <c r="AW19" i="13"/>
  <c r="AX19" i="13"/>
  <c r="Z19" i="13"/>
  <c r="Y19" i="13"/>
  <c r="AK19" i="13"/>
  <c r="BD19" i="13"/>
  <c r="BC19" i="13"/>
  <c r="AQ19" i="13"/>
  <c r="AL19" i="13"/>
  <c r="AR19" i="13"/>
  <c r="AA36" i="13"/>
  <c r="AD36" i="13"/>
  <c r="AY29" i="13"/>
  <c r="BB29" i="13"/>
  <c r="I11" i="12"/>
  <c r="J11" i="12" s="1"/>
  <c r="M11" i="12" s="1"/>
  <c r="H11" i="12"/>
  <c r="N11" i="12" s="1"/>
  <c r="BB34" i="13"/>
  <c r="AY34" i="13"/>
  <c r="BG37" i="13"/>
  <c r="BF37" i="13"/>
  <c r="AD33" i="13"/>
  <c r="AA33" i="13"/>
  <c r="AU34" i="13"/>
  <c r="AT34" i="13"/>
  <c r="AU36" i="13"/>
  <c r="AT36" i="13"/>
  <c r="BA29" i="13"/>
  <c r="AZ29" i="13"/>
  <c r="AW32" i="13"/>
  <c r="AX32" i="13"/>
  <c r="AE32" i="13"/>
  <c r="AF32" i="13"/>
  <c r="BF26" i="13"/>
  <c r="BG26" i="13"/>
  <c r="AI33" i="13"/>
  <c r="AH33" i="13"/>
  <c r="BH37" i="13"/>
  <c r="BE37" i="13"/>
  <c r="BA35" i="13"/>
  <c r="AZ35" i="13"/>
  <c r="AI36" i="13"/>
  <c r="AH36" i="13"/>
  <c r="AV34" i="13"/>
  <c r="AS34" i="13"/>
  <c r="AG27" i="13"/>
  <c r="AJ27" i="13"/>
  <c r="AV36" i="13"/>
  <c r="AS36" i="13"/>
  <c r="AJ29" i="13"/>
  <c r="BL29" i="13" s="1"/>
  <c r="AG29" i="13"/>
  <c r="BI29" i="13" s="1"/>
  <c r="AF30" i="13"/>
  <c r="AW30" i="13"/>
  <c r="AE30" i="13"/>
  <c r="AX30" i="13"/>
  <c r="AG33" i="13"/>
  <c r="AJ33" i="13"/>
  <c r="AC37" i="13"/>
  <c r="AB37" i="13"/>
  <c r="AG35" i="13"/>
  <c r="AJ35" i="13"/>
  <c r="AF8" i="13"/>
  <c r="AE8" i="13"/>
  <c r="AW8" i="13"/>
  <c r="AX8" i="13"/>
  <c r="AR8" i="13"/>
  <c r="AQ8" i="13"/>
  <c r="Z8" i="13"/>
  <c r="Y8" i="13"/>
  <c r="BD8" i="13"/>
  <c r="BC8" i="13"/>
  <c r="AL8" i="13"/>
  <c r="AK8" i="13"/>
  <c r="AF16" i="13"/>
  <c r="AW16" i="13"/>
  <c r="AE16" i="13"/>
  <c r="AX16" i="13"/>
  <c r="Z16" i="13"/>
  <c r="BD16" i="13"/>
  <c r="AL16" i="13"/>
  <c r="AK16" i="13"/>
  <c r="AR16" i="13"/>
  <c r="AQ16" i="13"/>
  <c r="Y16" i="13"/>
  <c r="BC16" i="13"/>
  <c r="AL14" i="13"/>
  <c r="AR14" i="13"/>
  <c r="AQ14" i="13"/>
  <c r="Z14" i="13"/>
  <c r="Y14" i="13"/>
  <c r="BC14" i="13"/>
  <c r="BD14" i="13"/>
  <c r="AK14" i="13"/>
  <c r="AX14" i="13"/>
  <c r="AF14" i="13"/>
  <c r="AE14" i="13"/>
  <c r="AW14" i="13"/>
  <c r="AO33" i="13"/>
  <c r="AN33" i="13"/>
  <c r="AF17" i="13"/>
  <c r="AE17" i="13"/>
  <c r="AW17" i="13"/>
  <c r="AX17" i="13"/>
  <c r="BD17" i="13"/>
  <c r="AQ17" i="13"/>
  <c r="BC17" i="13"/>
  <c r="AL17" i="13"/>
  <c r="AR17" i="13"/>
  <c r="AK17" i="13"/>
  <c r="Z17" i="13"/>
  <c r="Y17" i="13"/>
  <c r="AW24" i="13"/>
  <c r="AX24" i="13"/>
  <c r="AF24" i="13"/>
  <c r="AE24" i="13"/>
  <c r="Z24" i="13"/>
  <c r="BC24" i="13"/>
  <c r="Y24" i="13"/>
  <c r="AR24" i="13"/>
  <c r="AK24" i="13"/>
  <c r="AQ24" i="13"/>
  <c r="AL24" i="13"/>
  <c r="BD24" i="13"/>
  <c r="BH33" i="13"/>
  <c r="BE33" i="13"/>
  <c r="AJ25" i="13"/>
  <c r="AG25" i="13"/>
  <c r="AO34" i="13"/>
  <c r="AN34" i="13"/>
  <c r="BE25" i="13"/>
  <c r="BH25" i="13"/>
  <c r="AI29" i="13"/>
  <c r="BK29" i="13" s="1"/>
  <c r="AH29" i="13"/>
  <c r="BJ29" i="13" s="1"/>
  <c r="BB26" i="13"/>
  <c r="AY26" i="13"/>
  <c r="BB33" i="13"/>
  <c r="AY33" i="13"/>
  <c r="AD37" i="13"/>
  <c r="BL37" i="13" s="1"/>
  <c r="AA37" i="13"/>
  <c r="BB36" i="13"/>
  <c r="AY36" i="13"/>
  <c r="AP36" i="13"/>
  <c r="AM36" i="13"/>
  <c r="AB28" i="13"/>
  <c r="AC28" i="13"/>
  <c r="BB27" i="13"/>
  <c r="AY27" i="13"/>
  <c r="BI27" i="13" s="1"/>
  <c r="AI25" i="13"/>
  <c r="AH25" i="13"/>
  <c r="BB28" i="13"/>
  <c r="AY28" i="13"/>
  <c r="BI28" i="13" s="1"/>
  <c r="AF22" i="13"/>
  <c r="AE22" i="13"/>
  <c r="AW22" i="13"/>
  <c r="AX22" i="13"/>
  <c r="AQ22" i="13"/>
  <c r="Z22" i="13"/>
  <c r="Y22" i="13"/>
  <c r="BD22" i="13"/>
  <c r="AL22" i="13"/>
  <c r="BC22" i="13"/>
  <c r="AK22" i="13"/>
  <c r="AR22" i="13"/>
  <c r="AC33" i="13"/>
  <c r="AB33" i="13"/>
  <c r="BB25" i="13"/>
  <c r="BL25" i="13" s="1"/>
  <c r="AY25" i="13"/>
  <c r="BI25" i="13" s="1"/>
  <c r="AP34" i="13"/>
  <c r="AM34" i="13"/>
  <c r="AI37" i="13"/>
  <c r="AH37" i="13"/>
  <c r="BA26" i="13"/>
  <c r="AZ26" i="13"/>
  <c r="BA33" i="13"/>
  <c r="AZ33" i="13"/>
  <c r="AU37" i="13"/>
  <c r="AT37" i="13"/>
  <c r="AO26" i="13"/>
  <c r="AN26" i="13"/>
  <c r="AD35" i="13"/>
  <c r="AA35" i="13"/>
  <c r="AH28" i="13"/>
  <c r="AI28" i="13"/>
  <c r="BG33" i="13"/>
  <c r="BF33" i="13"/>
  <c r="AR31" i="13"/>
  <c r="AQ31" i="13"/>
  <c r="Z31" i="13"/>
  <c r="Y31" i="13"/>
  <c r="BC31" i="13"/>
  <c r="AL31" i="13"/>
  <c r="AK31" i="13"/>
  <c r="BD31" i="13"/>
  <c r="AO25" i="13"/>
  <c r="AN25" i="13"/>
  <c r="AU33" i="13"/>
  <c r="AT33" i="13"/>
  <c r="BA25" i="13"/>
  <c r="AZ25" i="13"/>
  <c r="BF34" i="13"/>
  <c r="BG34" i="13"/>
  <c r="AV26" i="13"/>
  <c r="AS26" i="13"/>
  <c r="N12" i="12"/>
  <c r="AJ26" i="13"/>
  <c r="AG26" i="13"/>
  <c r="AV37" i="13"/>
  <c r="AS37" i="13"/>
  <c r="AF20" i="13"/>
  <c r="AE20" i="13"/>
  <c r="AW20" i="13"/>
  <c r="AX20" i="13"/>
  <c r="BD20" i="13"/>
  <c r="Y20" i="13"/>
  <c r="BC20" i="13"/>
  <c r="AR20" i="13"/>
  <c r="AL20" i="13"/>
  <c r="AQ20" i="13"/>
  <c r="AK20" i="13"/>
  <c r="Z20" i="13"/>
  <c r="AO36" i="13"/>
  <c r="AN36" i="13"/>
  <c r="BH26" i="13"/>
  <c r="BE26" i="13"/>
  <c r="AZ28" i="13"/>
  <c r="BA28" i="13"/>
  <c r="AX15" i="13"/>
  <c r="AW15" i="13"/>
  <c r="AE15" i="13"/>
  <c r="AF15" i="13"/>
  <c r="AR15" i="13"/>
  <c r="AQ15" i="13"/>
  <c r="Z15" i="13"/>
  <c r="Y15" i="13"/>
  <c r="AL15" i="13"/>
  <c r="AK15" i="13"/>
  <c r="BD15" i="13"/>
  <c r="BC15" i="13"/>
  <c r="AV33" i="13"/>
  <c r="AS33" i="13"/>
  <c r="BE34" i="13"/>
  <c r="BH34" i="13"/>
  <c r="BL27" i="13"/>
  <c r="AH26" i="13"/>
  <c r="AI26" i="13"/>
  <c r="AO37" i="13"/>
  <c r="AN37" i="13"/>
  <c r="AE23" i="13"/>
  <c r="AF23" i="13"/>
  <c r="AW23" i="13"/>
  <c r="AX23" i="13"/>
  <c r="Y23" i="13"/>
  <c r="Z23" i="13"/>
  <c r="BD23" i="13"/>
  <c r="AL23" i="13"/>
  <c r="AR23" i="13"/>
  <c r="BC23" i="13"/>
  <c r="AK23" i="13"/>
  <c r="AQ23" i="13"/>
  <c r="AL30" i="13"/>
  <c r="AR30" i="13"/>
  <c r="AQ30" i="13"/>
  <c r="Z30" i="13"/>
  <c r="Y30" i="13"/>
  <c r="BD30" i="13"/>
  <c r="BC30" i="13"/>
  <c r="AK30" i="13"/>
  <c r="AI27" i="13"/>
  <c r="AH27" i="13"/>
  <c r="AJ28" i="13"/>
  <c r="AG28" i="13"/>
  <c r="AE9" i="13"/>
  <c r="AF9" i="13"/>
  <c r="AW9" i="13"/>
  <c r="AX9" i="13"/>
  <c r="Y9" i="13"/>
  <c r="AR9" i="13"/>
  <c r="BD9" i="13"/>
  <c r="BC9" i="13"/>
  <c r="AL9" i="13"/>
  <c r="AK9" i="13"/>
  <c r="AQ9" i="13"/>
  <c r="Z9" i="13"/>
  <c r="AC34" i="13"/>
  <c r="AB34" i="13"/>
  <c r="BJ27" i="13"/>
  <c r="BA37" i="13"/>
  <c r="AZ37" i="13"/>
  <c r="I10" i="12"/>
  <c r="J10" i="12" s="1"/>
  <c r="M10" i="12" s="1"/>
  <c r="H10" i="12"/>
  <c r="N10" i="12" s="1"/>
  <c r="AP35" i="13"/>
  <c r="AM35" i="13"/>
  <c r="AF10" i="13"/>
  <c r="AE10" i="13"/>
  <c r="AW10" i="13"/>
  <c r="AX10" i="13"/>
  <c r="Z10" i="13"/>
  <c r="BD10" i="13"/>
  <c r="AL10" i="13"/>
  <c r="AR10" i="13"/>
  <c r="AQ10" i="13"/>
  <c r="Y10" i="13"/>
  <c r="BC10" i="13"/>
  <c r="AK10" i="13"/>
  <c r="AZ36" i="13"/>
  <c r="BA36" i="13"/>
  <c r="BH36" i="13"/>
  <c r="BE36" i="13"/>
  <c r="AQ13" i="13"/>
  <c r="Y13" i="13"/>
  <c r="BD13" i="13"/>
  <c r="Z13" i="13"/>
  <c r="BC13" i="13"/>
  <c r="AR13" i="13"/>
  <c r="AL13" i="13"/>
  <c r="AK13" i="13"/>
  <c r="AW13" i="13"/>
  <c r="AX13" i="13"/>
  <c r="AF13" i="13"/>
  <c r="AE13" i="13"/>
  <c r="AM33" i="13"/>
  <c r="AP33" i="13"/>
  <c r="AX21" i="13"/>
  <c r="AE21" i="13"/>
  <c r="AF21" i="13"/>
  <c r="AW21" i="13"/>
  <c r="AL21" i="13"/>
  <c r="AK21" i="13"/>
  <c r="AR21" i="13"/>
  <c r="Z21" i="13"/>
  <c r="Y21" i="13"/>
  <c r="AQ21" i="13"/>
  <c r="BD21" i="13"/>
  <c r="BC21" i="13"/>
  <c r="AD34" i="13"/>
  <c r="AA34" i="13"/>
  <c r="BK27" i="13"/>
  <c r="AV35" i="13"/>
  <c r="AS35" i="13"/>
  <c r="AJ37" i="13"/>
  <c r="AG37" i="13"/>
  <c r="AC26" i="13"/>
  <c r="BK26" i="13" s="1"/>
  <c r="AB26" i="13"/>
  <c r="AD28" i="13"/>
  <c r="BK25" i="13" l="1"/>
  <c r="BJ25" i="13"/>
  <c r="BI26" i="13"/>
  <c r="BJ37" i="13"/>
  <c r="BN29" i="13"/>
  <c r="BA16" i="13"/>
  <c r="AZ16" i="13"/>
  <c r="AT13" i="13"/>
  <c r="AU13" i="13"/>
  <c r="AV20" i="13"/>
  <c r="AS20" i="13"/>
  <c r="AP24" i="13"/>
  <c r="AM24" i="13"/>
  <c r="AS15" i="13"/>
  <c r="AV15" i="13"/>
  <c r="AJ22" i="13"/>
  <c r="AG22" i="13"/>
  <c r="AT24" i="13"/>
  <c r="AU24" i="13"/>
  <c r="AU17" i="13"/>
  <c r="AT17" i="13"/>
  <c r="AA14" i="13"/>
  <c r="AD14" i="13"/>
  <c r="AO8" i="13"/>
  <c r="AN8" i="13"/>
  <c r="AU19" i="13"/>
  <c r="AT19" i="13"/>
  <c r="AH12" i="13"/>
  <c r="AI12" i="13"/>
  <c r="AI6" i="13"/>
  <c r="AH6" i="13"/>
  <c r="BH32" i="13"/>
  <c r="BE32" i="13"/>
  <c r="BA22" i="13"/>
  <c r="AZ22" i="13"/>
  <c r="AV19" i="13"/>
  <c r="AS19" i="13"/>
  <c r="AY21" i="13"/>
  <c r="BB21" i="13"/>
  <c r="BE9" i="13"/>
  <c r="BH9" i="13"/>
  <c r="AT30" i="13"/>
  <c r="AU30" i="13"/>
  <c r="AJ15" i="13"/>
  <c r="AG15" i="13"/>
  <c r="AB20" i="13"/>
  <c r="AC20" i="13"/>
  <c r="AN24" i="13"/>
  <c r="AO24" i="13"/>
  <c r="BH17" i="13"/>
  <c r="BE17" i="13"/>
  <c r="AU14" i="13"/>
  <c r="AT14" i="13"/>
  <c r="AP8" i="13"/>
  <c r="AM8" i="13"/>
  <c r="BF19" i="13"/>
  <c r="BG19" i="13"/>
  <c r="AJ31" i="13"/>
  <c r="AG31" i="13"/>
  <c r="AZ12" i="13"/>
  <c r="BA12" i="13"/>
  <c r="AO6" i="13"/>
  <c r="AN6" i="13"/>
  <c r="AU18" i="13"/>
  <c r="AT18" i="13"/>
  <c r="AJ7" i="13"/>
  <c r="AG7" i="13"/>
  <c r="AI23" i="13"/>
  <c r="AH23" i="13"/>
  <c r="AJ16" i="13"/>
  <c r="AG16" i="13"/>
  <c r="BF20" i="13"/>
  <c r="BG20" i="13"/>
  <c r="AV9" i="13"/>
  <c r="AS9" i="13"/>
  <c r="AI15" i="13"/>
  <c r="AH15" i="13"/>
  <c r="BH20" i="13"/>
  <c r="BE20" i="13"/>
  <c r="BI35" i="13"/>
  <c r="AV24" i="13"/>
  <c r="AS24" i="13"/>
  <c r="BB17" i="13"/>
  <c r="AY17" i="13"/>
  <c r="AV14" i="13"/>
  <c r="AS14" i="13"/>
  <c r="BG8" i="13"/>
  <c r="BF8" i="13"/>
  <c r="BB30" i="13"/>
  <c r="AY30" i="13"/>
  <c r="BI33" i="13"/>
  <c r="BE19" i="13"/>
  <c r="BH19" i="13"/>
  <c r="AI31" i="13"/>
  <c r="AH31" i="13"/>
  <c r="AJ12" i="13"/>
  <c r="AG12" i="13"/>
  <c r="AP6" i="13"/>
  <c r="AM6" i="13"/>
  <c r="AN18" i="13"/>
  <c r="AO18" i="13"/>
  <c r="AI7" i="13"/>
  <c r="AH7" i="13"/>
  <c r="BB11" i="13"/>
  <c r="AY11" i="13"/>
  <c r="AC30" i="13"/>
  <c r="AB30" i="13"/>
  <c r="BG32" i="13"/>
  <c r="BF32" i="13"/>
  <c r="BB20" i="13"/>
  <c r="AY20" i="13"/>
  <c r="AC24" i="13"/>
  <c r="AB24" i="13"/>
  <c r="BA17" i="13"/>
  <c r="AZ17" i="13"/>
  <c r="AP14" i="13"/>
  <c r="AM14" i="13"/>
  <c r="BH8" i="13"/>
  <c r="BE8" i="13"/>
  <c r="AI30" i="13"/>
  <c r="AH30" i="13"/>
  <c r="BL33" i="13"/>
  <c r="AO19" i="13"/>
  <c r="AN19" i="13"/>
  <c r="BA31" i="13"/>
  <c r="AZ31" i="13"/>
  <c r="AO12" i="13"/>
  <c r="AN12" i="13"/>
  <c r="BJ35" i="13"/>
  <c r="BG6" i="13"/>
  <c r="BF6" i="13"/>
  <c r="AP18" i="13"/>
  <c r="AM18" i="13"/>
  <c r="BA7" i="13"/>
  <c r="AZ7" i="13"/>
  <c r="BA11" i="13"/>
  <c r="AZ11" i="13"/>
  <c r="AH10" i="13"/>
  <c r="AI10" i="13"/>
  <c r="BA6" i="13"/>
  <c r="AZ6" i="13"/>
  <c r="BG17" i="13"/>
  <c r="BF17" i="13"/>
  <c r="AI21" i="13"/>
  <c r="AH21" i="13"/>
  <c r="AU23" i="13"/>
  <c r="AT23" i="13"/>
  <c r="BB15" i="13"/>
  <c r="AY15" i="13"/>
  <c r="BA20" i="13"/>
  <c r="AZ20" i="13"/>
  <c r="BK33" i="13"/>
  <c r="BG24" i="13"/>
  <c r="BF24" i="13"/>
  <c r="AI17" i="13"/>
  <c r="AH17" i="13"/>
  <c r="BG16" i="13"/>
  <c r="BF16" i="13"/>
  <c r="AC8" i="13"/>
  <c r="AB8" i="13"/>
  <c r="AZ30" i="13"/>
  <c r="BA30" i="13"/>
  <c r="AC19" i="13"/>
  <c r="AB19" i="13"/>
  <c r="BB31" i="13"/>
  <c r="AY31" i="13"/>
  <c r="AP12" i="13"/>
  <c r="AM12" i="13"/>
  <c r="BK35" i="13"/>
  <c r="BH6" i="13"/>
  <c r="BE6" i="13"/>
  <c r="BF18" i="13"/>
  <c r="BG18" i="13"/>
  <c r="BB7" i="13"/>
  <c r="AY7" i="13"/>
  <c r="AG11" i="13"/>
  <c r="AJ11" i="13"/>
  <c r="AO9" i="13"/>
  <c r="AN9" i="13"/>
  <c r="AU15" i="13"/>
  <c r="AT15" i="13"/>
  <c r="BJ33" i="13"/>
  <c r="BN25" i="13"/>
  <c r="BA9" i="13"/>
  <c r="AZ9" i="13"/>
  <c r="AO23" i="13"/>
  <c r="AN23" i="13"/>
  <c r="AI20" i="13"/>
  <c r="AH20" i="13"/>
  <c r="AV22" i="13"/>
  <c r="AS22" i="13"/>
  <c r="AD24" i="13"/>
  <c r="AA24" i="13"/>
  <c r="AG17" i="13"/>
  <c r="AJ17" i="13"/>
  <c r="AC16" i="13"/>
  <c r="AB16" i="13"/>
  <c r="AD8" i="13"/>
  <c r="AA8" i="13"/>
  <c r="AJ30" i="13"/>
  <c r="AG30" i="13"/>
  <c r="AD19" i="13"/>
  <c r="AA19" i="13"/>
  <c r="AV12" i="13"/>
  <c r="AS12" i="13"/>
  <c r="AC6" i="13"/>
  <c r="AB6" i="13"/>
  <c r="BH18" i="13"/>
  <c r="BE18" i="13"/>
  <c r="AC7" i="13"/>
  <c r="AB7" i="13"/>
  <c r="AI11" i="13"/>
  <c r="AH11" i="13"/>
  <c r="BH30" i="13"/>
  <c r="BE30" i="13"/>
  <c r="AM17" i="13"/>
  <c r="AP17" i="13"/>
  <c r="BL26" i="13"/>
  <c r="AY13" i="13"/>
  <c r="BB13" i="13"/>
  <c r="AG20" i="13"/>
  <c r="AJ20" i="13"/>
  <c r="BH31" i="13"/>
  <c r="BE31" i="13"/>
  <c r="AO22" i="13"/>
  <c r="AN22" i="13"/>
  <c r="AI24" i="13"/>
  <c r="AH24" i="13"/>
  <c r="AU16" i="13"/>
  <c r="AT16" i="13"/>
  <c r="AU8" i="13"/>
  <c r="AT8" i="13"/>
  <c r="AY19" i="13"/>
  <c r="BB19" i="13"/>
  <c r="BG12" i="13"/>
  <c r="BF12" i="13"/>
  <c r="AD6" i="13"/>
  <c r="AA6" i="13"/>
  <c r="AC18" i="13"/>
  <c r="AB18" i="13"/>
  <c r="AV7" i="13"/>
  <c r="AS7" i="13"/>
  <c r="BE11" i="13"/>
  <c r="BH11" i="13"/>
  <c r="AJ23" i="13"/>
  <c r="AG23" i="13"/>
  <c r="AM9" i="13"/>
  <c r="AP9" i="13"/>
  <c r="BA15" i="13"/>
  <c r="AZ15" i="13"/>
  <c r="BI34" i="13"/>
  <c r="AU10" i="13"/>
  <c r="AT10" i="13"/>
  <c r="AI9" i="13"/>
  <c r="AH9" i="13"/>
  <c r="AS23" i="13"/>
  <c r="AV23" i="13"/>
  <c r="AO31" i="13"/>
  <c r="AN31" i="13"/>
  <c r="BG22" i="13"/>
  <c r="BF22" i="13"/>
  <c r="BK28" i="13"/>
  <c r="AJ24" i="13"/>
  <c r="AG24" i="13"/>
  <c r="AS16" i="13"/>
  <c r="AV16" i="13"/>
  <c r="AV8" i="13"/>
  <c r="AS8" i="13"/>
  <c r="BA19" i="13"/>
  <c r="AZ19" i="13"/>
  <c r="BK36" i="13"/>
  <c r="BE12" i="13"/>
  <c r="BH12" i="13"/>
  <c r="AT6" i="13"/>
  <c r="AU6" i="13"/>
  <c r="AV18" i="13"/>
  <c r="AS18" i="13"/>
  <c r="BE7" i="13"/>
  <c r="BH7" i="13"/>
  <c r="AO11" i="13"/>
  <c r="AN11" i="13"/>
  <c r="AA15" i="13"/>
  <c r="AD15" i="13"/>
  <c r="BH24" i="13"/>
  <c r="BE24" i="13"/>
  <c r="AG10" i="13"/>
  <c r="AJ10" i="13"/>
  <c r="N6" i="12"/>
  <c r="AD30" i="13"/>
  <c r="AA30" i="13"/>
  <c r="AP30" i="13"/>
  <c r="AM30" i="13"/>
  <c r="AI13" i="13"/>
  <c r="AH13" i="13"/>
  <c r="AC10" i="13"/>
  <c r="AB10" i="13"/>
  <c r="AO13" i="13"/>
  <c r="AN13" i="13"/>
  <c r="AM23" i="13"/>
  <c r="AP23" i="13"/>
  <c r="AP31" i="13"/>
  <c r="AM31" i="13"/>
  <c r="AP22" i="13"/>
  <c r="AM22" i="13"/>
  <c r="BJ28" i="13"/>
  <c r="BB24" i="13"/>
  <c r="AY24" i="13"/>
  <c r="AZ14" i="13"/>
  <c r="BA14" i="13"/>
  <c r="AN16" i="13"/>
  <c r="AO16" i="13"/>
  <c r="BB8" i="13"/>
  <c r="AY8" i="13"/>
  <c r="AJ32" i="13"/>
  <c r="AG32" i="13"/>
  <c r="AI19" i="13"/>
  <c r="AH19" i="13"/>
  <c r="BJ36" i="13"/>
  <c r="AC12" i="13"/>
  <c r="BK12" i="13" s="1"/>
  <c r="AB12" i="13"/>
  <c r="BJ12" i="13" s="1"/>
  <c r="N8" i="12"/>
  <c r="AS6" i="13"/>
  <c r="AV6" i="13"/>
  <c r="AD18" i="13"/>
  <c r="AA18" i="13"/>
  <c r="AD7" i="13"/>
  <c r="AA7" i="13"/>
  <c r="BG11" i="13"/>
  <c r="BF11" i="13"/>
  <c r="AC13" i="13"/>
  <c r="AB13" i="13"/>
  <c r="AI22" i="13"/>
  <c r="AH22" i="13"/>
  <c r="AP19" i="13"/>
  <c r="AM19" i="13"/>
  <c r="BB9" i="13"/>
  <c r="AY9" i="13"/>
  <c r="AJ13" i="13"/>
  <c r="AG13" i="13"/>
  <c r="AJ9" i="13"/>
  <c r="AG9" i="13"/>
  <c r="BH21" i="13"/>
  <c r="BE21" i="13"/>
  <c r="AP13" i="13"/>
  <c r="AM13" i="13"/>
  <c r="BG15" i="13"/>
  <c r="BF15" i="13"/>
  <c r="BG31" i="13"/>
  <c r="BF31" i="13"/>
  <c r="BH22" i="13"/>
  <c r="BE22" i="13"/>
  <c r="BA24" i="13"/>
  <c r="AZ24" i="13"/>
  <c r="AI14" i="13"/>
  <c r="AH14" i="13"/>
  <c r="AP16" i="13"/>
  <c r="AM16" i="13"/>
  <c r="AZ8" i="13"/>
  <c r="BA8" i="13"/>
  <c r="AI32" i="13"/>
  <c r="AH32" i="13"/>
  <c r="AG19" i="13"/>
  <c r="AJ19" i="13"/>
  <c r="AD12" i="13"/>
  <c r="AA12" i="13"/>
  <c r="AC32" i="13"/>
  <c r="AB32" i="13"/>
  <c r="BJ32" i="13" s="1"/>
  <c r="BB18" i="13"/>
  <c r="AY18" i="13"/>
  <c r="AU7" i="13"/>
  <c r="AT7" i="13"/>
  <c r="AV11" i="13"/>
  <c r="AS11" i="13"/>
  <c r="BK37" i="13"/>
  <c r="BF9" i="13"/>
  <c r="BG9" i="13"/>
  <c r="BL35" i="13"/>
  <c r="BG10" i="13"/>
  <c r="BF10" i="13"/>
  <c r="AZ13" i="13"/>
  <c r="BA13" i="13"/>
  <c r="BN27" i="13"/>
  <c r="BH23" i="13"/>
  <c r="BE23" i="13"/>
  <c r="AA21" i="13"/>
  <c r="AD21" i="13"/>
  <c r="AS13" i="13"/>
  <c r="AV13" i="13"/>
  <c r="BH10" i="13"/>
  <c r="BE10" i="13"/>
  <c r="BJ34" i="13"/>
  <c r="AD23" i="13"/>
  <c r="AA23" i="13"/>
  <c r="BH15" i="13"/>
  <c r="BE15" i="13"/>
  <c r="AC31" i="13"/>
  <c r="AB31" i="13"/>
  <c r="AB22" i="13"/>
  <c r="AC22" i="13"/>
  <c r="AC17" i="13"/>
  <c r="AB17" i="13"/>
  <c r="AJ14" i="13"/>
  <c r="AG14" i="13"/>
  <c r="BH16" i="13"/>
  <c r="BE16" i="13"/>
  <c r="AI8" i="13"/>
  <c r="AH8" i="13"/>
  <c r="BB32" i="13"/>
  <c r="AY32" i="13"/>
  <c r="AU12" i="13"/>
  <c r="AT12" i="13"/>
  <c r="AD32" i="13"/>
  <c r="BL32" i="13" s="1"/>
  <c r="AA32" i="13"/>
  <c r="BI32" i="13" s="1"/>
  <c r="AJ18" i="13"/>
  <c r="AG18" i="13"/>
  <c r="AO7" i="13"/>
  <c r="AN7" i="13"/>
  <c r="AD11" i="13"/>
  <c r="AA11" i="13"/>
  <c r="BG14" i="13"/>
  <c r="BF14" i="13"/>
  <c r="AM32" i="13"/>
  <c r="AP32" i="13"/>
  <c r="AY12" i="13"/>
  <c r="BB12" i="13"/>
  <c r="BG21" i="13"/>
  <c r="BF21" i="13"/>
  <c r="AB21" i="13"/>
  <c r="AC21" i="13"/>
  <c r="AP10" i="13"/>
  <c r="AM10" i="13"/>
  <c r="AV21" i="13"/>
  <c r="AS21" i="13"/>
  <c r="BG13" i="13"/>
  <c r="BF13" i="13"/>
  <c r="AD10" i="13"/>
  <c r="AA10" i="13"/>
  <c r="BK34" i="13"/>
  <c r="AC23" i="13"/>
  <c r="AB23" i="13"/>
  <c r="AO15" i="13"/>
  <c r="AN15" i="13"/>
  <c r="AD20" i="13"/>
  <c r="AA20" i="13"/>
  <c r="AA31" i="13"/>
  <c r="AD31" i="13"/>
  <c r="AD22" i="13"/>
  <c r="AA22" i="13"/>
  <c r="AD17" i="13"/>
  <c r="AA17" i="13"/>
  <c r="BB14" i="13"/>
  <c r="AY14" i="13"/>
  <c r="AD16" i="13"/>
  <c r="AA16" i="13"/>
  <c r="AJ8" i="13"/>
  <c r="AG8" i="13"/>
  <c r="BA32" i="13"/>
  <c r="AZ32" i="13"/>
  <c r="AU32" i="13"/>
  <c r="AT32" i="13"/>
  <c r="BA18" i="13"/>
  <c r="AZ18" i="13"/>
  <c r="AM7" i="13"/>
  <c r="AP7" i="13"/>
  <c r="AP11" i="13"/>
  <c r="AM11" i="13"/>
  <c r="BA21" i="13"/>
  <c r="AZ21" i="13"/>
  <c r="AG21" i="13"/>
  <c r="AJ21" i="13"/>
  <c r="BB6" i="13"/>
  <c r="AY6" i="13"/>
  <c r="AV30" i="13"/>
  <c r="AS30" i="13"/>
  <c r="BL34" i="13"/>
  <c r="AU21" i="13"/>
  <c r="AT21" i="13"/>
  <c r="AO21" i="13"/>
  <c r="AN21" i="13"/>
  <c r="AA13" i="13"/>
  <c r="AD13" i="13"/>
  <c r="AY10" i="13"/>
  <c r="BB10" i="13"/>
  <c r="AD9" i="13"/>
  <c r="AA9" i="13"/>
  <c r="AO30" i="13"/>
  <c r="AN30" i="13"/>
  <c r="AY23" i="13"/>
  <c r="BB23" i="13"/>
  <c r="AP15" i="13"/>
  <c r="AM15" i="13"/>
  <c r="AO20" i="13"/>
  <c r="AN20" i="13"/>
  <c r="AU31" i="13"/>
  <c r="AT31" i="13"/>
  <c r="AT22" i="13"/>
  <c r="AU22" i="13"/>
  <c r="AN17" i="13"/>
  <c r="AO17" i="13"/>
  <c r="AO14" i="13"/>
  <c r="AN14" i="13"/>
  <c r="BB16" i="13"/>
  <c r="AY16" i="13"/>
  <c r="BL36" i="13"/>
  <c r="AV32" i="13"/>
  <c r="AS32" i="13"/>
  <c r="AI18" i="13"/>
  <c r="AH18" i="13"/>
  <c r="BG7" i="13"/>
  <c r="BF7" i="13"/>
  <c r="AC11" i="13"/>
  <c r="BK11" i="13" s="1"/>
  <c r="AB11" i="13"/>
  <c r="AP20" i="13"/>
  <c r="AM20" i="13"/>
  <c r="AC14" i="13"/>
  <c r="AB14" i="13"/>
  <c r="BJ14" i="13" s="1"/>
  <c r="AB9" i="13"/>
  <c r="AC9" i="13"/>
  <c r="AO10" i="13"/>
  <c r="AN10" i="13"/>
  <c r="BG23" i="13"/>
  <c r="BF23" i="13"/>
  <c r="AV10" i="13"/>
  <c r="AS10" i="13"/>
  <c r="BL28" i="13"/>
  <c r="BJ26" i="13"/>
  <c r="BN26" i="13" s="1"/>
  <c r="AP21" i="13"/>
  <c r="AM21" i="13"/>
  <c r="BE13" i="13"/>
  <c r="BH13" i="13"/>
  <c r="BA10" i="13"/>
  <c r="AZ10" i="13"/>
  <c r="AU9" i="13"/>
  <c r="AT9" i="13"/>
  <c r="BG30" i="13"/>
  <c r="BF30" i="13"/>
  <c r="BA23" i="13"/>
  <c r="AZ23" i="13"/>
  <c r="AC15" i="13"/>
  <c r="AB15" i="13"/>
  <c r="BJ15" i="13" s="1"/>
  <c r="AU20" i="13"/>
  <c r="AT20" i="13"/>
  <c r="AS31" i="13"/>
  <c r="AV31" i="13"/>
  <c r="BB22" i="13"/>
  <c r="AY22" i="13"/>
  <c r="BI37" i="13"/>
  <c r="BN37" i="13" s="1"/>
  <c r="AS17" i="13"/>
  <c r="AV17" i="13"/>
  <c r="BH14" i="13"/>
  <c r="BE14" i="13"/>
  <c r="AI16" i="13"/>
  <c r="AH16" i="13"/>
  <c r="BI36" i="13"/>
  <c r="AG6" i="13"/>
  <c r="AJ6" i="13"/>
  <c r="AN32" i="13"/>
  <c r="AO32" i="13"/>
  <c r="AU11" i="13"/>
  <c r="AT11" i="13"/>
  <c r="BI12" i="13" l="1"/>
  <c r="BN36" i="13"/>
  <c r="BJ19" i="13"/>
  <c r="BJ7" i="13"/>
  <c r="BK19" i="13"/>
  <c r="BI17" i="13"/>
  <c r="BL11" i="13"/>
  <c r="BL21" i="13"/>
  <c r="BI30" i="13"/>
  <c r="BN28" i="13"/>
  <c r="BL30" i="13"/>
  <c r="BK17" i="13"/>
  <c r="BI24" i="13"/>
  <c r="BJ18" i="13"/>
  <c r="BL24" i="13"/>
  <c r="BJ24" i="13"/>
  <c r="BK7" i="13"/>
  <c r="BK32" i="13"/>
  <c r="BK18" i="13"/>
  <c r="BJ6" i="13"/>
  <c r="BJ8" i="13"/>
  <c r="BK24" i="13"/>
  <c r="BN35" i="13"/>
  <c r="BN32" i="13"/>
  <c r="BI6" i="13"/>
  <c r="BK6" i="13"/>
  <c r="BK8" i="13"/>
  <c r="BK20" i="13"/>
  <c r="BK31" i="13"/>
  <c r="BL12" i="13"/>
  <c r="BN12" i="13" s="1"/>
  <c r="BL6" i="13"/>
  <c r="BJ20" i="13"/>
  <c r="BK22" i="13"/>
  <c r="BK21" i="13"/>
  <c r="BL20" i="13"/>
  <c r="BJ13" i="13"/>
  <c r="BL15" i="13"/>
  <c r="BN34" i="13"/>
  <c r="BJ22" i="13"/>
  <c r="BK13" i="13"/>
  <c r="BI15" i="13"/>
  <c r="BN15" i="13" s="1"/>
  <c r="BI19" i="13"/>
  <c r="BI20" i="13"/>
  <c r="BI23" i="13"/>
  <c r="BL19" i="13"/>
  <c r="BJ30" i="13"/>
  <c r="BN30" i="13" s="1"/>
  <c r="BN33" i="13"/>
  <c r="BL17" i="13"/>
  <c r="BI22" i="13"/>
  <c r="BL31" i="13"/>
  <c r="BJ31" i="13"/>
  <c r="BK15" i="13"/>
  <c r="BL23" i="13"/>
  <c r="BJ10" i="13"/>
  <c r="BK30" i="13"/>
  <c r="BL13" i="13"/>
  <c r="BI21" i="13"/>
  <c r="BJ11" i="13"/>
  <c r="BK23" i="13"/>
  <c r="BI7" i="13"/>
  <c r="BK10" i="13"/>
  <c r="BJ23" i="13"/>
  <c r="BK9" i="13"/>
  <c r="BI16" i="13"/>
  <c r="BL7" i="13"/>
  <c r="BI8" i="13"/>
  <c r="BL22" i="13"/>
  <c r="BJ9" i="13"/>
  <c r="BI9" i="13"/>
  <c r="BL16" i="13"/>
  <c r="BI10" i="13"/>
  <c r="BI18" i="13"/>
  <c r="BL8" i="13"/>
  <c r="BL14" i="13"/>
  <c r="BJ21" i="13"/>
  <c r="BL9" i="13"/>
  <c r="BL10" i="13"/>
  <c r="BL18" i="13"/>
  <c r="BJ16" i="13"/>
  <c r="BI14" i="13"/>
  <c r="BJ17" i="13"/>
  <c r="BI13" i="13"/>
  <c r="BI31" i="13"/>
  <c r="BK14" i="13"/>
  <c r="BI11" i="13"/>
  <c r="BK16" i="13"/>
  <c r="BN18" i="13" l="1"/>
  <c r="BN10" i="13"/>
  <c r="BN9" i="13"/>
  <c r="BN31" i="13"/>
  <c r="BN21" i="13"/>
  <c r="BN11" i="13"/>
  <c r="BN17" i="13"/>
  <c r="BN6" i="13"/>
  <c r="BN22" i="13"/>
  <c r="BN38" i="13"/>
  <c r="BN8" i="13"/>
  <c r="BN14" i="13"/>
  <c r="BN7" i="13"/>
  <c r="BN23" i="13"/>
  <c r="BN20" i="13"/>
  <c r="BN24" i="13"/>
  <c r="BN13" i="13"/>
  <c r="BN16" i="13"/>
  <c r="BN19" i="13"/>
</calcChain>
</file>

<file path=xl/sharedStrings.xml><?xml version="1.0" encoding="utf-8"?>
<sst xmlns="http://schemas.openxmlformats.org/spreadsheetml/2006/main" count="5818" uniqueCount="1127">
  <si>
    <t>THUYẾT MINH TÍNH TOÁN HỆ NEO: CỌC KHOAN NHỒI VEN BỜ + ĐẾ BTCT VÍT XOẮN — HV-FPV-2026</t>
  </si>
  <si>
    <t>Dự án: Dự án Điện Mặt Trời Nổi Hồ Huổi Vanh</t>
  </si>
  <si>
    <t/>
  </si>
  <si>
    <t>File này có hai phần: 9 sheet đầu là KẾT QUẢ do web tính (dạng số); 4 sheet CT_… ở cuối là cùng phép tính đó dưới dạng CÔNG THỨC Excel — đổi ô nhập (tô vàng / ghi chữ NHẬP) là tự tính lại.</t>
  </si>
  <si>
    <t>1. Phương án chốt</t>
  </si>
  <si>
    <t xml:space="preserve">  Chủ đầu tư chốt ngày 12/10/2026: Cọc khoan nhồi D350 ven bờ + đế BTCT giữ bằng vít xoắn dưới đáy hồ.</t>
  </si>
  <si>
    <t xml:space="preserve">  Hệ neo: 295 tuyến cáp tại 263 điểm neo = 231 cọc khoan nhồi ven bờ + 32 đế đáy hồ (cả 32 đế dùng chung cho hai dây của hai bè đối diện).</t>
  </si>
  <si>
    <t xml:space="preserve">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t>
  </si>
  <si>
    <t xml:space="preserve">  Kết quả: 9/9 bè đạt; 231/231 cọc bờ đạt; 32/32 đế đạt.</t>
  </si>
  <si>
    <t>2. Số liệu đầu vào và giả định</t>
  </si>
  <si>
    <t xml:space="preserve">  Mực nước hồ: MNC 380,0 m; MNDB 384,5 m; MNLKT 386,0 m.</t>
  </si>
  <si>
    <t xml:space="preserve">  Tấm pin: 2,701 m²/tấm, nghiêng 12°, hệ số cản 1,15, hệ số che chắn giữa các hàng 0,55; sóng và dòng chảy gộp bằng hệ số 1,05.</t>
  </si>
  <si>
    <t xml:space="preserve">  Đất bờ (GIẢ ĐỊNH, chưa khảo sát): sét, c_u = 40 kPa. Bùn đáy hồ (GIẢ ĐỊNH): c_u = 20 kPa, γ' = 6 kN/m³.</t>
  </si>
  <si>
    <t xml:space="preserve">  Hệ số an toàn: cáp ≥ 3,0; cọc bờ chịu ngang 2,5; hệ số tải uốn cọc 1,2; đế: trượt 1,5, lật 1,5, nhổ vít 2,0, nền 2,5; trọng lượng đế nhân 0,9 khi chống nhổ.</t>
  </si>
  <si>
    <t>3. Lực gió lên bè (ví dụ BÈ 5A, bè có lực dây lớn nhất)</t>
  </si>
  <si>
    <t xml:space="preserve">  Áp lực gió: q = 0,5 × ρ × V² = 0,5 × 1,25 × 20² = 250 N/m².</t>
  </si>
  <si>
    <t xml:space="preserve">  Diện tích đón gió của pin: A = số tấm × diện tích tấm × sin(nghiêng) = 4.410 × 2,701 × sin 12° = 2.477 m².</t>
  </si>
  <si>
    <t xml:space="preserve">  Lực gió lên pin: F_pin = q × C_d × A × hệ số che chắn = 250 × 1,15 × 2.477 × 0,55 = 391,6 kN.</t>
  </si>
  <si>
    <t xml:space="preserve">  Lực gió lên phao (mạn khô 0,35 m): F_phao = 15,9 kN. Tổng gió: 407,5 kN.</t>
  </si>
  <si>
    <t xml:space="preserve">  Tổng lực môi trường: F = 407,5 × 1,05 = 427,9 kN.</t>
  </si>
  <si>
    <t>4. Lực căng một dây</t>
  </si>
  <si>
    <t xml:space="preserve">  Tính hai cách, lấy giá trị lớn hơn; mọi dây của bè đều kiểm tra với lực này.</t>
  </si>
  <si>
    <t xml:space="preserve">  Cách hệ số tập trung: T = F × k + T_0 = 427,9 × 0,144 + 5 = 66,6 kN.</t>
  </si>
  <si>
    <t xml:space="preserve">  Cách chia cho số dây làm việc: T = F / (n × cos α) + T_0 = 427,9 / (6 × cos 30°) + 5 = 87,3 kN.</t>
  </si>
  <si>
    <t xml:space="preserve">  Lực dây thiết kế của BÈ 5A: T = 87,3 kN; khi đứt một dây: 103,8 kN.</t>
  </si>
  <si>
    <t xml:space="preserve">  Cáp PES-32, lực đứt 305 kN: hệ số an toàn 3,49 (yêu cầu ≥ 3,0); khi đứt một dây 2,94 (yêu cầu ≥ 2,0).</t>
  </si>
  <si>
    <t>5. Cọc khoan nhồi ven bờ (ví dụ BÈ 5A)</t>
  </si>
  <si>
    <t xml:space="preserve">  Cọc tròn D350 đổ tại chỗ, ngàm L_tk = 6,5 m, dài cả cọc 6,6 m; thép chủ 6Φ32 CB400-V, Đai xoắn Φ8 a150. Cáp móc cách mặt đất 0,1 m.</t>
  </si>
  <si>
    <t xml:space="preserve">  BP-1, sức chịu ngang theo Broms (cọc ngắn trong đất sét): H_u = 290,2 kN; cho phép H_u / 2,5 = 116,1 kN ≥ T = 87,3 kN; mức sử dụng 0,75.</t>
  </si>
  <si>
    <t xml:space="preserve">  BP-2, uốn thân cọc (TCVN 5574:2018): 1,2 × M_max = 1,2 × 84,9 = 101,8 kNm ≤ M_rd = 121,9 kNm; mức sử dụng 0,84.</t>
  </si>
  <si>
    <t xml:space="preserve">  Cả hệ: 231 cọc, tổng dài 1.524,6 m, 146,7 m³ bê tông, 38,3 tấn thép. Lực kiểm tra cọc là toàn bộ lực dây (không giảm theo góc xiên), thiên về an toàn.</t>
  </si>
  <si>
    <t>6. Đế BTCT + vít xoắn (ví dụ HV-DV008, đế làm việc nặng nhất)</t>
  </si>
  <si>
    <t xml:space="preserve">  Một vít: ống Ø89×5, ren Ø105, ngàm 3,0 m. Sức chịu nhổ cực hạn Q_u = α × c_u × π × D_ren × L = 0,8 × 20 × π × 0,105 × 3,0 = 15,8 kN; cho phép Q_a = Q_u / 2 = 7,9 kN. Sức chịu ngang cực hạn H_u = 15,0 kN.</t>
  </si>
  <si>
    <t xml:space="preserve">  Đế HV-DV008 giữ hai dây B3-D20 (BÈ 3, T = 38,6 kN, dài 12,34 m) và B3A-D22 (BÈ 3A, T = 73,7 kN, dài 12,34 m). Bích bè cao hơn mặt nước 0,35 m.</t>
  </si>
  <si>
    <t xml:space="preserve">  Tổ hợp chi phối: cả hai dây căng (MN cao). Lực nhổ T_v = 58,3 kN (hai dây cộng lại), lực ngang T_h = 29,9 kN (cộng véc-tơ).</t>
  </si>
  <si>
    <t xml:space="preserve">  Đế 2,75 × 2,75 × 0,4 m: thể tích 3,03 m³, nặng 75,6 kN trên cạn, W' = 3,03 × (25 − 10) = 45,4 kN trong nước (đã trừ lực đẩy nổi).</t>
  </si>
  <si>
    <t xml:space="preserve">  SV-1 nhổ: T_v ≤ 0,9 × W' + 4 × Q_a = 72,5 kN; mức sử dụng 0,80.</t>
  </si>
  <si>
    <t xml:space="preserve">  SV-2 trượt: 1,5 × T_h ≤ bám dính đáy + gờ + 4 × H_u; mức sử dụng 0,67 (bám dính đáy lấy bằng 0 khi T_v &gt; W').</t>
  </si>
  <si>
    <t xml:space="preserve">  SV-3 lật quanh mép đế: 1,5 × M_lật = 1,5 × 96,7 ≤ M_giữ = 149,5 kNm; mức sử dụng 0,97.</t>
  </si>
  <si>
    <t xml:space="preserve">  SV-4 một vít: N_1 = 7,8 kN ≤ Q_a; mức sử dụng 0,98. SV-5 nền: 0,15. SV-6 thép bản (lưới Ø12 a200, hai lớp): 0,62.</t>
  </si>
  <si>
    <t xml:space="preserve">  Cả hệ: 32 đế (11 đế 2,50 m, 19 đế 2,75 m, 2 đế 3,25 m), 92,8 m³ bê tông, 4,4 tấn thép bản, 128 vít (474 m), đế nặng nhất khi cẩu 10,8 tấn.</t>
  </si>
  <si>
    <t xml:space="preserve">  Tổng lực nhổ lên 32 đế 1.643 kN, tổng sức chống nhổ 2.275 kN. Mức sử dụng lớn nhất: nhổ 0,89, trượt 0,85, lật 0,97, một vít 0,99.</t>
  </si>
  <si>
    <t>7. Chiều dài cắt cáp</t>
  </si>
  <si>
    <t xml:space="preserve">  Cáp không lắp bằng cách kéo căng: mỗi dây cắt theo khoảng cách thẳng từ bích bè tới chốt neo ở mực nước mà khoảng cách đó dài nhất (64 dây đáy ở MNLKT, 231 dây bờ ở MNC).</t>
  </si>
  <si>
    <t xml:space="preserve">  Tổng chiều dài cắt: dây bờ 6.509 m, dây đáy 1.129 m, chưa gồm đoạn bện đầu và phụ kiện. Phải đo cao độ đáy từng đế trước khi cắt dây đáy.</t>
  </si>
  <si>
    <t>8. Giả định và vấn đề còn mở</t>
  </si>
  <si>
    <t xml:space="preserve">  Chưa có khảo sát địa chất: c_u đất bờ và bùn đáy là giả định. Sức chịu của vít tỷ lệ thuận với c_u; cọc bờ không đạt ở một số bè nếu c_u đất bờ chỉ 20 kPa.</t>
  </si>
  <si>
    <t xml:space="preserve">  Số dây làm việc lấy bằng 6 và góc dây 30° cho mọi bè là giả định; số dây thực sự căng theo từng hướng gió ở MNC và MNLKT chưa kiểm tra.</t>
  </si>
  <si>
    <t xml:space="preserve">  Hệ số che chắn 0,55 và diện tích chiếu của tấm nghiêng quyết định lực gió; lực gió trên một m² bè ở đây thấp hơn một số hồ sơ tham khảo.</t>
  </si>
  <si>
    <t xml:space="preserve">  Sức chịu nhổ và sức chịu ngang của vít tính độc lập, chưa xét tương tác. Chưa thiết kế: tai neo đôi của đế, khóa đầu vít, móc cẩu, chống ăn mòn, đài / bích neo đầu cọc.</t>
  </si>
  <si>
    <t xml:space="preserve">  Cao độ đáy đặt đế là đáy thiết kế, chưa phải khảo sát; tại 4 đế địa hình IFC cao hơn đáy thiết kế trên 0,5 m. 183/231 cọc bờ đứng ở chỗ mặt đất thấp hơn MNDB (thi công mùa nước thấp, có ống vách).</t>
  </si>
  <si>
    <t xml:space="preserve">  Ba dây của cọc bờ đã định vị còn rất xiên so với mép bè: B7-D01, B7-D09, B8-D13.</t>
  </si>
  <si>
    <t xml:space="preserve">  Lớp bê tông bảo vệ cọc bờ tới đai chỉ 26–30 mm (tính với 50 mm tới tim thép chủ).</t>
  </si>
  <si>
    <t>THÔNG SỐ ĐẦU VÀO VÀ GIẢ ĐỊNH — HV-FPV-2026</t>
  </si>
  <si>
    <t>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t>
  </si>
  <si>
    <t>NHÓM</t>
  </si>
  <si>
    <t>THÔNG SỐ</t>
  </si>
  <si>
    <t>GIÁ TRỊ</t>
  </si>
  <si>
    <t>ĐƠN VỊ</t>
  </si>
  <si>
    <t>NGUỒN / GHI CHÚ</t>
  </si>
  <si>
    <t>Gió</t>
  </si>
  <si>
    <t>Vận tốc gió tính toán V</t>
  </si>
  <si>
    <t>m/s</t>
  </si>
  <si>
    <t>Chủ đầu tư chốt 08/10/2026</t>
  </si>
  <si>
    <t>Khối lượng riêng không khí ρ</t>
  </si>
  <si>
    <t>kg/m³</t>
  </si>
  <si>
    <t>Áp lực gió q = 0,5ρV²</t>
  </si>
  <si>
    <t>N/m²</t>
  </si>
  <si>
    <t>Diện tích một tấm pin</t>
  </si>
  <si>
    <t>m²</t>
  </si>
  <si>
    <t>Góc nghiêng tấm pin</t>
  </si>
  <si>
    <t>°</t>
  </si>
  <si>
    <t>Hệ số cản tấm pin C_d</t>
  </si>
  <si>
    <t>Hệ số che chắn giữa các hàng</t>
  </si>
  <si>
    <t>GIẢ ĐỊNH</t>
  </si>
  <si>
    <t>Hệ số gộp sóng + dòng chảy</t>
  </si>
  <si>
    <t>DNV-ST-0119, TCVN 6170-3</t>
  </si>
  <si>
    <t>Mực nước</t>
  </si>
  <si>
    <t>MNC</t>
  </si>
  <si>
    <t>m</t>
  </si>
  <si>
    <t>MNDB</t>
  </si>
  <si>
    <t>MNLKT</t>
  </si>
  <si>
    <t>Dây neo</t>
  </si>
  <si>
    <t>Số dây làm việc n</t>
  </si>
  <si>
    <t>dây</t>
  </si>
  <si>
    <t>GIẢ ĐỊNH, như nhau cho mọi bè</t>
  </si>
  <si>
    <t>Góc dây so với phương ngang α</t>
  </si>
  <si>
    <t>Lực căng trước T_0</t>
  </si>
  <si>
    <t>kN</t>
  </si>
  <si>
    <t>Hệ số an toàn cáp (nguyên vẹn / đứt một dây)</t>
  </si>
  <si>
    <t>3 / 2</t>
  </si>
  <si>
    <t>Cọc bờ</t>
  </si>
  <si>
    <t>Loại cọc</t>
  </si>
  <si>
    <t>Cọc khoan nhồi tròn, đổ tại chỗ</t>
  </si>
  <si>
    <t>Đường kính D</t>
  </si>
  <si>
    <t>Chiều sâu ngàm thiết kế L_tk</t>
  </si>
  <si>
    <t>Điểm móc cáp cách mặt đất e</t>
  </si>
  <si>
    <t>Yêu cầu thi công</t>
  </si>
  <si>
    <t>c_u đất bờ</t>
  </si>
  <si>
    <t>kPa</t>
  </si>
  <si>
    <t>GIẢ ĐỊNH, chưa khảo sát</t>
  </si>
  <si>
    <t>Hệ số an toàn chịu ngang (Broms)</t>
  </si>
  <si>
    <t>Hệ số tải trọng khi kiểm tra uốn</t>
  </si>
  <si>
    <t>TCVN 2737</t>
  </si>
  <si>
    <t>Cường độ bê tông R_b</t>
  </si>
  <si>
    <t>MPa</t>
  </si>
  <si>
    <t>Đế BTCT</t>
  </si>
  <si>
    <t>Chiều dày đế t (nhỏ nhất)</t>
  </si>
  <si>
    <t>Cạnh B tự tăng 0,25 m cho tới khi đạt</t>
  </si>
  <si>
    <t>Trọng lượng riêng bê tông / nước</t>
  </si>
  <si>
    <t>25 / 10</t>
  </si>
  <si>
    <t>kN/m³</t>
  </si>
  <si>
    <t>W' = V × (γ_bt − γ_n): đã trừ đẩy nổi</t>
  </si>
  <si>
    <t>Hệ số trọng lượng khi chống nhổ</t>
  </si>
  <si>
    <t>Chiều cao tai neo trên mặt đế</t>
  </si>
  <si>
    <t>Chiều cao bích bè trên mặt nước</t>
  </si>
  <si>
    <t>Mạn khô của phao</t>
  </si>
  <si>
    <t>Gờ chống trượt dưới đế</t>
  </si>
  <si>
    <t>c_u bùn đáy hồ</t>
  </si>
  <si>
    <t>γ' bùn</t>
  </si>
  <si>
    <t>Hệ số bám dính đáy đế α</t>
  </si>
  <si>
    <t>Hệ số an toàn trượt / lật / nền</t>
  </si>
  <si>
    <t>1.5 / 1.5 / 2.5</t>
  </si>
  <si>
    <t>Vít xoắn</t>
  </si>
  <si>
    <t>Số vít mỗi đế</t>
  </si>
  <si>
    <t>cây</t>
  </si>
  <si>
    <t>Ống thép Ø × dày</t>
  </si>
  <si>
    <t>Ø89 × 5</t>
  </si>
  <si>
    <t>mm</t>
  </si>
  <si>
    <t>Đường kính ren</t>
  </si>
  <si>
    <t>Chiều dài ngàm trong bùn</t>
  </si>
  <si>
    <t>Hệ số bám dính thân vít α</t>
  </si>
  <si>
    <t>Giới hạn chảy thép ống</t>
  </si>
  <si>
    <t>Hệ số an toàn nhổ vít</t>
  </si>
  <si>
    <t>LỰC GIÓ VÀ LỰC CĂNG DÂY TỪNG BÈ — HV-FPV-2026</t>
  </si>
  <si>
    <t>F_pin = q × C_d × (số tấm × A_tấm × sin nghiêng) × che chắn | F = (F_pin + F_phao) × hệ số sóng, dòng chảy | T = max(F × k + T_0 ; F / (n × cos α) + T_0)</t>
  </si>
  <si>
    <t>BÈ</t>
  </si>
  <si>
    <t>Diện tích (m²)</t>
  </si>
  <si>
    <t>Chu vi (m)</t>
  </si>
  <si>
    <t>Số dây</t>
  </si>
  <si>
    <t>Dây bờ</t>
  </si>
  <si>
    <t>Dây đáy</t>
  </si>
  <si>
    <t>Số tấm pin</t>
  </si>
  <si>
    <t>A đón gió (m²)</t>
  </si>
  <si>
    <t>q (N/m²)</t>
  </si>
  <si>
    <t>F pin (kN)</t>
  </si>
  <si>
    <t>F phao (kN)</t>
  </si>
  <si>
    <t>F gió (kN)</t>
  </si>
  <si>
    <t>F tổng (kN)</t>
  </si>
  <si>
    <t>Hệ số tập trung k</t>
  </si>
  <si>
    <t>T cách k (kN)</t>
  </si>
  <si>
    <t>T cách n dây (kN)</t>
  </si>
  <si>
    <t>Cách chi phối</t>
  </si>
  <si>
    <t>T dây (kN)</t>
  </si>
  <si>
    <t>T khi đứt 1 dây (kN)</t>
  </si>
  <si>
    <t>Cáp</t>
  </si>
  <si>
    <t>Lực đứt (kN)</t>
  </si>
  <si>
    <t>HSAT cáp</t>
  </si>
  <si>
    <t>HSAT khi đứt 1 dây</t>
  </si>
  <si>
    <t>KẾT LUẬN BÈ</t>
  </si>
  <si>
    <t>BÈ 1</t>
  </si>
  <si>
    <t>Hệ số tập trung</t>
  </si>
  <si>
    <t>PES-28</t>
  </si>
  <si>
    <t>ĐẠT</t>
  </si>
  <si>
    <t>BÈ 2</t>
  </si>
  <si>
    <t>BÈ 3</t>
  </si>
  <si>
    <t>BÈ 3A</t>
  </si>
  <si>
    <t>Chia n dây</t>
  </si>
  <si>
    <t>BÈ 5A</t>
  </si>
  <si>
    <t>PES-32</t>
  </si>
  <si>
    <t>BÈ 6</t>
  </si>
  <si>
    <t>BÈ 7</t>
  </si>
  <si>
    <t>BÈ 8</t>
  </si>
  <si>
    <t>BÈ 9</t>
  </si>
  <si>
    <t>TÍNH TOÁN CỌC KHOAN NHỒI VEN BỜ THEO BÈ — HV-FPV-2026</t>
  </si>
  <si>
    <t>BP-1 (Broms, đất sét c_u = 40 kPa): H_cho phép = H_u / 2.5 ≥ T | BP-2 (TCVN 5574:2018): γ × M_max ≤ M_rd | P_max: lực dây lớn nhất cọc chịu được ở L_tk. Thông số đất là GIẢ ĐỊNH.</t>
  </si>
  <si>
    <t>Số cọc</t>
  </si>
  <si>
    <t>D (m)</t>
  </si>
  <si>
    <t>L_tk (m)</t>
  </si>
  <si>
    <t>L cả cọc (m)</t>
  </si>
  <si>
    <t>Thép chủ</t>
  </si>
  <si>
    <t>Mác thép</t>
  </si>
  <si>
    <t>Cốt đai</t>
  </si>
  <si>
    <t>H_u (kN)</t>
  </si>
  <si>
    <t>H cho phép (kN)</t>
  </si>
  <si>
    <t>BP-1 ngang</t>
  </si>
  <si>
    <t>M_max (kNm)</t>
  </si>
  <si>
    <t>γ × M_max (kNm)</t>
  </si>
  <si>
    <t>M_rd (kNm)</t>
  </si>
  <si>
    <t>BP-2 uốn</t>
  </si>
  <si>
    <t>P_max (kN)</t>
  </si>
  <si>
    <t>Bê tông 1 cọc (m³)</t>
  </si>
  <si>
    <t>Thép 1 cọc (kg)</t>
  </si>
  <si>
    <t>Tổng dài (m)</t>
  </si>
  <si>
    <t>Tổng bê tông (m³)</t>
  </si>
  <si>
    <t>Tổng thép (kg)</t>
  </si>
  <si>
    <t>KẾT LUẬN</t>
  </si>
  <si>
    <t>4Φ25</t>
  </si>
  <si>
    <t>CB400-V</t>
  </si>
  <si>
    <t>Đai xoắn Φ8 a150</t>
  </si>
  <si>
    <t>6Φ28</t>
  </si>
  <si>
    <t>6Φ32</t>
  </si>
  <si>
    <t>4Φ28</t>
  </si>
  <si>
    <t>6Φ25</t>
  </si>
  <si>
    <t>TỔNG</t>
  </si>
  <si>
    <t>THỐNG KÊ VÀ TÍNH TOÁN TỪNG CỌC KHOAN NHỒI VEN BỜ (231 CỌC) — HV-FPV-2026</t>
  </si>
  <si>
    <t>Sức chịu của cọc không phụ thuộc vị trí (cùng giả định đất) nên BP-1, BP-2 lặp lại theo bè; riêng từng cọc là tọa độ, cao độ mặt đất (địa hình IFC), chiều dài dây và góc cáp ở hai mực nước.</t>
  </si>
  <si>
    <t>STT</t>
  </si>
  <si>
    <t>MÃ CỌC</t>
  </si>
  <si>
    <t>DÂY NEO</t>
  </si>
  <si>
    <t>NGUỒN GỐC</t>
  </si>
  <si>
    <t>X (m)</t>
  </si>
  <si>
    <t>Y (m)</t>
  </si>
  <si>
    <t>Cao độ mặt đất (m)</t>
  </si>
  <si>
    <t>Bê tông (m³)</t>
  </si>
  <si>
    <t>Thép (kg)</t>
  </si>
  <si>
    <t>Dây dài (m)</t>
  </si>
  <si>
    <t>Phương vị (°)</t>
  </si>
  <si>
    <t>Đầu cọc</t>
  </si>
  <si>
    <t>Góc cáp MNC (°)</t>
  </si>
  <si>
    <t>Góc cáp MNLKT (°)</t>
  </si>
  <si>
    <t>Mặt đất thấp hơn MNDB</t>
  </si>
  <si>
    <t>GHI CHÚ</t>
  </si>
  <si>
    <t>HV-P001</t>
  </si>
  <si>
    <t>B1-D01</t>
  </si>
  <si>
    <t>Cọc đã định vị</t>
  </si>
  <si>
    <t>CÓ</t>
  </si>
  <si>
    <t>Mặt đất tại cọc thấp hơn MNDB: thi công mùa nước thấp, có ống vách; Đầu cọc ngập khi hồ ở MNLKT: bản mã, tai neo cần chống gỉ</t>
  </si>
  <si>
    <t>HV-P002</t>
  </si>
  <si>
    <t>B1-D02</t>
  </si>
  <si>
    <t>HV-P003</t>
  </si>
  <si>
    <t>B1-D03</t>
  </si>
  <si>
    <t>HV-P004</t>
  </si>
  <si>
    <t>B1-D04</t>
  </si>
  <si>
    <t>HV-P005</t>
  </si>
  <si>
    <t>B1-D05</t>
  </si>
  <si>
    <t>không</t>
  </si>
  <si>
    <t>Đầu cọc ngập khi hồ ở MNLKT: bản mã, tai neo cần chống gỉ</t>
  </si>
  <si>
    <t>HV-P006</t>
  </si>
  <si>
    <t>B1-D06</t>
  </si>
  <si>
    <t>HV-P007</t>
  </si>
  <si>
    <t>B1-D07</t>
  </si>
  <si>
    <t>HV-P008</t>
  </si>
  <si>
    <t>B1-D08</t>
  </si>
  <si>
    <t>HV-P009</t>
  </si>
  <si>
    <t>B1-D09</t>
  </si>
  <si>
    <t>HV-P010</t>
  </si>
  <si>
    <t>B1-D10</t>
  </si>
  <si>
    <t>Đầu cọc ngập khi hồ ở MNLKT: bản mã, tai neo cần chống gỉ; Cáp chúc xuống dốc khi nước thấp: kiểm tra cáp không tì vào mặt đất / mũ cọc</t>
  </si>
  <si>
    <t>HV-P011</t>
  </si>
  <si>
    <t>B1-D11</t>
  </si>
  <si>
    <t>Mặt đất tại cọc thấp hơn MNDB: thi công mùa nước thấp, có ống vách; Đầu cọc ngập khi hồ ở MNLKT: bản mã, tai neo cần chống gỉ; Cáp chúc xuống dốc khi nước thấp: kiểm tra cáp không tì vào mặt đất / mũ cọc</t>
  </si>
  <si>
    <t>HV-P012</t>
  </si>
  <si>
    <t>B1-D12</t>
  </si>
  <si>
    <t>HV-P013</t>
  </si>
  <si>
    <t>B1-D13</t>
  </si>
  <si>
    <t>HV-P014</t>
  </si>
  <si>
    <t>B1-D14</t>
  </si>
  <si>
    <t>HV-P016</t>
  </si>
  <si>
    <t>B1-D16</t>
  </si>
  <si>
    <t>Cọc mới (ven bờ)</t>
  </si>
  <si>
    <t>Chuyển từ neo đáy sang cọc khoan nhồi (vị trí ven bờ); Mặt đất tại cọc thấp hơn MNDB: thi công mùa nước thấp, có ống vách; Đầu cọc ngập khi hồ ở MNLKT: bản mã, tai neo cần chống gỉ</t>
  </si>
  <si>
    <t>HV-P017</t>
  </si>
  <si>
    <t>B1-D17</t>
  </si>
  <si>
    <t>HV-P018</t>
  </si>
  <si>
    <t>B1-D18</t>
  </si>
  <si>
    <t>HV-P020</t>
  </si>
  <si>
    <t>B2-D01</t>
  </si>
  <si>
    <t>HV-P021</t>
  </si>
  <si>
    <t>B2-D02</t>
  </si>
  <si>
    <t>HV-P022</t>
  </si>
  <si>
    <t>B2-D03</t>
  </si>
  <si>
    <t>HV-P023</t>
  </si>
  <si>
    <t>B2-D04</t>
  </si>
  <si>
    <t>HV-P024</t>
  </si>
  <si>
    <t>B2-D05</t>
  </si>
  <si>
    <t>HV-P025</t>
  </si>
  <si>
    <t>B2-D06</t>
  </si>
  <si>
    <t>HV-P026</t>
  </si>
  <si>
    <t>B2-D07</t>
  </si>
  <si>
    <t>HV-P027</t>
  </si>
  <si>
    <t>B2-D08</t>
  </si>
  <si>
    <t>HV-P028</t>
  </si>
  <si>
    <t>B2-D09</t>
  </si>
  <si>
    <t>HV-P029</t>
  </si>
  <si>
    <t>B2-D10</t>
  </si>
  <si>
    <t>HV-P030</t>
  </si>
  <si>
    <t>B2-D11</t>
  </si>
  <si>
    <t>HV-P033</t>
  </si>
  <si>
    <t>B2-D14</t>
  </si>
  <si>
    <t>HV-P034</t>
  </si>
  <si>
    <t>B2-D15</t>
  </si>
  <si>
    <t>HV-P035</t>
  </si>
  <si>
    <t>B2-D16</t>
  </si>
  <si>
    <t>HV-P038</t>
  </si>
  <si>
    <t>B2-D19</t>
  </si>
  <si>
    <t>HV-P040</t>
  </si>
  <si>
    <t>B3-D01</t>
  </si>
  <si>
    <t>HV-P041</t>
  </si>
  <si>
    <t>B3-D02</t>
  </si>
  <si>
    <t>HV-P042</t>
  </si>
  <si>
    <t>B3-D03</t>
  </si>
  <si>
    <t>HV-P043</t>
  </si>
  <si>
    <t>B3-D04</t>
  </si>
  <si>
    <t>HV-P044</t>
  </si>
  <si>
    <t>B3-D05</t>
  </si>
  <si>
    <t>HV-P045</t>
  </si>
  <si>
    <t>B3-D06</t>
  </si>
  <si>
    <t>HV-P046</t>
  </si>
  <si>
    <t>B3-D07</t>
  </si>
  <si>
    <t>HV-P047</t>
  </si>
  <si>
    <t>B3-D08</t>
  </si>
  <si>
    <t>HV-P048</t>
  </si>
  <si>
    <t>B3-D09</t>
  </si>
  <si>
    <t>HV-P049</t>
  </si>
  <si>
    <t>B3-D10</t>
  </si>
  <si>
    <t>HV-P050</t>
  </si>
  <si>
    <t>B3-D11</t>
  </si>
  <si>
    <t>HV-P054</t>
  </si>
  <si>
    <t>B3-D15</t>
  </si>
  <si>
    <t>Chuyển từ neo đáy sang cọc khoan nhồi (vị trí ven bờ); Đầu cọc ngập khi hồ ở MNLKT: bản mã, tai neo cần chống gỉ</t>
  </si>
  <si>
    <t>HV-P055</t>
  </si>
  <si>
    <t>B3-D16</t>
  </si>
  <si>
    <t>HV-P057</t>
  </si>
  <si>
    <t>B3-D18</t>
  </si>
  <si>
    <t>HV-P058</t>
  </si>
  <si>
    <t>B3-D19</t>
  </si>
  <si>
    <t>HV-P062</t>
  </si>
  <si>
    <t>B3A-D01</t>
  </si>
  <si>
    <t>HV-P063</t>
  </si>
  <si>
    <t>B3A-D02</t>
  </si>
  <si>
    <t>HV-P064</t>
  </si>
  <si>
    <t>B3A-D03</t>
  </si>
  <si>
    <t>HV-P065</t>
  </si>
  <si>
    <t>B3A-D04</t>
  </si>
  <si>
    <t>HV-P066</t>
  </si>
  <si>
    <t>B3A-D05</t>
  </si>
  <si>
    <t>HV-P067</t>
  </si>
  <si>
    <t>B3A-D06</t>
  </si>
  <si>
    <t>HV-P068</t>
  </si>
  <si>
    <t>B3A-D07</t>
  </si>
  <si>
    <t>HV-P069</t>
  </si>
  <si>
    <t>B3A-D08</t>
  </si>
  <si>
    <t>HV-P070</t>
  </si>
  <si>
    <t>B3A-D09</t>
  </si>
  <si>
    <t>HV-P071</t>
  </si>
  <si>
    <t>B3A-D10</t>
  </si>
  <si>
    <t>HV-P072</t>
  </si>
  <si>
    <t>B3A-D11</t>
  </si>
  <si>
    <t>HV-P073</t>
  </si>
  <si>
    <t>B3A-D12</t>
  </si>
  <si>
    <t>HV-P074</t>
  </si>
  <si>
    <t>B3A-D13</t>
  </si>
  <si>
    <t>HV-P075</t>
  </si>
  <si>
    <t>B3A-D14</t>
  </si>
  <si>
    <t>HV-P076</t>
  </si>
  <si>
    <t>B3A-D15</t>
  </si>
  <si>
    <t>HV-P077</t>
  </si>
  <si>
    <t>B3A-D16</t>
  </si>
  <si>
    <t>HV-P078</t>
  </si>
  <si>
    <t>B3A-D17</t>
  </si>
  <si>
    <t>HV-P079</t>
  </si>
  <si>
    <t>B3A-D18</t>
  </si>
  <si>
    <t>HV-P080</t>
  </si>
  <si>
    <t>B3A-D19</t>
  </si>
  <si>
    <t>HV-P081</t>
  </si>
  <si>
    <t>B3A-D20</t>
  </si>
  <si>
    <t>HV-P086</t>
  </si>
  <si>
    <t>B3A-D25</t>
  </si>
  <si>
    <t>HV-P087</t>
  </si>
  <si>
    <t>B3A-D26</t>
  </si>
  <si>
    <t>HV-P088</t>
  </si>
  <si>
    <t>B3A-D27</t>
  </si>
  <si>
    <t>HV-P089</t>
  </si>
  <si>
    <t>B3A-D28</t>
  </si>
  <si>
    <t>HV-P090</t>
  </si>
  <si>
    <t>B3A-D29</t>
  </si>
  <si>
    <t>HV-P091</t>
  </si>
  <si>
    <t>B3A-D30</t>
  </si>
  <si>
    <t>HV-P092</t>
  </si>
  <si>
    <t>B3A-D31</t>
  </si>
  <si>
    <t>HV-P093</t>
  </si>
  <si>
    <t>B3A-D32</t>
  </si>
  <si>
    <t>HV-P094</t>
  </si>
  <si>
    <t>B3A-D33</t>
  </si>
  <si>
    <t>HV-P095</t>
  </si>
  <si>
    <t>B3A-D34</t>
  </si>
  <si>
    <t>HV-P096</t>
  </si>
  <si>
    <t>B3A-D35</t>
  </si>
  <si>
    <t>HV-P112</t>
  </si>
  <si>
    <t>B5A-D01</t>
  </si>
  <si>
    <t>HV-P113</t>
  </si>
  <si>
    <t>B5A-D02</t>
  </si>
  <si>
    <t>HV-P114</t>
  </si>
  <si>
    <t>B5A-D03</t>
  </si>
  <si>
    <t>HV-P115</t>
  </si>
  <si>
    <t>B5A-D04</t>
  </si>
  <si>
    <t>HV-P116</t>
  </si>
  <si>
    <t>B5A-D05</t>
  </si>
  <si>
    <t>HV-P117</t>
  </si>
  <si>
    <t>B5A-D06</t>
  </si>
  <si>
    <t>HV-P118</t>
  </si>
  <si>
    <t>B5A-D07</t>
  </si>
  <si>
    <t>HV-P119</t>
  </si>
  <si>
    <t>B5A-D08</t>
  </si>
  <si>
    <t>HV-P120</t>
  </si>
  <si>
    <t>B5A-D09</t>
  </si>
  <si>
    <t>HV-P121</t>
  </si>
  <si>
    <t>B5A-D10</t>
  </si>
  <si>
    <t>HV-P122</t>
  </si>
  <si>
    <t>B5A-D11</t>
  </si>
  <si>
    <t>HV-P123</t>
  </si>
  <si>
    <t>B5A-D12</t>
  </si>
  <si>
    <t>HV-P127</t>
  </si>
  <si>
    <t>B5A-D16</t>
  </si>
  <si>
    <t>HV-P128</t>
  </si>
  <si>
    <t>B5A-D17</t>
  </si>
  <si>
    <t>HV-P129</t>
  </si>
  <si>
    <t>B5A-D18</t>
  </si>
  <si>
    <t>HV-P130</t>
  </si>
  <si>
    <t>B5A-D19</t>
  </si>
  <si>
    <t>HV-P131</t>
  </si>
  <si>
    <t>B5A-D20</t>
  </si>
  <si>
    <t>HV-P132</t>
  </si>
  <si>
    <t>B5A-D21</t>
  </si>
  <si>
    <t>HV-P133</t>
  </si>
  <si>
    <t>B5A-D22</t>
  </si>
  <si>
    <t>HV-P144</t>
  </si>
  <si>
    <t>B5A-D33</t>
  </si>
  <si>
    <t>HV-P145</t>
  </si>
  <si>
    <t>B5A-D34</t>
  </si>
  <si>
    <t>HV-P146</t>
  </si>
  <si>
    <t>B5A-D35</t>
  </si>
  <si>
    <t>HV-P147</t>
  </si>
  <si>
    <t>B5A-D36</t>
  </si>
  <si>
    <t>HV-P148</t>
  </si>
  <si>
    <t>B5A-D37</t>
  </si>
  <si>
    <t>HV-P149</t>
  </si>
  <si>
    <t>B5A-D38</t>
  </si>
  <si>
    <t>HV-P150</t>
  </si>
  <si>
    <t>B5A-D39</t>
  </si>
  <si>
    <t>HV-P151</t>
  </si>
  <si>
    <t>B5A-D40</t>
  </si>
  <si>
    <t>HV-P152</t>
  </si>
  <si>
    <t>B5A-D41</t>
  </si>
  <si>
    <t>HV-P153</t>
  </si>
  <si>
    <t>B5A-D42</t>
  </si>
  <si>
    <t>HV-P154</t>
  </si>
  <si>
    <t>B5A-D43</t>
  </si>
  <si>
    <t>HV-P155</t>
  </si>
  <si>
    <t>B5A-D44</t>
  </si>
  <si>
    <t>HV-P156</t>
  </si>
  <si>
    <t>B5A-D45</t>
  </si>
  <si>
    <t>HV-P157</t>
  </si>
  <si>
    <t>B5A-D46</t>
  </si>
  <si>
    <t>Chuyển từ neo đáy sang cọc khoan nhồi (vị trí ven bờ)</t>
  </si>
  <si>
    <t>HV-P158</t>
  </si>
  <si>
    <t>B5A-D47</t>
  </si>
  <si>
    <t>HV-P159</t>
  </si>
  <si>
    <t>B5A-D48</t>
  </si>
  <si>
    <t>HV-P160</t>
  </si>
  <si>
    <t>B5A-D49</t>
  </si>
  <si>
    <t>HV-P161</t>
  </si>
  <si>
    <t>B6-D01</t>
  </si>
  <si>
    <t>HV-P162</t>
  </si>
  <si>
    <t>B6-D02</t>
  </si>
  <si>
    <t>HV-P163</t>
  </si>
  <si>
    <t>B6-D03</t>
  </si>
  <si>
    <t>HV-P164</t>
  </si>
  <si>
    <t>B6-D04</t>
  </si>
  <si>
    <t>HV-P165</t>
  </si>
  <si>
    <t>B6-D05</t>
  </si>
  <si>
    <t>HV-P166</t>
  </si>
  <si>
    <t>B6-D06</t>
  </si>
  <si>
    <t>HV-P167</t>
  </si>
  <si>
    <t>B6-D07</t>
  </si>
  <si>
    <t>HV-P168</t>
  </si>
  <si>
    <t>B6-D08</t>
  </si>
  <si>
    <t>HV-P169</t>
  </si>
  <si>
    <t>B6-D09</t>
  </si>
  <si>
    <t>HV-P170</t>
  </si>
  <si>
    <t>B6-D10</t>
  </si>
  <si>
    <t>HV-P171</t>
  </si>
  <si>
    <t>B6-D11</t>
  </si>
  <si>
    <t>HV-P172</t>
  </si>
  <si>
    <t>B6-D12</t>
  </si>
  <si>
    <t>HV-P173</t>
  </si>
  <si>
    <t>B6-D13</t>
  </si>
  <si>
    <t>HV-P174</t>
  </si>
  <si>
    <t>B6-D14</t>
  </si>
  <si>
    <t>HV-P175</t>
  </si>
  <si>
    <t>B6-D15</t>
  </si>
  <si>
    <t>HV-P176</t>
  </si>
  <si>
    <t>B6-D16</t>
  </si>
  <si>
    <t>HV-P178</t>
  </si>
  <si>
    <t>B6-D18</t>
  </si>
  <si>
    <t>HV-P179</t>
  </si>
  <si>
    <t>B6-D19</t>
  </si>
  <si>
    <t>HV-P180</t>
  </si>
  <si>
    <t>B6-D20</t>
  </si>
  <si>
    <t>HV-P181</t>
  </si>
  <si>
    <t>B6-D21</t>
  </si>
  <si>
    <t>HV-P182</t>
  </si>
  <si>
    <t>B6-D22</t>
  </si>
  <si>
    <t>HV-P183</t>
  </si>
  <si>
    <t>B6-D23</t>
  </si>
  <si>
    <t>HV-P184</t>
  </si>
  <si>
    <t>B6-D24</t>
  </si>
  <si>
    <t>HV-P185</t>
  </si>
  <si>
    <t>B6-D25</t>
  </si>
  <si>
    <t>HV-P186</t>
  </si>
  <si>
    <t>B6-D26</t>
  </si>
  <si>
    <t>HV-P188</t>
  </si>
  <si>
    <t>B6-D28</t>
  </si>
  <si>
    <t>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t>
  </si>
  <si>
    <t>HV-P189</t>
  </si>
  <si>
    <t>B6-D29</t>
  </si>
  <si>
    <t>HV-P190</t>
  </si>
  <si>
    <t>B6-D30</t>
  </si>
  <si>
    <t>HV-P192</t>
  </si>
  <si>
    <t>B7-D01</t>
  </si>
  <si>
    <t>HV-P193</t>
  </si>
  <si>
    <t>B7-D02</t>
  </si>
  <si>
    <t>HV-P194</t>
  </si>
  <si>
    <t>B7-D03</t>
  </si>
  <si>
    <t>HV-P195</t>
  </si>
  <si>
    <t>B7-D04</t>
  </si>
  <si>
    <t>HV-P196</t>
  </si>
  <si>
    <t>B7-D05</t>
  </si>
  <si>
    <t>HV-P197</t>
  </si>
  <si>
    <t>B7-D06</t>
  </si>
  <si>
    <t>HV-P198</t>
  </si>
  <si>
    <t>B7-D07</t>
  </si>
  <si>
    <t>HV-P199</t>
  </si>
  <si>
    <t>B7-D08</t>
  </si>
  <si>
    <t>HV-P200</t>
  </si>
  <si>
    <t>B7-D09</t>
  </si>
  <si>
    <t>HV-P201</t>
  </si>
  <si>
    <t>B7-D10</t>
  </si>
  <si>
    <t>HV-P202</t>
  </si>
  <si>
    <t>B7-D11</t>
  </si>
  <si>
    <t>HV-P203</t>
  </si>
  <si>
    <t>B7-D12</t>
  </si>
  <si>
    <t>HV-P204</t>
  </si>
  <si>
    <t>B7-D13</t>
  </si>
  <si>
    <t>HV-P205</t>
  </si>
  <si>
    <t>B7-D14</t>
  </si>
  <si>
    <t>HV-P206</t>
  </si>
  <si>
    <t>B7-D15</t>
  </si>
  <si>
    <t>HV-P207</t>
  </si>
  <si>
    <t>B7-D16</t>
  </si>
  <si>
    <t>HV-P208</t>
  </si>
  <si>
    <t>B7-D17</t>
  </si>
  <si>
    <t>HV-P209</t>
  </si>
  <si>
    <t>B7-D18</t>
  </si>
  <si>
    <t>HV-P212</t>
  </si>
  <si>
    <t>B7-D21</t>
  </si>
  <si>
    <t>HV-P217</t>
  </si>
  <si>
    <t>B7-D26</t>
  </si>
  <si>
    <t>HV-P218</t>
  </si>
  <si>
    <t>B7-D27</t>
  </si>
  <si>
    <t>HV-P219</t>
  </si>
  <si>
    <t>B7-D28</t>
  </si>
  <si>
    <t>HV-P220</t>
  </si>
  <si>
    <t>B7-D29</t>
  </si>
  <si>
    <t>HV-P221</t>
  </si>
  <si>
    <t>B7-D30</t>
  </si>
  <si>
    <t>HV-P225</t>
  </si>
  <si>
    <t>B8-D01</t>
  </si>
  <si>
    <t>HV-P226</t>
  </si>
  <si>
    <t>B8-D02</t>
  </si>
  <si>
    <t>HV-P227</t>
  </si>
  <si>
    <t>B8-D03</t>
  </si>
  <si>
    <t>HV-P228</t>
  </si>
  <si>
    <t>B8-D04</t>
  </si>
  <si>
    <t>HV-P229</t>
  </si>
  <si>
    <t>B8-D05</t>
  </si>
  <si>
    <t>HV-P230</t>
  </si>
  <si>
    <t>B8-D06</t>
  </si>
  <si>
    <t>HV-P231</t>
  </si>
  <si>
    <t>B8-D07</t>
  </si>
  <si>
    <t>HV-P232</t>
  </si>
  <si>
    <t>B8-D08</t>
  </si>
  <si>
    <t>HV-P233</t>
  </si>
  <si>
    <t>B8-D09</t>
  </si>
  <si>
    <t>HV-P234</t>
  </si>
  <si>
    <t>B8-D10</t>
  </si>
  <si>
    <t>HV-P235</t>
  </si>
  <si>
    <t>B8-D11</t>
  </si>
  <si>
    <t>HV-P236</t>
  </si>
  <si>
    <t>B8-D12</t>
  </si>
  <si>
    <t>HV-P237</t>
  </si>
  <si>
    <t>B8-D13</t>
  </si>
  <si>
    <t>HV-P238</t>
  </si>
  <si>
    <t>B8-D14</t>
  </si>
  <si>
    <t>HV-P239</t>
  </si>
  <si>
    <t>B8-D15</t>
  </si>
  <si>
    <t>HV-P240</t>
  </si>
  <si>
    <t>B8-D16</t>
  </si>
  <si>
    <t>HV-P241</t>
  </si>
  <si>
    <t>B8-D17</t>
  </si>
  <si>
    <t>HV-P242</t>
  </si>
  <si>
    <t>B8-D18</t>
  </si>
  <si>
    <t>HV-P243</t>
  </si>
  <si>
    <t>B8-D19</t>
  </si>
  <si>
    <t>HV-P244</t>
  </si>
  <si>
    <t>B8-D20</t>
  </si>
  <si>
    <t>HV-P245</t>
  </si>
  <si>
    <t>B8-D21</t>
  </si>
  <si>
    <t>HV-P246</t>
  </si>
  <si>
    <t>B8-D22</t>
  </si>
  <si>
    <t>HV-P247</t>
  </si>
  <si>
    <t>B8-D23</t>
  </si>
  <si>
    <t>HV-P248</t>
  </si>
  <si>
    <t>B8-D24</t>
  </si>
  <si>
    <t>HV-P249</t>
  </si>
  <si>
    <t>B8-D25</t>
  </si>
  <si>
    <t>HV-P250</t>
  </si>
  <si>
    <t>B8-D26</t>
  </si>
  <si>
    <t>HV-P251</t>
  </si>
  <si>
    <t>B8-D27</t>
  </si>
  <si>
    <t>HV-P252</t>
  </si>
  <si>
    <t>B8-D28</t>
  </si>
  <si>
    <t>HV-P257</t>
  </si>
  <si>
    <t>B8-D33</t>
  </si>
  <si>
    <t>HV-P258</t>
  </si>
  <si>
    <t>B8-D34</t>
  </si>
  <si>
    <t>HV-P259</t>
  </si>
  <si>
    <t>B8-D35</t>
  </si>
  <si>
    <t>HV-P260</t>
  </si>
  <si>
    <t>B8-D36</t>
  </si>
  <si>
    <t>HV-P261</t>
  </si>
  <si>
    <t>B8-D37</t>
  </si>
  <si>
    <t>HV-P262</t>
  </si>
  <si>
    <t>B8-D38</t>
  </si>
  <si>
    <t>HV-P263</t>
  </si>
  <si>
    <t>B8-D39</t>
  </si>
  <si>
    <t>HV-P264</t>
  </si>
  <si>
    <t>B8-D40</t>
  </si>
  <si>
    <t>HV-P265</t>
  </si>
  <si>
    <t>B8-D41</t>
  </si>
  <si>
    <t>HV-P266</t>
  </si>
  <si>
    <t>B8-D42</t>
  </si>
  <si>
    <t>HV-P267</t>
  </si>
  <si>
    <t>B8-D43</t>
  </si>
  <si>
    <t>HV-P268</t>
  </si>
  <si>
    <t>B8-D44</t>
  </si>
  <si>
    <t>HV-P269</t>
  </si>
  <si>
    <t>B8-D45</t>
  </si>
  <si>
    <t>HV-P270</t>
  </si>
  <si>
    <t>B8-D46</t>
  </si>
  <si>
    <t>HV-P271</t>
  </si>
  <si>
    <t>B8-D47</t>
  </si>
  <si>
    <t>HV-P273</t>
  </si>
  <si>
    <t>B8-D49</t>
  </si>
  <si>
    <t>HV-P274</t>
  </si>
  <si>
    <t>B8-D50</t>
  </si>
  <si>
    <t>HV-P275</t>
  </si>
  <si>
    <t>B8-D51</t>
  </si>
  <si>
    <t>HV-P276</t>
  </si>
  <si>
    <t>B9-D01</t>
  </si>
  <si>
    <t>HV-P277</t>
  </si>
  <si>
    <t>B9-D02</t>
  </si>
  <si>
    <t>HV-P278</t>
  </si>
  <si>
    <t>B9-D03</t>
  </si>
  <si>
    <t>HV-P279</t>
  </si>
  <si>
    <t>B9-D04</t>
  </si>
  <si>
    <t>HV-P280</t>
  </si>
  <si>
    <t>B9-D05</t>
  </si>
  <si>
    <t>HV-P281</t>
  </si>
  <si>
    <t>B9-D06</t>
  </si>
  <si>
    <t>HV-P282</t>
  </si>
  <si>
    <t>B9-D07</t>
  </si>
  <si>
    <t>HV-P283</t>
  </si>
  <si>
    <t>B9-D08</t>
  </si>
  <si>
    <t>HV-P284</t>
  </si>
  <si>
    <t>B9-D09</t>
  </si>
  <si>
    <t>HV-P285</t>
  </si>
  <si>
    <t>B9-D10</t>
  </si>
  <si>
    <t>HV-P286</t>
  </si>
  <si>
    <t>B9-D11</t>
  </si>
  <si>
    <t>HV-P287</t>
  </si>
  <si>
    <t>B9-D12</t>
  </si>
  <si>
    <t>HV-P288</t>
  </si>
  <si>
    <t>B9-D13</t>
  </si>
  <si>
    <t>HV-P289</t>
  </si>
  <si>
    <t>B9-D14</t>
  </si>
  <si>
    <t>HV-P290</t>
  </si>
  <si>
    <t>B9-D15</t>
  </si>
  <si>
    <t>HV-P292</t>
  </si>
  <si>
    <t>B9-D17</t>
  </si>
  <si>
    <t>HV-P293</t>
  </si>
  <si>
    <t>B9-D18</t>
  </si>
  <si>
    <t>HV-P294</t>
  </si>
  <si>
    <t>B9-D19</t>
  </si>
  <si>
    <t>HV-P295</t>
  </si>
  <si>
    <t>B9-D20</t>
  </si>
  <si>
    <t>THỐNG KÊ VÀ TÍNH TOÁN TỪNG ĐẾ NEO ĐÁY: ĐẾ BTCT + 4 VÍT XOẮN (32 ĐẾ) — HV-FPV-2026</t>
  </si>
  <si>
    <t>Đế dùng chung hai dây: kiểm tra dây 1 căng + dây 2 ở lực căng trước, ngược lại, và cả hai cùng căng, ở MNC và MNLKT. SV-1: T_v ≤ 0.9W' + nQ_a | SV-2: 1.5T_h ≤ bám dính + gờ + nH_u | SV-3: 1.5M_lật ≤ M_giữ | SV-4: N_1 ≤ Q_a | SV-5: W'/B² ≤ 5,14c_u/2.5.</t>
  </si>
  <si>
    <t>MÃ ĐẾ</t>
  </si>
  <si>
    <t>DÂY 1</t>
  </si>
  <si>
    <t>T 1 (kN)</t>
  </si>
  <si>
    <t>Dài 1 (m)</t>
  </si>
  <si>
    <t>DÂY 2</t>
  </si>
  <si>
    <t>T 2 (kN)</t>
  </si>
  <si>
    <t>Dài 2 (m)</t>
  </si>
  <si>
    <t>Cao độ đáy (m)</t>
  </si>
  <si>
    <t>Sâu nước MNC (m)</t>
  </si>
  <si>
    <t>Sâu nước MNLKT (m)</t>
  </si>
  <si>
    <t>Tổ hợp chi phối</t>
  </si>
  <si>
    <t>T_h (kN)</t>
  </si>
  <si>
    <t>T_v (kN)</t>
  </si>
  <si>
    <t>B (m)</t>
  </si>
  <si>
    <t>t (m)</t>
  </si>
  <si>
    <t>V bê tông (m³)</t>
  </si>
  <si>
    <t>Nặng trên cạn (kN)</t>
  </si>
  <si>
    <t>W' trong nước (kN)</t>
  </si>
  <si>
    <t>Cẩu (tấn)</t>
  </si>
  <si>
    <t>Lưới thép 2 lớp</t>
  </si>
  <si>
    <t>Thép bản (kg)</t>
  </si>
  <si>
    <t>Số vít</t>
  </si>
  <si>
    <t>Vít Ø × dày</t>
  </si>
  <si>
    <t>Dài 1 vít (m)</t>
  </si>
  <si>
    <t>Sức chống nhổ (kN)</t>
  </si>
  <si>
    <t>M_lật (kNm)</t>
  </si>
  <si>
    <t>M_giữ (kNm)</t>
  </si>
  <si>
    <t>N 1 vít (kN)</t>
  </si>
  <si>
    <t>SV-1 nhổ</t>
  </si>
  <si>
    <t>SV-2 trượt</t>
  </si>
  <si>
    <t>SV-3 lật</t>
  </si>
  <si>
    <t>SV-4 một vít</t>
  </si>
  <si>
    <t>SV-5 nền</t>
  </si>
  <si>
    <t>SV-6 thép</t>
  </si>
  <si>
    <t>HV-DV001</t>
  </si>
  <si>
    <t>B1-D15</t>
  </si>
  <si>
    <t>B2-D13</t>
  </si>
  <si>
    <t>cả hai dây căng (MN cao)</t>
  </si>
  <si>
    <t>Ø12 a200</t>
  </si>
  <si>
    <t>Ø89×5</t>
  </si>
  <si>
    <t>Đế dùng chung hai bè: hai tai neo</t>
  </si>
  <si>
    <t>HV-DV002</t>
  </si>
  <si>
    <t>B1-D19</t>
  </si>
  <si>
    <t>B2-D20</t>
  </si>
  <si>
    <t>HV-DV003</t>
  </si>
  <si>
    <t>B2-D12</t>
  </si>
  <si>
    <t>B3-D22</t>
  </si>
  <si>
    <t>HV-DV004</t>
  </si>
  <si>
    <t>B2-D17</t>
  </si>
  <si>
    <t>B3-D17</t>
  </si>
  <si>
    <t>HV-DV005</t>
  </si>
  <si>
    <t>B2-D18</t>
  </si>
  <si>
    <t>B3-D13</t>
  </si>
  <si>
    <t>HV-DV006</t>
  </si>
  <si>
    <t>B3-D12</t>
  </si>
  <si>
    <t>B3A-D23</t>
  </si>
  <si>
    <t>Đế dùng chung hai bè: hai tai neo; Đế lớn hơn đế mẫu</t>
  </si>
  <si>
    <t>HV-DV007</t>
  </si>
  <si>
    <t>B3-D14</t>
  </si>
  <si>
    <t>B3A-D21</t>
  </si>
  <si>
    <t>HV-DV008</t>
  </si>
  <si>
    <t>B3-D20</t>
  </si>
  <si>
    <t>B3A-D22</t>
  </si>
  <si>
    <t>HV-DV009</t>
  </si>
  <si>
    <t>B3-D21</t>
  </si>
  <si>
    <t>B3A-D24</t>
  </si>
  <si>
    <t>HV-DV010</t>
  </si>
  <si>
    <t>B3A-D36</t>
  </si>
  <si>
    <t>B5A-D32</t>
  </si>
  <si>
    <t>B5A-D32 căng, B3A-D36 chùng (MN cao)</t>
  </si>
  <si>
    <t>HV-DV011</t>
  </si>
  <si>
    <t>B3A-D37</t>
  </si>
  <si>
    <t>B5A-D31</t>
  </si>
  <si>
    <t>B5A-D31 căng, B3A-D37 chùng (MN cao)</t>
  </si>
  <si>
    <t>HV-DV012</t>
  </si>
  <si>
    <t>B3A-D38</t>
  </si>
  <si>
    <t>B5A-D30</t>
  </si>
  <si>
    <t>B5A-D30 căng, B3A-D38 chùng (MN cao)</t>
  </si>
  <si>
    <t>HV-DV013</t>
  </si>
  <si>
    <t>B3A-D39</t>
  </si>
  <si>
    <t>B5A-D29</t>
  </si>
  <si>
    <t>B5A-D29 căng, B3A-D39 chùng (MN cao)</t>
  </si>
  <si>
    <t>HV-DV014</t>
  </si>
  <si>
    <t>B3A-D40</t>
  </si>
  <si>
    <t>B5A-D28</t>
  </si>
  <si>
    <t>B5A-D28 căng, B3A-D40 chùng (MN cao)</t>
  </si>
  <si>
    <t>HV-DV015</t>
  </si>
  <si>
    <t>B3A-D41</t>
  </si>
  <si>
    <t>B5A-D27</t>
  </si>
  <si>
    <t>B5A-D27 căng, B3A-D41 chùng (MN cao)</t>
  </si>
  <si>
    <t>HV-DV016</t>
  </si>
  <si>
    <t>B3A-D42</t>
  </si>
  <si>
    <t>B5A-D26</t>
  </si>
  <si>
    <t>B5A-D26 căng, B3A-D42 chùng (MN cao)</t>
  </si>
  <si>
    <t>HV-DV017</t>
  </si>
  <si>
    <t>B3A-D43</t>
  </si>
  <si>
    <t>B5A-D25</t>
  </si>
  <si>
    <t>B5A-D25 căng, B3A-D43 chùng (MN cao)</t>
  </si>
  <si>
    <t>HV-DV018</t>
  </si>
  <si>
    <t>B3A-D44</t>
  </si>
  <si>
    <t>B5A-D24</t>
  </si>
  <si>
    <t>B5A-D24 căng, B3A-D44 chùng (MN cao)</t>
  </si>
  <si>
    <t>HV-DV019</t>
  </si>
  <si>
    <t>B3A-D45</t>
  </si>
  <si>
    <t>B5A-D23</t>
  </si>
  <si>
    <t>B5A-D23 căng, B3A-D45 chùng (MN cao)</t>
  </si>
  <si>
    <t>HV-DV020</t>
  </si>
  <si>
    <t>B3A-D46</t>
  </si>
  <si>
    <t>B7-D23</t>
  </si>
  <si>
    <t>HV-DV021</t>
  </si>
  <si>
    <t>B3A-D47</t>
  </si>
  <si>
    <t>B7-D32</t>
  </si>
  <si>
    <t>HV-DV022</t>
  </si>
  <si>
    <t>B3A-D48</t>
  </si>
  <si>
    <t>B7-D19</t>
  </si>
  <si>
    <t>HV-DV023</t>
  </si>
  <si>
    <t>B3A-D49</t>
  </si>
  <si>
    <t>B7-D31</t>
  </si>
  <si>
    <t>HV-DV024</t>
  </si>
  <si>
    <t>B3A-D50</t>
  </si>
  <si>
    <t>B7-D22</t>
  </si>
  <si>
    <t>HV-DV025</t>
  </si>
  <si>
    <t>B5A-D13</t>
  </si>
  <si>
    <t>B6-D27</t>
  </si>
  <si>
    <t>B5A-D13 căng, B6-D27 chùng (MN cao)</t>
  </si>
  <si>
    <t>Đế dùng chung hai bè: hai tai neo; Địa hình IFC tại điểm này cao hơn đáy thiết kế 3,1 m: kiểm tra khảo sát / nạo vét trước khi đặt đế; Đế lớn hơn đế mẫu</t>
  </si>
  <si>
    <t>HV-DV026</t>
  </si>
  <si>
    <t>B5A-D14</t>
  </si>
  <si>
    <t>B6-D31</t>
  </si>
  <si>
    <t>B5A-D14 căng, B6-D31 chùng (MN cao)</t>
  </si>
  <si>
    <t>Đế dùng chung hai bè: hai tai neo; Địa hình IFC tại điểm này cao hơn đáy thiết kế 2,8 m: kiểm tra khảo sát / nạo vét trước khi đặt đế; Đế lớn hơn đế mẫu</t>
  </si>
  <si>
    <t>HV-DV027</t>
  </si>
  <si>
    <t>B5A-D15</t>
  </si>
  <si>
    <t>B6-D17</t>
  </si>
  <si>
    <t>B5A-D15 căng, B6-D17 chùng (MN cao)</t>
  </si>
  <si>
    <t>HV-DV028</t>
  </si>
  <si>
    <t>B7-D20</t>
  </si>
  <si>
    <t>B8-D31</t>
  </si>
  <si>
    <t>HV-DV029</t>
  </si>
  <si>
    <t>B7-D24</t>
  </si>
  <si>
    <t>B8-D32</t>
  </si>
  <si>
    <t>HV-DV030</t>
  </si>
  <si>
    <t>B7-D25</t>
  </si>
  <si>
    <t>B8-D29</t>
  </si>
  <si>
    <t>HV-DV031</t>
  </si>
  <si>
    <t>B7-D33</t>
  </si>
  <si>
    <t>B8-D30</t>
  </si>
  <si>
    <t>HV-DV032</t>
  </si>
  <si>
    <t>B8-D48</t>
  </si>
  <si>
    <t>B9-D16</t>
  </si>
  <si>
    <t>Đế dùng chung hai bè: hai tai neo; Địa hình IFC tại điểm này cao hơn đáy thiết kế 2,5 m: kiểm tra khảo sát / nạo vét trước khi đặt đế</t>
  </si>
  <si>
    <t>32 đế</t>
  </si>
  <si>
    <t>Ghi chú: cột M_lật, M_giữ, N 1 vít, sức chống nhổ là của tổ hợp chi phối; các cột SV là giá trị lớn nhất trên mọi tổ hợp.</t>
  </si>
  <si>
    <t>TÍNH TOÁN VÍT XOẮN — HV-FPV-2026</t>
  </si>
  <si>
    <t>BƯỚC</t>
  </si>
  <si>
    <t>ĐẠI LƯỢNG</t>
  </si>
  <si>
    <t>CÔNG THỨC</t>
  </si>
  <si>
    <t>Ma sát thân vít</t>
  </si>
  <si>
    <t>α × c_u × π × D_ren × L = 0.8 × 20 × π × 0.105 × 3</t>
  </si>
  <si>
    <t>Sức chịu của cánh xoắn</t>
  </si>
  <si>
    <t>Không tính (vít chỉ có ren, không có cánh lớn)</t>
  </si>
  <si>
    <t>Sức chịu kéo của ống thép</t>
  </si>
  <si>
    <t>A_thép × f_y</t>
  </si>
  <si>
    <t>Sức chịu nhổ cực hạn Q_u</t>
  </si>
  <si>
    <t>min(bước 1 + bước 2 ; bước 3)</t>
  </si>
  <si>
    <t>Sức chịu nhổ cho phép Q_a</t>
  </si>
  <si>
    <t>Q_u / 2</t>
  </si>
  <si>
    <t>Sức chịu ngang theo đất (Broms)</t>
  </si>
  <si>
    <t>Cọc ngắn đầu tự do, đất dính</t>
  </si>
  <si>
    <t>Sức chịu ngang theo thép ống</t>
  </si>
  <si>
    <t>Khớp dẻo trong thân vít</t>
  </si>
  <si>
    <t>Sức chịu ngang cực hạn H_u</t>
  </si>
  <si>
    <t>min(bước 6 ; bước 7)</t>
  </si>
  <si>
    <t>4 vít của một đế: chống nhổ</t>
  </si>
  <si>
    <t>4 × Q_a</t>
  </si>
  <si>
    <t>Chiều dài chế tạo một vít</t>
  </si>
  <si>
    <t>ngàm 3 + dày đế 0.4 + đầu khóa 0,3</t>
  </si>
  <si>
    <t>Tổng số vít / tổng chiều dài</t>
  </si>
  <si>
    <t>32 đế × 4 vít</t>
  </si>
  <si>
    <t>128 cây / 473.6 m</t>
  </si>
  <si>
    <t>Vít chỉ là phần phụ: phần lớn lực nhổ do trọng lượng đế gánh. Sức chịu của vít tỷ lệ thuận với c_u bùn (GIẢ ĐỊNH). Sức chịu nhổ và sức chịu ngang tính độc lập, chưa xét tương tác. Chưa thiết kế khóa đầu vít và chống ăn mòn.</t>
  </si>
  <si>
    <t>Lực nhổ T_v (kN)</t>
  </si>
  <si>
    <t>0,9 W' (kN)</t>
  </si>
  <si>
    <t>Phần vít phải gánh (kN)</t>
  </si>
  <si>
    <t>N lớn nhất 1 vít (kN)</t>
  </si>
  <si>
    <t>Q_a (kN)</t>
  </si>
  <si>
    <t>Mức sử dụng 1 vít</t>
  </si>
  <si>
    <t>KHỐI LƯỢNG VÀ BÁO GIÁ THI CÔNG — HV-FPV-2026</t>
  </si>
  <si>
    <t>Phương án chốt: Cọc khoan nhồi D350 ven bờ + đế BTCT giữ bằng vít xoắn dưới đáy hồ</t>
  </si>
  <si>
    <t>Đơn giá cọc khoan nhồi là giá THAM KHẢO thị trường do Chủ đầu tư cung cấp, không phải báo giá nhà thầu. Hạng mục ghi "CHƯA CÓ ĐƠN GIÁ" chưa nằm trong tổng.</t>
  </si>
  <si>
    <t>HẠNG MỤC</t>
  </si>
  <si>
    <t>KHỐI LƯỢNG</t>
  </si>
  <si>
    <t>ĐƠN GIÁ (VNĐ)</t>
  </si>
  <si>
    <t>THÀNH TIỀN (VNĐ)</t>
  </si>
  <si>
    <t>A</t>
  </si>
  <si>
    <t>Cọc khoan nhồi trên bờ (đổ bê tông tại chỗ)</t>
  </si>
  <si>
    <t>md</t>
  </si>
  <si>
    <t>Đơn giá trọn gói vật tư + nhân công; 231 cọc</t>
  </si>
  <si>
    <t>B.1</t>
  </si>
  <si>
    <t>Đế BTCT neo đáy: bê tông B25 đúc sẵn (gồm ván khuôn, lỗ chờ, gờ chống trượt)</t>
  </si>
  <si>
    <t>m³</t>
  </si>
  <si>
    <t>CHƯA CÓ ĐƠN GIÁ — nhập để tính</t>
  </si>
  <si>
    <t>B.2</t>
  </si>
  <si>
    <t>Đế BTCT neo đáy: cốt thép lưới 2 lớp</t>
  </si>
  <si>
    <t>kg</t>
  </si>
  <si>
    <t>B.3</t>
  </si>
  <si>
    <t>Vít xoắn ống thép Ø89×5, ren Ø105, mạ kẽm nhúng nóng</t>
  </si>
  <si>
    <t>B.4</t>
  </si>
  <si>
    <t>Hạ đế xuống đáy hồ, vặn vít, khóa đầu vít (cẩu trên sà lan, thợ lặn)</t>
  </si>
  <si>
    <t>đế</t>
  </si>
  <si>
    <t>B.5</t>
  </si>
  <si>
    <t>Khấu hao lắp đặt sàn đạo nổi / sà lan</t>
  </si>
  <si>
    <t>chiến dịch</t>
  </si>
  <si>
    <t>Cho cả chiến dịch lắp đế neo đáy</t>
  </si>
  <si>
    <t>CHÚ Ý: 4 hạng mục CHƯA CÓ ĐƠN GIÁ, tổng bên dưới CHƯA gồm các hạng mục này.</t>
  </si>
  <si>
    <t>CỘNG CHI PHÍ TRỰC TIẾP</t>
  </si>
  <si>
    <t>Dự phòng phí 5%</t>
  </si>
  <si>
    <t>Thuế VAT 8%</t>
  </si>
  <si>
    <t>TỔNG CỘNG (chưa gồm hạng mục chưa có đơn giá)</t>
  </si>
  <si>
    <t>KHỐI LƯỢNG KHÁC (không có trong báo giá)</t>
  </si>
  <si>
    <t>Bê tông cọc khoan nhồi</t>
  </si>
  <si>
    <t>Cốt thép cọc khoan nhồi</t>
  </si>
  <si>
    <t>tấn</t>
  </si>
  <si>
    <t>Đế nặng nhất khi cẩu</t>
  </si>
  <si>
    <t>Chưa gồm: cáp neo và phụ kiện, tai neo và khóa đầu vít của đế, bích neo đầu cọc, khảo sát, thử tải.</t>
  </si>
  <si>
    <t>KHỐI LƯỢNG THEO BÈ (đế dùng chung tính mỗi bè một nửa)</t>
  </si>
  <si>
    <t>Số cọc bờ</t>
  </si>
  <si>
    <t>Cọc bờ (md)</t>
  </si>
  <si>
    <t>Số đế</t>
  </si>
  <si>
    <t>Bê tông đế (m³)</t>
  </si>
  <si>
    <t>Vít (md)</t>
  </si>
  <si>
    <t>BẢNG CHIỀU DÀI CẮT CÁP NEO (295 TUYẾN: 231 dây bờ, 64 dây đáy) — HV-FPV-2026</t>
  </si>
  <si>
    <t>Nguyên tắc: KHÔNG lắp cáp bằng cách kéo căng. Mỗi dây cắt theo khoảng cách thẳng từ bích bè tới chốt neo ở mực nước mà khoảng cách đó DÀI NHẤT: dây đáy ở MNLKT 386 m, dây bờ ở MNC 380 m. Ở các mực nước khác dây chùng đúng bằng cột "Độ chùng".</t>
  </si>
  <si>
    <t>Giả thiết: cáp thẳng, không giãn (chưa xét độ võng và độ giãn khi chịu lực); bích bè cao hơn mặt nước 0,35 m; chiều dài tính từ CHỐT tới CHỐT, CHƯA gồm đoạn bện đầu, khuyên lót, ma-ní, tăng đơ.</t>
  </si>
  <si>
    <t>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t>
  </si>
  <si>
    <t>KÝ HIỆU DÂY</t>
  </si>
  <si>
    <t>LOẠI</t>
  </si>
  <si>
    <t>Tầm vươn (m)</t>
  </si>
  <si>
    <t>Cao độ chốt neo (m)</t>
  </si>
  <si>
    <t>Khoảng cách ở MNC (m)</t>
  </si>
  <si>
    <t>Khoảng cách ở MNDB (m)</t>
  </si>
  <si>
    <t>Khoảng cách ở MNLKT (m)</t>
  </si>
  <si>
    <t>Mực nước chi phối</t>
  </si>
  <si>
    <t>CHIỀU DÀI CẮT (m)</t>
  </si>
  <si>
    <t>Độ chùng ở MNC (m)</t>
  </si>
  <si>
    <t>Độ chùng ở MNDB (m)</t>
  </si>
  <si>
    <t>Độ chùng ở MNLKT (m)</t>
  </si>
  <si>
    <t>Độ rơ ngang ở MNC (m)</t>
  </si>
  <si>
    <t>Độ rơ ngang ở MNDB (m)</t>
  </si>
  <si>
    <t>Độ rơ ngang ở MNLKT (m)</t>
  </si>
  <si>
    <t>Góc cáp ở MNC (°)</t>
  </si>
  <si>
    <t>Góc cáp ở MNDB (°)</t>
  </si>
  <si>
    <t>Góc cáp ở MNLKT (°)</t>
  </si>
  <si>
    <t>BỜ</t>
  </si>
  <si>
    <t>-</t>
  </si>
  <si>
    <t>Dây bờ ngắn (&lt; 10 m): góc cáp đổi nhiều theo mực nước, giữ bè kém khi chùng</t>
  </si>
  <si>
    <t>ĐÁY</t>
  </si>
  <si>
    <t>DV-001</t>
  </si>
  <si>
    <t>Đo cao độ đáy thực tế trước khi cắt</t>
  </si>
  <si>
    <t>DV-002</t>
  </si>
  <si>
    <t>DV-003</t>
  </si>
  <si>
    <t>Cáp dốc tới 37°: thành phần đứng lớn tại bích bè; Đo cao độ đáy thực tế trước khi cắt</t>
  </si>
  <si>
    <t>DV-004</t>
  </si>
  <si>
    <t>Cáp dốc tới 40°: thành phần đứng lớn tại bích bè; Đo cao độ đáy thực tế trước khi cắt</t>
  </si>
  <si>
    <t>DV-005</t>
  </si>
  <si>
    <t>DV-006</t>
  </si>
  <si>
    <t>Cáp dốc tới 39°: thành phần đứng lớn tại bích bè; Đo cao độ đáy thực tế trước khi cắt</t>
  </si>
  <si>
    <t>DV-007</t>
  </si>
  <si>
    <t>DV-008</t>
  </si>
  <si>
    <t>DV-009</t>
  </si>
  <si>
    <t>Cáp dốc tới 38°: thành phần đứng lớn tại bích bè; Đo cao độ đáy thực tế trước khi cắt</t>
  </si>
  <si>
    <t>DV-010</t>
  </si>
  <si>
    <t>DV-011</t>
  </si>
  <si>
    <t>DV-012</t>
  </si>
  <si>
    <t>DV-013</t>
  </si>
  <si>
    <t>DV-014</t>
  </si>
  <si>
    <t>DV-015</t>
  </si>
  <si>
    <t>DV-016</t>
  </si>
  <si>
    <t>DV-017</t>
  </si>
  <si>
    <t>DV-018</t>
  </si>
  <si>
    <t>DV-019</t>
  </si>
  <si>
    <t>DV-020</t>
  </si>
  <si>
    <t>DV-021</t>
  </si>
  <si>
    <t>DV-022</t>
  </si>
  <si>
    <t>DV-023</t>
  </si>
  <si>
    <t>DV-024</t>
  </si>
  <si>
    <t>DV-025</t>
  </si>
  <si>
    <t>DV-026</t>
  </si>
  <si>
    <t>DV-027</t>
  </si>
  <si>
    <t>Dây bờ ngắn (&lt; 10 m): góc cáp đổi nhiều theo mực nước, giữ bè kém khi chùng; Cáp dốc tới 66°: thành phần đứng lớn tại bích bè</t>
  </si>
  <si>
    <t>Dây bờ ngắn (&lt; 10 m): góc cáp đổi nhiều theo mực nước, giữ bè kém khi chùng; Cáp dốc tới 52°: thành phần đứng lớn tại bích bè</t>
  </si>
  <si>
    <t>DV-028</t>
  </si>
  <si>
    <t>DV-029</t>
  </si>
  <si>
    <t>DV-030</t>
  </si>
  <si>
    <t>DV-031</t>
  </si>
  <si>
    <t>DV-032</t>
  </si>
  <si>
    <t>TỔNG HỢP</t>
  </si>
  <si>
    <t>Tổng chiều dài cắt dây bờ (chốt tới chốt)</t>
  </si>
  <si>
    <t>Tổng chiều dài cắt dây đáy (chốt tới chốt)</t>
  </si>
  <si>
    <t>Số dây do MNC chi phối</t>
  </si>
  <si>
    <t>Số dây do MNDB chi phối</t>
  </si>
  <si>
    <t>Số dây do MNLKT chi phối</t>
  </si>
  <si>
    <t>Độ chùng lớn nhất của dây đáy khi hồ ở MNC</t>
  </si>
  <si>
    <t>Độ chùng lớn nhất của dây bờ khi hồ ở MNDB</t>
  </si>
  <si>
    <t>Số dây bờ ngắn dưới 10 m (cần xem xét bỏ hoặc dời cọc)</t>
  </si>
  <si>
    <t>Góc cáp: dương = neo thấp hơn bích bè (cáp chúc xuống từ bè); âm = neo cao hơn bích bè.</t>
  </si>
  <si>
    <t>Độ rơ ngang: quãng bích bè có thể dịch ra xa neo trước khi dây căng. Bảng này KHÔNG kiểm tra số dây làm việc theo từng hướng ở từng mực nước.</t>
  </si>
  <si>
    <t>BẢNG TÍNH CÓ CÔNG THỨC — THÔNG SỐ ĐẦU VÀO — HV-FPV-2026</t>
  </si>
  <si>
    <t>Ô có chữ "NHẬP" ở cột E (tô vàng trong file đính kèm) là ô nhập. Đổi ô nhập thì ba sheet CT_LucDay, CT_CocKhoanNhoi, CT_DeVitXoan tự tính lại. Thông số đất là GIẢ ĐỊNH, chưa có khảo sát.</t>
  </si>
  <si>
    <t>LOẠI Ô</t>
  </si>
  <si>
    <t>GHI CHÚ / CÔNG THỨC</t>
  </si>
  <si>
    <t>NHẬP</t>
  </si>
  <si>
    <t>Áp lực gió q</t>
  </si>
  <si>
    <t>công thức</t>
  </si>
  <si>
    <t>q = 0,5 ρ V²</t>
  </si>
  <si>
    <t>Hệ số cản tấm pin</t>
  </si>
  <si>
    <t>Hệ số cản phao</t>
  </si>
  <si>
    <t>Mạn khô của phao (cũng là chiều cao bích bè trên mặt nước)</t>
  </si>
  <si>
    <t>Hệ số an toàn cáp yêu cầu</t>
  </si>
  <si>
    <t>Đường kính cọc khoan nhồi D</t>
  </si>
  <si>
    <t>Chiều sâu ngàm L_tk</t>
  </si>
  <si>
    <t>Đoạn nhô trên mặt đất</t>
  </si>
  <si>
    <t>Hệ số an toàn chịu ngang</t>
  </si>
  <si>
    <t>Hệ số tải trọng khi kiểm tra uốn γ</t>
  </si>
  <si>
    <t>Khoảng cách từ mặt cọc tới tim thép chủ</t>
  </si>
  <si>
    <t>Phản lực đất cực hạn p</t>
  </si>
  <si>
    <t>kN/m</t>
  </si>
  <si>
    <t>p = 9 c_u D</t>
  </si>
  <si>
    <t>Chiều sâu làm việc g</t>
  </si>
  <si>
    <t>g = L − 1,5 D</t>
  </si>
  <si>
    <t>Sức chịu ngang cực hạn H_u (Broms)</t>
  </si>
  <si>
    <t>Nghiệm của 0,5/p·H² + (e + 1,5D + g)·H − 0,5·p·g² = 0</t>
  </si>
  <si>
    <t>Sức chịu ngang cho phép</t>
  </si>
  <si>
    <t>H_u / hệ số an toàn</t>
  </si>
  <si>
    <t>Trọng lượng riêng bê tông</t>
  </si>
  <si>
    <t>Trọng lượng riêng nước</t>
  </si>
  <si>
    <t>Trọng lượng đế trong nước đã trừ đẩy nổi</t>
  </si>
  <si>
    <t>Hệ số trọng lượng đế khi chống nhổ</t>
  </si>
  <si>
    <t>GIẢ ĐỊNH; dùng cho cả đáy đế và thân vít</t>
  </si>
  <si>
    <t>Hệ số bám dính đáy đế</t>
  </si>
  <si>
    <t>Chiều sâu gờ chống trượt</t>
  </si>
  <si>
    <t>Tim lỗ vít cách mép đế</t>
  </si>
  <si>
    <t>Hệ số an toàn trượt</t>
  </si>
  <si>
    <t>Hệ số an toàn lật</t>
  </si>
  <si>
    <t>Hệ số an toàn nền</t>
  </si>
  <si>
    <t>Đường kính ống</t>
  </si>
  <si>
    <t>Chiều dày ống</t>
  </si>
  <si>
    <t>Hệ số bám dính thân vít</t>
  </si>
  <si>
    <t>α c_u π D_ren L</t>
  </si>
  <si>
    <t>Không tính cánh xoắn</t>
  </si>
  <si>
    <t>Chiều sâu làm việc khi chịu ngang</t>
  </si>
  <si>
    <t>Mô men dẻo của ống thép</t>
  </si>
  <si>
    <t>kNm</t>
  </si>
  <si>
    <t>BẢNG TÍNH CÓ CÔNG THỨC — LỰC GIÓ VÀ LỰC CĂNG DÂY — HV-FPV-2026</t>
  </si>
  <si>
    <t>Các cột có chữ (NHẬP) là ô nhập. F pin = q × C_d × A × che chắn; F = (F pin + F phao) × hệ số sóng, dòng chảy; T = max(F × k + T_0 ; F / (n × cos α) + T_0).</t>
  </si>
  <si>
    <t>Số tấm pin (NHẬP)</t>
  </si>
  <si>
    <t>Dài bè (m) (NHẬP)</t>
  </si>
  <si>
    <t>Rộng bè (m) (NHẬP)</t>
  </si>
  <si>
    <t>Hệ số tập trung k (NHẬP)</t>
  </si>
  <si>
    <t>Lực đứt cáp (kN) (NHẬP)</t>
  </si>
  <si>
    <t>BẢNG TÍNH CÓ CÔNG THỨC — CỌC KHOAN NHỒI VEN BỜ — HV-FPV-2026</t>
  </si>
  <si>
    <t>D, L, e, c_u và các hệ số: sheet CT_ThongSo. BP-1: T ≤ H_u / hệ số an toàn. BP-2: γ × M_max ≤ M_rd, với M_max = T × (e + 1,5D + 0,5T/p) và M_rd = A_thanh × R_s × (D/2 − a) × k.</t>
  </si>
  <si>
    <t>k = 2 / tan(π / n) là hệ số tay đòn của n thanh xếp tròn ở hướng bất lợi nhất (lồng thép không định hướng khi thả vào lỗ khoan); công thức đúng cho n chẵn.</t>
  </si>
  <si>
    <t>Số cọc (NHẬP)</t>
  </si>
  <si>
    <t>Số thanh thép chủ n (NHẬP)</t>
  </si>
  <si>
    <t>Đường kính thanh (mm) (NHẬP)</t>
  </si>
  <si>
    <t>R_s thép (MPa) (NHẬP)</t>
  </si>
  <si>
    <t>Hệ số tay đòn k</t>
  </si>
  <si>
    <t>Tổng dài cọc (m)</t>
  </si>
  <si>
    <t>BẢNG TÍNH CÓ CÔNG THỨC — ĐẾ BTCT + VÍT XOẮN TỪNG ĐẾ — HV-FPV-2026</t>
  </si>
  <si>
    <t>Sáu tổ hợp: ở MNC và MNLKT, dây 1 căng + dây 2 ở lực căng trước; ngược lại; cả hai cùng căng. Lực ngang cộng véc-tơ theo phương vị, lực nhổ cộng lại. T 1, T 2 lấy từ CT_LucDay theo tên bè.</t>
  </si>
  <si>
    <t>Cạnh B là ô NHẬP (đã điền cỡ web chọn): Excel không tự tăng B. Nếu đổi thông số mà cột KẾT LUẬN báo KHÔNG ĐẠT thì tăng B từng 0,25 m cho tới khi đạt. Chưa gồm kiểm tra thép bản (SV-6).</t>
  </si>
  <si>
    <t>Dài 1 (m) (NHẬP)</t>
  </si>
  <si>
    <t>Phương vị 1 (°) (NHẬP)</t>
  </si>
  <si>
    <t>Dài 2 (m) (NHẬP)</t>
  </si>
  <si>
    <t>Phương vị 2 (°) (NHẬP)</t>
  </si>
  <si>
    <t>Cao độ đáy (m) (NHẬP)</t>
  </si>
  <si>
    <t>B (m) (NHẬP)</t>
  </si>
  <si>
    <t>t (m) (NHẬP)</t>
  </si>
  <si>
    <t>Sức kháng gờ (kN)</t>
  </si>
  <si>
    <t>M giữ (kNm)</t>
  </si>
  <si>
    <t>MNC: chênh cao tai neo – bích (m)</t>
  </si>
  <si>
    <t>MNC: góc dây 1 (rad)</t>
  </si>
  <si>
    <t>MNC: góc dây 2 (rad)</t>
  </si>
  <si>
    <t>MNLKT: chênh cao tai neo – bích (m)</t>
  </si>
  <si>
    <t>MNLKT: góc dây 1 (rad)</t>
  </si>
  <si>
    <t>MNLKT: góc dây 2 (rad)</t>
  </si>
  <si>
    <t>MNC, dây 1 căng: T_h (kN)</t>
  </si>
  <si>
    <t>MNC, dây 1 căng: T_v (kN)</t>
  </si>
  <si>
    <t>MNC, dây 1 căng: nhổ</t>
  </si>
  <si>
    <t>MNC, dây 1 căng: trượt</t>
  </si>
  <si>
    <t>MNC, dây 1 căng: lật</t>
  </si>
  <si>
    <t>MNC, dây 1 căng: 1 vít</t>
  </si>
  <si>
    <t>MNC, dây 2 căng: T_h (kN)</t>
  </si>
  <si>
    <t>MNC, dây 2 căng: T_v (kN)</t>
  </si>
  <si>
    <t>MNC, dây 2 căng: nhổ</t>
  </si>
  <si>
    <t>MNC, dây 2 căng: trượt</t>
  </si>
  <si>
    <t>MNC, dây 2 căng: lật</t>
  </si>
  <si>
    <t>MNC, dây 2 căng: 1 vít</t>
  </si>
  <si>
    <t>MNC, cả hai căng: T_h (kN)</t>
  </si>
  <si>
    <t>MNC, cả hai căng: T_v (kN)</t>
  </si>
  <si>
    <t>MNC, cả hai căng: nhổ</t>
  </si>
  <si>
    <t>MNC, cả hai căng: trượt</t>
  </si>
  <si>
    <t>MNC, cả hai căng: lật</t>
  </si>
  <si>
    <t>MNC, cả hai căng: 1 vít</t>
  </si>
  <si>
    <t>MNLKT, dây 1 căng: T_h (kN)</t>
  </si>
  <si>
    <t>MNLKT, dây 1 căng: T_v (kN)</t>
  </si>
  <si>
    <t>MNLKT, dây 1 căng: nhổ</t>
  </si>
  <si>
    <t>MNLKT, dây 1 căng: trượt</t>
  </si>
  <si>
    <t>MNLKT, dây 1 căng: lật</t>
  </si>
  <si>
    <t>MNLKT, dây 1 căng: 1 vít</t>
  </si>
  <si>
    <t>MNLKT, dây 2 căng: T_h (kN)</t>
  </si>
  <si>
    <t>MNLKT, dây 2 căng: T_v (kN)</t>
  </si>
  <si>
    <t>MNLKT, dây 2 căng: nhổ</t>
  </si>
  <si>
    <t>MNLKT, dây 2 căng: trượt</t>
  </si>
  <si>
    <t>MNLKT, dây 2 căng: lật</t>
  </si>
  <si>
    <t>MNLKT, dây 2 căng: 1 vít</t>
  </si>
  <si>
    <t>MNLKT, cả hai căng: T_h (kN)</t>
  </si>
  <si>
    <t>MNLKT, cả hai căng: T_v (kN)</t>
  </si>
  <si>
    <t>MNLKT, cả hai căng: nhổ</t>
  </si>
  <si>
    <t>MNLKT, cả hai căng: trượt</t>
  </si>
  <si>
    <t>MNLKT, cả hai căng: lật</t>
  </si>
  <si>
    <t>MNLKT, cả hai căng: 1 vít</t>
  </si>
  <si>
    <t>SV-1 nhổ (lớn nhất)</t>
  </si>
  <si>
    <t>SV-2 trượt (lớn nhất)</t>
  </si>
  <si>
    <t>SV-3 lật (lớn nhất)</t>
  </si>
  <si>
    <t>SV-4 một vít (lớn nhất)</t>
  </si>
  <si>
    <t>B do web chọn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</si>
</sst>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99"/>
        <bgColor indexed="64"/>
      </patternFill>
    </fill>
  </fills>
  <borders count="1">
    <border>
      <left/>
      <right/>
      <top/>
      <bottom/>
      <diagonal/>
    </border>
  </borders>
  <cellStyleXfs count="1">
    <xf numFmtId="0" fontId="0" fillId="0" borderId="0"/>
  </cellStyleXfs>
  <cellXfs count="6">
    <xf numFmtId="0" fontId="0" fillId="0" borderId="0" xfId="0"/>
    <xf numFmtId="165" fontId="0" fillId="0" borderId="0" xfId="0" applyNumberFormat="1"/>
    <xf numFmtId="3" fontId="0" fillId="0" borderId="0" xfId="0" applyNumberFormat="1"/>
    <xf numFmtId="0" fontId="0" fillId="2" borderId="0" xfId="0" applyFill="1"/>
    <xf numFmtId="0" fontId="1" fillId="0" borderId="0" xfId="0" applyFont="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2"/>
  <sheetViews>
    <sheetView tabSelected="1" workbookViewId="0"/>
  </sheetViews>
  <sheetFormatPr defaultRowHeight="14.5" x14ac:dyDescent="0.35"/>
  <cols>
    <col min="1" max="1" width="180.83203125" customWidth="1"/>
  </cols>
  <sheetData>
    <row r="1" spans="1:1" ht="15.5" x14ac:dyDescent="0.35">
      <c r="A1" t="s">
        <v>0</v>
      </c>
    </row>
    <row r="2" spans="1:1" ht="15.5" x14ac:dyDescent="0.35">
      <c r="A2" t="s">
        <v>1</v>
      </c>
    </row>
    <row r="3" spans="1:1" ht="15.5" x14ac:dyDescent="0.35">
      <c r="A3" t="s">
        <v>2</v>
      </c>
    </row>
    <row r="4" spans="1:1" ht="15.5" x14ac:dyDescent="0.35">
      <c r="A4" t="s">
        <v>3</v>
      </c>
    </row>
    <row r="5" spans="1:1" ht="15.5" x14ac:dyDescent="0.35">
      <c r="A5" t="s">
        <v>2</v>
      </c>
    </row>
    <row r="6" spans="1:1" ht="15.5" x14ac:dyDescent="0.35">
      <c r="A6" t="s">
        <v>4</v>
      </c>
    </row>
    <row r="7" spans="1:1" ht="15.5" x14ac:dyDescent="0.35">
      <c r="A7" t="s">
        <v>5</v>
      </c>
    </row>
    <row r="8" spans="1:1" ht="15.5" x14ac:dyDescent="0.35">
      <c r="A8" t="s">
        <v>6</v>
      </c>
    </row>
    <row r="9" spans="1:1" ht="15.5" x14ac:dyDescent="0.35">
      <c r="A9" t="s">
        <v>7</v>
      </c>
    </row>
    <row r="10" spans="1:1" ht="15.5" x14ac:dyDescent="0.35">
      <c r="A10" t="s">
        <v>8</v>
      </c>
    </row>
    <row r="11" spans="1:1" ht="15.5" x14ac:dyDescent="0.35">
      <c r="A11" t="s">
        <v>2</v>
      </c>
    </row>
    <row r="12" spans="1:1" ht="15.5" x14ac:dyDescent="0.35">
      <c r="A12" t="s">
        <v>9</v>
      </c>
    </row>
    <row r="13" spans="1:1" ht="15.5" x14ac:dyDescent="0.35">
      <c r="A13" t="s">
        <v>10</v>
      </c>
    </row>
    <row r="14" spans="1:1" ht="15.5" x14ac:dyDescent="0.35">
      <c r="A14" t="s">
        <v>11</v>
      </c>
    </row>
    <row r="15" spans="1:1" ht="15.5" x14ac:dyDescent="0.35">
      <c r="A15" t="s">
        <v>12</v>
      </c>
    </row>
    <row r="16" spans="1:1" ht="15.5" x14ac:dyDescent="0.35">
      <c r="A16" t="s">
        <v>13</v>
      </c>
    </row>
    <row r="17" spans="1:1" ht="15.5" x14ac:dyDescent="0.35">
      <c r="A17" t="s">
        <v>2</v>
      </c>
    </row>
    <row r="18" spans="1:1" ht="15.5" x14ac:dyDescent="0.35">
      <c r="A18" t="s">
        <v>14</v>
      </c>
    </row>
    <row r="19" spans="1:1" ht="15.5" x14ac:dyDescent="0.35">
      <c r="A19" t="s">
        <v>15</v>
      </c>
    </row>
    <row r="20" spans="1:1" ht="15.5" x14ac:dyDescent="0.35">
      <c r="A20" t="s">
        <v>16</v>
      </c>
    </row>
    <row r="21" spans="1:1" ht="15.5" x14ac:dyDescent="0.35">
      <c r="A21" t="s">
        <v>17</v>
      </c>
    </row>
    <row r="22" spans="1:1" ht="15.5" x14ac:dyDescent="0.35">
      <c r="A22" t="s">
        <v>18</v>
      </c>
    </row>
    <row r="23" spans="1:1" ht="15.5" x14ac:dyDescent="0.35">
      <c r="A23" t="s">
        <v>19</v>
      </c>
    </row>
    <row r="24" spans="1:1" ht="15.5" x14ac:dyDescent="0.35">
      <c r="A24" t="s">
        <v>2</v>
      </c>
    </row>
    <row r="25" spans="1:1" ht="15.5" x14ac:dyDescent="0.35">
      <c r="A25" t="s">
        <v>20</v>
      </c>
    </row>
    <row r="26" spans="1:1" ht="15.5" x14ac:dyDescent="0.35">
      <c r="A26" t="s">
        <v>21</v>
      </c>
    </row>
    <row r="27" spans="1:1" ht="15.5" x14ac:dyDescent="0.35">
      <c r="A27" t="s">
        <v>22</v>
      </c>
    </row>
    <row r="28" spans="1:1" ht="15.5" x14ac:dyDescent="0.35">
      <c r="A28" t="s">
        <v>23</v>
      </c>
    </row>
    <row r="29" spans="1:1" ht="15.5" x14ac:dyDescent="0.35">
      <c r="A29" t="s">
        <v>24</v>
      </c>
    </row>
    <row r="30" spans="1:1" ht="15.5" x14ac:dyDescent="0.35">
      <c r="A30" t="s">
        <v>25</v>
      </c>
    </row>
    <row r="31" spans="1:1" ht="15.5" x14ac:dyDescent="0.35">
      <c r="A31" t="s">
        <v>2</v>
      </c>
    </row>
    <row r="32" spans="1:1" ht="15.5" x14ac:dyDescent="0.35">
      <c r="A32" t="s">
        <v>26</v>
      </c>
    </row>
    <row r="33" spans="1:1" ht="15.5" x14ac:dyDescent="0.35">
      <c r="A33" t="s">
        <v>27</v>
      </c>
    </row>
    <row r="34" spans="1:1" ht="15.5" x14ac:dyDescent="0.35">
      <c r="A34" t="s">
        <v>28</v>
      </c>
    </row>
    <row r="35" spans="1:1" ht="15.5" x14ac:dyDescent="0.35">
      <c r="A35" t="s">
        <v>29</v>
      </c>
    </row>
    <row r="36" spans="1:1" ht="15.5" x14ac:dyDescent="0.35">
      <c r="A36" t="s">
        <v>30</v>
      </c>
    </row>
    <row r="37" spans="1:1" ht="15.5" x14ac:dyDescent="0.35">
      <c r="A37" t="s">
        <v>2</v>
      </c>
    </row>
    <row r="38" spans="1:1" ht="15.5" x14ac:dyDescent="0.35">
      <c r="A38" t="s">
        <v>31</v>
      </c>
    </row>
    <row r="39" spans="1:1" ht="15.5" x14ac:dyDescent="0.35">
      <c r="A39" t="s">
        <v>32</v>
      </c>
    </row>
    <row r="40" spans="1:1" ht="15.5" x14ac:dyDescent="0.35">
      <c r="A40" t="s">
        <v>33</v>
      </c>
    </row>
    <row r="41" spans="1:1" ht="15.5" x14ac:dyDescent="0.35">
      <c r="A41" t="s">
        <v>34</v>
      </c>
    </row>
    <row r="42" spans="1:1" ht="15.5" x14ac:dyDescent="0.35">
      <c r="A42" t="s">
        <v>35</v>
      </c>
    </row>
    <row r="43" spans="1:1" ht="15.5" x14ac:dyDescent="0.35">
      <c r="A43" t="s">
        <v>36</v>
      </c>
    </row>
    <row r="44" spans="1:1" ht="15.5" x14ac:dyDescent="0.35">
      <c r="A44" t="s">
        <v>37</v>
      </c>
    </row>
    <row r="45" spans="1:1" ht="15.5" x14ac:dyDescent="0.35">
      <c r="A45" t="s">
        <v>38</v>
      </c>
    </row>
    <row r="46" spans="1:1" ht="15.5" x14ac:dyDescent="0.35">
      <c r="A46" t="s">
        <v>39</v>
      </c>
    </row>
    <row r="47" spans="1:1" ht="15.5" x14ac:dyDescent="0.35">
      <c r="A47" t="s">
        <v>40</v>
      </c>
    </row>
    <row r="48" spans="1:1" ht="15.5" x14ac:dyDescent="0.35">
      <c r="A48" t="s">
        <v>41</v>
      </c>
    </row>
    <row r="49" spans="1:1" ht="15.5" x14ac:dyDescent="0.35">
      <c r="A49" t="s">
        <v>2</v>
      </c>
    </row>
    <row r="50" spans="1:1" ht="15.5" x14ac:dyDescent="0.35">
      <c r="A50" t="s">
        <v>42</v>
      </c>
    </row>
    <row r="51" spans="1:1" ht="15.5" x14ac:dyDescent="0.35">
      <c r="A51" t="s">
        <v>43</v>
      </c>
    </row>
    <row r="52" spans="1:1" ht="15.5" x14ac:dyDescent="0.35">
      <c r="A52" t="s">
        <v>44</v>
      </c>
    </row>
    <row r="53" spans="1:1" ht="15.5" x14ac:dyDescent="0.35">
      <c r="A53" t="s">
        <v>2</v>
      </c>
    </row>
    <row r="54" spans="1:1" ht="15.5" x14ac:dyDescent="0.35">
      <c r="A54" t="s">
        <v>45</v>
      </c>
    </row>
    <row r="55" spans="1:1" ht="15.5" x14ac:dyDescent="0.35">
      <c r="A55" t="s">
        <v>46</v>
      </c>
    </row>
    <row r="56" spans="1:1" ht="15.5" x14ac:dyDescent="0.35">
      <c r="A56" t="s">
        <v>47</v>
      </c>
    </row>
    <row r="57" spans="1:1" ht="15.5" x14ac:dyDescent="0.35">
      <c r="A57" t="s">
        <v>48</v>
      </c>
    </row>
    <row r="58" spans="1:1" ht="15.5" x14ac:dyDescent="0.35">
      <c r="A58" t="s">
        <v>49</v>
      </c>
    </row>
    <row r="59" spans="1:1" ht="15.5" x14ac:dyDescent="0.35">
      <c r="A59" t="s">
        <v>50</v>
      </c>
    </row>
    <row r="60" spans="1:1" ht="15.5" x14ac:dyDescent="0.35">
      <c r="A60" t="s">
        <v>51</v>
      </c>
    </row>
    <row r="61" spans="1:1" ht="15.5" x14ac:dyDescent="0.35">
      <c r="A61" t="s">
        <v>52</v>
      </c>
    </row>
    <row r="62" spans="1:1" ht="15.5" x14ac:dyDescent="0.35">
      <c r="A62" t="s">
        <v>2</v>
      </c>
    </row>
  </sheetData>
  <pageMargins left="0.7" right="0.7" top="0.75" bottom="0.75" header="0.3" footer="0.3"/>
  <ignoredErrors>
    <ignoredError sqref="A1:A6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
  <sheetViews>
    <sheetView workbookViewId="0"/>
  </sheetViews>
  <sheetFormatPr defaultRowHeight="14.5" x14ac:dyDescent="0.35"/>
  <cols>
    <col min="1" max="1" width="12.83203125" customWidth="1"/>
    <col min="2" max="2" width="46.83203125" customWidth="1"/>
    <col min="3" max="3" width="30.83203125" customWidth="1"/>
    <col min="4" max="4" width="10.83203125" customWidth="1"/>
    <col min="5" max="5" width="46.83203125" customWidth="1"/>
  </cols>
  <sheetData>
    <row r="1" spans="1:5" ht="15.5" x14ac:dyDescent="0.35">
      <c r="A1" t="s">
        <v>53</v>
      </c>
    </row>
    <row r="2" spans="1:5" ht="15.5" x14ac:dyDescent="0.35">
      <c r="A2" t="s">
        <v>54</v>
      </c>
    </row>
    <row r="3" spans="1:5" ht="15.5" x14ac:dyDescent="0.35">
      <c r="A3" t="s">
        <v>2</v>
      </c>
    </row>
    <row r="4" spans="1:5" ht="15.5" x14ac:dyDescent="0.35">
      <c r="A4" t="s">
        <v>55</v>
      </c>
      <c r="B4" t="s">
        <v>56</v>
      </c>
      <c r="C4" t="s">
        <v>57</v>
      </c>
      <c r="D4" t="s">
        <v>58</v>
      </c>
      <c r="E4" t="s">
        <v>59</v>
      </c>
    </row>
    <row r="5" spans="1:5" ht="15.5" x14ac:dyDescent="0.35">
      <c r="A5" t="s">
        <v>60</v>
      </c>
      <c r="B5" t="s">
        <v>61</v>
      </c>
      <c r="C5">
        <v>20</v>
      </c>
      <c r="D5" t="s">
        <v>62</v>
      </c>
      <c r="E5" t="s">
        <v>63</v>
      </c>
    </row>
    <row r="6" spans="1:5" ht="15.5" x14ac:dyDescent="0.35">
      <c r="A6" t="s">
        <v>60</v>
      </c>
      <c r="B6" t="s">
        <v>64</v>
      </c>
      <c r="C6">
        <v>1.25</v>
      </c>
      <c r="D6" t="s">
        <v>65</v>
      </c>
      <c r="E6" t="s">
        <v>2</v>
      </c>
    </row>
    <row r="7" spans="1:5" ht="15.5" x14ac:dyDescent="0.35">
      <c r="A7" t="s">
        <v>60</v>
      </c>
      <c r="B7" t="s">
        <v>66</v>
      </c>
      <c r="C7">
        <v>250</v>
      </c>
      <c r="D7" t="s">
        <v>67</v>
      </c>
      <c r="E7" t="s">
        <v>2</v>
      </c>
    </row>
    <row r="8" spans="1:5" ht="15.5" x14ac:dyDescent="0.35">
      <c r="A8" t="s">
        <v>60</v>
      </c>
      <c r="B8" t="s">
        <v>68</v>
      </c>
      <c r="C8">
        <v>2.7010000000000001</v>
      </c>
      <c r="D8" t="s">
        <v>69</v>
      </c>
      <c r="E8" t="s">
        <v>2</v>
      </c>
    </row>
    <row r="9" spans="1:5" ht="15.5" x14ac:dyDescent="0.35">
      <c r="A9" t="s">
        <v>60</v>
      </c>
      <c r="B9" t="s">
        <v>70</v>
      </c>
      <c r="C9">
        <v>12</v>
      </c>
      <c r="D9" t="s">
        <v>71</v>
      </c>
      <c r="E9" t="s">
        <v>2</v>
      </c>
    </row>
    <row r="10" spans="1:5" ht="15.5" x14ac:dyDescent="0.35">
      <c r="A10" t="s">
        <v>60</v>
      </c>
      <c r="B10" t="s">
        <v>72</v>
      </c>
      <c r="C10">
        <v>1.1499999999999999</v>
      </c>
      <c r="D10" t="s">
        <v>2</v>
      </c>
      <c r="E10" t="s">
        <v>2</v>
      </c>
    </row>
    <row r="11" spans="1:5" ht="15.5" x14ac:dyDescent="0.35">
      <c r="A11" t="s">
        <v>60</v>
      </c>
      <c r="B11" t="s">
        <v>73</v>
      </c>
      <c r="C11">
        <v>0.55000000000000004</v>
      </c>
      <c r="D11" t="s">
        <v>2</v>
      </c>
      <c r="E11" t="s">
        <v>74</v>
      </c>
    </row>
    <row r="12" spans="1:5" ht="15.5" x14ac:dyDescent="0.35">
      <c r="A12" t="s">
        <v>60</v>
      </c>
      <c r="B12" t="s">
        <v>75</v>
      </c>
      <c r="C12">
        <v>1.05</v>
      </c>
      <c r="D12" t="s">
        <v>2</v>
      </c>
      <c r="E12" t="s">
        <v>76</v>
      </c>
    </row>
    <row r="13" spans="1:5" ht="15.5" x14ac:dyDescent="0.35">
      <c r="A13" t="s">
        <v>77</v>
      </c>
      <c r="B13" t="s">
        <v>78</v>
      </c>
      <c r="C13">
        <v>380</v>
      </c>
      <c r="D13" t="s">
        <v>79</v>
      </c>
      <c r="E13" t="s">
        <v>2</v>
      </c>
    </row>
    <row r="14" spans="1:5" ht="15.5" x14ac:dyDescent="0.35">
      <c r="A14" t="s">
        <v>77</v>
      </c>
      <c r="B14" t="s">
        <v>80</v>
      </c>
      <c r="C14">
        <v>384.5</v>
      </c>
      <c r="D14" t="s">
        <v>79</v>
      </c>
      <c r="E14" t="s">
        <v>2</v>
      </c>
    </row>
    <row r="15" spans="1:5" ht="15.5" x14ac:dyDescent="0.35">
      <c r="A15" t="s">
        <v>77</v>
      </c>
      <c r="B15" t="s">
        <v>81</v>
      </c>
      <c r="C15">
        <v>386</v>
      </c>
      <c r="D15" t="s">
        <v>79</v>
      </c>
      <c r="E15" t="s">
        <v>2</v>
      </c>
    </row>
    <row r="16" spans="1:5" ht="15.5" x14ac:dyDescent="0.35">
      <c r="A16" t="s">
        <v>82</v>
      </c>
      <c r="B16" t="s">
        <v>83</v>
      </c>
      <c r="C16">
        <v>6</v>
      </c>
      <c r="D16" t="s">
        <v>84</v>
      </c>
      <c r="E16" t="s">
        <v>85</v>
      </c>
    </row>
    <row r="17" spans="1:5" ht="15.5" x14ac:dyDescent="0.35">
      <c r="A17" t="s">
        <v>82</v>
      </c>
      <c r="B17" t="s">
        <v>86</v>
      </c>
      <c r="C17">
        <v>30</v>
      </c>
      <c r="D17" t="s">
        <v>71</v>
      </c>
      <c r="E17" t="s">
        <v>74</v>
      </c>
    </row>
    <row r="18" spans="1:5" ht="15.5" x14ac:dyDescent="0.35">
      <c r="A18" t="s">
        <v>82</v>
      </c>
      <c r="B18" t="s">
        <v>87</v>
      </c>
      <c r="C18">
        <v>5</v>
      </c>
      <c r="D18" t="s">
        <v>88</v>
      </c>
      <c r="E18" t="s">
        <v>2</v>
      </c>
    </row>
    <row r="19" spans="1:5" ht="15.5" x14ac:dyDescent="0.35">
      <c r="A19" t="s">
        <v>82</v>
      </c>
      <c r="B19" t="s">
        <v>89</v>
      </c>
      <c r="C19" t="s">
        <v>90</v>
      </c>
      <c r="D19" t="s">
        <v>2</v>
      </c>
      <c r="E19" t="s">
        <v>2</v>
      </c>
    </row>
    <row r="20" spans="1:5" ht="15.5" x14ac:dyDescent="0.35">
      <c r="A20" t="s">
        <v>91</v>
      </c>
      <c r="B20" t="s">
        <v>92</v>
      </c>
      <c r="C20" t="s">
        <v>93</v>
      </c>
      <c r="D20" t="s">
        <v>2</v>
      </c>
      <c r="E20" t="s">
        <v>2</v>
      </c>
    </row>
    <row r="21" spans="1:5" ht="15.5" x14ac:dyDescent="0.35">
      <c r="A21" t="s">
        <v>91</v>
      </c>
      <c r="B21" t="s">
        <v>94</v>
      </c>
      <c r="C21">
        <v>0.35</v>
      </c>
      <c r="D21" t="s">
        <v>79</v>
      </c>
      <c r="E21" t="s">
        <v>2</v>
      </c>
    </row>
    <row r="22" spans="1:5" ht="15.5" x14ac:dyDescent="0.35">
      <c r="A22" t="s">
        <v>91</v>
      </c>
      <c r="B22" t="s">
        <v>95</v>
      </c>
      <c r="C22">
        <v>6.5</v>
      </c>
      <c r="D22" t="s">
        <v>79</v>
      </c>
      <c r="E22" t="s">
        <v>2</v>
      </c>
    </row>
    <row r="23" spans="1:5" ht="15.5" x14ac:dyDescent="0.35">
      <c r="A23" t="s">
        <v>91</v>
      </c>
      <c r="B23" t="s">
        <v>96</v>
      </c>
      <c r="C23">
        <v>0.1</v>
      </c>
      <c r="D23" t="s">
        <v>79</v>
      </c>
      <c r="E23" t="s">
        <v>97</v>
      </c>
    </row>
    <row r="24" spans="1:5" ht="15.5" x14ac:dyDescent="0.35">
      <c r="A24" t="s">
        <v>91</v>
      </c>
      <c r="B24" t="s">
        <v>98</v>
      </c>
      <c r="C24">
        <v>40</v>
      </c>
      <c r="D24" t="s">
        <v>99</v>
      </c>
      <c r="E24" t="s">
        <v>100</v>
      </c>
    </row>
    <row r="25" spans="1:5" ht="15.5" x14ac:dyDescent="0.35">
      <c r="A25" t="s">
        <v>91</v>
      </c>
      <c r="B25" t="s">
        <v>101</v>
      </c>
      <c r="C25">
        <v>2.5</v>
      </c>
      <c r="D25" t="s">
        <v>2</v>
      </c>
      <c r="E25" t="s">
        <v>2</v>
      </c>
    </row>
    <row r="26" spans="1:5" ht="15.5" x14ac:dyDescent="0.35">
      <c r="A26" t="s">
        <v>91</v>
      </c>
      <c r="B26" t="s">
        <v>102</v>
      </c>
      <c r="C26">
        <v>1.2</v>
      </c>
      <c r="D26" t="s">
        <v>2</v>
      </c>
      <c r="E26" t="s">
        <v>103</v>
      </c>
    </row>
    <row r="27" spans="1:5" ht="15.5" x14ac:dyDescent="0.35">
      <c r="A27" t="s">
        <v>91</v>
      </c>
      <c r="B27" t="s">
        <v>104</v>
      </c>
      <c r="C27">
        <v>14.5</v>
      </c>
      <c r="D27" t="s">
        <v>105</v>
      </c>
      <c r="E27" t="s">
        <v>2</v>
      </c>
    </row>
    <row r="28" spans="1:5" ht="15.5" x14ac:dyDescent="0.35">
      <c r="A28" t="s">
        <v>106</v>
      </c>
      <c r="B28" t="s">
        <v>107</v>
      </c>
      <c r="C28">
        <v>0.4</v>
      </c>
      <c r="D28" t="s">
        <v>79</v>
      </c>
      <c r="E28" t="s">
        <v>108</v>
      </c>
    </row>
    <row r="29" spans="1:5" ht="15.5" x14ac:dyDescent="0.35">
      <c r="A29" t="s">
        <v>106</v>
      </c>
      <c r="B29" t="s">
        <v>109</v>
      </c>
      <c r="C29" t="s">
        <v>110</v>
      </c>
      <c r="D29" t="s">
        <v>111</v>
      </c>
      <c r="E29" t="s">
        <v>112</v>
      </c>
    </row>
    <row r="30" spans="1:5" ht="15.5" x14ac:dyDescent="0.35">
      <c r="A30" t="s">
        <v>106</v>
      </c>
      <c r="B30" t="s">
        <v>113</v>
      </c>
      <c r="C30">
        <v>0.9</v>
      </c>
      <c r="D30" t="s">
        <v>2</v>
      </c>
      <c r="E30" t="s">
        <v>74</v>
      </c>
    </row>
    <row r="31" spans="1:5" ht="15.5" x14ac:dyDescent="0.35">
      <c r="A31" t="s">
        <v>106</v>
      </c>
      <c r="B31" t="s">
        <v>114</v>
      </c>
      <c r="C31">
        <v>0.15</v>
      </c>
      <c r="D31" t="s">
        <v>79</v>
      </c>
      <c r="E31" t="s">
        <v>2</v>
      </c>
    </row>
    <row r="32" spans="1:5" ht="15.5" x14ac:dyDescent="0.35">
      <c r="A32" t="s">
        <v>106</v>
      </c>
      <c r="B32" t="s">
        <v>115</v>
      </c>
      <c r="C32">
        <v>0.35</v>
      </c>
      <c r="D32" t="s">
        <v>79</v>
      </c>
      <c r="E32" t="s">
        <v>116</v>
      </c>
    </row>
    <row r="33" spans="1:5" ht="15.5" x14ac:dyDescent="0.35">
      <c r="A33" t="s">
        <v>106</v>
      </c>
      <c r="B33" t="s">
        <v>117</v>
      </c>
      <c r="C33">
        <v>0.15</v>
      </c>
      <c r="D33" t="s">
        <v>79</v>
      </c>
      <c r="E33" t="s">
        <v>2</v>
      </c>
    </row>
    <row r="34" spans="1:5" ht="15.5" x14ac:dyDescent="0.35">
      <c r="A34" t="s">
        <v>106</v>
      </c>
      <c r="B34" t="s">
        <v>118</v>
      </c>
      <c r="C34">
        <v>20</v>
      </c>
      <c r="D34" t="s">
        <v>99</v>
      </c>
      <c r="E34" t="s">
        <v>100</v>
      </c>
    </row>
    <row r="35" spans="1:5" ht="15.5" x14ac:dyDescent="0.35">
      <c r="A35" t="s">
        <v>106</v>
      </c>
      <c r="B35" t="s">
        <v>119</v>
      </c>
      <c r="C35">
        <v>6</v>
      </c>
      <c r="D35" t="s">
        <v>111</v>
      </c>
      <c r="E35" t="s">
        <v>74</v>
      </c>
    </row>
    <row r="36" spans="1:5" ht="15.5" x14ac:dyDescent="0.35">
      <c r="A36" t="s">
        <v>106</v>
      </c>
      <c r="B36" t="s">
        <v>120</v>
      </c>
      <c r="C36">
        <v>0.5</v>
      </c>
      <c r="D36" t="s">
        <v>2</v>
      </c>
      <c r="E36" t="s">
        <v>74</v>
      </c>
    </row>
    <row r="37" spans="1:5" ht="15.5" x14ac:dyDescent="0.35">
      <c r="A37" t="s">
        <v>106</v>
      </c>
      <c r="B37" t="s">
        <v>121</v>
      </c>
      <c r="C37" t="s">
        <v>122</v>
      </c>
      <c r="D37" t="s">
        <v>2</v>
      </c>
      <c r="E37" t="s">
        <v>2</v>
      </c>
    </row>
    <row r="38" spans="1:5" ht="15.5" x14ac:dyDescent="0.35">
      <c r="A38" t="s">
        <v>123</v>
      </c>
      <c r="B38" t="s">
        <v>124</v>
      </c>
      <c r="C38">
        <v>4</v>
      </c>
      <c r="D38" t="s">
        <v>125</v>
      </c>
      <c r="E38" t="s">
        <v>2</v>
      </c>
    </row>
    <row r="39" spans="1:5" ht="15.5" x14ac:dyDescent="0.35">
      <c r="A39" t="s">
        <v>123</v>
      </c>
      <c r="B39" t="s">
        <v>126</v>
      </c>
      <c r="C39" t="s">
        <v>127</v>
      </c>
      <c r="D39" t="s">
        <v>128</v>
      </c>
      <c r="E39" t="s">
        <v>2</v>
      </c>
    </row>
    <row r="40" spans="1:5" ht="15.5" x14ac:dyDescent="0.35">
      <c r="A40" t="s">
        <v>123</v>
      </c>
      <c r="B40" t="s">
        <v>129</v>
      </c>
      <c r="C40">
        <v>105</v>
      </c>
      <c r="D40" t="s">
        <v>128</v>
      </c>
      <c r="E40" t="s">
        <v>2</v>
      </c>
    </row>
    <row r="41" spans="1:5" ht="15.5" x14ac:dyDescent="0.35">
      <c r="A41" t="s">
        <v>123</v>
      </c>
      <c r="B41" t="s">
        <v>130</v>
      </c>
      <c r="C41">
        <v>3</v>
      </c>
      <c r="D41" t="s">
        <v>79</v>
      </c>
      <c r="E41" t="s">
        <v>2</v>
      </c>
    </row>
    <row r="42" spans="1:5" ht="15.5" x14ac:dyDescent="0.35">
      <c r="A42" t="s">
        <v>123</v>
      </c>
      <c r="B42" t="s">
        <v>131</v>
      </c>
      <c r="C42">
        <v>0.8</v>
      </c>
      <c r="D42" t="s">
        <v>2</v>
      </c>
      <c r="E42" t="s">
        <v>74</v>
      </c>
    </row>
    <row r="43" spans="1:5" ht="15.5" x14ac:dyDescent="0.35">
      <c r="A43" t="s">
        <v>123</v>
      </c>
      <c r="B43" t="s">
        <v>132</v>
      </c>
      <c r="C43">
        <v>235</v>
      </c>
      <c r="D43" t="s">
        <v>105</v>
      </c>
      <c r="E43" t="s">
        <v>2</v>
      </c>
    </row>
    <row r="44" spans="1:5" ht="15.5" x14ac:dyDescent="0.35">
      <c r="A44" t="s">
        <v>123</v>
      </c>
      <c r="B44" t="s">
        <v>133</v>
      </c>
      <c r="C44">
        <v>2</v>
      </c>
      <c r="D44" t="s">
        <v>2</v>
      </c>
      <c r="E44" t="s">
        <v>2</v>
      </c>
    </row>
  </sheetData>
  <pageMargins left="0.7" right="0.7" top="0.75" bottom="0.75" header="0.3" footer="0.3"/>
  <ignoredErrors>
    <ignoredError sqref="A1:E4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4"/>
  <sheetViews>
    <sheetView workbookViewId="0"/>
  </sheetViews>
  <sheetFormatPr defaultRowHeight="14.5" x14ac:dyDescent="0.35"/>
  <cols>
    <col min="1" max="1" width="8.83203125" customWidth="1"/>
    <col min="2" max="2" width="12.83203125" customWidth="1"/>
    <col min="3" max="3" width="10.83203125" customWidth="1"/>
    <col min="4" max="6" width="8.83203125" customWidth="1"/>
    <col min="7" max="7" width="10.83203125" customWidth="1"/>
    <col min="8" max="8" width="13.83203125" customWidth="1"/>
    <col min="9" max="9" width="9.83203125" customWidth="1"/>
    <col min="10" max="12" width="10.83203125" customWidth="1"/>
    <col min="13" max="13" width="11.83203125" customWidth="1"/>
    <col min="14" max="14" width="14.83203125" customWidth="1"/>
    <col min="15" max="15" width="12.83203125" customWidth="1"/>
    <col min="16" max="16" width="14.83203125" customWidth="1"/>
    <col min="17" max="17" width="16.83203125" customWidth="1"/>
    <col min="18" max="18" width="10.83203125" customWidth="1"/>
    <col min="19" max="19" width="16.83203125" customWidth="1"/>
    <col min="20" max="20" width="12.83203125" customWidth="1"/>
    <col min="21" max="21" width="11.83203125" customWidth="1"/>
    <col min="22" max="22" width="9.83203125" customWidth="1"/>
    <col min="23" max="23" width="15.83203125" customWidth="1"/>
    <col min="24" max="24" width="13.83203125" customWidth="1"/>
  </cols>
  <sheetData>
    <row r="1" spans="1:24" ht="15.5" x14ac:dyDescent="0.35">
      <c r="A1" t="s">
        <v>134</v>
      </c>
    </row>
    <row r="2" spans="1:24" ht="15.5" x14ac:dyDescent="0.35">
      <c r="A2" t="s">
        <v>54</v>
      </c>
    </row>
    <row r="3" spans="1:24" ht="15.5" x14ac:dyDescent="0.35">
      <c r="A3" t="s">
        <v>135</v>
      </c>
    </row>
    <row r="4" spans="1:24" ht="15.5" x14ac:dyDescent="0.35">
      <c r="A4" t="s">
        <v>2</v>
      </c>
    </row>
    <row r="5" spans="1:24" ht="15.5" x14ac:dyDescent="0.35">
      <c r="A5" t="s">
        <v>136</v>
      </c>
      <c r="B5" t="s">
        <v>137</v>
      </c>
      <c r="C5" t="s">
        <v>138</v>
      </c>
      <c r="D5" t="s">
        <v>139</v>
      </c>
      <c r="E5" t="s">
        <v>140</v>
      </c>
      <c r="F5" t="s">
        <v>141</v>
      </c>
      <c r="G5" t="s">
        <v>142</v>
      </c>
      <c r="H5" t="s">
        <v>143</v>
      </c>
      <c r="I5" t="s">
        <v>144</v>
      </c>
      <c r="J5" t="s">
        <v>145</v>
      </c>
      <c r="K5" t="s">
        <v>146</v>
      </c>
      <c r="L5" t="s">
        <v>147</v>
      </c>
      <c r="M5" t="s">
        <v>148</v>
      </c>
      <c r="N5" t="s">
        <v>149</v>
      </c>
      <c r="O5" t="s">
        <v>150</v>
      </c>
      <c r="P5" t="s">
        <v>151</v>
      </c>
      <c r="Q5" t="s">
        <v>152</v>
      </c>
      <c r="R5" t="s">
        <v>153</v>
      </c>
      <c r="S5" t="s">
        <v>154</v>
      </c>
      <c r="T5" t="s">
        <v>155</v>
      </c>
      <c r="U5" t="s">
        <v>156</v>
      </c>
      <c r="V5" t="s">
        <v>157</v>
      </c>
      <c r="W5" t="s">
        <v>158</v>
      </c>
      <c r="X5" t="s">
        <v>159</v>
      </c>
    </row>
    <row r="6" spans="1:24" ht="15.5" x14ac:dyDescent="0.35">
      <c r="A6" t="s">
        <v>160</v>
      </c>
      <c r="B6">
        <v>4222</v>
      </c>
      <c r="C6">
        <v>280.7</v>
      </c>
      <c r="D6">
        <v>19</v>
      </c>
      <c r="E6">
        <v>17</v>
      </c>
      <c r="F6">
        <v>2</v>
      </c>
      <c r="G6">
        <v>808</v>
      </c>
      <c r="H6">
        <v>453.7</v>
      </c>
      <c r="I6">
        <v>250</v>
      </c>
      <c r="J6">
        <v>71.8</v>
      </c>
      <c r="K6">
        <v>6.8</v>
      </c>
      <c r="L6">
        <v>78.5</v>
      </c>
      <c r="M6">
        <v>82.4</v>
      </c>
      <c r="N6">
        <v>0.30599999999999999</v>
      </c>
      <c r="O6">
        <v>30.2</v>
      </c>
      <c r="P6">
        <v>20.9</v>
      </c>
      <c r="Q6" t="s">
        <v>161</v>
      </c>
      <c r="R6">
        <v>30.2</v>
      </c>
      <c r="S6">
        <v>38.5</v>
      </c>
      <c r="T6" t="s">
        <v>162</v>
      </c>
      <c r="U6">
        <v>235</v>
      </c>
      <c r="V6">
        <v>7.77</v>
      </c>
      <c r="W6">
        <v>6.1</v>
      </c>
      <c r="X6" t="s">
        <v>163</v>
      </c>
    </row>
    <row r="7" spans="1:24" ht="15.5" x14ac:dyDescent="0.35">
      <c r="A7" t="s">
        <v>164</v>
      </c>
      <c r="B7">
        <v>4115</v>
      </c>
      <c r="C7">
        <v>287.5</v>
      </c>
      <c r="D7">
        <v>20</v>
      </c>
      <c r="E7">
        <v>15</v>
      </c>
      <c r="F7">
        <v>5</v>
      </c>
      <c r="G7">
        <v>788</v>
      </c>
      <c r="H7">
        <v>442.5</v>
      </c>
      <c r="I7">
        <v>250</v>
      </c>
      <c r="J7">
        <v>70</v>
      </c>
      <c r="K7">
        <v>6.9</v>
      </c>
      <c r="L7">
        <v>76.900000000000006</v>
      </c>
      <c r="M7">
        <v>80.7</v>
      </c>
      <c r="N7">
        <v>0.28199999999999997</v>
      </c>
      <c r="O7">
        <v>27.8</v>
      </c>
      <c r="P7">
        <v>20.5</v>
      </c>
      <c r="Q7" t="s">
        <v>161</v>
      </c>
      <c r="R7">
        <v>27.8</v>
      </c>
      <c r="S7">
        <v>35.299999999999997</v>
      </c>
      <c r="T7" t="s">
        <v>162</v>
      </c>
      <c r="U7">
        <v>235</v>
      </c>
      <c r="V7">
        <v>8.4600000000000009</v>
      </c>
      <c r="W7">
        <v>6.66</v>
      </c>
      <c r="X7" t="s">
        <v>163</v>
      </c>
    </row>
    <row r="8" spans="1:24" ht="15.5" x14ac:dyDescent="0.35">
      <c r="A8" t="s">
        <v>165</v>
      </c>
      <c r="B8">
        <v>5575</v>
      </c>
      <c r="C8">
        <v>312</v>
      </c>
      <c r="D8">
        <v>22</v>
      </c>
      <c r="E8">
        <v>15</v>
      </c>
      <c r="F8">
        <v>7</v>
      </c>
      <c r="G8">
        <v>1068</v>
      </c>
      <c r="H8">
        <v>599.79999999999995</v>
      </c>
      <c r="I8">
        <v>250</v>
      </c>
      <c r="J8">
        <v>94.8</v>
      </c>
      <c r="K8">
        <v>7.5</v>
      </c>
      <c r="L8">
        <v>102.3</v>
      </c>
      <c r="M8">
        <v>107.5</v>
      </c>
      <c r="N8">
        <v>0.313</v>
      </c>
      <c r="O8">
        <v>38.6</v>
      </c>
      <c r="P8">
        <v>25.7</v>
      </c>
      <c r="Q8" t="s">
        <v>161</v>
      </c>
      <c r="R8">
        <v>38.6</v>
      </c>
      <c r="S8">
        <v>49.7</v>
      </c>
      <c r="T8" t="s">
        <v>162</v>
      </c>
      <c r="U8">
        <v>235</v>
      </c>
      <c r="V8">
        <v>6.08</v>
      </c>
      <c r="W8">
        <v>4.72</v>
      </c>
      <c r="X8" t="s">
        <v>163</v>
      </c>
    </row>
    <row r="9" spans="1:24" ht="15.5" x14ac:dyDescent="0.35">
      <c r="A9" t="s">
        <v>166</v>
      </c>
      <c r="B9">
        <v>19103</v>
      </c>
      <c r="C9">
        <v>625.1</v>
      </c>
      <c r="D9">
        <v>50</v>
      </c>
      <c r="E9">
        <v>31</v>
      </c>
      <c r="F9">
        <v>19</v>
      </c>
      <c r="G9">
        <v>3657</v>
      </c>
      <c r="H9">
        <v>2053.6999999999998</v>
      </c>
      <c r="I9">
        <v>250</v>
      </c>
      <c r="J9">
        <v>324.7</v>
      </c>
      <c r="K9">
        <v>15</v>
      </c>
      <c r="L9">
        <v>339.8</v>
      </c>
      <c r="M9">
        <v>356.8</v>
      </c>
      <c r="N9">
        <v>0.155</v>
      </c>
      <c r="O9">
        <v>60.3</v>
      </c>
      <c r="P9">
        <v>73.7</v>
      </c>
      <c r="Q9" t="s">
        <v>167</v>
      </c>
      <c r="R9">
        <v>73.7</v>
      </c>
      <c r="S9">
        <v>87.4</v>
      </c>
      <c r="T9" t="s">
        <v>162</v>
      </c>
      <c r="U9">
        <v>235</v>
      </c>
      <c r="V9">
        <v>3.19</v>
      </c>
      <c r="W9">
        <v>2.69</v>
      </c>
      <c r="X9" t="s">
        <v>163</v>
      </c>
    </row>
    <row r="10" spans="1:24" ht="15.5" x14ac:dyDescent="0.35">
      <c r="A10" t="s">
        <v>168</v>
      </c>
      <c r="B10">
        <v>23037</v>
      </c>
      <c r="C10">
        <v>660.2</v>
      </c>
      <c r="D10">
        <v>49</v>
      </c>
      <c r="E10">
        <v>36</v>
      </c>
      <c r="F10">
        <v>13</v>
      </c>
      <c r="G10">
        <v>4410</v>
      </c>
      <c r="H10">
        <v>2476.5</v>
      </c>
      <c r="I10">
        <v>250</v>
      </c>
      <c r="J10">
        <v>391.6</v>
      </c>
      <c r="K10">
        <v>15.9</v>
      </c>
      <c r="L10">
        <v>407.5</v>
      </c>
      <c r="M10">
        <v>427.9</v>
      </c>
      <c r="N10">
        <v>0.14399999999999999</v>
      </c>
      <c r="O10">
        <v>66.599999999999994</v>
      </c>
      <c r="P10">
        <v>87.3</v>
      </c>
      <c r="Q10" t="s">
        <v>167</v>
      </c>
      <c r="R10">
        <v>87.3</v>
      </c>
      <c r="S10">
        <v>103.8</v>
      </c>
      <c r="T10" t="s">
        <v>169</v>
      </c>
      <c r="U10">
        <v>305</v>
      </c>
      <c r="V10">
        <v>3.49</v>
      </c>
      <c r="W10">
        <v>2.94</v>
      </c>
      <c r="X10" t="s">
        <v>163</v>
      </c>
    </row>
    <row r="11" spans="1:24" ht="15.5" x14ac:dyDescent="0.35">
      <c r="A11" t="s">
        <v>170</v>
      </c>
      <c r="B11">
        <v>9714</v>
      </c>
      <c r="C11">
        <v>442.7</v>
      </c>
      <c r="D11">
        <v>31</v>
      </c>
      <c r="E11">
        <v>28</v>
      </c>
      <c r="F11">
        <v>3</v>
      </c>
      <c r="G11">
        <v>1860</v>
      </c>
      <c r="H11">
        <v>1044.5</v>
      </c>
      <c r="I11">
        <v>250</v>
      </c>
      <c r="J11">
        <v>165.2</v>
      </c>
      <c r="K11">
        <v>10.7</v>
      </c>
      <c r="L11">
        <v>175.8</v>
      </c>
      <c r="M11">
        <v>184.6</v>
      </c>
      <c r="N11">
        <v>0.19400000000000001</v>
      </c>
      <c r="O11">
        <v>40.799999999999997</v>
      </c>
      <c r="P11">
        <v>40.5</v>
      </c>
      <c r="Q11" t="s">
        <v>161</v>
      </c>
      <c r="R11">
        <v>40.799999999999997</v>
      </c>
      <c r="S11">
        <v>52.6</v>
      </c>
      <c r="T11" t="s">
        <v>162</v>
      </c>
      <c r="U11">
        <v>235</v>
      </c>
      <c r="V11">
        <v>5.76</v>
      </c>
      <c r="W11">
        <v>4.47</v>
      </c>
      <c r="X11" t="s">
        <v>163</v>
      </c>
    </row>
    <row r="12" spans="1:24" ht="15.5" x14ac:dyDescent="0.35">
      <c r="A12" t="s">
        <v>171</v>
      </c>
      <c r="B12">
        <v>11143</v>
      </c>
      <c r="C12">
        <v>474.4</v>
      </c>
      <c r="D12">
        <v>33</v>
      </c>
      <c r="E12">
        <v>24</v>
      </c>
      <c r="F12">
        <v>9</v>
      </c>
      <c r="G12">
        <v>2133</v>
      </c>
      <c r="H12">
        <v>1197.8</v>
      </c>
      <c r="I12">
        <v>250</v>
      </c>
      <c r="J12">
        <v>189.4</v>
      </c>
      <c r="K12">
        <v>11.4</v>
      </c>
      <c r="L12">
        <v>200.8</v>
      </c>
      <c r="M12">
        <v>210.9</v>
      </c>
      <c r="N12">
        <v>0.16400000000000001</v>
      </c>
      <c r="O12">
        <v>39.6</v>
      </c>
      <c r="P12">
        <v>45.6</v>
      </c>
      <c r="Q12" t="s">
        <v>167</v>
      </c>
      <c r="R12">
        <v>45.6</v>
      </c>
      <c r="S12">
        <v>53.7</v>
      </c>
      <c r="T12" t="s">
        <v>162</v>
      </c>
      <c r="U12">
        <v>235</v>
      </c>
      <c r="V12">
        <v>5.16</v>
      </c>
      <c r="W12">
        <v>4.38</v>
      </c>
      <c r="X12" t="s">
        <v>163</v>
      </c>
    </row>
    <row r="13" spans="1:24" ht="15.5" x14ac:dyDescent="0.35">
      <c r="A13" t="s">
        <v>172</v>
      </c>
      <c r="B13">
        <v>14946</v>
      </c>
      <c r="C13">
        <v>573.6</v>
      </c>
      <c r="D13">
        <v>51</v>
      </c>
      <c r="E13">
        <v>46</v>
      </c>
      <c r="F13">
        <v>5</v>
      </c>
      <c r="G13">
        <v>2861</v>
      </c>
      <c r="H13">
        <v>1606.7</v>
      </c>
      <c r="I13">
        <v>250</v>
      </c>
      <c r="J13">
        <v>254.1</v>
      </c>
      <c r="K13">
        <v>13.8</v>
      </c>
      <c r="L13">
        <v>267.89999999999998</v>
      </c>
      <c r="M13">
        <v>281.3</v>
      </c>
      <c r="N13">
        <v>0.106</v>
      </c>
      <c r="O13">
        <v>34.799999999999997</v>
      </c>
      <c r="P13">
        <v>59.1</v>
      </c>
      <c r="Q13" t="s">
        <v>167</v>
      </c>
      <c r="R13">
        <v>59.1</v>
      </c>
      <c r="S13">
        <v>70</v>
      </c>
      <c r="T13" t="s">
        <v>162</v>
      </c>
      <c r="U13">
        <v>235</v>
      </c>
      <c r="V13">
        <v>3.97</v>
      </c>
      <c r="W13">
        <v>3.36</v>
      </c>
      <c r="X13" t="s">
        <v>163</v>
      </c>
    </row>
    <row r="14" spans="1:24" ht="15.5" x14ac:dyDescent="0.35">
      <c r="A14" t="s">
        <v>173</v>
      </c>
      <c r="B14">
        <v>4018</v>
      </c>
      <c r="C14">
        <v>293</v>
      </c>
      <c r="D14">
        <v>20</v>
      </c>
      <c r="E14">
        <v>19</v>
      </c>
      <c r="F14">
        <v>1</v>
      </c>
      <c r="G14">
        <v>769</v>
      </c>
      <c r="H14">
        <v>431.8</v>
      </c>
      <c r="I14">
        <v>250</v>
      </c>
      <c r="J14">
        <v>68.3</v>
      </c>
      <c r="K14">
        <v>7.1</v>
      </c>
      <c r="L14">
        <v>75.3</v>
      </c>
      <c r="M14">
        <v>79.099999999999994</v>
      </c>
      <c r="N14">
        <v>0.32700000000000001</v>
      </c>
      <c r="O14">
        <v>30.9</v>
      </c>
      <c r="P14">
        <v>20.2</v>
      </c>
      <c r="Q14" t="s">
        <v>161</v>
      </c>
      <c r="R14">
        <v>30.9</v>
      </c>
      <c r="S14">
        <v>39.4</v>
      </c>
      <c r="T14" t="s">
        <v>162</v>
      </c>
      <c r="U14">
        <v>235</v>
      </c>
      <c r="V14">
        <v>7.61</v>
      </c>
      <c r="W14">
        <v>5.96</v>
      </c>
      <c r="X14" t="s">
        <v>163</v>
      </c>
    </row>
  </sheetData>
  <pageMargins left="0.7" right="0.7" top="0.75" bottom="0.75" header="0.3" footer="0.3"/>
  <ignoredErrors>
    <ignoredError sqref="A1:X1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5"/>
  <sheetViews>
    <sheetView workbookViewId="0"/>
  </sheetViews>
  <sheetFormatPr defaultRowHeight="14.5" x14ac:dyDescent="0.35"/>
  <cols>
    <col min="1" max="2" width="8.83203125" customWidth="1"/>
    <col min="3" max="3" width="7.83203125" customWidth="1"/>
    <col min="4" max="4" width="9.83203125" customWidth="1"/>
    <col min="5" max="5" width="12.83203125" customWidth="1"/>
    <col min="6" max="7" width="10.83203125" customWidth="1"/>
    <col min="8" max="8" width="16.83203125" customWidth="1"/>
    <col min="9" max="10" width="10.83203125" customWidth="1"/>
    <col min="11" max="11" width="14.83203125" customWidth="1"/>
    <col min="12" max="12" width="11.83203125" customWidth="1"/>
    <col min="13" max="13" width="12.83203125" customWidth="1"/>
    <col min="14" max="14" width="15.83203125" customWidth="1"/>
    <col min="15" max="15" width="11.83203125" customWidth="1"/>
    <col min="16" max="16" width="10.83203125" customWidth="1"/>
    <col min="17" max="17" width="11.83203125" customWidth="1"/>
    <col min="18" max="18" width="17.83203125" customWidth="1"/>
    <col min="19" max="19" width="14.83203125" customWidth="1"/>
    <col min="20" max="20" width="12.83203125" customWidth="1"/>
    <col min="21" max="21" width="16.83203125" customWidth="1"/>
    <col min="22" max="22" width="14.83203125" customWidth="1"/>
    <col min="23" max="23" width="12.83203125" customWidth="1"/>
  </cols>
  <sheetData>
    <row r="1" spans="1:23" ht="15.5" x14ac:dyDescent="0.35">
      <c r="A1" t="s">
        <v>174</v>
      </c>
    </row>
    <row r="2" spans="1:23" ht="15.5" x14ac:dyDescent="0.35">
      <c r="A2" t="s">
        <v>54</v>
      </c>
    </row>
    <row r="3" spans="1:23" ht="15.5" x14ac:dyDescent="0.35">
      <c r="A3" t="s">
        <v>175</v>
      </c>
    </row>
    <row r="4" spans="1:23" ht="15.5" x14ac:dyDescent="0.35">
      <c r="A4" t="s">
        <v>2</v>
      </c>
    </row>
    <row r="5" spans="1:23" ht="15.5" x14ac:dyDescent="0.35">
      <c r="A5" t="s">
        <v>136</v>
      </c>
      <c r="B5" t="s">
        <v>176</v>
      </c>
      <c r="C5" t="s">
        <v>177</v>
      </c>
      <c r="D5" t="s">
        <v>178</v>
      </c>
      <c r="E5" t="s">
        <v>179</v>
      </c>
      <c r="F5" t="s">
        <v>180</v>
      </c>
      <c r="G5" t="s">
        <v>181</v>
      </c>
      <c r="H5" t="s">
        <v>182</v>
      </c>
      <c r="I5" t="s">
        <v>153</v>
      </c>
      <c r="J5" t="s">
        <v>183</v>
      </c>
      <c r="K5" t="s">
        <v>184</v>
      </c>
      <c r="L5" t="s">
        <v>185</v>
      </c>
      <c r="M5" t="s">
        <v>186</v>
      </c>
      <c r="N5" t="s">
        <v>187</v>
      </c>
      <c r="O5" t="s">
        <v>188</v>
      </c>
      <c r="P5" t="s">
        <v>189</v>
      </c>
      <c r="Q5" t="s">
        <v>190</v>
      </c>
      <c r="R5" t="s">
        <v>191</v>
      </c>
      <c r="S5" t="s">
        <v>192</v>
      </c>
      <c r="T5" t="s">
        <v>193</v>
      </c>
      <c r="U5" t="s">
        <v>194</v>
      </c>
      <c r="V5" t="s">
        <v>195</v>
      </c>
      <c r="W5" t="s">
        <v>196</v>
      </c>
    </row>
    <row r="6" spans="1:23" ht="15.5" x14ac:dyDescent="0.35">
      <c r="A6" t="s">
        <v>160</v>
      </c>
      <c r="B6">
        <v>17</v>
      </c>
      <c r="C6">
        <v>0.35</v>
      </c>
      <c r="D6">
        <v>6.5</v>
      </c>
      <c r="E6">
        <v>6.6</v>
      </c>
      <c r="F6" t="s">
        <v>197</v>
      </c>
      <c r="G6" t="s">
        <v>198</v>
      </c>
      <c r="H6" t="s">
        <v>199</v>
      </c>
      <c r="I6">
        <v>30.2</v>
      </c>
      <c r="J6">
        <v>290.2</v>
      </c>
      <c r="K6">
        <v>116.1</v>
      </c>
      <c r="L6">
        <v>0.26</v>
      </c>
      <c r="M6">
        <v>22.5</v>
      </c>
      <c r="N6">
        <v>27</v>
      </c>
      <c r="O6">
        <v>43</v>
      </c>
      <c r="P6">
        <v>0.63</v>
      </c>
      <c r="Q6">
        <v>44.6</v>
      </c>
      <c r="R6">
        <v>0.63500000000000001</v>
      </c>
      <c r="S6">
        <v>117.9</v>
      </c>
      <c r="T6">
        <v>112.2</v>
      </c>
      <c r="U6">
        <v>10.8</v>
      </c>
      <c r="V6">
        <v>2005</v>
      </c>
      <c r="W6" t="s">
        <v>163</v>
      </c>
    </row>
    <row r="7" spans="1:23" ht="15.5" x14ac:dyDescent="0.35">
      <c r="A7" t="s">
        <v>164</v>
      </c>
      <c r="B7">
        <v>15</v>
      </c>
      <c r="C7">
        <v>0.35</v>
      </c>
      <c r="D7">
        <v>6.5</v>
      </c>
      <c r="E7">
        <v>6.6</v>
      </c>
      <c r="F7" t="s">
        <v>197</v>
      </c>
      <c r="G7" t="s">
        <v>198</v>
      </c>
      <c r="H7" t="s">
        <v>199</v>
      </c>
      <c r="I7">
        <v>27.8</v>
      </c>
      <c r="J7">
        <v>290.2</v>
      </c>
      <c r="K7">
        <v>116.1</v>
      </c>
      <c r="L7">
        <v>0.24</v>
      </c>
      <c r="M7">
        <v>20.399999999999999</v>
      </c>
      <c r="N7">
        <v>24.5</v>
      </c>
      <c r="O7">
        <v>43</v>
      </c>
      <c r="P7">
        <v>0.56999999999999995</v>
      </c>
      <c r="Q7">
        <v>44.6</v>
      </c>
      <c r="R7">
        <v>0.63500000000000001</v>
      </c>
      <c r="S7">
        <v>117.9</v>
      </c>
      <c r="T7">
        <v>99</v>
      </c>
      <c r="U7">
        <v>9.5</v>
      </c>
      <c r="V7">
        <v>1769</v>
      </c>
      <c r="W7" t="s">
        <v>163</v>
      </c>
    </row>
    <row r="8" spans="1:23" ht="15.5" x14ac:dyDescent="0.35">
      <c r="A8" t="s">
        <v>165</v>
      </c>
      <c r="B8">
        <v>15</v>
      </c>
      <c r="C8">
        <v>0.35</v>
      </c>
      <c r="D8">
        <v>6.5</v>
      </c>
      <c r="E8">
        <v>6.6</v>
      </c>
      <c r="F8" t="s">
        <v>197</v>
      </c>
      <c r="G8" t="s">
        <v>198</v>
      </c>
      <c r="H8" t="s">
        <v>199</v>
      </c>
      <c r="I8">
        <v>38.6</v>
      </c>
      <c r="J8">
        <v>290.2</v>
      </c>
      <c r="K8">
        <v>116.1</v>
      </c>
      <c r="L8">
        <v>0.33</v>
      </c>
      <c r="M8">
        <v>30.1</v>
      </c>
      <c r="N8">
        <v>36.1</v>
      </c>
      <c r="O8">
        <v>43</v>
      </c>
      <c r="P8">
        <v>0.84</v>
      </c>
      <c r="Q8">
        <v>44.6</v>
      </c>
      <c r="R8">
        <v>0.63500000000000001</v>
      </c>
      <c r="S8">
        <v>117.9</v>
      </c>
      <c r="T8">
        <v>99</v>
      </c>
      <c r="U8">
        <v>9.5</v>
      </c>
      <c r="V8">
        <v>1769</v>
      </c>
      <c r="W8" t="s">
        <v>163</v>
      </c>
    </row>
    <row r="9" spans="1:23" ht="15.5" x14ac:dyDescent="0.35">
      <c r="A9" t="s">
        <v>166</v>
      </c>
      <c r="B9">
        <v>31</v>
      </c>
      <c r="C9">
        <v>0.35</v>
      </c>
      <c r="D9">
        <v>6.5</v>
      </c>
      <c r="E9">
        <v>6.6</v>
      </c>
      <c r="F9" t="s">
        <v>200</v>
      </c>
      <c r="G9" t="s">
        <v>198</v>
      </c>
      <c r="H9" t="s">
        <v>199</v>
      </c>
      <c r="I9">
        <v>73.7</v>
      </c>
      <c r="J9">
        <v>290.2</v>
      </c>
      <c r="K9">
        <v>116.1</v>
      </c>
      <c r="L9">
        <v>0.64</v>
      </c>
      <c r="M9">
        <v>67.599999999999994</v>
      </c>
      <c r="N9">
        <v>81.099999999999994</v>
      </c>
      <c r="O9">
        <v>93.3</v>
      </c>
      <c r="P9">
        <v>0.87</v>
      </c>
      <c r="Q9">
        <v>81.900000000000006</v>
      </c>
      <c r="R9">
        <v>0.63500000000000001</v>
      </c>
      <c r="S9">
        <v>207.6</v>
      </c>
      <c r="T9">
        <v>204.6</v>
      </c>
      <c r="U9">
        <v>19.7</v>
      </c>
      <c r="V9">
        <v>6436</v>
      </c>
      <c r="W9" t="s">
        <v>163</v>
      </c>
    </row>
    <row r="10" spans="1:23" ht="15.5" x14ac:dyDescent="0.35">
      <c r="A10" t="s">
        <v>168</v>
      </c>
      <c r="B10">
        <v>36</v>
      </c>
      <c r="C10">
        <v>0.35</v>
      </c>
      <c r="D10">
        <v>6.5</v>
      </c>
      <c r="E10">
        <v>6.6</v>
      </c>
      <c r="F10" t="s">
        <v>201</v>
      </c>
      <c r="G10" t="s">
        <v>198</v>
      </c>
      <c r="H10" t="s">
        <v>199</v>
      </c>
      <c r="I10">
        <v>87.3</v>
      </c>
      <c r="J10">
        <v>290.2</v>
      </c>
      <c r="K10">
        <v>116.1</v>
      </c>
      <c r="L10">
        <v>0.75</v>
      </c>
      <c r="M10">
        <v>84.9</v>
      </c>
      <c r="N10">
        <v>101.8</v>
      </c>
      <c r="O10">
        <v>121.9</v>
      </c>
      <c r="P10">
        <v>0.83</v>
      </c>
      <c r="Q10">
        <v>99.6</v>
      </c>
      <c r="R10">
        <v>0.63500000000000001</v>
      </c>
      <c r="S10">
        <v>266.2</v>
      </c>
      <c r="T10">
        <v>237.6</v>
      </c>
      <c r="U10">
        <v>22.9</v>
      </c>
      <c r="V10">
        <v>9583</v>
      </c>
      <c r="W10" t="s">
        <v>163</v>
      </c>
    </row>
    <row r="11" spans="1:23" ht="15.5" x14ac:dyDescent="0.35">
      <c r="A11" t="s">
        <v>170</v>
      </c>
      <c r="B11">
        <v>28</v>
      </c>
      <c r="C11">
        <v>0.35</v>
      </c>
      <c r="D11">
        <v>6.5</v>
      </c>
      <c r="E11">
        <v>6.6</v>
      </c>
      <c r="F11" t="s">
        <v>197</v>
      </c>
      <c r="G11" t="s">
        <v>198</v>
      </c>
      <c r="H11" t="s">
        <v>199</v>
      </c>
      <c r="I11">
        <v>40.799999999999997</v>
      </c>
      <c r="J11">
        <v>290.2</v>
      </c>
      <c r="K11">
        <v>116.1</v>
      </c>
      <c r="L11">
        <v>0.35</v>
      </c>
      <c r="M11">
        <v>32.1</v>
      </c>
      <c r="N11">
        <v>38.5</v>
      </c>
      <c r="O11">
        <v>43</v>
      </c>
      <c r="P11">
        <v>0.9</v>
      </c>
      <c r="Q11">
        <v>44.6</v>
      </c>
      <c r="R11">
        <v>0.63500000000000001</v>
      </c>
      <c r="S11">
        <v>117.9</v>
      </c>
      <c r="T11">
        <v>184.8</v>
      </c>
      <c r="U11">
        <v>17.8</v>
      </c>
      <c r="V11">
        <v>3302</v>
      </c>
      <c r="W11" t="s">
        <v>163</v>
      </c>
    </row>
    <row r="12" spans="1:23" ht="15.5" x14ac:dyDescent="0.35">
      <c r="A12" t="s">
        <v>171</v>
      </c>
      <c r="B12">
        <v>24</v>
      </c>
      <c r="C12">
        <v>0.35</v>
      </c>
      <c r="D12">
        <v>6.5</v>
      </c>
      <c r="E12">
        <v>6.6</v>
      </c>
      <c r="F12" t="s">
        <v>202</v>
      </c>
      <c r="G12" t="s">
        <v>198</v>
      </c>
      <c r="H12" t="s">
        <v>199</v>
      </c>
      <c r="I12">
        <v>45.6</v>
      </c>
      <c r="J12">
        <v>290.2</v>
      </c>
      <c r="K12">
        <v>116.1</v>
      </c>
      <c r="L12">
        <v>0.39</v>
      </c>
      <c r="M12">
        <v>36.700000000000003</v>
      </c>
      <c r="N12">
        <v>44.1</v>
      </c>
      <c r="O12">
        <v>53.9</v>
      </c>
      <c r="P12">
        <v>0.82</v>
      </c>
      <c r="Q12">
        <v>53.6</v>
      </c>
      <c r="R12">
        <v>0.63500000000000001</v>
      </c>
      <c r="S12">
        <v>143.80000000000001</v>
      </c>
      <c r="T12">
        <v>158.4</v>
      </c>
      <c r="U12">
        <v>15.2</v>
      </c>
      <c r="V12">
        <v>3451</v>
      </c>
      <c r="W12" t="s">
        <v>163</v>
      </c>
    </row>
    <row r="13" spans="1:23" ht="15.5" x14ac:dyDescent="0.35">
      <c r="A13" t="s">
        <v>172</v>
      </c>
      <c r="B13">
        <v>46</v>
      </c>
      <c r="C13">
        <v>0.35</v>
      </c>
      <c r="D13">
        <v>6.5</v>
      </c>
      <c r="E13">
        <v>6.6</v>
      </c>
      <c r="F13" t="s">
        <v>203</v>
      </c>
      <c r="G13" t="s">
        <v>198</v>
      </c>
      <c r="H13" t="s">
        <v>199</v>
      </c>
      <c r="I13">
        <v>59.1</v>
      </c>
      <c r="J13">
        <v>290.2</v>
      </c>
      <c r="K13">
        <v>116.1</v>
      </c>
      <c r="L13">
        <v>0.51</v>
      </c>
      <c r="M13">
        <v>50.8</v>
      </c>
      <c r="N13">
        <v>61</v>
      </c>
      <c r="O13">
        <v>74.400000000000006</v>
      </c>
      <c r="P13">
        <v>0.82</v>
      </c>
      <c r="Q13">
        <v>69</v>
      </c>
      <c r="R13">
        <v>0.63500000000000001</v>
      </c>
      <c r="S13">
        <v>168.8</v>
      </c>
      <c r="T13">
        <v>303.60000000000002</v>
      </c>
      <c r="U13">
        <v>29.2</v>
      </c>
      <c r="V13">
        <v>7764</v>
      </c>
      <c r="W13" t="s">
        <v>163</v>
      </c>
    </row>
    <row r="14" spans="1:23" ht="15.5" x14ac:dyDescent="0.35">
      <c r="A14" t="s">
        <v>173</v>
      </c>
      <c r="B14">
        <v>19</v>
      </c>
      <c r="C14">
        <v>0.35</v>
      </c>
      <c r="D14">
        <v>6.5</v>
      </c>
      <c r="E14">
        <v>6.6</v>
      </c>
      <c r="F14" t="s">
        <v>197</v>
      </c>
      <c r="G14" t="s">
        <v>198</v>
      </c>
      <c r="H14" t="s">
        <v>199</v>
      </c>
      <c r="I14">
        <v>30.9</v>
      </c>
      <c r="J14">
        <v>290.2</v>
      </c>
      <c r="K14">
        <v>116.1</v>
      </c>
      <c r="L14">
        <v>0.27</v>
      </c>
      <c r="M14">
        <v>23.1</v>
      </c>
      <c r="N14">
        <v>27.7</v>
      </c>
      <c r="O14">
        <v>43</v>
      </c>
      <c r="P14">
        <v>0.65</v>
      </c>
      <c r="Q14">
        <v>44.6</v>
      </c>
      <c r="R14">
        <v>0.63500000000000001</v>
      </c>
      <c r="S14">
        <v>117.9</v>
      </c>
      <c r="T14">
        <v>125.4</v>
      </c>
      <c r="U14">
        <v>12.1</v>
      </c>
      <c r="V14">
        <v>2241</v>
      </c>
      <c r="W14" t="s">
        <v>163</v>
      </c>
    </row>
    <row r="15" spans="1:23" ht="15.5" x14ac:dyDescent="0.35">
      <c r="A15" t="s">
        <v>204</v>
      </c>
      <c r="B15">
        <v>231</v>
      </c>
      <c r="C15" t="s">
        <v>2</v>
      </c>
      <c r="D15" t="s">
        <v>2</v>
      </c>
      <c r="E15" t="s">
        <v>2</v>
      </c>
      <c r="F15" t="s">
        <v>2</v>
      </c>
      <c r="G15" t="s">
        <v>2</v>
      </c>
      <c r="H15" t="s">
        <v>2</v>
      </c>
      <c r="I15" t="s">
        <v>2</v>
      </c>
      <c r="J15" t="s">
        <v>2</v>
      </c>
      <c r="K15" t="s">
        <v>2</v>
      </c>
      <c r="L15" t="s">
        <v>2</v>
      </c>
      <c r="M15" t="s">
        <v>2</v>
      </c>
      <c r="N15" t="s">
        <v>2</v>
      </c>
      <c r="O15" t="s">
        <v>2</v>
      </c>
      <c r="P15" t="s">
        <v>2</v>
      </c>
      <c r="Q15" t="s">
        <v>2</v>
      </c>
      <c r="R15" t="s">
        <v>2</v>
      </c>
      <c r="S15" t="s">
        <v>2</v>
      </c>
      <c r="T15">
        <v>1524.6</v>
      </c>
      <c r="U15">
        <v>146.69999999999999</v>
      </c>
      <c r="V15">
        <v>38320</v>
      </c>
      <c r="W15" t="s">
        <v>2</v>
      </c>
    </row>
  </sheetData>
  <pageMargins left="0.7" right="0.7" top="0.75" bottom="0.75" header="0.3" footer="0.3"/>
  <ignoredErrors>
    <ignoredError sqref="A1:W1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36"/>
  <sheetViews>
    <sheetView workbookViewId="0"/>
  </sheetViews>
  <sheetFormatPr defaultRowHeight="14.5" x14ac:dyDescent="0.35"/>
  <cols>
    <col min="1" max="1" width="5.83203125" customWidth="1"/>
    <col min="2" max="2" width="11.83203125" customWidth="1"/>
    <col min="3" max="3" width="10.83203125" customWidth="1"/>
    <col min="4" max="4" width="8.83203125" customWidth="1"/>
    <col min="5" max="5" width="16.83203125" customWidth="1"/>
    <col min="6" max="7" width="10.83203125" customWidth="1"/>
    <col min="8" max="8" width="12.83203125" customWidth="1"/>
    <col min="9" max="9" width="7.83203125" customWidth="1"/>
    <col min="10" max="10" width="8.83203125" customWidth="1"/>
    <col min="11" max="11" width="11.83203125" customWidth="1"/>
    <col min="12" max="13" width="10.83203125" customWidth="1"/>
    <col min="14" max="14" width="16.83203125" customWidth="1"/>
    <col min="15" max="15" width="11.83203125" customWidth="1"/>
    <col min="16" max="17" width="10.83203125" customWidth="1"/>
    <col min="18" max="18" width="11.83203125" customWidth="1"/>
    <col min="19" max="21" width="10.83203125" customWidth="1"/>
    <col min="22" max="23" width="9.83203125" customWidth="1"/>
    <col min="24" max="24" width="12.83203125" customWidth="1"/>
    <col min="25" max="26" width="13.83203125" customWidth="1"/>
    <col min="27" max="27" width="11.83203125" customWidth="1"/>
    <col min="28" max="28" width="70.83203125" customWidth="1"/>
  </cols>
  <sheetData>
    <row r="1" spans="1:28" ht="15.5" x14ac:dyDescent="0.35">
      <c r="A1" t="s">
        <v>205</v>
      </c>
    </row>
    <row r="2" spans="1:28" ht="15.5" x14ac:dyDescent="0.35">
      <c r="A2" t="s">
        <v>54</v>
      </c>
    </row>
    <row r="3" spans="1:28" ht="15.5" x14ac:dyDescent="0.35">
      <c r="A3" t="s">
        <v>206</v>
      </c>
    </row>
    <row r="4" spans="1:28" ht="15.5" x14ac:dyDescent="0.35">
      <c r="A4" t="s">
        <v>2</v>
      </c>
    </row>
    <row r="5" spans="1:28" ht="15.5" x14ac:dyDescent="0.35">
      <c r="A5" t="s">
        <v>207</v>
      </c>
      <c r="B5" t="s">
        <v>208</v>
      </c>
      <c r="C5" t="s">
        <v>209</v>
      </c>
      <c r="D5" t="s">
        <v>136</v>
      </c>
      <c r="E5" t="s">
        <v>210</v>
      </c>
      <c r="F5" t="s">
        <v>211</v>
      </c>
      <c r="G5" t="s">
        <v>212</v>
      </c>
      <c r="H5" t="s">
        <v>213</v>
      </c>
      <c r="I5" t="s">
        <v>177</v>
      </c>
      <c r="J5" t="s">
        <v>178</v>
      </c>
      <c r="K5" t="s">
        <v>179</v>
      </c>
      <c r="L5" t="s">
        <v>180</v>
      </c>
      <c r="M5" t="s">
        <v>181</v>
      </c>
      <c r="N5" t="s">
        <v>182</v>
      </c>
      <c r="O5" t="s">
        <v>214</v>
      </c>
      <c r="P5" t="s">
        <v>215</v>
      </c>
      <c r="Q5" t="s">
        <v>216</v>
      </c>
      <c r="R5" t="s">
        <v>217</v>
      </c>
      <c r="S5" t="s">
        <v>153</v>
      </c>
      <c r="T5" t="s">
        <v>190</v>
      </c>
      <c r="U5" t="s">
        <v>185</v>
      </c>
      <c r="V5" t="s">
        <v>189</v>
      </c>
      <c r="W5" t="s">
        <v>218</v>
      </c>
      <c r="X5" t="s">
        <v>219</v>
      </c>
      <c r="Y5" t="s">
        <v>220</v>
      </c>
      <c r="Z5" t="s">
        <v>221</v>
      </c>
      <c r="AA5" t="s">
        <v>196</v>
      </c>
      <c r="AB5" t="s">
        <v>222</v>
      </c>
    </row>
    <row r="6" spans="1:28" ht="15.5" x14ac:dyDescent="0.35">
      <c r="A6">
        <v>1</v>
      </c>
      <c r="B6" t="s">
        <v>223</v>
      </c>
      <c r="C6" t="s">
        <v>224</v>
      </c>
      <c r="D6" t="s">
        <v>160</v>
      </c>
      <c r="E6" t="s">
        <v>225</v>
      </c>
      <c r="F6">
        <v>-134.99</v>
      </c>
      <c r="G6">
        <v>90.48</v>
      </c>
      <c r="H6">
        <v>384.29</v>
      </c>
      <c r="I6">
        <v>0.35</v>
      </c>
      <c r="J6">
        <v>6.5</v>
      </c>
      <c r="K6">
        <v>6.6</v>
      </c>
      <c r="L6" t="s">
        <v>197</v>
      </c>
      <c r="M6" t="s">
        <v>198</v>
      </c>
      <c r="N6" t="s">
        <v>199</v>
      </c>
      <c r="O6">
        <v>0.63500000000000001</v>
      </c>
      <c r="P6">
        <v>117.9</v>
      </c>
      <c r="Q6">
        <v>12.64</v>
      </c>
      <c r="R6">
        <v>36</v>
      </c>
      <c r="S6">
        <v>30.2</v>
      </c>
      <c r="T6">
        <v>44.6</v>
      </c>
      <c r="U6">
        <v>0.26</v>
      </c>
      <c r="V6">
        <v>0.63</v>
      </c>
      <c r="W6">
        <v>1</v>
      </c>
      <c r="X6">
        <v>-17.7</v>
      </c>
      <c r="Y6">
        <v>8.8000000000000007</v>
      </c>
      <c r="Z6" t="s">
        <v>226</v>
      </c>
      <c r="AA6" t="s">
        <v>163</v>
      </c>
      <c r="AB6" t="s">
        <v>227</v>
      </c>
    </row>
    <row r="7" spans="1:28" ht="15.5" x14ac:dyDescent="0.35">
      <c r="A7">
        <v>2</v>
      </c>
      <c r="B7" t="s">
        <v>228</v>
      </c>
      <c r="C7" t="s">
        <v>229</v>
      </c>
      <c r="D7" t="s">
        <v>160</v>
      </c>
      <c r="E7" t="s">
        <v>225</v>
      </c>
      <c r="F7">
        <v>-140.05000000000001</v>
      </c>
      <c r="G7">
        <v>95.47</v>
      </c>
      <c r="H7">
        <v>384.37</v>
      </c>
      <c r="I7">
        <v>0.35</v>
      </c>
      <c r="J7">
        <v>6.5</v>
      </c>
      <c r="K7">
        <v>6.6</v>
      </c>
      <c r="L7" t="s">
        <v>197</v>
      </c>
      <c r="M7" t="s">
        <v>198</v>
      </c>
      <c r="N7" t="s">
        <v>199</v>
      </c>
      <c r="O7">
        <v>0.63500000000000001</v>
      </c>
      <c r="P7">
        <v>117.9</v>
      </c>
      <c r="Q7">
        <v>13.7</v>
      </c>
      <c r="R7">
        <v>36</v>
      </c>
      <c r="S7">
        <v>30.2</v>
      </c>
      <c r="T7">
        <v>44.6</v>
      </c>
      <c r="U7">
        <v>0.26</v>
      </c>
      <c r="V7">
        <v>0.63</v>
      </c>
      <c r="W7">
        <v>1</v>
      </c>
      <c r="X7">
        <v>-16.8</v>
      </c>
      <c r="Y7">
        <v>7.8</v>
      </c>
      <c r="Z7" t="s">
        <v>226</v>
      </c>
      <c r="AA7" t="s">
        <v>163</v>
      </c>
      <c r="AB7" t="s">
        <v>227</v>
      </c>
    </row>
    <row r="8" spans="1:28" ht="15.5" x14ac:dyDescent="0.35">
      <c r="A8">
        <v>3</v>
      </c>
      <c r="B8" t="s">
        <v>230</v>
      </c>
      <c r="C8" t="s">
        <v>231</v>
      </c>
      <c r="D8" t="s">
        <v>160</v>
      </c>
      <c r="E8" t="s">
        <v>225</v>
      </c>
      <c r="F8">
        <v>-141.22999999999999</v>
      </c>
      <c r="G8">
        <v>99.78</v>
      </c>
      <c r="H8">
        <v>384.33</v>
      </c>
      <c r="I8">
        <v>0.35</v>
      </c>
      <c r="J8">
        <v>6.5</v>
      </c>
      <c r="K8">
        <v>6.6</v>
      </c>
      <c r="L8" t="s">
        <v>197</v>
      </c>
      <c r="M8" t="s">
        <v>198</v>
      </c>
      <c r="N8" t="s">
        <v>199</v>
      </c>
      <c r="O8">
        <v>0.63500000000000001</v>
      </c>
      <c r="P8">
        <v>117.9</v>
      </c>
      <c r="Q8">
        <v>16.489999999999998</v>
      </c>
      <c r="R8">
        <v>36</v>
      </c>
      <c r="S8">
        <v>30.2</v>
      </c>
      <c r="T8">
        <v>44.6</v>
      </c>
      <c r="U8">
        <v>0.26</v>
      </c>
      <c r="V8">
        <v>0.63</v>
      </c>
      <c r="W8">
        <v>1</v>
      </c>
      <c r="X8">
        <v>-13.9</v>
      </c>
      <c r="Y8">
        <v>6.6</v>
      </c>
      <c r="Z8" t="s">
        <v>226</v>
      </c>
      <c r="AA8" t="s">
        <v>163</v>
      </c>
      <c r="AB8" t="s">
        <v>227</v>
      </c>
    </row>
    <row r="9" spans="1:28" ht="15.5" x14ac:dyDescent="0.35">
      <c r="A9">
        <v>4</v>
      </c>
      <c r="B9" t="s">
        <v>232</v>
      </c>
      <c r="C9" t="s">
        <v>233</v>
      </c>
      <c r="D9" t="s">
        <v>160</v>
      </c>
      <c r="E9" t="s">
        <v>225</v>
      </c>
      <c r="F9">
        <v>-162.49</v>
      </c>
      <c r="G9">
        <v>134.77000000000001</v>
      </c>
      <c r="H9">
        <v>384.41</v>
      </c>
      <c r="I9">
        <v>0.35</v>
      </c>
      <c r="J9">
        <v>6.5</v>
      </c>
      <c r="K9">
        <v>6.6</v>
      </c>
      <c r="L9" t="s">
        <v>197</v>
      </c>
      <c r="M9" t="s">
        <v>198</v>
      </c>
      <c r="N9" t="s">
        <v>199</v>
      </c>
      <c r="O9">
        <v>0.63500000000000001</v>
      </c>
      <c r="P9">
        <v>117.9</v>
      </c>
      <c r="Q9">
        <v>32.299999999999997</v>
      </c>
      <c r="R9">
        <v>36</v>
      </c>
      <c r="S9">
        <v>30.2</v>
      </c>
      <c r="T9">
        <v>44.6</v>
      </c>
      <c r="U9">
        <v>0.26</v>
      </c>
      <c r="V9">
        <v>0.63</v>
      </c>
      <c r="W9">
        <v>1</v>
      </c>
      <c r="X9">
        <v>-7.3</v>
      </c>
      <c r="Y9">
        <v>3.3</v>
      </c>
      <c r="Z9" t="s">
        <v>226</v>
      </c>
      <c r="AA9" t="s">
        <v>163</v>
      </c>
      <c r="AB9" t="s">
        <v>227</v>
      </c>
    </row>
    <row r="10" spans="1:28" ht="15.5" x14ac:dyDescent="0.35">
      <c r="A10">
        <v>5</v>
      </c>
      <c r="B10" t="s">
        <v>234</v>
      </c>
      <c r="C10" t="s">
        <v>235</v>
      </c>
      <c r="D10" t="s">
        <v>160</v>
      </c>
      <c r="E10" t="s">
        <v>225</v>
      </c>
      <c r="F10">
        <v>-170.74</v>
      </c>
      <c r="G10">
        <v>140.52000000000001</v>
      </c>
      <c r="H10">
        <v>384.59</v>
      </c>
      <c r="I10">
        <v>0.35</v>
      </c>
      <c r="J10">
        <v>6.5</v>
      </c>
      <c r="K10">
        <v>6.6</v>
      </c>
      <c r="L10" t="s">
        <v>197</v>
      </c>
      <c r="M10" t="s">
        <v>198</v>
      </c>
      <c r="N10" t="s">
        <v>199</v>
      </c>
      <c r="O10">
        <v>0.63500000000000001</v>
      </c>
      <c r="P10">
        <v>117.9</v>
      </c>
      <c r="Q10">
        <v>32.11</v>
      </c>
      <c r="R10">
        <v>36</v>
      </c>
      <c r="S10">
        <v>30.2</v>
      </c>
      <c r="T10">
        <v>44.6</v>
      </c>
      <c r="U10">
        <v>0.26</v>
      </c>
      <c r="V10">
        <v>0.63</v>
      </c>
      <c r="W10">
        <v>1</v>
      </c>
      <c r="X10">
        <v>-7.7</v>
      </c>
      <c r="Y10">
        <v>3</v>
      </c>
      <c r="Z10" t="s">
        <v>236</v>
      </c>
      <c r="AA10" t="s">
        <v>163</v>
      </c>
      <c r="AB10" t="s">
        <v>237</v>
      </c>
    </row>
    <row r="11" spans="1:28" ht="15.5" x14ac:dyDescent="0.35">
      <c r="A11">
        <v>6</v>
      </c>
      <c r="B11" t="s">
        <v>238</v>
      </c>
      <c r="C11" t="s">
        <v>239</v>
      </c>
      <c r="D11" t="s">
        <v>160</v>
      </c>
      <c r="E11" t="s">
        <v>225</v>
      </c>
      <c r="F11">
        <v>-177.5</v>
      </c>
      <c r="G11">
        <v>146.69</v>
      </c>
      <c r="H11">
        <v>384.63</v>
      </c>
      <c r="I11">
        <v>0.35</v>
      </c>
      <c r="J11">
        <v>6.5</v>
      </c>
      <c r="K11">
        <v>6.6</v>
      </c>
      <c r="L11" t="s">
        <v>197</v>
      </c>
      <c r="M11" t="s">
        <v>198</v>
      </c>
      <c r="N11" t="s">
        <v>199</v>
      </c>
      <c r="O11">
        <v>0.63500000000000001</v>
      </c>
      <c r="P11">
        <v>117.9</v>
      </c>
      <c r="Q11">
        <v>33.119999999999997</v>
      </c>
      <c r="R11">
        <v>36</v>
      </c>
      <c r="S11">
        <v>30.2</v>
      </c>
      <c r="T11">
        <v>44.6</v>
      </c>
      <c r="U11">
        <v>0.26</v>
      </c>
      <c r="V11">
        <v>0.63</v>
      </c>
      <c r="W11">
        <v>1</v>
      </c>
      <c r="X11">
        <v>-7.5</v>
      </c>
      <c r="Y11">
        <v>2.8</v>
      </c>
      <c r="Z11" t="s">
        <v>236</v>
      </c>
      <c r="AA11" t="s">
        <v>163</v>
      </c>
      <c r="AB11" t="s">
        <v>237</v>
      </c>
    </row>
    <row r="12" spans="1:28" ht="15.5" x14ac:dyDescent="0.35">
      <c r="A12">
        <v>7</v>
      </c>
      <c r="B12" t="s">
        <v>240</v>
      </c>
      <c r="C12" t="s">
        <v>241</v>
      </c>
      <c r="D12" t="s">
        <v>160</v>
      </c>
      <c r="E12" t="s">
        <v>225</v>
      </c>
      <c r="F12">
        <v>-224.88</v>
      </c>
      <c r="G12">
        <v>67.52</v>
      </c>
      <c r="H12">
        <v>384.25</v>
      </c>
      <c r="I12">
        <v>0.35</v>
      </c>
      <c r="J12">
        <v>6.5</v>
      </c>
      <c r="K12">
        <v>6.6</v>
      </c>
      <c r="L12" t="s">
        <v>197</v>
      </c>
      <c r="M12" t="s">
        <v>198</v>
      </c>
      <c r="N12" t="s">
        <v>199</v>
      </c>
      <c r="O12">
        <v>0.63500000000000001</v>
      </c>
      <c r="P12">
        <v>117.9</v>
      </c>
      <c r="Q12">
        <v>12.78</v>
      </c>
      <c r="R12">
        <v>216</v>
      </c>
      <c r="S12">
        <v>30.2</v>
      </c>
      <c r="T12">
        <v>44.6</v>
      </c>
      <c r="U12">
        <v>0.26</v>
      </c>
      <c r="V12">
        <v>0.63</v>
      </c>
      <c r="W12">
        <v>1</v>
      </c>
      <c r="X12">
        <v>-17.399999999999999</v>
      </c>
      <c r="Y12">
        <v>8.9</v>
      </c>
      <c r="Z12" t="s">
        <v>226</v>
      </c>
      <c r="AA12" t="s">
        <v>163</v>
      </c>
      <c r="AB12" t="s">
        <v>227</v>
      </c>
    </row>
    <row r="13" spans="1:28" ht="15.5" x14ac:dyDescent="0.35">
      <c r="A13">
        <v>8</v>
      </c>
      <c r="B13" t="s">
        <v>242</v>
      </c>
      <c r="C13" t="s">
        <v>243</v>
      </c>
      <c r="D13" t="s">
        <v>160</v>
      </c>
      <c r="E13" t="s">
        <v>225</v>
      </c>
      <c r="F13">
        <v>-216.19</v>
      </c>
      <c r="G13">
        <v>59.89</v>
      </c>
      <c r="H13">
        <v>384.47</v>
      </c>
      <c r="I13">
        <v>0.35</v>
      </c>
      <c r="J13">
        <v>6.5</v>
      </c>
      <c r="K13">
        <v>6.6</v>
      </c>
      <c r="L13" t="s">
        <v>197</v>
      </c>
      <c r="M13" t="s">
        <v>198</v>
      </c>
      <c r="N13" t="s">
        <v>199</v>
      </c>
      <c r="O13">
        <v>0.63500000000000001</v>
      </c>
      <c r="P13">
        <v>117.9</v>
      </c>
      <c r="Q13">
        <v>13.84</v>
      </c>
      <c r="R13">
        <v>216</v>
      </c>
      <c r="S13">
        <v>30.2</v>
      </c>
      <c r="T13">
        <v>44.6</v>
      </c>
      <c r="U13">
        <v>0.26</v>
      </c>
      <c r="V13">
        <v>0.63</v>
      </c>
      <c r="W13">
        <v>1</v>
      </c>
      <c r="X13">
        <v>-17</v>
      </c>
      <c r="Y13">
        <v>7.3</v>
      </c>
      <c r="Z13" t="s">
        <v>226</v>
      </c>
      <c r="AA13" t="s">
        <v>163</v>
      </c>
      <c r="AB13" t="s">
        <v>227</v>
      </c>
    </row>
    <row r="14" spans="1:28" ht="15.5" x14ac:dyDescent="0.35">
      <c r="A14">
        <v>9</v>
      </c>
      <c r="B14" t="s">
        <v>244</v>
      </c>
      <c r="C14" t="s">
        <v>245</v>
      </c>
      <c r="D14" t="s">
        <v>160</v>
      </c>
      <c r="E14" t="s">
        <v>225</v>
      </c>
      <c r="F14">
        <v>-195.7</v>
      </c>
      <c r="G14">
        <v>50.34</v>
      </c>
      <c r="H14">
        <v>384.17</v>
      </c>
      <c r="I14">
        <v>0.35</v>
      </c>
      <c r="J14">
        <v>6.5</v>
      </c>
      <c r="K14">
        <v>6.6</v>
      </c>
      <c r="L14" t="s">
        <v>197</v>
      </c>
      <c r="M14" t="s">
        <v>198</v>
      </c>
      <c r="N14" t="s">
        <v>199</v>
      </c>
      <c r="O14">
        <v>0.63500000000000001</v>
      </c>
      <c r="P14">
        <v>117.9</v>
      </c>
      <c r="Q14">
        <v>9.52</v>
      </c>
      <c r="R14">
        <v>216</v>
      </c>
      <c r="S14">
        <v>30.2</v>
      </c>
      <c r="T14">
        <v>44.6</v>
      </c>
      <c r="U14">
        <v>0.26</v>
      </c>
      <c r="V14">
        <v>0.63</v>
      </c>
      <c r="W14">
        <v>1</v>
      </c>
      <c r="X14">
        <v>-22.4</v>
      </c>
      <c r="Y14">
        <v>12.3</v>
      </c>
      <c r="Z14" t="s">
        <v>226</v>
      </c>
      <c r="AA14" t="s">
        <v>163</v>
      </c>
      <c r="AB14" t="s">
        <v>227</v>
      </c>
    </row>
    <row r="15" spans="1:28" ht="15.5" x14ac:dyDescent="0.35">
      <c r="A15">
        <v>10</v>
      </c>
      <c r="B15" t="s">
        <v>246</v>
      </c>
      <c r="C15" t="s">
        <v>247</v>
      </c>
      <c r="D15" t="s">
        <v>160</v>
      </c>
      <c r="E15" t="s">
        <v>225</v>
      </c>
      <c r="F15">
        <v>-185.52</v>
      </c>
      <c r="G15">
        <v>45.22</v>
      </c>
      <c r="H15">
        <v>384.69</v>
      </c>
      <c r="I15">
        <v>0.35</v>
      </c>
      <c r="J15">
        <v>6.5</v>
      </c>
      <c r="K15">
        <v>6.6</v>
      </c>
      <c r="L15" t="s">
        <v>197</v>
      </c>
      <c r="M15" t="s">
        <v>198</v>
      </c>
      <c r="N15" t="s">
        <v>199</v>
      </c>
      <c r="O15">
        <v>0.63500000000000001</v>
      </c>
      <c r="P15">
        <v>117.9</v>
      </c>
      <c r="Q15">
        <v>7.68</v>
      </c>
      <c r="R15">
        <v>216</v>
      </c>
      <c r="S15">
        <v>30.2</v>
      </c>
      <c r="T15">
        <v>44.6</v>
      </c>
      <c r="U15">
        <v>0.26</v>
      </c>
      <c r="V15">
        <v>0.63</v>
      </c>
      <c r="W15">
        <v>1</v>
      </c>
      <c r="X15">
        <v>-30</v>
      </c>
      <c r="Y15">
        <v>11.5</v>
      </c>
      <c r="Z15" t="s">
        <v>236</v>
      </c>
      <c r="AA15" t="s">
        <v>163</v>
      </c>
      <c r="AB15" t="s">
        <v>248</v>
      </c>
    </row>
    <row r="16" spans="1:28" ht="15.5" x14ac:dyDescent="0.35">
      <c r="A16">
        <v>11</v>
      </c>
      <c r="B16" t="s">
        <v>249</v>
      </c>
      <c r="C16" t="s">
        <v>250</v>
      </c>
      <c r="D16" t="s">
        <v>160</v>
      </c>
      <c r="E16" t="s">
        <v>225</v>
      </c>
      <c r="F16">
        <v>-174.02</v>
      </c>
      <c r="G16">
        <v>38.020000000000003</v>
      </c>
      <c r="H16">
        <v>384.44</v>
      </c>
      <c r="I16">
        <v>0.35</v>
      </c>
      <c r="J16">
        <v>6.5</v>
      </c>
      <c r="K16">
        <v>6.6</v>
      </c>
      <c r="L16" t="s">
        <v>197</v>
      </c>
      <c r="M16" t="s">
        <v>198</v>
      </c>
      <c r="N16" t="s">
        <v>199</v>
      </c>
      <c r="O16">
        <v>0.63500000000000001</v>
      </c>
      <c r="P16">
        <v>117.9</v>
      </c>
      <c r="Q16">
        <v>6.75</v>
      </c>
      <c r="R16">
        <v>216</v>
      </c>
      <c r="S16">
        <v>30.2</v>
      </c>
      <c r="T16">
        <v>44.6</v>
      </c>
      <c r="U16">
        <v>0.26</v>
      </c>
      <c r="V16">
        <v>0.63</v>
      </c>
      <c r="W16">
        <v>1</v>
      </c>
      <c r="X16">
        <v>-31.8</v>
      </c>
      <c r="Y16">
        <v>15</v>
      </c>
      <c r="Z16" t="s">
        <v>226</v>
      </c>
      <c r="AA16" t="s">
        <v>163</v>
      </c>
      <c r="AB16" t="s">
        <v>251</v>
      </c>
    </row>
    <row r="17" spans="1:28" ht="15.5" x14ac:dyDescent="0.35">
      <c r="A17">
        <v>12</v>
      </c>
      <c r="B17" t="s">
        <v>252</v>
      </c>
      <c r="C17" t="s">
        <v>253</v>
      </c>
      <c r="D17" t="s">
        <v>160</v>
      </c>
      <c r="E17" t="s">
        <v>225</v>
      </c>
      <c r="F17">
        <v>-161.94999999999999</v>
      </c>
      <c r="G17">
        <v>30.54</v>
      </c>
      <c r="H17">
        <v>383.76</v>
      </c>
      <c r="I17">
        <v>0.35</v>
      </c>
      <c r="J17">
        <v>6.5</v>
      </c>
      <c r="K17">
        <v>6.6</v>
      </c>
      <c r="L17" t="s">
        <v>197</v>
      </c>
      <c r="M17" t="s">
        <v>198</v>
      </c>
      <c r="N17" t="s">
        <v>199</v>
      </c>
      <c r="O17">
        <v>0.63500000000000001</v>
      </c>
      <c r="P17">
        <v>117.9</v>
      </c>
      <c r="Q17">
        <v>5.7</v>
      </c>
      <c r="R17">
        <v>216</v>
      </c>
      <c r="S17">
        <v>30.2</v>
      </c>
      <c r="T17">
        <v>44.6</v>
      </c>
      <c r="U17">
        <v>0.26</v>
      </c>
      <c r="V17">
        <v>0.63</v>
      </c>
      <c r="W17">
        <v>1</v>
      </c>
      <c r="X17">
        <v>-31.6</v>
      </c>
      <c r="Y17">
        <v>23.6</v>
      </c>
      <c r="Z17" t="s">
        <v>226</v>
      </c>
      <c r="AA17" t="s">
        <v>163</v>
      </c>
      <c r="AB17" t="s">
        <v>251</v>
      </c>
    </row>
    <row r="18" spans="1:28" ht="15.5" x14ac:dyDescent="0.35">
      <c r="A18">
        <v>13</v>
      </c>
      <c r="B18" t="s">
        <v>254</v>
      </c>
      <c r="C18" t="s">
        <v>255</v>
      </c>
      <c r="D18" t="s">
        <v>160</v>
      </c>
      <c r="E18" t="s">
        <v>225</v>
      </c>
      <c r="F18">
        <v>-236.81</v>
      </c>
      <c r="G18">
        <v>75.64</v>
      </c>
      <c r="H18">
        <v>384.58</v>
      </c>
      <c r="I18">
        <v>0.35</v>
      </c>
      <c r="J18">
        <v>6.5</v>
      </c>
      <c r="K18">
        <v>6.6</v>
      </c>
      <c r="L18" t="s">
        <v>197</v>
      </c>
      <c r="M18" t="s">
        <v>198</v>
      </c>
      <c r="N18" t="s">
        <v>199</v>
      </c>
      <c r="O18">
        <v>0.63500000000000001</v>
      </c>
      <c r="P18">
        <v>117.9</v>
      </c>
      <c r="Q18">
        <v>13.25</v>
      </c>
      <c r="R18">
        <v>220</v>
      </c>
      <c r="S18">
        <v>30.2</v>
      </c>
      <c r="T18">
        <v>44.6</v>
      </c>
      <c r="U18">
        <v>0.26</v>
      </c>
      <c r="V18">
        <v>0.63</v>
      </c>
      <c r="W18">
        <v>1</v>
      </c>
      <c r="X18">
        <v>-18.100000000000001</v>
      </c>
      <c r="Y18">
        <v>7.2</v>
      </c>
      <c r="Z18" t="s">
        <v>236</v>
      </c>
      <c r="AA18" t="s">
        <v>163</v>
      </c>
      <c r="AB18" t="s">
        <v>237</v>
      </c>
    </row>
    <row r="19" spans="1:28" ht="15.5" x14ac:dyDescent="0.35">
      <c r="A19">
        <v>14</v>
      </c>
      <c r="B19" t="s">
        <v>256</v>
      </c>
      <c r="C19" t="s">
        <v>257</v>
      </c>
      <c r="D19" t="s">
        <v>160</v>
      </c>
      <c r="E19" t="s">
        <v>225</v>
      </c>
      <c r="F19">
        <v>-242.11</v>
      </c>
      <c r="G19">
        <v>141.13999999999999</v>
      </c>
      <c r="H19">
        <v>384.18</v>
      </c>
      <c r="I19">
        <v>0.35</v>
      </c>
      <c r="J19">
        <v>6.5</v>
      </c>
      <c r="K19">
        <v>6.6</v>
      </c>
      <c r="L19" t="s">
        <v>197</v>
      </c>
      <c r="M19" t="s">
        <v>198</v>
      </c>
      <c r="N19" t="s">
        <v>199</v>
      </c>
      <c r="O19">
        <v>0.63500000000000001</v>
      </c>
      <c r="P19">
        <v>117.9</v>
      </c>
      <c r="Q19">
        <v>42.92</v>
      </c>
      <c r="R19">
        <v>306</v>
      </c>
      <c r="S19">
        <v>30.2</v>
      </c>
      <c r="T19">
        <v>44.6</v>
      </c>
      <c r="U19">
        <v>0.26</v>
      </c>
      <c r="V19">
        <v>0.63</v>
      </c>
      <c r="W19">
        <v>1</v>
      </c>
      <c r="X19">
        <v>-5.2</v>
      </c>
      <c r="Y19">
        <v>2.8</v>
      </c>
      <c r="Z19" t="s">
        <v>226</v>
      </c>
      <c r="AA19" t="s">
        <v>163</v>
      </c>
      <c r="AB19" t="s">
        <v>227</v>
      </c>
    </row>
    <row r="20" spans="1:28" ht="15.5" x14ac:dyDescent="0.35">
      <c r="A20">
        <v>15</v>
      </c>
      <c r="B20" t="s">
        <v>258</v>
      </c>
      <c r="C20" t="s">
        <v>259</v>
      </c>
      <c r="D20" t="s">
        <v>160</v>
      </c>
      <c r="E20" t="s">
        <v>260</v>
      </c>
      <c r="F20">
        <v>-249.1</v>
      </c>
      <c r="G20">
        <v>132.21</v>
      </c>
      <c r="H20">
        <v>384.06</v>
      </c>
      <c r="I20">
        <v>0.35</v>
      </c>
      <c r="J20">
        <v>6.5</v>
      </c>
      <c r="K20">
        <v>6.6</v>
      </c>
      <c r="L20" t="s">
        <v>197</v>
      </c>
      <c r="M20" t="s">
        <v>198</v>
      </c>
      <c r="N20" t="s">
        <v>199</v>
      </c>
      <c r="O20">
        <v>0.63500000000000001</v>
      </c>
      <c r="P20">
        <v>117.9</v>
      </c>
      <c r="Q20">
        <v>44</v>
      </c>
      <c r="R20">
        <v>316</v>
      </c>
      <c r="S20">
        <v>30.2</v>
      </c>
      <c r="T20">
        <v>44.6</v>
      </c>
      <c r="U20">
        <v>0.26</v>
      </c>
      <c r="V20">
        <v>0.63</v>
      </c>
      <c r="W20">
        <v>1</v>
      </c>
      <c r="X20">
        <v>-5</v>
      </c>
      <c r="Y20">
        <v>2.8</v>
      </c>
      <c r="Z20" t="s">
        <v>226</v>
      </c>
      <c r="AA20" t="s">
        <v>163</v>
      </c>
      <c r="AB20" t="s">
        <v>261</v>
      </c>
    </row>
    <row r="21" spans="1:28" ht="15.5" x14ac:dyDescent="0.35">
      <c r="A21">
        <v>16</v>
      </c>
      <c r="B21" t="s">
        <v>262</v>
      </c>
      <c r="C21" t="s">
        <v>263</v>
      </c>
      <c r="D21" t="s">
        <v>160</v>
      </c>
      <c r="E21" t="s">
        <v>260</v>
      </c>
      <c r="F21">
        <v>-143.06</v>
      </c>
      <c r="G21">
        <v>104.76</v>
      </c>
      <c r="H21">
        <v>384.07</v>
      </c>
      <c r="I21">
        <v>0.35</v>
      </c>
      <c r="J21">
        <v>6.5</v>
      </c>
      <c r="K21">
        <v>6.6</v>
      </c>
      <c r="L21" t="s">
        <v>197</v>
      </c>
      <c r="M21" t="s">
        <v>198</v>
      </c>
      <c r="N21" t="s">
        <v>199</v>
      </c>
      <c r="O21">
        <v>0.63500000000000001</v>
      </c>
      <c r="P21">
        <v>117.9</v>
      </c>
      <c r="Q21">
        <v>24.5</v>
      </c>
      <c r="R21">
        <v>73.5</v>
      </c>
      <c r="S21">
        <v>30.2</v>
      </c>
      <c r="T21">
        <v>44.6</v>
      </c>
      <c r="U21">
        <v>0.26</v>
      </c>
      <c r="V21">
        <v>0.63</v>
      </c>
      <c r="W21">
        <v>1</v>
      </c>
      <c r="X21">
        <v>-8.9</v>
      </c>
      <c r="Y21">
        <v>5.0999999999999996</v>
      </c>
      <c r="Z21" t="s">
        <v>226</v>
      </c>
      <c r="AA21" t="s">
        <v>163</v>
      </c>
      <c r="AB21" t="s">
        <v>261</v>
      </c>
    </row>
    <row r="22" spans="1:28" ht="15.5" x14ac:dyDescent="0.35">
      <c r="A22">
        <v>17</v>
      </c>
      <c r="B22" t="s">
        <v>264</v>
      </c>
      <c r="C22" t="s">
        <v>265</v>
      </c>
      <c r="D22" t="s">
        <v>160</v>
      </c>
      <c r="E22" t="s">
        <v>260</v>
      </c>
      <c r="F22">
        <v>-126.11</v>
      </c>
      <c r="G22">
        <v>82.01</v>
      </c>
      <c r="H22">
        <v>384.07</v>
      </c>
      <c r="I22">
        <v>0.35</v>
      </c>
      <c r="J22">
        <v>6.5</v>
      </c>
      <c r="K22">
        <v>6.6</v>
      </c>
      <c r="L22" t="s">
        <v>197</v>
      </c>
      <c r="M22" t="s">
        <v>198</v>
      </c>
      <c r="N22" t="s">
        <v>199</v>
      </c>
      <c r="O22">
        <v>0.63500000000000001</v>
      </c>
      <c r="P22">
        <v>117.9</v>
      </c>
      <c r="Q22">
        <v>17</v>
      </c>
      <c r="R22">
        <v>36</v>
      </c>
      <c r="S22">
        <v>30.2</v>
      </c>
      <c r="T22">
        <v>44.6</v>
      </c>
      <c r="U22">
        <v>0.26</v>
      </c>
      <c r="V22">
        <v>0.63</v>
      </c>
      <c r="W22">
        <v>1</v>
      </c>
      <c r="X22">
        <v>-12.7</v>
      </c>
      <c r="Y22">
        <v>7.3</v>
      </c>
      <c r="Z22" t="s">
        <v>226</v>
      </c>
      <c r="AA22" t="s">
        <v>163</v>
      </c>
      <c r="AB22" t="s">
        <v>261</v>
      </c>
    </row>
    <row r="23" spans="1:28" ht="15.5" x14ac:dyDescent="0.35">
      <c r="A23">
        <v>18</v>
      </c>
      <c r="B23" t="s">
        <v>266</v>
      </c>
      <c r="C23" t="s">
        <v>267</v>
      </c>
      <c r="D23" t="s">
        <v>164</v>
      </c>
      <c r="E23" t="s">
        <v>225</v>
      </c>
      <c r="F23">
        <v>-101.87</v>
      </c>
      <c r="G23">
        <v>64.92</v>
      </c>
      <c r="H23">
        <v>384.65</v>
      </c>
      <c r="I23">
        <v>0.35</v>
      </c>
      <c r="J23">
        <v>6.5</v>
      </c>
      <c r="K23">
        <v>6.6</v>
      </c>
      <c r="L23" t="s">
        <v>197</v>
      </c>
      <c r="M23" t="s">
        <v>198</v>
      </c>
      <c r="N23" t="s">
        <v>199</v>
      </c>
      <c r="O23">
        <v>0.63500000000000001</v>
      </c>
      <c r="P23">
        <v>117.9</v>
      </c>
      <c r="Q23">
        <v>12.97</v>
      </c>
      <c r="R23">
        <v>20.7</v>
      </c>
      <c r="S23">
        <v>27.8</v>
      </c>
      <c r="T23">
        <v>44.6</v>
      </c>
      <c r="U23">
        <v>0.24</v>
      </c>
      <c r="V23">
        <v>0.56999999999999995</v>
      </c>
      <c r="W23">
        <v>1</v>
      </c>
      <c r="X23">
        <v>-18.8</v>
      </c>
      <c r="Y23">
        <v>7</v>
      </c>
      <c r="Z23" t="s">
        <v>236</v>
      </c>
      <c r="AA23" t="s">
        <v>163</v>
      </c>
      <c r="AB23" t="s">
        <v>237</v>
      </c>
    </row>
    <row r="24" spans="1:28" ht="15.5" x14ac:dyDescent="0.35">
      <c r="A24">
        <v>19</v>
      </c>
      <c r="B24" t="s">
        <v>268</v>
      </c>
      <c r="C24" t="s">
        <v>269</v>
      </c>
      <c r="D24" t="s">
        <v>164</v>
      </c>
      <c r="E24" t="s">
        <v>225</v>
      </c>
      <c r="F24">
        <v>-20.75</v>
      </c>
      <c r="G24">
        <v>30.29</v>
      </c>
      <c r="H24">
        <v>384.47</v>
      </c>
      <c r="I24">
        <v>0.35</v>
      </c>
      <c r="J24">
        <v>6.5</v>
      </c>
      <c r="K24">
        <v>6.6</v>
      </c>
      <c r="L24" t="s">
        <v>197</v>
      </c>
      <c r="M24" t="s">
        <v>198</v>
      </c>
      <c r="N24" t="s">
        <v>199</v>
      </c>
      <c r="O24">
        <v>0.63500000000000001</v>
      </c>
      <c r="P24">
        <v>117.9</v>
      </c>
      <c r="Q24">
        <v>36.85</v>
      </c>
      <c r="R24">
        <v>39.299999999999997</v>
      </c>
      <c r="S24">
        <v>27.8</v>
      </c>
      <c r="T24">
        <v>44.6</v>
      </c>
      <c r="U24">
        <v>0.24</v>
      </c>
      <c r="V24">
        <v>0.56999999999999995</v>
      </c>
      <c r="W24">
        <v>1</v>
      </c>
      <c r="X24">
        <v>-6.5</v>
      </c>
      <c r="Y24">
        <v>2.8</v>
      </c>
      <c r="Z24" t="s">
        <v>226</v>
      </c>
      <c r="AA24" t="s">
        <v>163</v>
      </c>
      <c r="AB24" t="s">
        <v>227</v>
      </c>
    </row>
    <row r="25" spans="1:28" ht="15.5" x14ac:dyDescent="0.35">
      <c r="A25">
        <v>20</v>
      </c>
      <c r="B25" t="s">
        <v>270</v>
      </c>
      <c r="C25" t="s">
        <v>271</v>
      </c>
      <c r="D25" t="s">
        <v>164</v>
      </c>
      <c r="E25" t="s">
        <v>225</v>
      </c>
      <c r="F25">
        <v>-25.24</v>
      </c>
      <c r="G25">
        <v>36.130000000000003</v>
      </c>
      <c r="H25">
        <v>384.71</v>
      </c>
      <c r="I25">
        <v>0.35</v>
      </c>
      <c r="J25">
        <v>6.5</v>
      </c>
      <c r="K25">
        <v>6.6</v>
      </c>
      <c r="L25" t="s">
        <v>197</v>
      </c>
      <c r="M25" t="s">
        <v>198</v>
      </c>
      <c r="N25" t="s">
        <v>199</v>
      </c>
      <c r="O25">
        <v>0.63500000000000001</v>
      </c>
      <c r="P25">
        <v>117.9</v>
      </c>
      <c r="Q25">
        <v>38.53</v>
      </c>
      <c r="R25">
        <v>39.299999999999997</v>
      </c>
      <c r="S25">
        <v>27.8</v>
      </c>
      <c r="T25">
        <v>44.6</v>
      </c>
      <c r="U25">
        <v>0.24</v>
      </c>
      <c r="V25">
        <v>0.56999999999999995</v>
      </c>
      <c r="W25">
        <v>1</v>
      </c>
      <c r="X25">
        <v>-6.6</v>
      </c>
      <c r="Y25">
        <v>2.2999999999999998</v>
      </c>
      <c r="Z25" t="s">
        <v>236</v>
      </c>
      <c r="AA25" t="s">
        <v>163</v>
      </c>
      <c r="AB25" t="s">
        <v>237</v>
      </c>
    </row>
    <row r="26" spans="1:28" ht="15.5" x14ac:dyDescent="0.35">
      <c r="A26">
        <v>21</v>
      </c>
      <c r="B26" t="s">
        <v>272</v>
      </c>
      <c r="C26" t="s">
        <v>273</v>
      </c>
      <c r="D26" t="s">
        <v>164</v>
      </c>
      <c r="E26" t="s">
        <v>225</v>
      </c>
      <c r="F26">
        <v>-44.58</v>
      </c>
      <c r="G26">
        <v>56.23</v>
      </c>
      <c r="H26">
        <v>384.51</v>
      </c>
      <c r="I26">
        <v>0.35</v>
      </c>
      <c r="J26">
        <v>6.5</v>
      </c>
      <c r="K26">
        <v>6.6</v>
      </c>
      <c r="L26" t="s">
        <v>197</v>
      </c>
      <c r="M26" t="s">
        <v>198</v>
      </c>
      <c r="N26" t="s">
        <v>199</v>
      </c>
      <c r="O26">
        <v>0.63500000000000001</v>
      </c>
      <c r="P26">
        <v>117.9</v>
      </c>
      <c r="Q26">
        <v>41.84</v>
      </c>
      <c r="R26">
        <v>39.299999999999997</v>
      </c>
      <c r="S26">
        <v>27.8</v>
      </c>
      <c r="T26">
        <v>44.6</v>
      </c>
      <c r="U26">
        <v>0.24</v>
      </c>
      <c r="V26">
        <v>0.56999999999999995</v>
      </c>
      <c r="W26">
        <v>1</v>
      </c>
      <c r="X26">
        <v>-5.8</v>
      </c>
      <c r="Y26">
        <v>2.4</v>
      </c>
      <c r="Z26" t="s">
        <v>236</v>
      </c>
      <c r="AA26" t="s">
        <v>163</v>
      </c>
      <c r="AB26" t="s">
        <v>237</v>
      </c>
    </row>
    <row r="27" spans="1:28" ht="15.5" x14ac:dyDescent="0.35">
      <c r="A27">
        <v>22</v>
      </c>
      <c r="B27" t="s">
        <v>274</v>
      </c>
      <c r="C27" t="s">
        <v>275</v>
      </c>
      <c r="D27" t="s">
        <v>164</v>
      </c>
      <c r="E27" t="s">
        <v>225</v>
      </c>
      <c r="F27">
        <v>-86.21</v>
      </c>
      <c r="G27">
        <v>65.61</v>
      </c>
      <c r="H27">
        <v>384.73</v>
      </c>
      <c r="I27">
        <v>0.35</v>
      </c>
      <c r="J27">
        <v>6.5</v>
      </c>
      <c r="K27">
        <v>6.6</v>
      </c>
      <c r="L27" t="s">
        <v>197</v>
      </c>
      <c r="M27" t="s">
        <v>198</v>
      </c>
      <c r="N27" t="s">
        <v>199</v>
      </c>
      <c r="O27">
        <v>0.63500000000000001</v>
      </c>
      <c r="P27">
        <v>117.9</v>
      </c>
      <c r="Q27">
        <v>22.74</v>
      </c>
      <c r="R27">
        <v>39.299999999999997</v>
      </c>
      <c r="S27">
        <v>27.8</v>
      </c>
      <c r="T27">
        <v>44.6</v>
      </c>
      <c r="U27">
        <v>0.24</v>
      </c>
      <c r="V27">
        <v>0.56999999999999995</v>
      </c>
      <c r="W27">
        <v>1</v>
      </c>
      <c r="X27">
        <v>-11.1</v>
      </c>
      <c r="Y27">
        <v>3.8</v>
      </c>
      <c r="Z27" t="s">
        <v>236</v>
      </c>
      <c r="AA27" t="s">
        <v>163</v>
      </c>
      <c r="AB27" t="s">
        <v>237</v>
      </c>
    </row>
    <row r="28" spans="1:28" ht="15.5" x14ac:dyDescent="0.35">
      <c r="A28">
        <v>23</v>
      </c>
      <c r="B28" t="s">
        <v>276</v>
      </c>
      <c r="C28" t="s">
        <v>277</v>
      </c>
      <c r="D28" t="s">
        <v>164</v>
      </c>
      <c r="E28" t="s">
        <v>225</v>
      </c>
      <c r="F28">
        <v>-90.73</v>
      </c>
      <c r="G28">
        <v>64.760000000000005</v>
      </c>
      <c r="H28">
        <v>384.84</v>
      </c>
      <c r="I28">
        <v>0.35</v>
      </c>
      <c r="J28">
        <v>6.5</v>
      </c>
      <c r="K28">
        <v>6.6</v>
      </c>
      <c r="L28" t="s">
        <v>197</v>
      </c>
      <c r="M28" t="s">
        <v>198</v>
      </c>
      <c r="N28" t="s">
        <v>199</v>
      </c>
      <c r="O28">
        <v>0.63500000000000001</v>
      </c>
      <c r="P28">
        <v>117.9</v>
      </c>
      <c r="Q28">
        <v>19.22</v>
      </c>
      <c r="R28">
        <v>39.299999999999997</v>
      </c>
      <c r="S28">
        <v>27.8</v>
      </c>
      <c r="T28">
        <v>44.6</v>
      </c>
      <c r="U28">
        <v>0.24</v>
      </c>
      <c r="V28">
        <v>0.56999999999999995</v>
      </c>
      <c r="W28">
        <v>1</v>
      </c>
      <c r="X28">
        <v>-13.4</v>
      </c>
      <c r="Y28">
        <v>4.2</v>
      </c>
      <c r="Z28" t="s">
        <v>236</v>
      </c>
      <c r="AA28" t="s">
        <v>163</v>
      </c>
      <c r="AB28" t="s">
        <v>237</v>
      </c>
    </row>
    <row r="29" spans="1:28" ht="15.5" x14ac:dyDescent="0.35">
      <c r="A29">
        <v>24</v>
      </c>
      <c r="B29" t="s">
        <v>278</v>
      </c>
      <c r="C29" t="s">
        <v>279</v>
      </c>
      <c r="D29" t="s">
        <v>164</v>
      </c>
      <c r="E29" t="s">
        <v>225</v>
      </c>
      <c r="F29">
        <v>-92.95</v>
      </c>
      <c r="G29">
        <v>-26.7</v>
      </c>
      <c r="H29">
        <v>384.13</v>
      </c>
      <c r="I29">
        <v>0.35</v>
      </c>
      <c r="J29">
        <v>6.5</v>
      </c>
      <c r="K29">
        <v>6.6</v>
      </c>
      <c r="L29" t="s">
        <v>197</v>
      </c>
      <c r="M29" t="s">
        <v>198</v>
      </c>
      <c r="N29" t="s">
        <v>199</v>
      </c>
      <c r="O29">
        <v>0.63500000000000001</v>
      </c>
      <c r="P29">
        <v>117.9</v>
      </c>
      <c r="Q29">
        <v>12.97</v>
      </c>
      <c r="R29">
        <v>219.3</v>
      </c>
      <c r="S29">
        <v>27.8</v>
      </c>
      <c r="T29">
        <v>44.6</v>
      </c>
      <c r="U29">
        <v>0.24</v>
      </c>
      <c r="V29">
        <v>0.56999999999999995</v>
      </c>
      <c r="W29">
        <v>1</v>
      </c>
      <c r="X29">
        <v>-16.7</v>
      </c>
      <c r="Y29">
        <v>9.3000000000000007</v>
      </c>
      <c r="Z29" t="s">
        <v>226</v>
      </c>
      <c r="AA29" t="s">
        <v>163</v>
      </c>
      <c r="AB29" t="s">
        <v>227</v>
      </c>
    </row>
    <row r="30" spans="1:28" ht="15.5" x14ac:dyDescent="0.35">
      <c r="A30">
        <v>25</v>
      </c>
      <c r="B30" t="s">
        <v>280</v>
      </c>
      <c r="C30" t="s">
        <v>281</v>
      </c>
      <c r="D30" t="s">
        <v>164</v>
      </c>
      <c r="E30" t="s">
        <v>225</v>
      </c>
      <c r="F30">
        <v>-86.78</v>
      </c>
      <c r="G30">
        <v>-32.68</v>
      </c>
      <c r="H30">
        <v>384.44</v>
      </c>
      <c r="I30">
        <v>0.35</v>
      </c>
      <c r="J30">
        <v>6.5</v>
      </c>
      <c r="K30">
        <v>6.6</v>
      </c>
      <c r="L30" t="s">
        <v>197</v>
      </c>
      <c r="M30" t="s">
        <v>198</v>
      </c>
      <c r="N30" t="s">
        <v>199</v>
      </c>
      <c r="O30">
        <v>0.63500000000000001</v>
      </c>
      <c r="P30">
        <v>117.9</v>
      </c>
      <c r="Q30">
        <v>13.7</v>
      </c>
      <c r="R30">
        <v>219.3</v>
      </c>
      <c r="S30">
        <v>27.8</v>
      </c>
      <c r="T30">
        <v>44.6</v>
      </c>
      <c r="U30">
        <v>0.24</v>
      </c>
      <c r="V30">
        <v>0.56999999999999995</v>
      </c>
      <c r="W30">
        <v>1</v>
      </c>
      <c r="X30">
        <v>-17</v>
      </c>
      <c r="Y30">
        <v>7.5</v>
      </c>
      <c r="Z30" t="s">
        <v>226</v>
      </c>
      <c r="AA30" t="s">
        <v>163</v>
      </c>
      <c r="AB30" t="s">
        <v>227</v>
      </c>
    </row>
    <row r="31" spans="1:28" ht="15.5" x14ac:dyDescent="0.35">
      <c r="A31">
        <v>26</v>
      </c>
      <c r="B31" t="s">
        <v>282</v>
      </c>
      <c r="C31" t="s">
        <v>283</v>
      </c>
      <c r="D31" t="s">
        <v>164</v>
      </c>
      <c r="E31" t="s">
        <v>225</v>
      </c>
      <c r="F31">
        <v>-75.900000000000006</v>
      </c>
      <c r="G31">
        <v>-40.380000000000003</v>
      </c>
      <c r="H31">
        <v>383.96</v>
      </c>
      <c r="I31">
        <v>0.35</v>
      </c>
      <c r="J31">
        <v>6.5</v>
      </c>
      <c r="K31">
        <v>6.6</v>
      </c>
      <c r="L31" t="s">
        <v>197</v>
      </c>
      <c r="M31" t="s">
        <v>198</v>
      </c>
      <c r="N31" t="s">
        <v>199</v>
      </c>
      <c r="O31">
        <v>0.63500000000000001</v>
      </c>
      <c r="P31">
        <v>117.9</v>
      </c>
      <c r="Q31">
        <v>12.77</v>
      </c>
      <c r="R31">
        <v>219.3</v>
      </c>
      <c r="S31">
        <v>27.8</v>
      </c>
      <c r="T31">
        <v>44.6</v>
      </c>
      <c r="U31">
        <v>0.24</v>
      </c>
      <c r="V31">
        <v>0.56999999999999995</v>
      </c>
      <c r="W31">
        <v>1</v>
      </c>
      <c r="X31">
        <v>-16.2</v>
      </c>
      <c r="Y31">
        <v>10.1</v>
      </c>
      <c r="Z31" t="s">
        <v>226</v>
      </c>
      <c r="AA31" t="s">
        <v>163</v>
      </c>
      <c r="AB31" t="s">
        <v>227</v>
      </c>
    </row>
    <row r="32" spans="1:28" ht="15.5" x14ac:dyDescent="0.35">
      <c r="A32">
        <v>27</v>
      </c>
      <c r="B32" t="s">
        <v>284</v>
      </c>
      <c r="C32" t="s">
        <v>285</v>
      </c>
      <c r="D32" t="s">
        <v>164</v>
      </c>
      <c r="E32" t="s">
        <v>225</v>
      </c>
      <c r="F32">
        <v>-154.43</v>
      </c>
      <c r="G32">
        <v>14.11</v>
      </c>
      <c r="H32">
        <v>384.49</v>
      </c>
      <c r="I32">
        <v>0.35</v>
      </c>
      <c r="J32">
        <v>6.5</v>
      </c>
      <c r="K32">
        <v>6.6</v>
      </c>
      <c r="L32" t="s">
        <v>197</v>
      </c>
      <c r="M32" t="s">
        <v>198</v>
      </c>
      <c r="N32" t="s">
        <v>199</v>
      </c>
      <c r="O32">
        <v>0.63500000000000001</v>
      </c>
      <c r="P32">
        <v>117.9</v>
      </c>
      <c r="Q32">
        <v>15.13</v>
      </c>
      <c r="R32">
        <v>276</v>
      </c>
      <c r="S32">
        <v>27.8</v>
      </c>
      <c r="T32">
        <v>44.6</v>
      </c>
      <c r="U32">
        <v>0.24</v>
      </c>
      <c r="V32">
        <v>0.56999999999999995</v>
      </c>
      <c r="W32">
        <v>1</v>
      </c>
      <c r="X32">
        <v>-15.7</v>
      </c>
      <c r="Y32">
        <v>6.6</v>
      </c>
      <c r="Z32" t="s">
        <v>226</v>
      </c>
      <c r="AA32" t="s">
        <v>163</v>
      </c>
      <c r="AB32" t="s">
        <v>227</v>
      </c>
    </row>
    <row r="33" spans="1:28" ht="15.5" x14ac:dyDescent="0.35">
      <c r="A33">
        <v>28</v>
      </c>
      <c r="B33" t="s">
        <v>286</v>
      </c>
      <c r="C33" t="s">
        <v>287</v>
      </c>
      <c r="D33" t="s">
        <v>164</v>
      </c>
      <c r="E33" t="s">
        <v>260</v>
      </c>
      <c r="F33">
        <v>-110.01</v>
      </c>
      <c r="G33">
        <v>-25.18</v>
      </c>
      <c r="H33">
        <v>384.08</v>
      </c>
      <c r="I33">
        <v>0.35</v>
      </c>
      <c r="J33">
        <v>6.5</v>
      </c>
      <c r="K33">
        <v>6.6</v>
      </c>
      <c r="L33" t="s">
        <v>197</v>
      </c>
      <c r="M33" t="s">
        <v>198</v>
      </c>
      <c r="N33" t="s">
        <v>199</v>
      </c>
      <c r="O33">
        <v>0.63500000000000001</v>
      </c>
      <c r="P33">
        <v>117.9</v>
      </c>
      <c r="Q33">
        <v>15.01</v>
      </c>
      <c r="R33">
        <v>174.3</v>
      </c>
      <c r="S33">
        <v>27.8</v>
      </c>
      <c r="T33">
        <v>44.6</v>
      </c>
      <c r="U33">
        <v>0.24</v>
      </c>
      <c r="V33">
        <v>0.56999999999999995</v>
      </c>
      <c r="W33">
        <v>1</v>
      </c>
      <c r="X33">
        <v>-14.3</v>
      </c>
      <c r="Y33">
        <v>8.1999999999999993</v>
      </c>
      <c r="Z33" t="s">
        <v>226</v>
      </c>
      <c r="AA33" t="s">
        <v>163</v>
      </c>
      <c r="AB33" t="s">
        <v>261</v>
      </c>
    </row>
    <row r="34" spans="1:28" ht="15.5" x14ac:dyDescent="0.35">
      <c r="A34">
        <v>29</v>
      </c>
      <c r="B34" t="s">
        <v>288</v>
      </c>
      <c r="C34" t="s">
        <v>289</v>
      </c>
      <c r="D34" t="s">
        <v>164</v>
      </c>
      <c r="E34" t="s">
        <v>260</v>
      </c>
      <c r="F34">
        <v>-81.11</v>
      </c>
      <c r="G34">
        <v>65.62</v>
      </c>
      <c r="H34">
        <v>384.09</v>
      </c>
      <c r="I34">
        <v>0.35</v>
      </c>
      <c r="J34">
        <v>6.5</v>
      </c>
      <c r="K34">
        <v>6.6</v>
      </c>
      <c r="L34" t="s">
        <v>197</v>
      </c>
      <c r="M34" t="s">
        <v>198</v>
      </c>
      <c r="N34" t="s">
        <v>199</v>
      </c>
      <c r="O34">
        <v>0.63500000000000001</v>
      </c>
      <c r="P34">
        <v>117.9</v>
      </c>
      <c r="Q34">
        <v>30</v>
      </c>
      <c r="R34">
        <v>9.3000000000000007</v>
      </c>
      <c r="S34">
        <v>27.8</v>
      </c>
      <c r="T34">
        <v>44.6</v>
      </c>
      <c r="U34">
        <v>0.24</v>
      </c>
      <c r="V34">
        <v>0.56999999999999995</v>
      </c>
      <c r="W34">
        <v>1</v>
      </c>
      <c r="X34">
        <v>-7.3</v>
      </c>
      <c r="Y34">
        <v>4.0999999999999996</v>
      </c>
      <c r="Z34" t="s">
        <v>226</v>
      </c>
      <c r="AA34" t="s">
        <v>163</v>
      </c>
      <c r="AB34" t="s">
        <v>261</v>
      </c>
    </row>
    <row r="35" spans="1:28" ht="15.5" x14ac:dyDescent="0.35">
      <c r="A35">
        <v>30</v>
      </c>
      <c r="B35" t="s">
        <v>290</v>
      </c>
      <c r="C35" t="s">
        <v>291</v>
      </c>
      <c r="D35" t="s">
        <v>164</v>
      </c>
      <c r="E35" t="s">
        <v>260</v>
      </c>
      <c r="F35">
        <v>-102.01</v>
      </c>
      <c r="G35">
        <v>-21.55</v>
      </c>
      <c r="H35">
        <v>384.14</v>
      </c>
      <c r="I35">
        <v>0.35</v>
      </c>
      <c r="J35">
        <v>6.5</v>
      </c>
      <c r="K35">
        <v>6.6</v>
      </c>
      <c r="L35" t="s">
        <v>197</v>
      </c>
      <c r="M35" t="s">
        <v>198</v>
      </c>
      <c r="N35" t="s">
        <v>199</v>
      </c>
      <c r="O35">
        <v>0.63500000000000001</v>
      </c>
      <c r="P35">
        <v>117.9</v>
      </c>
      <c r="Q35">
        <v>17</v>
      </c>
      <c r="R35">
        <v>189.3</v>
      </c>
      <c r="S35">
        <v>27.8</v>
      </c>
      <c r="T35">
        <v>44.6</v>
      </c>
      <c r="U35">
        <v>0.24</v>
      </c>
      <c r="V35">
        <v>0.56999999999999995</v>
      </c>
      <c r="W35">
        <v>1</v>
      </c>
      <c r="X35">
        <v>-12.9</v>
      </c>
      <c r="Y35">
        <v>7.1</v>
      </c>
      <c r="Z35" t="s">
        <v>226</v>
      </c>
      <c r="AA35" t="s">
        <v>163</v>
      </c>
      <c r="AB35" t="s">
        <v>261</v>
      </c>
    </row>
    <row r="36" spans="1:28" ht="15.5" x14ac:dyDescent="0.35">
      <c r="A36">
        <v>31</v>
      </c>
      <c r="B36" t="s">
        <v>292</v>
      </c>
      <c r="C36" t="s">
        <v>293</v>
      </c>
      <c r="D36" t="s">
        <v>164</v>
      </c>
      <c r="E36" t="s">
        <v>260</v>
      </c>
      <c r="F36">
        <v>-161.76</v>
      </c>
      <c r="G36">
        <v>-2.4900000000000002</v>
      </c>
      <c r="H36">
        <v>384.08</v>
      </c>
      <c r="I36">
        <v>0.35</v>
      </c>
      <c r="J36">
        <v>6.5</v>
      </c>
      <c r="K36">
        <v>6.6</v>
      </c>
      <c r="L36" t="s">
        <v>197</v>
      </c>
      <c r="M36" t="s">
        <v>198</v>
      </c>
      <c r="N36" t="s">
        <v>199</v>
      </c>
      <c r="O36">
        <v>0.63500000000000001</v>
      </c>
      <c r="P36">
        <v>117.9</v>
      </c>
      <c r="Q36">
        <v>36.5</v>
      </c>
      <c r="R36">
        <v>264.3</v>
      </c>
      <c r="S36">
        <v>27.8</v>
      </c>
      <c r="T36">
        <v>44.6</v>
      </c>
      <c r="U36">
        <v>0.24</v>
      </c>
      <c r="V36">
        <v>0.56999999999999995</v>
      </c>
      <c r="W36">
        <v>1</v>
      </c>
      <c r="X36">
        <v>-6</v>
      </c>
      <c r="Y36">
        <v>3.4</v>
      </c>
      <c r="Z36" t="s">
        <v>226</v>
      </c>
      <c r="AA36" t="s">
        <v>163</v>
      </c>
      <c r="AB36" t="s">
        <v>261</v>
      </c>
    </row>
    <row r="37" spans="1:28" ht="15.5" x14ac:dyDescent="0.35">
      <c r="A37">
        <v>32</v>
      </c>
      <c r="B37" t="s">
        <v>294</v>
      </c>
      <c r="C37" t="s">
        <v>295</v>
      </c>
      <c r="D37" t="s">
        <v>164</v>
      </c>
      <c r="E37" t="s">
        <v>260</v>
      </c>
      <c r="F37">
        <v>-35.07</v>
      </c>
      <c r="G37">
        <v>46.08</v>
      </c>
      <c r="H37">
        <v>384.02</v>
      </c>
      <c r="I37">
        <v>0.35</v>
      </c>
      <c r="J37">
        <v>6.5</v>
      </c>
      <c r="K37">
        <v>6.6</v>
      </c>
      <c r="L37" t="s">
        <v>197</v>
      </c>
      <c r="M37" t="s">
        <v>198</v>
      </c>
      <c r="N37" t="s">
        <v>199</v>
      </c>
      <c r="O37">
        <v>0.63500000000000001</v>
      </c>
      <c r="P37">
        <v>117.9</v>
      </c>
      <c r="Q37">
        <v>40</v>
      </c>
      <c r="R37">
        <v>39.299999999999997</v>
      </c>
      <c r="S37">
        <v>27.8</v>
      </c>
      <c r="T37">
        <v>44.6</v>
      </c>
      <c r="U37">
        <v>0.24</v>
      </c>
      <c r="V37">
        <v>0.56999999999999995</v>
      </c>
      <c r="W37">
        <v>1</v>
      </c>
      <c r="X37">
        <v>-5.4</v>
      </c>
      <c r="Y37">
        <v>3.2</v>
      </c>
      <c r="Z37" t="s">
        <v>226</v>
      </c>
      <c r="AA37" t="s">
        <v>163</v>
      </c>
      <c r="AB37" t="s">
        <v>261</v>
      </c>
    </row>
    <row r="38" spans="1:28" ht="15.5" x14ac:dyDescent="0.35">
      <c r="A38">
        <v>33</v>
      </c>
      <c r="B38" t="s">
        <v>296</v>
      </c>
      <c r="C38" t="s">
        <v>297</v>
      </c>
      <c r="D38" t="s">
        <v>165</v>
      </c>
      <c r="E38" t="s">
        <v>225</v>
      </c>
      <c r="F38">
        <v>24.14</v>
      </c>
      <c r="G38">
        <v>-13.54</v>
      </c>
      <c r="H38">
        <v>385.04</v>
      </c>
      <c r="I38">
        <v>0.35</v>
      </c>
      <c r="J38">
        <v>6.5</v>
      </c>
      <c r="K38">
        <v>6.6</v>
      </c>
      <c r="L38" t="s">
        <v>197</v>
      </c>
      <c r="M38" t="s">
        <v>198</v>
      </c>
      <c r="N38" t="s">
        <v>199</v>
      </c>
      <c r="O38">
        <v>0.63500000000000001</v>
      </c>
      <c r="P38">
        <v>117.9</v>
      </c>
      <c r="Q38">
        <v>26.29</v>
      </c>
      <c r="R38">
        <v>25.4</v>
      </c>
      <c r="S38">
        <v>38.6</v>
      </c>
      <c r="T38">
        <v>44.6</v>
      </c>
      <c r="U38">
        <v>0.33</v>
      </c>
      <c r="V38">
        <v>0.84</v>
      </c>
      <c r="W38">
        <v>1</v>
      </c>
      <c r="X38">
        <v>-10.3</v>
      </c>
      <c r="Y38">
        <v>2.6</v>
      </c>
      <c r="Z38" t="s">
        <v>236</v>
      </c>
      <c r="AA38" t="s">
        <v>163</v>
      </c>
      <c r="AB38" t="s">
        <v>237</v>
      </c>
    </row>
    <row r="39" spans="1:28" ht="15.5" x14ac:dyDescent="0.35">
      <c r="A39">
        <v>34</v>
      </c>
      <c r="B39" t="s">
        <v>298</v>
      </c>
      <c r="C39" t="s">
        <v>299</v>
      </c>
      <c r="D39" t="s">
        <v>165</v>
      </c>
      <c r="E39" t="s">
        <v>225</v>
      </c>
      <c r="F39">
        <v>50.13</v>
      </c>
      <c r="G39">
        <v>-84.42</v>
      </c>
      <c r="H39">
        <v>384.55</v>
      </c>
      <c r="I39">
        <v>0.35</v>
      </c>
      <c r="J39">
        <v>6.5</v>
      </c>
      <c r="K39">
        <v>6.6</v>
      </c>
      <c r="L39" t="s">
        <v>197</v>
      </c>
      <c r="M39" t="s">
        <v>198</v>
      </c>
      <c r="N39" t="s">
        <v>199</v>
      </c>
      <c r="O39">
        <v>0.63500000000000001</v>
      </c>
      <c r="P39">
        <v>117.9</v>
      </c>
      <c r="Q39">
        <v>15.87</v>
      </c>
      <c r="R39">
        <v>67</v>
      </c>
      <c r="S39">
        <v>38.6</v>
      </c>
      <c r="T39">
        <v>44.6</v>
      </c>
      <c r="U39">
        <v>0.33</v>
      </c>
      <c r="V39">
        <v>0.84</v>
      </c>
      <c r="W39">
        <v>1</v>
      </c>
      <c r="X39">
        <v>-15.2</v>
      </c>
      <c r="Y39">
        <v>6.1</v>
      </c>
      <c r="Z39" t="s">
        <v>236</v>
      </c>
      <c r="AA39" t="s">
        <v>163</v>
      </c>
      <c r="AB39" t="s">
        <v>237</v>
      </c>
    </row>
    <row r="40" spans="1:28" ht="15.5" x14ac:dyDescent="0.35">
      <c r="A40">
        <v>35</v>
      </c>
      <c r="B40" t="s">
        <v>300</v>
      </c>
      <c r="C40" t="s">
        <v>301</v>
      </c>
      <c r="D40" t="s">
        <v>165</v>
      </c>
      <c r="E40" t="s">
        <v>225</v>
      </c>
      <c r="F40">
        <v>45.42</v>
      </c>
      <c r="G40">
        <v>-70.66</v>
      </c>
      <c r="H40">
        <v>384.5</v>
      </c>
      <c r="I40">
        <v>0.35</v>
      </c>
      <c r="J40">
        <v>6.5</v>
      </c>
      <c r="K40">
        <v>6.6</v>
      </c>
      <c r="L40" t="s">
        <v>197</v>
      </c>
      <c r="M40" t="s">
        <v>198</v>
      </c>
      <c r="N40" t="s">
        <v>199</v>
      </c>
      <c r="O40">
        <v>0.63500000000000001</v>
      </c>
      <c r="P40">
        <v>117.9</v>
      </c>
      <c r="Q40">
        <v>16.91</v>
      </c>
      <c r="R40">
        <v>67</v>
      </c>
      <c r="S40">
        <v>38.6</v>
      </c>
      <c r="T40">
        <v>44.6</v>
      </c>
      <c r="U40">
        <v>0.33</v>
      </c>
      <c r="V40">
        <v>0.84</v>
      </c>
      <c r="W40">
        <v>1</v>
      </c>
      <c r="X40">
        <v>-14.1</v>
      </c>
      <c r="Y40">
        <v>5.9</v>
      </c>
      <c r="Z40" t="s">
        <v>226</v>
      </c>
      <c r="AA40" t="s">
        <v>163</v>
      </c>
      <c r="AB40" t="s">
        <v>227</v>
      </c>
    </row>
    <row r="41" spans="1:28" ht="15.5" x14ac:dyDescent="0.35">
      <c r="A41">
        <v>36</v>
      </c>
      <c r="B41" t="s">
        <v>302</v>
      </c>
      <c r="C41" t="s">
        <v>303</v>
      </c>
      <c r="D41" t="s">
        <v>165</v>
      </c>
      <c r="E41" t="s">
        <v>225</v>
      </c>
      <c r="F41">
        <v>40.020000000000003</v>
      </c>
      <c r="G41">
        <v>-55.97</v>
      </c>
      <c r="H41">
        <v>384.95</v>
      </c>
      <c r="I41">
        <v>0.35</v>
      </c>
      <c r="J41">
        <v>6.5</v>
      </c>
      <c r="K41">
        <v>6.6</v>
      </c>
      <c r="L41" t="s">
        <v>197</v>
      </c>
      <c r="M41" t="s">
        <v>198</v>
      </c>
      <c r="N41" t="s">
        <v>199</v>
      </c>
      <c r="O41">
        <v>0.63500000000000001</v>
      </c>
      <c r="P41">
        <v>117.9</v>
      </c>
      <c r="Q41">
        <v>17.68</v>
      </c>
      <c r="R41">
        <v>67</v>
      </c>
      <c r="S41">
        <v>38.6</v>
      </c>
      <c r="T41">
        <v>44.6</v>
      </c>
      <c r="U41">
        <v>0.33</v>
      </c>
      <c r="V41">
        <v>0.84</v>
      </c>
      <c r="W41">
        <v>1</v>
      </c>
      <c r="X41">
        <v>-14.9</v>
      </c>
      <c r="Y41">
        <v>4.2</v>
      </c>
      <c r="Z41" t="s">
        <v>236</v>
      </c>
      <c r="AA41" t="s">
        <v>163</v>
      </c>
      <c r="AB41" t="s">
        <v>237</v>
      </c>
    </row>
    <row r="42" spans="1:28" ht="15.5" x14ac:dyDescent="0.35">
      <c r="A42">
        <v>37</v>
      </c>
      <c r="B42" t="s">
        <v>304</v>
      </c>
      <c r="C42" t="s">
        <v>305</v>
      </c>
      <c r="D42" t="s">
        <v>165</v>
      </c>
      <c r="E42" t="s">
        <v>225</v>
      </c>
      <c r="F42">
        <v>36.15</v>
      </c>
      <c r="G42">
        <v>-40.799999999999997</v>
      </c>
      <c r="H42">
        <v>384.24</v>
      </c>
      <c r="I42">
        <v>0.35</v>
      </c>
      <c r="J42">
        <v>6.5</v>
      </c>
      <c r="K42">
        <v>6.6</v>
      </c>
      <c r="L42" t="s">
        <v>197</v>
      </c>
      <c r="M42" t="s">
        <v>198</v>
      </c>
      <c r="N42" t="s">
        <v>199</v>
      </c>
      <c r="O42">
        <v>0.63500000000000001</v>
      </c>
      <c r="P42">
        <v>117.9</v>
      </c>
      <c r="Q42">
        <v>20.05</v>
      </c>
      <c r="R42">
        <v>67</v>
      </c>
      <c r="S42">
        <v>38.6</v>
      </c>
      <c r="T42">
        <v>44.6</v>
      </c>
      <c r="U42">
        <v>0.33</v>
      </c>
      <c r="V42">
        <v>0.84</v>
      </c>
      <c r="W42">
        <v>1</v>
      </c>
      <c r="X42">
        <v>-11.3</v>
      </c>
      <c r="Y42">
        <v>5.7</v>
      </c>
      <c r="Z42" t="s">
        <v>226</v>
      </c>
      <c r="AA42" t="s">
        <v>163</v>
      </c>
      <c r="AB42" t="s">
        <v>227</v>
      </c>
    </row>
    <row r="43" spans="1:28" ht="15.5" x14ac:dyDescent="0.35">
      <c r="A43">
        <v>38</v>
      </c>
      <c r="B43" t="s">
        <v>306</v>
      </c>
      <c r="C43" t="s">
        <v>307</v>
      </c>
      <c r="D43" t="s">
        <v>165</v>
      </c>
      <c r="E43" t="s">
        <v>225</v>
      </c>
      <c r="F43">
        <v>36.909999999999997</v>
      </c>
      <c r="G43">
        <v>-43.91</v>
      </c>
      <c r="H43">
        <v>384.49</v>
      </c>
      <c r="I43">
        <v>0.35</v>
      </c>
      <c r="J43">
        <v>6.5</v>
      </c>
      <c r="K43">
        <v>6.6</v>
      </c>
      <c r="L43" t="s">
        <v>197</v>
      </c>
      <c r="M43" t="s">
        <v>198</v>
      </c>
      <c r="N43" t="s">
        <v>199</v>
      </c>
      <c r="O43">
        <v>0.63500000000000001</v>
      </c>
      <c r="P43">
        <v>117.9</v>
      </c>
      <c r="Q43">
        <v>19.53</v>
      </c>
      <c r="R43">
        <v>67</v>
      </c>
      <c r="S43">
        <v>38.6</v>
      </c>
      <c r="T43">
        <v>44.6</v>
      </c>
      <c r="U43">
        <v>0.33</v>
      </c>
      <c r="V43">
        <v>0.84</v>
      </c>
      <c r="W43">
        <v>1</v>
      </c>
      <c r="X43">
        <v>-12.3</v>
      </c>
      <c r="Y43">
        <v>5.0999999999999996</v>
      </c>
      <c r="Z43" t="s">
        <v>226</v>
      </c>
      <c r="AA43" t="s">
        <v>163</v>
      </c>
      <c r="AB43" t="s">
        <v>227</v>
      </c>
    </row>
    <row r="44" spans="1:28" ht="15.5" x14ac:dyDescent="0.35">
      <c r="A44">
        <v>39</v>
      </c>
      <c r="B44" t="s">
        <v>308</v>
      </c>
      <c r="C44" t="s">
        <v>309</v>
      </c>
      <c r="D44" t="s">
        <v>165</v>
      </c>
      <c r="E44" t="s">
        <v>225</v>
      </c>
      <c r="F44">
        <v>-67.33</v>
      </c>
      <c r="G44">
        <v>-58.38</v>
      </c>
      <c r="H44">
        <v>384.3</v>
      </c>
      <c r="I44">
        <v>0.35</v>
      </c>
      <c r="J44">
        <v>6.5</v>
      </c>
      <c r="K44">
        <v>6.6</v>
      </c>
      <c r="L44" t="s">
        <v>197</v>
      </c>
      <c r="M44" t="s">
        <v>198</v>
      </c>
      <c r="N44" t="s">
        <v>199</v>
      </c>
      <c r="O44">
        <v>0.63500000000000001</v>
      </c>
      <c r="P44">
        <v>117.9</v>
      </c>
      <c r="Q44">
        <v>18.079999999999998</v>
      </c>
      <c r="R44">
        <v>247</v>
      </c>
      <c r="S44">
        <v>38.6</v>
      </c>
      <c r="T44">
        <v>44.6</v>
      </c>
      <c r="U44">
        <v>0.33</v>
      </c>
      <c r="V44">
        <v>0.84</v>
      </c>
      <c r="W44">
        <v>1</v>
      </c>
      <c r="X44">
        <v>-12.6</v>
      </c>
      <c r="Y44">
        <v>6.1</v>
      </c>
      <c r="Z44" t="s">
        <v>226</v>
      </c>
      <c r="AA44" t="s">
        <v>163</v>
      </c>
      <c r="AB44" t="s">
        <v>227</v>
      </c>
    </row>
    <row r="45" spans="1:28" ht="15.5" x14ac:dyDescent="0.35">
      <c r="A45">
        <v>40</v>
      </c>
      <c r="B45" t="s">
        <v>310</v>
      </c>
      <c r="C45" t="s">
        <v>311</v>
      </c>
      <c r="D45" t="s">
        <v>165</v>
      </c>
      <c r="E45" t="s">
        <v>225</v>
      </c>
      <c r="F45">
        <v>-59.73</v>
      </c>
      <c r="G45">
        <v>-83.89</v>
      </c>
      <c r="H45">
        <v>384.38</v>
      </c>
      <c r="I45">
        <v>0.35</v>
      </c>
      <c r="J45">
        <v>6.5</v>
      </c>
      <c r="K45">
        <v>6.6</v>
      </c>
      <c r="L45" t="s">
        <v>197</v>
      </c>
      <c r="M45" t="s">
        <v>198</v>
      </c>
      <c r="N45" t="s">
        <v>199</v>
      </c>
      <c r="O45">
        <v>0.63500000000000001</v>
      </c>
      <c r="P45">
        <v>117.9</v>
      </c>
      <c r="Q45">
        <v>21.05</v>
      </c>
      <c r="R45">
        <v>247</v>
      </c>
      <c r="S45">
        <v>38.6</v>
      </c>
      <c r="T45">
        <v>44.6</v>
      </c>
      <c r="U45">
        <v>0.33</v>
      </c>
      <c r="V45">
        <v>0.84</v>
      </c>
      <c r="W45">
        <v>1</v>
      </c>
      <c r="X45">
        <v>-11.1</v>
      </c>
      <c r="Y45">
        <v>5.0999999999999996</v>
      </c>
      <c r="Z45" t="s">
        <v>226</v>
      </c>
      <c r="AA45" t="s">
        <v>163</v>
      </c>
      <c r="AB45" t="s">
        <v>227</v>
      </c>
    </row>
    <row r="46" spans="1:28" ht="15.5" x14ac:dyDescent="0.35">
      <c r="A46">
        <v>41</v>
      </c>
      <c r="B46" t="s">
        <v>312</v>
      </c>
      <c r="C46" t="s">
        <v>313</v>
      </c>
      <c r="D46" t="s">
        <v>165</v>
      </c>
      <c r="E46" t="s">
        <v>225</v>
      </c>
      <c r="F46">
        <v>-56.16</v>
      </c>
      <c r="G46">
        <v>-93.27</v>
      </c>
      <c r="H46">
        <v>384.45</v>
      </c>
      <c r="I46">
        <v>0.35</v>
      </c>
      <c r="J46">
        <v>6.5</v>
      </c>
      <c r="K46">
        <v>6.6</v>
      </c>
      <c r="L46" t="s">
        <v>197</v>
      </c>
      <c r="M46" t="s">
        <v>198</v>
      </c>
      <c r="N46" t="s">
        <v>199</v>
      </c>
      <c r="O46">
        <v>0.63500000000000001</v>
      </c>
      <c r="P46">
        <v>117.9</v>
      </c>
      <c r="Q46">
        <v>21.43</v>
      </c>
      <c r="R46">
        <v>247</v>
      </c>
      <c r="S46">
        <v>38.6</v>
      </c>
      <c r="T46">
        <v>44.6</v>
      </c>
      <c r="U46">
        <v>0.33</v>
      </c>
      <c r="V46">
        <v>0.84</v>
      </c>
      <c r="W46">
        <v>1</v>
      </c>
      <c r="X46">
        <v>-11.1</v>
      </c>
      <c r="Y46">
        <v>4.8</v>
      </c>
      <c r="Z46" t="s">
        <v>226</v>
      </c>
      <c r="AA46" t="s">
        <v>163</v>
      </c>
      <c r="AB46" t="s">
        <v>227</v>
      </c>
    </row>
    <row r="47" spans="1:28" ht="15.5" x14ac:dyDescent="0.35">
      <c r="A47">
        <v>42</v>
      </c>
      <c r="B47" t="s">
        <v>314</v>
      </c>
      <c r="C47" t="s">
        <v>315</v>
      </c>
      <c r="D47" t="s">
        <v>165</v>
      </c>
      <c r="E47" t="s">
        <v>225</v>
      </c>
      <c r="F47">
        <v>-54.6</v>
      </c>
      <c r="G47">
        <v>-100.83</v>
      </c>
      <c r="H47">
        <v>384.29</v>
      </c>
      <c r="I47">
        <v>0.35</v>
      </c>
      <c r="J47">
        <v>6.5</v>
      </c>
      <c r="K47">
        <v>6.6</v>
      </c>
      <c r="L47" t="s">
        <v>197</v>
      </c>
      <c r="M47" t="s">
        <v>198</v>
      </c>
      <c r="N47" t="s">
        <v>199</v>
      </c>
      <c r="O47">
        <v>0.63500000000000001</v>
      </c>
      <c r="P47">
        <v>117.9</v>
      </c>
      <c r="Q47">
        <v>22.95</v>
      </c>
      <c r="R47">
        <v>247</v>
      </c>
      <c r="S47">
        <v>38.6</v>
      </c>
      <c r="T47">
        <v>44.6</v>
      </c>
      <c r="U47">
        <v>0.33</v>
      </c>
      <c r="V47">
        <v>0.84</v>
      </c>
      <c r="W47">
        <v>1</v>
      </c>
      <c r="X47">
        <v>-10</v>
      </c>
      <c r="Y47">
        <v>4.9000000000000004</v>
      </c>
      <c r="Z47" t="s">
        <v>226</v>
      </c>
      <c r="AA47" t="s">
        <v>163</v>
      </c>
      <c r="AB47" t="s">
        <v>227</v>
      </c>
    </row>
    <row r="48" spans="1:28" ht="15.5" x14ac:dyDescent="0.35">
      <c r="A48">
        <v>43</v>
      </c>
      <c r="B48" t="s">
        <v>316</v>
      </c>
      <c r="C48" t="s">
        <v>317</v>
      </c>
      <c r="D48" t="s">
        <v>165</v>
      </c>
      <c r="E48" t="s">
        <v>225</v>
      </c>
      <c r="F48">
        <v>-46.25</v>
      </c>
      <c r="G48">
        <v>-122.46</v>
      </c>
      <c r="H48">
        <v>384.47</v>
      </c>
      <c r="I48">
        <v>0.35</v>
      </c>
      <c r="J48">
        <v>6.5</v>
      </c>
      <c r="K48">
        <v>6.6</v>
      </c>
      <c r="L48" t="s">
        <v>197</v>
      </c>
      <c r="M48" t="s">
        <v>198</v>
      </c>
      <c r="N48" t="s">
        <v>199</v>
      </c>
      <c r="O48">
        <v>0.63500000000000001</v>
      </c>
      <c r="P48">
        <v>117.9</v>
      </c>
      <c r="Q48">
        <v>23.71</v>
      </c>
      <c r="R48">
        <v>247</v>
      </c>
      <c r="S48">
        <v>38.6</v>
      </c>
      <c r="T48">
        <v>44.6</v>
      </c>
      <c r="U48">
        <v>0.33</v>
      </c>
      <c r="V48">
        <v>0.84</v>
      </c>
      <c r="W48">
        <v>1</v>
      </c>
      <c r="X48">
        <v>-10.1</v>
      </c>
      <c r="Y48">
        <v>4.3</v>
      </c>
      <c r="Z48" t="s">
        <v>226</v>
      </c>
      <c r="AA48" t="s">
        <v>163</v>
      </c>
      <c r="AB48" t="s">
        <v>227</v>
      </c>
    </row>
    <row r="49" spans="1:28" ht="15.5" x14ac:dyDescent="0.35">
      <c r="A49">
        <v>44</v>
      </c>
      <c r="B49" t="s">
        <v>318</v>
      </c>
      <c r="C49" t="s">
        <v>319</v>
      </c>
      <c r="D49" t="s">
        <v>165</v>
      </c>
      <c r="E49" t="s">
        <v>260</v>
      </c>
      <c r="F49">
        <v>-35.799999999999997</v>
      </c>
      <c r="G49">
        <v>-179.26</v>
      </c>
      <c r="H49">
        <v>385.08</v>
      </c>
      <c r="I49">
        <v>0.35</v>
      </c>
      <c r="J49">
        <v>6.5</v>
      </c>
      <c r="K49">
        <v>6.6</v>
      </c>
      <c r="L49" t="s">
        <v>197</v>
      </c>
      <c r="M49" t="s">
        <v>198</v>
      </c>
      <c r="N49" t="s">
        <v>199</v>
      </c>
      <c r="O49">
        <v>0.63500000000000001</v>
      </c>
      <c r="P49">
        <v>117.9</v>
      </c>
      <c r="Q49">
        <v>58</v>
      </c>
      <c r="R49">
        <v>204.5</v>
      </c>
      <c r="S49">
        <v>38.6</v>
      </c>
      <c r="T49">
        <v>44.6</v>
      </c>
      <c r="U49">
        <v>0.33</v>
      </c>
      <c r="V49">
        <v>0.84</v>
      </c>
      <c r="W49">
        <v>1</v>
      </c>
      <c r="X49">
        <v>-4.8</v>
      </c>
      <c r="Y49">
        <v>1.2</v>
      </c>
      <c r="Z49" t="s">
        <v>236</v>
      </c>
      <c r="AA49" t="s">
        <v>163</v>
      </c>
      <c r="AB49" t="s">
        <v>320</v>
      </c>
    </row>
    <row r="50" spans="1:28" ht="15.5" x14ac:dyDescent="0.35">
      <c r="A50">
        <v>45</v>
      </c>
      <c r="B50" t="s">
        <v>321</v>
      </c>
      <c r="C50" t="s">
        <v>322</v>
      </c>
      <c r="D50" t="s">
        <v>165</v>
      </c>
      <c r="E50" t="s">
        <v>260</v>
      </c>
      <c r="F50">
        <v>21.83</v>
      </c>
      <c r="G50">
        <v>-16.489999999999998</v>
      </c>
      <c r="H50">
        <v>384.06</v>
      </c>
      <c r="I50">
        <v>0.35</v>
      </c>
      <c r="J50">
        <v>6.5</v>
      </c>
      <c r="K50">
        <v>6.6</v>
      </c>
      <c r="L50" t="s">
        <v>197</v>
      </c>
      <c r="M50" t="s">
        <v>198</v>
      </c>
      <c r="N50" t="s">
        <v>199</v>
      </c>
      <c r="O50">
        <v>0.63500000000000001</v>
      </c>
      <c r="P50">
        <v>117.9</v>
      </c>
      <c r="Q50">
        <v>33.5</v>
      </c>
      <c r="R50">
        <v>52</v>
      </c>
      <c r="S50">
        <v>38.6</v>
      </c>
      <c r="T50">
        <v>44.6</v>
      </c>
      <c r="U50">
        <v>0.33</v>
      </c>
      <c r="V50">
        <v>0.84</v>
      </c>
      <c r="W50">
        <v>1</v>
      </c>
      <c r="X50">
        <v>-6.5</v>
      </c>
      <c r="Y50">
        <v>3.7</v>
      </c>
      <c r="Z50" t="s">
        <v>226</v>
      </c>
      <c r="AA50" t="s">
        <v>163</v>
      </c>
      <c r="AB50" t="s">
        <v>261</v>
      </c>
    </row>
    <row r="51" spans="1:28" ht="15.5" x14ac:dyDescent="0.35">
      <c r="A51">
        <v>46</v>
      </c>
      <c r="B51" t="s">
        <v>323</v>
      </c>
      <c r="C51" t="s">
        <v>324</v>
      </c>
      <c r="D51" t="s">
        <v>165</v>
      </c>
      <c r="E51" t="s">
        <v>260</v>
      </c>
      <c r="F51">
        <v>-65.16</v>
      </c>
      <c r="G51">
        <v>-69.510000000000005</v>
      </c>
      <c r="H51">
        <v>384.03</v>
      </c>
      <c r="I51">
        <v>0.35</v>
      </c>
      <c r="J51">
        <v>6.5</v>
      </c>
      <c r="K51">
        <v>6.6</v>
      </c>
      <c r="L51" t="s">
        <v>197</v>
      </c>
      <c r="M51" t="s">
        <v>198</v>
      </c>
      <c r="N51" t="s">
        <v>199</v>
      </c>
      <c r="O51">
        <v>0.63500000000000001</v>
      </c>
      <c r="P51">
        <v>117.9</v>
      </c>
      <c r="Q51">
        <v>20.5</v>
      </c>
      <c r="R51">
        <v>252</v>
      </c>
      <c r="S51">
        <v>38.6</v>
      </c>
      <c r="T51">
        <v>44.6</v>
      </c>
      <c r="U51">
        <v>0.33</v>
      </c>
      <c r="V51">
        <v>0.84</v>
      </c>
      <c r="W51">
        <v>1</v>
      </c>
      <c r="X51">
        <v>-10.5</v>
      </c>
      <c r="Y51">
        <v>6.2</v>
      </c>
      <c r="Z51" t="s">
        <v>226</v>
      </c>
      <c r="AA51" t="s">
        <v>163</v>
      </c>
      <c r="AB51" t="s">
        <v>261</v>
      </c>
    </row>
    <row r="52" spans="1:28" ht="15.5" x14ac:dyDescent="0.35">
      <c r="A52">
        <v>47</v>
      </c>
      <c r="B52" t="s">
        <v>325</v>
      </c>
      <c r="C52" t="s">
        <v>326</v>
      </c>
      <c r="D52" t="s">
        <v>165</v>
      </c>
      <c r="E52" t="s">
        <v>260</v>
      </c>
      <c r="F52">
        <v>54.04</v>
      </c>
      <c r="G52">
        <v>-95.87</v>
      </c>
      <c r="H52">
        <v>384.05</v>
      </c>
      <c r="I52">
        <v>0.35</v>
      </c>
      <c r="J52">
        <v>6.5</v>
      </c>
      <c r="K52">
        <v>6.6</v>
      </c>
      <c r="L52" t="s">
        <v>197</v>
      </c>
      <c r="M52" t="s">
        <v>198</v>
      </c>
      <c r="N52" t="s">
        <v>199</v>
      </c>
      <c r="O52">
        <v>0.63500000000000001</v>
      </c>
      <c r="P52">
        <v>117.9</v>
      </c>
      <c r="Q52">
        <v>15</v>
      </c>
      <c r="R52">
        <v>67</v>
      </c>
      <c r="S52">
        <v>38.6</v>
      </c>
      <c r="T52">
        <v>44.6</v>
      </c>
      <c r="U52">
        <v>0.33</v>
      </c>
      <c r="V52">
        <v>0.84</v>
      </c>
      <c r="W52">
        <v>1</v>
      </c>
      <c r="X52">
        <v>-14.2</v>
      </c>
      <c r="Y52">
        <v>8.3000000000000007</v>
      </c>
      <c r="Z52" t="s">
        <v>226</v>
      </c>
      <c r="AA52" t="s">
        <v>163</v>
      </c>
      <c r="AB52" t="s">
        <v>261</v>
      </c>
    </row>
    <row r="53" spans="1:28" ht="15.5" x14ac:dyDescent="0.35">
      <c r="A53">
        <v>48</v>
      </c>
      <c r="B53" t="s">
        <v>327</v>
      </c>
      <c r="C53" t="s">
        <v>328</v>
      </c>
      <c r="D53" t="s">
        <v>166</v>
      </c>
      <c r="E53" t="s">
        <v>225</v>
      </c>
      <c r="F53">
        <v>71.3</v>
      </c>
      <c r="G53">
        <v>-113.98</v>
      </c>
      <c r="H53">
        <v>384.26</v>
      </c>
      <c r="I53">
        <v>0.35</v>
      </c>
      <c r="J53">
        <v>6.5</v>
      </c>
      <c r="K53">
        <v>6.6</v>
      </c>
      <c r="L53" t="s">
        <v>200</v>
      </c>
      <c r="M53" t="s">
        <v>198</v>
      </c>
      <c r="N53" t="s">
        <v>199</v>
      </c>
      <c r="O53">
        <v>0.63500000000000001</v>
      </c>
      <c r="P53">
        <v>207.6</v>
      </c>
      <c r="Q53">
        <v>17.04</v>
      </c>
      <c r="R53">
        <v>0</v>
      </c>
      <c r="S53">
        <v>73.7</v>
      </c>
      <c r="T53">
        <v>81.900000000000006</v>
      </c>
      <c r="U53">
        <v>0.64</v>
      </c>
      <c r="V53">
        <v>0.87</v>
      </c>
      <c r="W53">
        <v>1</v>
      </c>
      <c r="X53">
        <v>-13.2</v>
      </c>
      <c r="Y53">
        <v>6.7</v>
      </c>
      <c r="Z53" t="s">
        <v>226</v>
      </c>
      <c r="AA53" t="s">
        <v>163</v>
      </c>
      <c r="AB53" t="s">
        <v>227</v>
      </c>
    </row>
    <row r="54" spans="1:28" ht="15.5" x14ac:dyDescent="0.35">
      <c r="A54">
        <v>49</v>
      </c>
      <c r="B54" t="s">
        <v>329</v>
      </c>
      <c r="C54" t="s">
        <v>330</v>
      </c>
      <c r="D54" t="s">
        <v>166</v>
      </c>
      <c r="E54" t="s">
        <v>225</v>
      </c>
      <c r="F54">
        <v>67.099999999999994</v>
      </c>
      <c r="G54">
        <v>-112.47</v>
      </c>
      <c r="H54">
        <v>383.79</v>
      </c>
      <c r="I54">
        <v>0.35</v>
      </c>
      <c r="J54">
        <v>6.5</v>
      </c>
      <c r="K54">
        <v>6.6</v>
      </c>
      <c r="L54" t="s">
        <v>200</v>
      </c>
      <c r="M54" t="s">
        <v>198</v>
      </c>
      <c r="N54" t="s">
        <v>199</v>
      </c>
      <c r="O54">
        <v>0.63500000000000001</v>
      </c>
      <c r="P54">
        <v>207.6</v>
      </c>
      <c r="Q54">
        <v>18.55</v>
      </c>
      <c r="R54">
        <v>0</v>
      </c>
      <c r="S54">
        <v>73.7</v>
      </c>
      <c r="T54">
        <v>81.900000000000006</v>
      </c>
      <c r="U54">
        <v>0.64</v>
      </c>
      <c r="V54">
        <v>0.87</v>
      </c>
      <c r="W54">
        <v>1</v>
      </c>
      <c r="X54">
        <v>-10.8</v>
      </c>
      <c r="Y54">
        <v>7.5</v>
      </c>
      <c r="Z54" t="s">
        <v>226</v>
      </c>
      <c r="AA54" t="s">
        <v>163</v>
      </c>
      <c r="AB54" t="s">
        <v>227</v>
      </c>
    </row>
    <row r="55" spans="1:28" ht="15.5" x14ac:dyDescent="0.35">
      <c r="A55">
        <v>50</v>
      </c>
      <c r="B55" t="s">
        <v>331</v>
      </c>
      <c r="C55" t="s">
        <v>332</v>
      </c>
      <c r="D55" t="s">
        <v>166</v>
      </c>
      <c r="E55" t="s">
        <v>225</v>
      </c>
      <c r="F55">
        <v>-1.29</v>
      </c>
      <c r="G55">
        <v>-216.94</v>
      </c>
      <c r="H55">
        <v>384.85</v>
      </c>
      <c r="I55">
        <v>0.35</v>
      </c>
      <c r="J55">
        <v>6.5</v>
      </c>
      <c r="K55">
        <v>6.6</v>
      </c>
      <c r="L55" t="s">
        <v>200</v>
      </c>
      <c r="M55" t="s">
        <v>198</v>
      </c>
      <c r="N55" t="s">
        <v>199</v>
      </c>
      <c r="O55">
        <v>0.63500000000000001</v>
      </c>
      <c r="P55">
        <v>207.6</v>
      </c>
      <c r="Q55">
        <v>25.95</v>
      </c>
      <c r="R55">
        <v>212.5</v>
      </c>
      <c r="S55">
        <v>73.7</v>
      </c>
      <c r="T55">
        <v>81.900000000000006</v>
      </c>
      <c r="U55">
        <v>0.64</v>
      </c>
      <c r="V55">
        <v>0.87</v>
      </c>
      <c r="W55">
        <v>1</v>
      </c>
      <c r="X55">
        <v>-10.1</v>
      </c>
      <c r="Y55">
        <v>3.1</v>
      </c>
      <c r="Z55" t="s">
        <v>236</v>
      </c>
      <c r="AA55" t="s">
        <v>163</v>
      </c>
      <c r="AB55" t="s">
        <v>237</v>
      </c>
    </row>
    <row r="56" spans="1:28" ht="15.5" x14ac:dyDescent="0.35">
      <c r="A56">
        <v>51</v>
      </c>
      <c r="B56" t="s">
        <v>333</v>
      </c>
      <c r="C56" t="s">
        <v>334</v>
      </c>
      <c r="D56" t="s">
        <v>166</v>
      </c>
      <c r="E56" t="s">
        <v>225</v>
      </c>
      <c r="F56">
        <v>-11.5</v>
      </c>
      <c r="G56">
        <v>-205.54</v>
      </c>
      <c r="H56">
        <v>384.6</v>
      </c>
      <c r="I56">
        <v>0.35</v>
      </c>
      <c r="J56">
        <v>6.5</v>
      </c>
      <c r="K56">
        <v>6.6</v>
      </c>
      <c r="L56" t="s">
        <v>200</v>
      </c>
      <c r="M56" t="s">
        <v>198</v>
      </c>
      <c r="N56" t="s">
        <v>199</v>
      </c>
      <c r="O56">
        <v>0.63500000000000001</v>
      </c>
      <c r="P56">
        <v>207.6</v>
      </c>
      <c r="Q56">
        <v>26.32</v>
      </c>
      <c r="R56">
        <v>246.5</v>
      </c>
      <c r="S56">
        <v>73.7</v>
      </c>
      <c r="T56">
        <v>81.900000000000006</v>
      </c>
      <c r="U56">
        <v>0.64</v>
      </c>
      <c r="V56">
        <v>0.87</v>
      </c>
      <c r="W56">
        <v>1</v>
      </c>
      <c r="X56">
        <v>-9.4</v>
      </c>
      <c r="Y56">
        <v>3.6</v>
      </c>
      <c r="Z56" t="s">
        <v>236</v>
      </c>
      <c r="AA56" t="s">
        <v>163</v>
      </c>
      <c r="AB56" t="s">
        <v>237</v>
      </c>
    </row>
    <row r="57" spans="1:28" ht="15.5" x14ac:dyDescent="0.35">
      <c r="A57">
        <v>52</v>
      </c>
      <c r="B57" t="s">
        <v>335</v>
      </c>
      <c r="C57" t="s">
        <v>336</v>
      </c>
      <c r="D57" t="s">
        <v>166</v>
      </c>
      <c r="E57" t="s">
        <v>260</v>
      </c>
      <c r="F57">
        <v>35.26</v>
      </c>
      <c r="G57">
        <v>-244.13</v>
      </c>
      <c r="H57">
        <v>384.06</v>
      </c>
      <c r="I57">
        <v>0.35</v>
      </c>
      <c r="J57">
        <v>6.5</v>
      </c>
      <c r="K57">
        <v>6.6</v>
      </c>
      <c r="L57" t="s">
        <v>200</v>
      </c>
      <c r="M57" t="s">
        <v>198</v>
      </c>
      <c r="N57" t="s">
        <v>199</v>
      </c>
      <c r="O57">
        <v>0.63500000000000001</v>
      </c>
      <c r="P57">
        <v>207.6</v>
      </c>
      <c r="Q57">
        <v>32.35</v>
      </c>
      <c r="R57">
        <v>262.10000000000002</v>
      </c>
      <c r="S57">
        <v>73.7</v>
      </c>
      <c r="T57">
        <v>81.900000000000006</v>
      </c>
      <c r="U57">
        <v>0.64</v>
      </c>
      <c r="V57">
        <v>0.87</v>
      </c>
      <c r="W57">
        <v>1</v>
      </c>
      <c r="X57">
        <v>-6.7</v>
      </c>
      <c r="Y57">
        <v>3.9</v>
      </c>
      <c r="Z57" t="s">
        <v>226</v>
      </c>
      <c r="AA57" t="s">
        <v>163</v>
      </c>
      <c r="AB57" t="s">
        <v>261</v>
      </c>
    </row>
    <row r="58" spans="1:28" ht="15.5" x14ac:dyDescent="0.35">
      <c r="A58">
        <v>53</v>
      </c>
      <c r="B58" t="s">
        <v>337</v>
      </c>
      <c r="C58" t="s">
        <v>338</v>
      </c>
      <c r="D58" t="s">
        <v>166</v>
      </c>
      <c r="E58" t="s">
        <v>225</v>
      </c>
      <c r="F58">
        <v>-16.149999999999999</v>
      </c>
      <c r="G58">
        <v>-195.46</v>
      </c>
      <c r="H58">
        <v>384.43</v>
      </c>
      <c r="I58">
        <v>0.35</v>
      </c>
      <c r="J58">
        <v>6.5</v>
      </c>
      <c r="K58">
        <v>6.6</v>
      </c>
      <c r="L58" t="s">
        <v>200</v>
      </c>
      <c r="M58" t="s">
        <v>198</v>
      </c>
      <c r="N58" t="s">
        <v>199</v>
      </c>
      <c r="O58">
        <v>0.63500000000000001</v>
      </c>
      <c r="P58">
        <v>207.6</v>
      </c>
      <c r="Q58">
        <v>28.79</v>
      </c>
      <c r="R58">
        <v>269.2</v>
      </c>
      <c r="S58">
        <v>73.7</v>
      </c>
      <c r="T58">
        <v>81.900000000000006</v>
      </c>
      <c r="U58">
        <v>0.64</v>
      </c>
      <c r="V58">
        <v>0.87</v>
      </c>
      <c r="W58">
        <v>1</v>
      </c>
      <c r="X58">
        <v>-8.3000000000000007</v>
      </c>
      <c r="Y58">
        <v>3.6</v>
      </c>
      <c r="Z58" t="s">
        <v>226</v>
      </c>
      <c r="AA58" t="s">
        <v>163</v>
      </c>
      <c r="AB58" t="s">
        <v>227</v>
      </c>
    </row>
    <row r="59" spans="1:28" ht="15.5" x14ac:dyDescent="0.35">
      <c r="A59">
        <v>54</v>
      </c>
      <c r="B59" t="s">
        <v>339</v>
      </c>
      <c r="C59" t="s">
        <v>340</v>
      </c>
      <c r="D59" t="s">
        <v>166</v>
      </c>
      <c r="E59" t="s">
        <v>225</v>
      </c>
      <c r="F59">
        <v>109.27</v>
      </c>
      <c r="G59">
        <v>-287.5</v>
      </c>
      <c r="H59">
        <v>384.5</v>
      </c>
      <c r="I59">
        <v>0.35</v>
      </c>
      <c r="J59">
        <v>6.5</v>
      </c>
      <c r="K59">
        <v>6.6</v>
      </c>
      <c r="L59" t="s">
        <v>200</v>
      </c>
      <c r="M59" t="s">
        <v>198</v>
      </c>
      <c r="N59" t="s">
        <v>199</v>
      </c>
      <c r="O59">
        <v>0.63500000000000001</v>
      </c>
      <c r="P59">
        <v>207.6</v>
      </c>
      <c r="Q59">
        <v>46.46</v>
      </c>
      <c r="R59">
        <v>180</v>
      </c>
      <c r="S59">
        <v>73.7</v>
      </c>
      <c r="T59">
        <v>81.900000000000006</v>
      </c>
      <c r="U59">
        <v>0.64</v>
      </c>
      <c r="V59">
        <v>0.87</v>
      </c>
      <c r="W59">
        <v>1</v>
      </c>
      <c r="X59">
        <v>-5.2</v>
      </c>
      <c r="Y59">
        <v>2.2000000000000002</v>
      </c>
      <c r="Z59" t="s">
        <v>226</v>
      </c>
      <c r="AA59" t="s">
        <v>163</v>
      </c>
      <c r="AB59" t="s">
        <v>227</v>
      </c>
    </row>
    <row r="60" spans="1:28" ht="15.5" x14ac:dyDescent="0.35">
      <c r="A60">
        <v>55</v>
      </c>
      <c r="B60" t="s">
        <v>341</v>
      </c>
      <c r="C60" t="s">
        <v>342</v>
      </c>
      <c r="D60" t="s">
        <v>166</v>
      </c>
      <c r="E60" t="s">
        <v>225</v>
      </c>
      <c r="F60">
        <v>120.26</v>
      </c>
      <c r="G60">
        <v>-287.94</v>
      </c>
      <c r="H60">
        <v>384.44</v>
      </c>
      <c r="I60">
        <v>0.35</v>
      </c>
      <c r="J60">
        <v>6.5</v>
      </c>
      <c r="K60">
        <v>6.6</v>
      </c>
      <c r="L60" t="s">
        <v>200</v>
      </c>
      <c r="M60" t="s">
        <v>198</v>
      </c>
      <c r="N60" t="s">
        <v>199</v>
      </c>
      <c r="O60">
        <v>0.63500000000000001</v>
      </c>
      <c r="P60">
        <v>207.6</v>
      </c>
      <c r="Q60">
        <v>46.9</v>
      </c>
      <c r="R60">
        <v>180</v>
      </c>
      <c r="S60">
        <v>73.7</v>
      </c>
      <c r="T60">
        <v>81.900000000000006</v>
      </c>
      <c r="U60">
        <v>0.64</v>
      </c>
      <c r="V60">
        <v>0.87</v>
      </c>
      <c r="W60">
        <v>1</v>
      </c>
      <c r="X60">
        <v>-5.0999999999999996</v>
      </c>
      <c r="Y60">
        <v>2.2000000000000002</v>
      </c>
      <c r="Z60" t="s">
        <v>226</v>
      </c>
      <c r="AA60" t="s">
        <v>163</v>
      </c>
      <c r="AB60" t="s">
        <v>227</v>
      </c>
    </row>
    <row r="61" spans="1:28" ht="15.5" x14ac:dyDescent="0.35">
      <c r="A61">
        <v>56</v>
      </c>
      <c r="B61" t="s">
        <v>343</v>
      </c>
      <c r="C61" t="s">
        <v>344</v>
      </c>
      <c r="D61" t="s">
        <v>166</v>
      </c>
      <c r="E61" t="s">
        <v>225</v>
      </c>
      <c r="F61">
        <v>132.99</v>
      </c>
      <c r="G61">
        <v>-288.76</v>
      </c>
      <c r="H61">
        <v>384.5</v>
      </c>
      <c r="I61">
        <v>0.35</v>
      </c>
      <c r="J61">
        <v>6.5</v>
      </c>
      <c r="K61">
        <v>6.6</v>
      </c>
      <c r="L61" t="s">
        <v>200</v>
      </c>
      <c r="M61" t="s">
        <v>198</v>
      </c>
      <c r="N61" t="s">
        <v>199</v>
      </c>
      <c r="O61">
        <v>0.63500000000000001</v>
      </c>
      <c r="P61">
        <v>207.6</v>
      </c>
      <c r="Q61">
        <v>47.72</v>
      </c>
      <c r="R61">
        <v>180</v>
      </c>
      <c r="S61">
        <v>73.7</v>
      </c>
      <c r="T61">
        <v>81.900000000000006</v>
      </c>
      <c r="U61">
        <v>0.64</v>
      </c>
      <c r="V61">
        <v>0.87</v>
      </c>
      <c r="W61">
        <v>1</v>
      </c>
      <c r="X61">
        <v>-5.0999999999999996</v>
      </c>
      <c r="Y61">
        <v>2.1</v>
      </c>
      <c r="Z61" t="s">
        <v>236</v>
      </c>
      <c r="AA61" t="s">
        <v>163</v>
      </c>
      <c r="AB61" t="s">
        <v>237</v>
      </c>
    </row>
    <row r="62" spans="1:28" ht="15.5" x14ac:dyDescent="0.35">
      <c r="A62">
        <v>57</v>
      </c>
      <c r="B62" t="s">
        <v>345</v>
      </c>
      <c r="C62" t="s">
        <v>346</v>
      </c>
      <c r="D62" t="s">
        <v>166</v>
      </c>
      <c r="E62" t="s">
        <v>225</v>
      </c>
      <c r="F62">
        <v>142.41999999999999</v>
      </c>
      <c r="G62">
        <v>-288.94</v>
      </c>
      <c r="H62">
        <v>384.49</v>
      </c>
      <c r="I62">
        <v>0.35</v>
      </c>
      <c r="J62">
        <v>6.5</v>
      </c>
      <c r="K62">
        <v>6.6</v>
      </c>
      <c r="L62" t="s">
        <v>200</v>
      </c>
      <c r="M62" t="s">
        <v>198</v>
      </c>
      <c r="N62" t="s">
        <v>199</v>
      </c>
      <c r="O62">
        <v>0.63500000000000001</v>
      </c>
      <c r="P62">
        <v>207.6</v>
      </c>
      <c r="Q62">
        <v>47.9</v>
      </c>
      <c r="R62">
        <v>180</v>
      </c>
      <c r="S62">
        <v>73.7</v>
      </c>
      <c r="T62">
        <v>81.900000000000006</v>
      </c>
      <c r="U62">
        <v>0.64</v>
      </c>
      <c r="V62">
        <v>0.87</v>
      </c>
      <c r="W62">
        <v>1</v>
      </c>
      <c r="X62">
        <v>-5.0999999999999996</v>
      </c>
      <c r="Y62">
        <v>2.1</v>
      </c>
      <c r="Z62" t="s">
        <v>226</v>
      </c>
      <c r="AA62" t="s">
        <v>163</v>
      </c>
      <c r="AB62" t="s">
        <v>227</v>
      </c>
    </row>
    <row r="63" spans="1:28" ht="15.5" x14ac:dyDescent="0.35">
      <c r="A63">
        <v>58</v>
      </c>
      <c r="B63" t="s">
        <v>347</v>
      </c>
      <c r="C63" t="s">
        <v>348</v>
      </c>
      <c r="D63" t="s">
        <v>166</v>
      </c>
      <c r="E63" t="s">
        <v>225</v>
      </c>
      <c r="F63">
        <v>152.41</v>
      </c>
      <c r="G63">
        <v>-289.33999999999997</v>
      </c>
      <c r="H63">
        <v>384.39</v>
      </c>
      <c r="I63">
        <v>0.35</v>
      </c>
      <c r="J63">
        <v>6.5</v>
      </c>
      <c r="K63">
        <v>6.6</v>
      </c>
      <c r="L63" t="s">
        <v>200</v>
      </c>
      <c r="M63" t="s">
        <v>198</v>
      </c>
      <c r="N63" t="s">
        <v>199</v>
      </c>
      <c r="O63">
        <v>0.63500000000000001</v>
      </c>
      <c r="P63">
        <v>207.6</v>
      </c>
      <c r="Q63">
        <v>48.3</v>
      </c>
      <c r="R63">
        <v>180</v>
      </c>
      <c r="S63">
        <v>73.7</v>
      </c>
      <c r="T63">
        <v>81.900000000000006</v>
      </c>
      <c r="U63">
        <v>0.64</v>
      </c>
      <c r="V63">
        <v>0.87</v>
      </c>
      <c r="W63">
        <v>1</v>
      </c>
      <c r="X63">
        <v>-4.9000000000000004</v>
      </c>
      <c r="Y63">
        <v>2.2000000000000002</v>
      </c>
      <c r="Z63" t="s">
        <v>226</v>
      </c>
      <c r="AA63" t="s">
        <v>163</v>
      </c>
      <c r="AB63" t="s">
        <v>227</v>
      </c>
    </row>
    <row r="64" spans="1:28" ht="15.5" x14ac:dyDescent="0.35">
      <c r="A64">
        <v>59</v>
      </c>
      <c r="B64" t="s">
        <v>349</v>
      </c>
      <c r="C64" t="s">
        <v>350</v>
      </c>
      <c r="D64" t="s">
        <v>166</v>
      </c>
      <c r="E64" t="s">
        <v>225</v>
      </c>
      <c r="F64">
        <v>164.26</v>
      </c>
      <c r="G64">
        <v>-289.8</v>
      </c>
      <c r="H64">
        <v>384.45</v>
      </c>
      <c r="I64">
        <v>0.35</v>
      </c>
      <c r="J64">
        <v>6.5</v>
      </c>
      <c r="K64">
        <v>6.6</v>
      </c>
      <c r="L64" t="s">
        <v>200</v>
      </c>
      <c r="M64" t="s">
        <v>198</v>
      </c>
      <c r="N64" t="s">
        <v>199</v>
      </c>
      <c r="O64">
        <v>0.63500000000000001</v>
      </c>
      <c r="P64">
        <v>207.6</v>
      </c>
      <c r="Q64">
        <v>48.76</v>
      </c>
      <c r="R64">
        <v>180</v>
      </c>
      <c r="S64">
        <v>73.7</v>
      </c>
      <c r="T64">
        <v>81.900000000000006</v>
      </c>
      <c r="U64">
        <v>0.64</v>
      </c>
      <c r="V64">
        <v>0.87</v>
      </c>
      <c r="W64">
        <v>1</v>
      </c>
      <c r="X64">
        <v>-4.9000000000000004</v>
      </c>
      <c r="Y64">
        <v>2.1</v>
      </c>
      <c r="Z64" t="s">
        <v>226</v>
      </c>
      <c r="AA64" t="s">
        <v>163</v>
      </c>
      <c r="AB64" t="s">
        <v>227</v>
      </c>
    </row>
    <row r="65" spans="1:28" ht="15.5" x14ac:dyDescent="0.35">
      <c r="A65">
        <v>60</v>
      </c>
      <c r="B65" t="s">
        <v>351</v>
      </c>
      <c r="C65" t="s">
        <v>352</v>
      </c>
      <c r="D65" t="s">
        <v>166</v>
      </c>
      <c r="E65" t="s">
        <v>225</v>
      </c>
      <c r="F65">
        <v>177.85</v>
      </c>
      <c r="G65">
        <v>-290.39</v>
      </c>
      <c r="H65">
        <v>384.45</v>
      </c>
      <c r="I65">
        <v>0.35</v>
      </c>
      <c r="J65">
        <v>6.5</v>
      </c>
      <c r="K65">
        <v>6.6</v>
      </c>
      <c r="L65" t="s">
        <v>200</v>
      </c>
      <c r="M65" t="s">
        <v>198</v>
      </c>
      <c r="N65" t="s">
        <v>199</v>
      </c>
      <c r="O65">
        <v>0.63500000000000001</v>
      </c>
      <c r="P65">
        <v>207.6</v>
      </c>
      <c r="Q65">
        <v>49.35</v>
      </c>
      <c r="R65">
        <v>179.2</v>
      </c>
      <c r="S65">
        <v>73.7</v>
      </c>
      <c r="T65">
        <v>81.900000000000006</v>
      </c>
      <c r="U65">
        <v>0.64</v>
      </c>
      <c r="V65">
        <v>0.87</v>
      </c>
      <c r="W65">
        <v>1</v>
      </c>
      <c r="X65">
        <v>-4.9000000000000004</v>
      </c>
      <c r="Y65">
        <v>2.1</v>
      </c>
      <c r="Z65" t="s">
        <v>226</v>
      </c>
      <c r="AA65" t="s">
        <v>163</v>
      </c>
      <c r="AB65" t="s">
        <v>227</v>
      </c>
    </row>
    <row r="66" spans="1:28" ht="15.5" x14ac:dyDescent="0.35">
      <c r="A66">
        <v>61</v>
      </c>
      <c r="B66" t="s">
        <v>353</v>
      </c>
      <c r="C66" t="s">
        <v>354</v>
      </c>
      <c r="D66" t="s">
        <v>166</v>
      </c>
      <c r="E66" t="s">
        <v>225</v>
      </c>
      <c r="F66">
        <v>186.56</v>
      </c>
      <c r="G66">
        <v>-290.82</v>
      </c>
      <c r="H66">
        <v>384.49</v>
      </c>
      <c r="I66">
        <v>0.35</v>
      </c>
      <c r="J66">
        <v>6.5</v>
      </c>
      <c r="K66">
        <v>6.6</v>
      </c>
      <c r="L66" t="s">
        <v>200</v>
      </c>
      <c r="M66" t="s">
        <v>198</v>
      </c>
      <c r="N66" t="s">
        <v>199</v>
      </c>
      <c r="O66">
        <v>0.63500000000000001</v>
      </c>
      <c r="P66">
        <v>207.6</v>
      </c>
      <c r="Q66">
        <v>50.66</v>
      </c>
      <c r="R66">
        <v>169.3</v>
      </c>
      <c r="S66">
        <v>73.7</v>
      </c>
      <c r="T66">
        <v>81.900000000000006</v>
      </c>
      <c r="U66">
        <v>0.64</v>
      </c>
      <c r="V66">
        <v>0.87</v>
      </c>
      <c r="W66">
        <v>1</v>
      </c>
      <c r="X66">
        <v>-4.8</v>
      </c>
      <c r="Y66">
        <v>2</v>
      </c>
      <c r="Z66" t="s">
        <v>226</v>
      </c>
      <c r="AA66" t="s">
        <v>163</v>
      </c>
      <c r="AB66" t="s">
        <v>227</v>
      </c>
    </row>
    <row r="67" spans="1:28" ht="15.5" x14ac:dyDescent="0.35">
      <c r="A67">
        <v>62</v>
      </c>
      <c r="B67" t="s">
        <v>355</v>
      </c>
      <c r="C67" t="s">
        <v>356</v>
      </c>
      <c r="D67" t="s">
        <v>166</v>
      </c>
      <c r="E67" t="s">
        <v>225</v>
      </c>
      <c r="F67">
        <v>197.5</v>
      </c>
      <c r="G67">
        <v>-291.25</v>
      </c>
      <c r="H67">
        <v>384.33</v>
      </c>
      <c r="I67">
        <v>0.35</v>
      </c>
      <c r="J67">
        <v>6.5</v>
      </c>
      <c r="K67">
        <v>6.6</v>
      </c>
      <c r="L67" t="s">
        <v>200</v>
      </c>
      <c r="M67" t="s">
        <v>198</v>
      </c>
      <c r="N67" t="s">
        <v>199</v>
      </c>
      <c r="O67">
        <v>0.63500000000000001</v>
      </c>
      <c r="P67">
        <v>207.6</v>
      </c>
      <c r="Q67">
        <v>54.17</v>
      </c>
      <c r="R67">
        <v>158</v>
      </c>
      <c r="S67">
        <v>73.7</v>
      </c>
      <c r="T67">
        <v>81.900000000000006</v>
      </c>
      <c r="U67">
        <v>0.64</v>
      </c>
      <c r="V67">
        <v>0.87</v>
      </c>
      <c r="W67">
        <v>1</v>
      </c>
      <c r="X67">
        <v>-4.3</v>
      </c>
      <c r="Y67">
        <v>2</v>
      </c>
      <c r="Z67" t="s">
        <v>226</v>
      </c>
      <c r="AA67" t="s">
        <v>163</v>
      </c>
      <c r="AB67" t="s">
        <v>227</v>
      </c>
    </row>
    <row r="68" spans="1:28" ht="15.5" x14ac:dyDescent="0.35">
      <c r="A68">
        <v>63</v>
      </c>
      <c r="B68" t="s">
        <v>357</v>
      </c>
      <c r="C68" t="s">
        <v>358</v>
      </c>
      <c r="D68" t="s">
        <v>166</v>
      </c>
      <c r="E68" t="s">
        <v>225</v>
      </c>
      <c r="F68">
        <v>82.12</v>
      </c>
      <c r="G68">
        <v>-101.35</v>
      </c>
      <c r="H68">
        <v>384.37</v>
      </c>
      <c r="I68">
        <v>0.35</v>
      </c>
      <c r="J68">
        <v>6.5</v>
      </c>
      <c r="K68">
        <v>6.6</v>
      </c>
      <c r="L68" t="s">
        <v>200</v>
      </c>
      <c r="M68" t="s">
        <v>198</v>
      </c>
      <c r="N68" t="s">
        <v>199</v>
      </c>
      <c r="O68">
        <v>0.63500000000000001</v>
      </c>
      <c r="P68">
        <v>207.6</v>
      </c>
      <c r="Q68">
        <v>22.82</v>
      </c>
      <c r="R68">
        <v>270</v>
      </c>
      <c r="S68">
        <v>73.7</v>
      </c>
      <c r="T68">
        <v>81.900000000000006</v>
      </c>
      <c r="U68">
        <v>0.64</v>
      </c>
      <c r="V68">
        <v>0.87</v>
      </c>
      <c r="W68">
        <v>1</v>
      </c>
      <c r="X68">
        <v>-10.199999999999999</v>
      </c>
      <c r="Y68">
        <v>4.7</v>
      </c>
      <c r="Z68" t="s">
        <v>226</v>
      </c>
      <c r="AA68" t="s">
        <v>163</v>
      </c>
      <c r="AB68" t="s">
        <v>227</v>
      </c>
    </row>
    <row r="69" spans="1:28" ht="15.5" x14ac:dyDescent="0.35">
      <c r="A69">
        <v>64</v>
      </c>
      <c r="B69" t="s">
        <v>359</v>
      </c>
      <c r="C69" t="s">
        <v>360</v>
      </c>
      <c r="D69" t="s">
        <v>166</v>
      </c>
      <c r="E69" t="s">
        <v>225</v>
      </c>
      <c r="F69">
        <v>82.15</v>
      </c>
      <c r="G69">
        <v>-106.44</v>
      </c>
      <c r="H69">
        <v>384.35</v>
      </c>
      <c r="I69">
        <v>0.35</v>
      </c>
      <c r="J69">
        <v>6.5</v>
      </c>
      <c r="K69">
        <v>6.6</v>
      </c>
      <c r="L69" t="s">
        <v>200</v>
      </c>
      <c r="M69" t="s">
        <v>198</v>
      </c>
      <c r="N69" t="s">
        <v>199</v>
      </c>
      <c r="O69">
        <v>0.63500000000000001</v>
      </c>
      <c r="P69">
        <v>207.6</v>
      </c>
      <c r="Q69">
        <v>22.79</v>
      </c>
      <c r="R69">
        <v>270</v>
      </c>
      <c r="S69">
        <v>73.7</v>
      </c>
      <c r="T69">
        <v>81.900000000000006</v>
      </c>
      <c r="U69">
        <v>0.64</v>
      </c>
      <c r="V69">
        <v>0.87</v>
      </c>
      <c r="W69">
        <v>1</v>
      </c>
      <c r="X69">
        <v>-10.199999999999999</v>
      </c>
      <c r="Y69">
        <v>4.8</v>
      </c>
      <c r="Z69" t="s">
        <v>226</v>
      </c>
      <c r="AA69" t="s">
        <v>163</v>
      </c>
      <c r="AB69" t="s">
        <v>227</v>
      </c>
    </row>
    <row r="70" spans="1:28" ht="15.5" x14ac:dyDescent="0.35">
      <c r="A70">
        <v>65</v>
      </c>
      <c r="B70" t="s">
        <v>361</v>
      </c>
      <c r="C70" t="s">
        <v>362</v>
      </c>
      <c r="D70" t="s">
        <v>166</v>
      </c>
      <c r="E70" t="s">
        <v>260</v>
      </c>
      <c r="F70">
        <v>81.83</v>
      </c>
      <c r="G70">
        <v>-110.16</v>
      </c>
      <c r="H70">
        <v>384.07</v>
      </c>
      <c r="I70">
        <v>0.35</v>
      </c>
      <c r="J70">
        <v>6.5</v>
      </c>
      <c r="K70">
        <v>6.6</v>
      </c>
      <c r="L70" t="s">
        <v>200</v>
      </c>
      <c r="M70" t="s">
        <v>198</v>
      </c>
      <c r="N70" t="s">
        <v>199</v>
      </c>
      <c r="O70">
        <v>0.63500000000000001</v>
      </c>
      <c r="P70">
        <v>207.6</v>
      </c>
      <c r="Q70">
        <v>25.5</v>
      </c>
      <c r="R70">
        <v>295</v>
      </c>
      <c r="S70">
        <v>73.7</v>
      </c>
      <c r="T70">
        <v>81.900000000000006</v>
      </c>
      <c r="U70">
        <v>0.64</v>
      </c>
      <c r="V70">
        <v>0.87</v>
      </c>
      <c r="W70">
        <v>1</v>
      </c>
      <c r="X70">
        <v>-8.5</v>
      </c>
      <c r="Y70">
        <v>4.9000000000000004</v>
      </c>
      <c r="Z70" t="s">
        <v>226</v>
      </c>
      <c r="AA70" t="s">
        <v>163</v>
      </c>
      <c r="AB70" t="s">
        <v>261</v>
      </c>
    </row>
    <row r="71" spans="1:28" ht="15.5" x14ac:dyDescent="0.35">
      <c r="A71">
        <v>66</v>
      </c>
      <c r="B71" t="s">
        <v>363</v>
      </c>
      <c r="C71" t="s">
        <v>364</v>
      </c>
      <c r="D71" t="s">
        <v>166</v>
      </c>
      <c r="E71" t="s">
        <v>260</v>
      </c>
      <c r="F71">
        <v>77.16</v>
      </c>
      <c r="G71">
        <v>-111.41</v>
      </c>
      <c r="H71">
        <v>384.46</v>
      </c>
      <c r="I71">
        <v>0.35</v>
      </c>
      <c r="J71">
        <v>6.5</v>
      </c>
      <c r="K71">
        <v>6.6</v>
      </c>
      <c r="L71" t="s">
        <v>200</v>
      </c>
      <c r="M71" t="s">
        <v>198</v>
      </c>
      <c r="N71" t="s">
        <v>199</v>
      </c>
      <c r="O71">
        <v>0.63500000000000001</v>
      </c>
      <c r="P71">
        <v>207.6</v>
      </c>
      <c r="Q71">
        <v>30.5</v>
      </c>
      <c r="R71">
        <v>310</v>
      </c>
      <c r="S71">
        <v>73.7</v>
      </c>
      <c r="T71">
        <v>81.900000000000006</v>
      </c>
      <c r="U71">
        <v>0.64</v>
      </c>
      <c r="V71">
        <v>0.87</v>
      </c>
      <c r="W71">
        <v>1</v>
      </c>
      <c r="X71">
        <v>-7.9</v>
      </c>
      <c r="Y71">
        <v>3.3</v>
      </c>
      <c r="Z71" t="s">
        <v>226</v>
      </c>
      <c r="AA71" t="s">
        <v>163</v>
      </c>
      <c r="AB71" t="s">
        <v>261</v>
      </c>
    </row>
    <row r="72" spans="1:28" ht="15.5" x14ac:dyDescent="0.35">
      <c r="A72">
        <v>67</v>
      </c>
      <c r="B72" t="s">
        <v>365</v>
      </c>
      <c r="C72" t="s">
        <v>366</v>
      </c>
      <c r="D72" t="s">
        <v>166</v>
      </c>
      <c r="E72" t="s">
        <v>260</v>
      </c>
      <c r="F72">
        <v>79.69</v>
      </c>
      <c r="G72">
        <v>-113.64</v>
      </c>
      <c r="H72">
        <v>384.01</v>
      </c>
      <c r="I72">
        <v>0.35</v>
      </c>
      <c r="J72">
        <v>6.5</v>
      </c>
      <c r="K72">
        <v>6.6</v>
      </c>
      <c r="L72" t="s">
        <v>200</v>
      </c>
      <c r="M72" t="s">
        <v>198</v>
      </c>
      <c r="N72" t="s">
        <v>199</v>
      </c>
      <c r="O72">
        <v>0.63500000000000001</v>
      </c>
      <c r="P72">
        <v>207.6</v>
      </c>
      <c r="Q72">
        <v>18.5</v>
      </c>
      <c r="R72">
        <v>340</v>
      </c>
      <c r="S72">
        <v>73.7</v>
      </c>
      <c r="T72">
        <v>81.900000000000006</v>
      </c>
      <c r="U72">
        <v>0.64</v>
      </c>
      <c r="V72">
        <v>0.87</v>
      </c>
      <c r="W72">
        <v>1</v>
      </c>
      <c r="X72">
        <v>-11.5</v>
      </c>
      <c r="Y72">
        <v>6.9</v>
      </c>
      <c r="Z72" t="s">
        <v>226</v>
      </c>
      <c r="AA72" t="s">
        <v>163</v>
      </c>
      <c r="AB72" t="s">
        <v>261</v>
      </c>
    </row>
    <row r="73" spans="1:28" ht="15.5" x14ac:dyDescent="0.35">
      <c r="A73">
        <v>68</v>
      </c>
      <c r="B73" t="s">
        <v>367</v>
      </c>
      <c r="C73" t="s">
        <v>368</v>
      </c>
      <c r="D73" t="s">
        <v>166</v>
      </c>
      <c r="E73" t="s">
        <v>260</v>
      </c>
      <c r="F73">
        <v>-33.69</v>
      </c>
      <c r="G73">
        <v>-177.07</v>
      </c>
      <c r="H73">
        <v>384.04</v>
      </c>
      <c r="I73">
        <v>0.35</v>
      </c>
      <c r="J73">
        <v>6.5</v>
      </c>
      <c r="K73">
        <v>6.6</v>
      </c>
      <c r="L73" t="s">
        <v>200</v>
      </c>
      <c r="M73" t="s">
        <v>198</v>
      </c>
      <c r="N73" t="s">
        <v>199</v>
      </c>
      <c r="O73">
        <v>0.63500000000000001</v>
      </c>
      <c r="P73">
        <v>207.6</v>
      </c>
      <c r="Q73">
        <v>53.5</v>
      </c>
      <c r="R73">
        <v>240</v>
      </c>
      <c r="S73">
        <v>73.7</v>
      </c>
      <c r="T73">
        <v>81.900000000000006</v>
      </c>
      <c r="U73">
        <v>0.64</v>
      </c>
      <c r="V73">
        <v>0.87</v>
      </c>
      <c r="W73">
        <v>1</v>
      </c>
      <c r="X73">
        <v>-4</v>
      </c>
      <c r="Y73">
        <v>2.4</v>
      </c>
      <c r="Z73" t="s">
        <v>226</v>
      </c>
      <c r="AA73" t="s">
        <v>163</v>
      </c>
      <c r="AB73" t="s">
        <v>261</v>
      </c>
    </row>
    <row r="74" spans="1:28" ht="15.5" x14ac:dyDescent="0.35">
      <c r="A74">
        <v>69</v>
      </c>
      <c r="B74" t="s">
        <v>369</v>
      </c>
      <c r="C74" t="s">
        <v>370</v>
      </c>
      <c r="D74" t="s">
        <v>166</v>
      </c>
      <c r="E74" t="s">
        <v>260</v>
      </c>
      <c r="F74">
        <v>-19.89</v>
      </c>
      <c r="G74">
        <v>-190.28</v>
      </c>
      <c r="H74">
        <v>384.07</v>
      </c>
      <c r="I74">
        <v>0.35</v>
      </c>
      <c r="J74">
        <v>6.5</v>
      </c>
      <c r="K74">
        <v>6.6</v>
      </c>
      <c r="L74" t="s">
        <v>200</v>
      </c>
      <c r="M74" t="s">
        <v>198</v>
      </c>
      <c r="N74" t="s">
        <v>199</v>
      </c>
      <c r="O74">
        <v>0.63500000000000001</v>
      </c>
      <c r="P74">
        <v>207.6</v>
      </c>
      <c r="Q74">
        <v>41</v>
      </c>
      <c r="R74">
        <v>232.5</v>
      </c>
      <c r="S74">
        <v>73.7</v>
      </c>
      <c r="T74">
        <v>81.900000000000006</v>
      </c>
      <c r="U74">
        <v>0.64</v>
      </c>
      <c r="V74">
        <v>0.87</v>
      </c>
      <c r="W74">
        <v>1</v>
      </c>
      <c r="X74">
        <v>-5.3</v>
      </c>
      <c r="Y74">
        <v>3</v>
      </c>
      <c r="Z74" t="s">
        <v>226</v>
      </c>
      <c r="AA74" t="s">
        <v>163</v>
      </c>
      <c r="AB74" t="s">
        <v>261</v>
      </c>
    </row>
    <row r="75" spans="1:28" ht="15.5" x14ac:dyDescent="0.35">
      <c r="A75">
        <v>70</v>
      </c>
      <c r="B75" t="s">
        <v>371</v>
      </c>
      <c r="C75" t="s">
        <v>372</v>
      </c>
      <c r="D75" t="s">
        <v>166</v>
      </c>
      <c r="E75" t="s">
        <v>260</v>
      </c>
      <c r="F75">
        <v>-19.53</v>
      </c>
      <c r="G75">
        <v>-195.07</v>
      </c>
      <c r="H75">
        <v>385.25</v>
      </c>
      <c r="I75">
        <v>0.35</v>
      </c>
      <c r="J75">
        <v>6.5</v>
      </c>
      <c r="K75">
        <v>6.6</v>
      </c>
      <c r="L75" t="s">
        <v>200</v>
      </c>
      <c r="M75" t="s">
        <v>198</v>
      </c>
      <c r="N75" t="s">
        <v>199</v>
      </c>
      <c r="O75">
        <v>0.63500000000000001</v>
      </c>
      <c r="P75">
        <v>207.6</v>
      </c>
      <c r="Q75">
        <v>35.5</v>
      </c>
      <c r="R75">
        <v>245</v>
      </c>
      <c r="S75">
        <v>73.7</v>
      </c>
      <c r="T75">
        <v>81.900000000000006</v>
      </c>
      <c r="U75">
        <v>0.64</v>
      </c>
      <c r="V75">
        <v>0.87</v>
      </c>
      <c r="W75">
        <v>1</v>
      </c>
      <c r="X75">
        <v>-8</v>
      </c>
      <c r="Y75">
        <v>1.6</v>
      </c>
      <c r="Z75" t="s">
        <v>236</v>
      </c>
      <c r="AA75" t="s">
        <v>163</v>
      </c>
      <c r="AB75" t="s">
        <v>320</v>
      </c>
    </row>
    <row r="76" spans="1:28" ht="15.5" x14ac:dyDescent="0.35">
      <c r="A76">
        <v>71</v>
      </c>
      <c r="B76" t="s">
        <v>373</v>
      </c>
      <c r="C76" t="s">
        <v>374</v>
      </c>
      <c r="D76" t="s">
        <v>166</v>
      </c>
      <c r="E76" t="s">
        <v>260</v>
      </c>
      <c r="F76">
        <v>4.62</v>
      </c>
      <c r="G76">
        <v>-217.31</v>
      </c>
      <c r="H76">
        <v>384.14</v>
      </c>
      <c r="I76">
        <v>0.35</v>
      </c>
      <c r="J76">
        <v>6.5</v>
      </c>
      <c r="K76">
        <v>6.6</v>
      </c>
      <c r="L76" t="s">
        <v>200</v>
      </c>
      <c r="M76" t="s">
        <v>198</v>
      </c>
      <c r="N76" t="s">
        <v>199</v>
      </c>
      <c r="O76">
        <v>0.63500000000000001</v>
      </c>
      <c r="P76">
        <v>207.6</v>
      </c>
      <c r="Q76">
        <v>31.49</v>
      </c>
      <c r="R76">
        <v>225</v>
      </c>
      <c r="S76">
        <v>73.7</v>
      </c>
      <c r="T76">
        <v>81.900000000000006</v>
      </c>
      <c r="U76">
        <v>0.64</v>
      </c>
      <c r="V76">
        <v>0.87</v>
      </c>
      <c r="W76">
        <v>1</v>
      </c>
      <c r="X76">
        <v>-7</v>
      </c>
      <c r="Y76">
        <v>3.8</v>
      </c>
      <c r="Z76" t="s">
        <v>226</v>
      </c>
      <c r="AA76" t="s">
        <v>163</v>
      </c>
      <c r="AB76" t="s">
        <v>261</v>
      </c>
    </row>
    <row r="77" spans="1:28" ht="15.5" x14ac:dyDescent="0.35">
      <c r="A77">
        <v>72</v>
      </c>
      <c r="B77" t="s">
        <v>375</v>
      </c>
      <c r="C77" t="s">
        <v>376</v>
      </c>
      <c r="D77" t="s">
        <v>166</v>
      </c>
      <c r="E77" t="s">
        <v>260</v>
      </c>
      <c r="F77">
        <v>14.16</v>
      </c>
      <c r="G77">
        <v>-225.47</v>
      </c>
      <c r="H77">
        <v>384.11</v>
      </c>
      <c r="I77">
        <v>0.35</v>
      </c>
      <c r="J77">
        <v>6.5</v>
      </c>
      <c r="K77">
        <v>6.6</v>
      </c>
      <c r="L77" t="s">
        <v>200</v>
      </c>
      <c r="M77" t="s">
        <v>198</v>
      </c>
      <c r="N77" t="s">
        <v>199</v>
      </c>
      <c r="O77">
        <v>0.63500000000000001</v>
      </c>
      <c r="P77">
        <v>207.6</v>
      </c>
      <c r="Q77">
        <v>28</v>
      </c>
      <c r="R77">
        <v>220</v>
      </c>
      <c r="S77">
        <v>73.7</v>
      </c>
      <c r="T77">
        <v>81.900000000000006</v>
      </c>
      <c r="U77">
        <v>0.64</v>
      </c>
      <c r="V77">
        <v>0.87</v>
      </c>
      <c r="W77">
        <v>1</v>
      </c>
      <c r="X77">
        <v>-7.9</v>
      </c>
      <c r="Y77">
        <v>4.4000000000000004</v>
      </c>
      <c r="Z77" t="s">
        <v>226</v>
      </c>
      <c r="AA77" t="s">
        <v>163</v>
      </c>
      <c r="AB77" t="s">
        <v>261</v>
      </c>
    </row>
    <row r="78" spans="1:28" ht="15.5" x14ac:dyDescent="0.35">
      <c r="A78">
        <v>73</v>
      </c>
      <c r="B78" t="s">
        <v>377</v>
      </c>
      <c r="C78" t="s">
        <v>378</v>
      </c>
      <c r="D78" t="s">
        <v>166</v>
      </c>
      <c r="E78" t="s">
        <v>260</v>
      </c>
      <c r="F78">
        <v>25.36</v>
      </c>
      <c r="G78">
        <v>-234.26</v>
      </c>
      <c r="H78">
        <v>384.03</v>
      </c>
      <c r="I78">
        <v>0.35</v>
      </c>
      <c r="J78">
        <v>6.5</v>
      </c>
      <c r="K78">
        <v>6.6</v>
      </c>
      <c r="L78" t="s">
        <v>200</v>
      </c>
      <c r="M78" t="s">
        <v>198</v>
      </c>
      <c r="N78" t="s">
        <v>199</v>
      </c>
      <c r="O78">
        <v>0.63500000000000001</v>
      </c>
      <c r="P78">
        <v>207.6</v>
      </c>
      <c r="Q78">
        <v>19</v>
      </c>
      <c r="R78">
        <v>205</v>
      </c>
      <c r="S78">
        <v>73.7</v>
      </c>
      <c r="T78">
        <v>81.900000000000006</v>
      </c>
      <c r="U78">
        <v>0.64</v>
      </c>
      <c r="V78">
        <v>0.87</v>
      </c>
      <c r="W78">
        <v>1</v>
      </c>
      <c r="X78">
        <v>-11.3</v>
      </c>
      <c r="Y78">
        <v>6.7</v>
      </c>
      <c r="Z78" t="s">
        <v>226</v>
      </c>
      <c r="AA78" t="s">
        <v>163</v>
      </c>
      <c r="AB78" t="s">
        <v>261</v>
      </c>
    </row>
    <row r="79" spans="1:28" ht="15.5" x14ac:dyDescent="0.35">
      <c r="A79">
        <v>74</v>
      </c>
      <c r="B79" t="s">
        <v>379</v>
      </c>
      <c r="C79" t="s">
        <v>380</v>
      </c>
      <c r="D79" t="s">
        <v>166</v>
      </c>
      <c r="E79" t="s">
        <v>260</v>
      </c>
      <c r="F79">
        <v>28.19</v>
      </c>
      <c r="G79">
        <v>-236.49</v>
      </c>
      <c r="H79">
        <v>384.12</v>
      </c>
      <c r="I79">
        <v>0.35</v>
      </c>
      <c r="J79">
        <v>6.5</v>
      </c>
      <c r="K79">
        <v>6.6</v>
      </c>
      <c r="L79" t="s">
        <v>200</v>
      </c>
      <c r="M79" t="s">
        <v>198</v>
      </c>
      <c r="N79" t="s">
        <v>199</v>
      </c>
      <c r="O79">
        <v>0.63500000000000001</v>
      </c>
      <c r="P79">
        <v>207.6</v>
      </c>
      <c r="Q79">
        <v>27.51</v>
      </c>
      <c r="R79">
        <v>225</v>
      </c>
      <c r="S79">
        <v>73.7</v>
      </c>
      <c r="T79">
        <v>81.900000000000006</v>
      </c>
      <c r="U79">
        <v>0.64</v>
      </c>
      <c r="V79">
        <v>0.87</v>
      </c>
      <c r="W79">
        <v>1</v>
      </c>
      <c r="X79">
        <v>-8</v>
      </c>
      <c r="Y79">
        <v>4.4000000000000004</v>
      </c>
      <c r="Z79" t="s">
        <v>226</v>
      </c>
      <c r="AA79" t="s">
        <v>163</v>
      </c>
      <c r="AB79" t="s">
        <v>261</v>
      </c>
    </row>
    <row r="80" spans="1:28" ht="15.5" x14ac:dyDescent="0.35">
      <c r="A80">
        <v>75</v>
      </c>
      <c r="B80" t="s">
        <v>381</v>
      </c>
      <c r="C80" t="s">
        <v>382</v>
      </c>
      <c r="D80" t="s">
        <v>166</v>
      </c>
      <c r="E80" t="s">
        <v>260</v>
      </c>
      <c r="F80">
        <v>28.05</v>
      </c>
      <c r="G80">
        <v>-240.56</v>
      </c>
      <c r="H80">
        <v>385.26</v>
      </c>
      <c r="I80">
        <v>0.35</v>
      </c>
      <c r="J80">
        <v>6.5</v>
      </c>
      <c r="K80">
        <v>6.6</v>
      </c>
      <c r="L80" t="s">
        <v>200</v>
      </c>
      <c r="M80" t="s">
        <v>198</v>
      </c>
      <c r="N80" t="s">
        <v>199</v>
      </c>
      <c r="O80">
        <v>0.63500000000000001</v>
      </c>
      <c r="P80">
        <v>207.6</v>
      </c>
      <c r="Q80">
        <v>41.01</v>
      </c>
      <c r="R80">
        <v>235</v>
      </c>
      <c r="S80">
        <v>73.7</v>
      </c>
      <c r="T80">
        <v>81.900000000000006</v>
      </c>
      <c r="U80">
        <v>0.64</v>
      </c>
      <c r="V80">
        <v>0.87</v>
      </c>
      <c r="W80">
        <v>1</v>
      </c>
      <c r="X80">
        <v>-7</v>
      </c>
      <c r="Y80">
        <v>1.4</v>
      </c>
      <c r="Z80" t="s">
        <v>236</v>
      </c>
      <c r="AA80" t="s">
        <v>163</v>
      </c>
      <c r="AB80" t="s">
        <v>320</v>
      </c>
    </row>
    <row r="81" spans="1:28" ht="15.5" x14ac:dyDescent="0.35">
      <c r="A81">
        <v>76</v>
      </c>
      <c r="B81" t="s">
        <v>383</v>
      </c>
      <c r="C81" t="s">
        <v>384</v>
      </c>
      <c r="D81" t="s">
        <v>166</v>
      </c>
      <c r="E81" t="s">
        <v>225</v>
      </c>
      <c r="F81">
        <v>31.09</v>
      </c>
      <c r="G81">
        <v>-239.68</v>
      </c>
      <c r="H81">
        <v>384.15</v>
      </c>
      <c r="I81">
        <v>0.35</v>
      </c>
      <c r="J81">
        <v>6.5</v>
      </c>
      <c r="K81">
        <v>6.6</v>
      </c>
      <c r="L81" t="s">
        <v>200</v>
      </c>
      <c r="M81" t="s">
        <v>198</v>
      </c>
      <c r="N81" t="s">
        <v>199</v>
      </c>
      <c r="O81">
        <v>0.63500000000000001</v>
      </c>
      <c r="P81">
        <v>207.6</v>
      </c>
      <c r="Q81">
        <v>38.840000000000003</v>
      </c>
      <c r="R81">
        <v>248.8</v>
      </c>
      <c r="S81">
        <v>73.7</v>
      </c>
      <c r="T81">
        <v>81.900000000000006</v>
      </c>
      <c r="U81">
        <v>0.64</v>
      </c>
      <c r="V81">
        <v>0.87</v>
      </c>
      <c r="W81">
        <v>1</v>
      </c>
      <c r="X81">
        <v>-5.7</v>
      </c>
      <c r="Y81">
        <v>3.1</v>
      </c>
      <c r="Z81" t="s">
        <v>226</v>
      </c>
      <c r="AA81" t="s">
        <v>163</v>
      </c>
      <c r="AB81" t="s">
        <v>227</v>
      </c>
    </row>
    <row r="82" spans="1:28" ht="15.5" x14ac:dyDescent="0.35">
      <c r="A82">
        <v>77</v>
      </c>
      <c r="B82" t="s">
        <v>385</v>
      </c>
      <c r="C82" t="s">
        <v>386</v>
      </c>
      <c r="D82" t="s">
        <v>166</v>
      </c>
      <c r="E82" t="s">
        <v>260</v>
      </c>
      <c r="F82">
        <v>80.44</v>
      </c>
      <c r="G82">
        <v>-284.54000000000002</v>
      </c>
      <c r="H82">
        <v>384.08</v>
      </c>
      <c r="I82">
        <v>0.35</v>
      </c>
      <c r="J82">
        <v>6.5</v>
      </c>
      <c r="K82">
        <v>6.6</v>
      </c>
      <c r="L82" t="s">
        <v>200</v>
      </c>
      <c r="M82" t="s">
        <v>198</v>
      </c>
      <c r="N82" t="s">
        <v>199</v>
      </c>
      <c r="O82">
        <v>0.63500000000000001</v>
      </c>
      <c r="P82">
        <v>207.6</v>
      </c>
      <c r="Q82">
        <v>43.5</v>
      </c>
      <c r="R82">
        <v>180</v>
      </c>
      <c r="S82">
        <v>73.7</v>
      </c>
      <c r="T82">
        <v>81.900000000000006</v>
      </c>
      <c r="U82">
        <v>0.64</v>
      </c>
      <c r="V82">
        <v>0.87</v>
      </c>
      <c r="W82">
        <v>1</v>
      </c>
      <c r="X82">
        <v>-5</v>
      </c>
      <c r="Y82">
        <v>2.9</v>
      </c>
      <c r="Z82" t="s">
        <v>226</v>
      </c>
      <c r="AA82" t="s">
        <v>163</v>
      </c>
      <c r="AB82" t="s">
        <v>261</v>
      </c>
    </row>
    <row r="83" spans="1:28" ht="15.5" x14ac:dyDescent="0.35">
      <c r="A83">
        <v>78</v>
      </c>
      <c r="B83" t="s">
        <v>387</v>
      </c>
      <c r="C83" t="s">
        <v>388</v>
      </c>
      <c r="D83" t="s">
        <v>166</v>
      </c>
      <c r="E83" t="s">
        <v>260</v>
      </c>
      <c r="F83">
        <v>94.94</v>
      </c>
      <c r="G83">
        <v>-285.54000000000002</v>
      </c>
      <c r="H83">
        <v>384.12</v>
      </c>
      <c r="I83">
        <v>0.35</v>
      </c>
      <c r="J83">
        <v>6.5</v>
      </c>
      <c r="K83">
        <v>6.6</v>
      </c>
      <c r="L83" t="s">
        <v>200</v>
      </c>
      <c r="M83" t="s">
        <v>198</v>
      </c>
      <c r="N83" t="s">
        <v>199</v>
      </c>
      <c r="O83">
        <v>0.63500000000000001</v>
      </c>
      <c r="P83">
        <v>207.6</v>
      </c>
      <c r="Q83">
        <v>44.5</v>
      </c>
      <c r="R83">
        <v>180</v>
      </c>
      <c r="S83">
        <v>73.7</v>
      </c>
      <c r="T83">
        <v>81.900000000000006</v>
      </c>
      <c r="U83">
        <v>0.64</v>
      </c>
      <c r="V83">
        <v>0.87</v>
      </c>
      <c r="W83">
        <v>1</v>
      </c>
      <c r="X83">
        <v>-5</v>
      </c>
      <c r="Y83">
        <v>2.7</v>
      </c>
      <c r="Z83" t="s">
        <v>226</v>
      </c>
      <c r="AA83" t="s">
        <v>163</v>
      </c>
      <c r="AB83" t="s">
        <v>261</v>
      </c>
    </row>
    <row r="84" spans="1:28" ht="15.5" x14ac:dyDescent="0.35">
      <c r="A84">
        <v>79</v>
      </c>
      <c r="B84" t="s">
        <v>389</v>
      </c>
      <c r="C84" t="s">
        <v>390</v>
      </c>
      <c r="D84" t="s">
        <v>168</v>
      </c>
      <c r="E84" t="s">
        <v>225</v>
      </c>
      <c r="F84">
        <v>219.74</v>
      </c>
      <c r="G84">
        <v>-292.14</v>
      </c>
      <c r="H84">
        <v>384.42</v>
      </c>
      <c r="I84">
        <v>0.35</v>
      </c>
      <c r="J84">
        <v>6.5</v>
      </c>
      <c r="K84">
        <v>6.6</v>
      </c>
      <c r="L84" t="s">
        <v>201</v>
      </c>
      <c r="M84" t="s">
        <v>198</v>
      </c>
      <c r="N84" t="s">
        <v>199</v>
      </c>
      <c r="O84">
        <v>0.63500000000000001</v>
      </c>
      <c r="P84">
        <v>266.2</v>
      </c>
      <c r="Q84">
        <v>49.24</v>
      </c>
      <c r="R84">
        <v>179.2</v>
      </c>
      <c r="S84">
        <v>87.3</v>
      </c>
      <c r="T84">
        <v>99.6</v>
      </c>
      <c r="U84">
        <v>0.75</v>
      </c>
      <c r="V84">
        <v>0.83</v>
      </c>
      <c r="W84">
        <v>1</v>
      </c>
      <c r="X84">
        <v>-4.8</v>
      </c>
      <c r="Y84">
        <v>2.1</v>
      </c>
      <c r="Z84" t="s">
        <v>226</v>
      </c>
      <c r="AA84" t="s">
        <v>163</v>
      </c>
      <c r="AB84" t="s">
        <v>227</v>
      </c>
    </row>
    <row r="85" spans="1:28" ht="15.5" x14ac:dyDescent="0.35">
      <c r="A85">
        <v>80</v>
      </c>
      <c r="B85" t="s">
        <v>391</v>
      </c>
      <c r="C85" t="s">
        <v>392</v>
      </c>
      <c r="D85" t="s">
        <v>168</v>
      </c>
      <c r="E85" t="s">
        <v>225</v>
      </c>
      <c r="F85">
        <v>405.89</v>
      </c>
      <c r="G85">
        <v>-230.56</v>
      </c>
      <c r="H85">
        <v>384.04</v>
      </c>
      <c r="I85">
        <v>0.35</v>
      </c>
      <c r="J85">
        <v>6.5</v>
      </c>
      <c r="K85">
        <v>6.6</v>
      </c>
      <c r="L85" t="s">
        <v>201</v>
      </c>
      <c r="M85" t="s">
        <v>198</v>
      </c>
      <c r="N85" t="s">
        <v>199</v>
      </c>
      <c r="O85">
        <v>0.63500000000000001</v>
      </c>
      <c r="P85">
        <v>266.2</v>
      </c>
      <c r="Q85">
        <v>42.39</v>
      </c>
      <c r="R85">
        <v>90</v>
      </c>
      <c r="S85">
        <v>87.3</v>
      </c>
      <c r="T85">
        <v>99.6</v>
      </c>
      <c r="U85">
        <v>0.75</v>
      </c>
      <c r="V85">
        <v>0.83</v>
      </c>
      <c r="W85">
        <v>1</v>
      </c>
      <c r="X85">
        <v>-5.0999999999999996</v>
      </c>
      <c r="Y85">
        <v>3</v>
      </c>
      <c r="Z85" t="s">
        <v>226</v>
      </c>
      <c r="AA85" t="s">
        <v>163</v>
      </c>
      <c r="AB85" t="s">
        <v>227</v>
      </c>
    </row>
    <row r="86" spans="1:28" ht="15.5" x14ac:dyDescent="0.35">
      <c r="A86">
        <v>81</v>
      </c>
      <c r="B86" t="s">
        <v>393</v>
      </c>
      <c r="C86" t="s">
        <v>394</v>
      </c>
      <c r="D86" t="s">
        <v>168</v>
      </c>
      <c r="E86" t="s">
        <v>225</v>
      </c>
      <c r="F86">
        <v>392.37</v>
      </c>
      <c r="G86">
        <v>-246.48</v>
      </c>
      <c r="H86">
        <v>384.59</v>
      </c>
      <c r="I86">
        <v>0.35</v>
      </c>
      <c r="J86">
        <v>6.5</v>
      </c>
      <c r="K86">
        <v>6.6</v>
      </c>
      <c r="L86" t="s">
        <v>201</v>
      </c>
      <c r="M86" t="s">
        <v>198</v>
      </c>
      <c r="N86" t="s">
        <v>199</v>
      </c>
      <c r="O86">
        <v>0.63500000000000001</v>
      </c>
      <c r="P86">
        <v>266.2</v>
      </c>
      <c r="Q86">
        <v>29.3</v>
      </c>
      <c r="R86">
        <v>99.8</v>
      </c>
      <c r="S86">
        <v>87.3</v>
      </c>
      <c r="T86">
        <v>99.6</v>
      </c>
      <c r="U86">
        <v>0.75</v>
      </c>
      <c r="V86">
        <v>0.83</v>
      </c>
      <c r="W86">
        <v>1</v>
      </c>
      <c r="X86">
        <v>-8.4</v>
      </c>
      <c r="Y86">
        <v>3.2</v>
      </c>
      <c r="Z86" t="s">
        <v>236</v>
      </c>
      <c r="AA86" t="s">
        <v>163</v>
      </c>
      <c r="AB86" t="s">
        <v>237</v>
      </c>
    </row>
    <row r="87" spans="1:28" ht="15.5" x14ac:dyDescent="0.35">
      <c r="A87">
        <v>82</v>
      </c>
      <c r="B87" t="s">
        <v>395</v>
      </c>
      <c r="C87" t="s">
        <v>396</v>
      </c>
      <c r="D87" t="s">
        <v>168</v>
      </c>
      <c r="E87" t="s">
        <v>225</v>
      </c>
      <c r="F87">
        <v>385.01</v>
      </c>
      <c r="G87">
        <v>-253.64</v>
      </c>
      <c r="H87">
        <v>384.53</v>
      </c>
      <c r="I87">
        <v>0.35</v>
      </c>
      <c r="J87">
        <v>6.5</v>
      </c>
      <c r="K87">
        <v>6.6</v>
      </c>
      <c r="L87" t="s">
        <v>201</v>
      </c>
      <c r="M87" t="s">
        <v>198</v>
      </c>
      <c r="N87" t="s">
        <v>199</v>
      </c>
      <c r="O87">
        <v>0.63500000000000001</v>
      </c>
      <c r="P87">
        <v>266.2</v>
      </c>
      <c r="Q87">
        <v>24.71</v>
      </c>
      <c r="R87">
        <v>119.5</v>
      </c>
      <c r="S87">
        <v>87.3</v>
      </c>
      <c r="T87">
        <v>99.6</v>
      </c>
      <c r="U87">
        <v>0.75</v>
      </c>
      <c r="V87">
        <v>0.83</v>
      </c>
      <c r="W87">
        <v>1</v>
      </c>
      <c r="X87">
        <v>-9.8000000000000007</v>
      </c>
      <c r="Y87">
        <v>4</v>
      </c>
      <c r="Z87" t="s">
        <v>236</v>
      </c>
      <c r="AA87" t="s">
        <v>163</v>
      </c>
      <c r="AB87" t="s">
        <v>237</v>
      </c>
    </row>
    <row r="88" spans="1:28" ht="15.5" x14ac:dyDescent="0.35">
      <c r="A88">
        <v>83</v>
      </c>
      <c r="B88" t="s">
        <v>397</v>
      </c>
      <c r="C88" t="s">
        <v>398</v>
      </c>
      <c r="D88" t="s">
        <v>168</v>
      </c>
      <c r="E88" t="s">
        <v>225</v>
      </c>
      <c r="F88">
        <v>379.04</v>
      </c>
      <c r="G88">
        <v>-259.57</v>
      </c>
      <c r="H88">
        <v>384.48</v>
      </c>
      <c r="I88">
        <v>0.35</v>
      </c>
      <c r="J88">
        <v>6.5</v>
      </c>
      <c r="K88">
        <v>6.6</v>
      </c>
      <c r="L88" t="s">
        <v>201</v>
      </c>
      <c r="M88" t="s">
        <v>198</v>
      </c>
      <c r="N88" t="s">
        <v>199</v>
      </c>
      <c r="O88">
        <v>0.63500000000000001</v>
      </c>
      <c r="P88">
        <v>266.2</v>
      </c>
      <c r="Q88">
        <v>23.86</v>
      </c>
      <c r="R88">
        <v>139.4</v>
      </c>
      <c r="S88">
        <v>87.3</v>
      </c>
      <c r="T88">
        <v>99.6</v>
      </c>
      <c r="U88">
        <v>0.75</v>
      </c>
      <c r="V88">
        <v>0.83</v>
      </c>
      <c r="W88">
        <v>1</v>
      </c>
      <c r="X88">
        <v>-10.1</v>
      </c>
      <c r="Y88">
        <v>4.2</v>
      </c>
      <c r="Z88" t="s">
        <v>226</v>
      </c>
      <c r="AA88" t="s">
        <v>163</v>
      </c>
      <c r="AB88" t="s">
        <v>227</v>
      </c>
    </row>
    <row r="89" spans="1:28" ht="15.5" x14ac:dyDescent="0.35">
      <c r="A89">
        <v>84</v>
      </c>
      <c r="B89" t="s">
        <v>399</v>
      </c>
      <c r="C89" t="s">
        <v>400</v>
      </c>
      <c r="D89" t="s">
        <v>168</v>
      </c>
      <c r="E89" t="s">
        <v>225</v>
      </c>
      <c r="F89">
        <v>421.97</v>
      </c>
      <c r="G89">
        <v>-132.72</v>
      </c>
      <c r="H89">
        <v>385.12</v>
      </c>
      <c r="I89">
        <v>0.35</v>
      </c>
      <c r="J89">
        <v>6.5</v>
      </c>
      <c r="K89">
        <v>6.6</v>
      </c>
      <c r="L89" t="s">
        <v>201</v>
      </c>
      <c r="M89" t="s">
        <v>198</v>
      </c>
      <c r="N89" t="s">
        <v>199</v>
      </c>
      <c r="O89">
        <v>0.63500000000000001</v>
      </c>
      <c r="P89">
        <v>266.2</v>
      </c>
      <c r="Q89">
        <v>20.83</v>
      </c>
      <c r="R89">
        <v>90</v>
      </c>
      <c r="S89">
        <v>87.3</v>
      </c>
      <c r="T89">
        <v>99.6</v>
      </c>
      <c r="U89">
        <v>0.75</v>
      </c>
      <c r="V89">
        <v>0.83</v>
      </c>
      <c r="W89">
        <v>1</v>
      </c>
      <c r="X89">
        <v>-13.2</v>
      </c>
      <c r="Y89">
        <v>3.1</v>
      </c>
      <c r="Z89" t="s">
        <v>236</v>
      </c>
      <c r="AA89" t="s">
        <v>163</v>
      </c>
      <c r="AB89" t="s">
        <v>237</v>
      </c>
    </row>
    <row r="90" spans="1:28" ht="15.5" x14ac:dyDescent="0.35">
      <c r="A90">
        <v>85</v>
      </c>
      <c r="B90" t="s">
        <v>401</v>
      </c>
      <c r="C90" t="s">
        <v>402</v>
      </c>
      <c r="D90" t="s">
        <v>168</v>
      </c>
      <c r="E90" t="s">
        <v>225</v>
      </c>
      <c r="F90">
        <v>419.64</v>
      </c>
      <c r="G90">
        <v>-119</v>
      </c>
      <c r="H90">
        <v>384.26</v>
      </c>
      <c r="I90">
        <v>0.35</v>
      </c>
      <c r="J90">
        <v>6.5</v>
      </c>
      <c r="K90">
        <v>6.6</v>
      </c>
      <c r="L90" t="s">
        <v>201</v>
      </c>
      <c r="M90" t="s">
        <v>198</v>
      </c>
      <c r="N90" t="s">
        <v>199</v>
      </c>
      <c r="O90">
        <v>0.63500000000000001</v>
      </c>
      <c r="P90">
        <v>266.2</v>
      </c>
      <c r="Q90">
        <v>18.5</v>
      </c>
      <c r="R90">
        <v>90</v>
      </c>
      <c r="S90">
        <v>87.3</v>
      </c>
      <c r="T90">
        <v>99.6</v>
      </c>
      <c r="U90">
        <v>0.75</v>
      </c>
      <c r="V90">
        <v>0.83</v>
      </c>
      <c r="W90">
        <v>1</v>
      </c>
      <c r="X90">
        <v>-12.2</v>
      </c>
      <c r="Y90">
        <v>6.1</v>
      </c>
      <c r="Z90" t="s">
        <v>226</v>
      </c>
      <c r="AA90" t="s">
        <v>163</v>
      </c>
      <c r="AB90" t="s">
        <v>227</v>
      </c>
    </row>
    <row r="91" spans="1:28" ht="15.5" x14ac:dyDescent="0.35">
      <c r="A91">
        <v>86</v>
      </c>
      <c r="B91" t="s">
        <v>403</v>
      </c>
      <c r="C91" t="s">
        <v>404</v>
      </c>
      <c r="D91" t="s">
        <v>168</v>
      </c>
      <c r="E91" t="s">
        <v>260</v>
      </c>
      <c r="F91">
        <v>422.16</v>
      </c>
      <c r="G91">
        <v>-143.26</v>
      </c>
      <c r="H91">
        <v>385.62</v>
      </c>
      <c r="I91">
        <v>0.35</v>
      </c>
      <c r="J91">
        <v>6.5</v>
      </c>
      <c r="K91">
        <v>6.6</v>
      </c>
      <c r="L91" t="s">
        <v>201</v>
      </c>
      <c r="M91" t="s">
        <v>198</v>
      </c>
      <c r="N91" t="s">
        <v>199</v>
      </c>
      <c r="O91">
        <v>0.63500000000000001</v>
      </c>
      <c r="P91">
        <v>266.2</v>
      </c>
      <c r="Q91">
        <v>21.47</v>
      </c>
      <c r="R91">
        <v>101.7</v>
      </c>
      <c r="S91">
        <v>87.3</v>
      </c>
      <c r="T91">
        <v>99.6</v>
      </c>
      <c r="U91">
        <v>0.75</v>
      </c>
      <c r="V91">
        <v>0.83</v>
      </c>
      <c r="W91">
        <v>1</v>
      </c>
      <c r="X91">
        <v>-14</v>
      </c>
      <c r="Y91">
        <v>1.7</v>
      </c>
      <c r="Z91" t="s">
        <v>236</v>
      </c>
      <c r="AA91" t="s">
        <v>163</v>
      </c>
      <c r="AB91" t="s">
        <v>320</v>
      </c>
    </row>
    <row r="92" spans="1:28" ht="15.5" x14ac:dyDescent="0.35">
      <c r="A92">
        <v>87</v>
      </c>
      <c r="B92" t="s">
        <v>405</v>
      </c>
      <c r="C92" t="s">
        <v>406</v>
      </c>
      <c r="D92" t="s">
        <v>168</v>
      </c>
      <c r="E92" t="s">
        <v>225</v>
      </c>
      <c r="F92">
        <v>419.97</v>
      </c>
      <c r="G92">
        <v>-145.88</v>
      </c>
      <c r="H92">
        <v>384.22</v>
      </c>
      <c r="I92">
        <v>0.35</v>
      </c>
      <c r="J92">
        <v>6.5</v>
      </c>
      <c r="K92">
        <v>6.6</v>
      </c>
      <c r="L92" t="s">
        <v>201</v>
      </c>
      <c r="M92" t="s">
        <v>198</v>
      </c>
      <c r="N92" t="s">
        <v>199</v>
      </c>
      <c r="O92">
        <v>0.63500000000000001</v>
      </c>
      <c r="P92">
        <v>266.2</v>
      </c>
      <c r="Q92">
        <v>20.079999999999998</v>
      </c>
      <c r="R92">
        <v>110.3</v>
      </c>
      <c r="S92">
        <v>87.3</v>
      </c>
      <c r="T92">
        <v>99.6</v>
      </c>
      <c r="U92">
        <v>0.75</v>
      </c>
      <c r="V92">
        <v>0.83</v>
      </c>
      <c r="W92">
        <v>1</v>
      </c>
      <c r="X92">
        <v>-11.2</v>
      </c>
      <c r="Y92">
        <v>5.8</v>
      </c>
      <c r="Z92" t="s">
        <v>226</v>
      </c>
      <c r="AA92" t="s">
        <v>163</v>
      </c>
      <c r="AB92" t="s">
        <v>227</v>
      </c>
    </row>
    <row r="93" spans="1:28" ht="15.5" x14ac:dyDescent="0.35">
      <c r="A93">
        <v>88</v>
      </c>
      <c r="B93" t="s">
        <v>407</v>
      </c>
      <c r="C93" t="s">
        <v>408</v>
      </c>
      <c r="D93" t="s">
        <v>168</v>
      </c>
      <c r="E93" t="s">
        <v>260</v>
      </c>
      <c r="F93">
        <v>415.42</v>
      </c>
      <c r="G93">
        <v>-101.73</v>
      </c>
      <c r="H93">
        <v>384.02</v>
      </c>
      <c r="I93">
        <v>0.35</v>
      </c>
      <c r="J93">
        <v>6.5</v>
      </c>
      <c r="K93">
        <v>6.6</v>
      </c>
      <c r="L93" t="s">
        <v>201</v>
      </c>
      <c r="M93" t="s">
        <v>198</v>
      </c>
      <c r="N93" t="s">
        <v>199</v>
      </c>
      <c r="O93">
        <v>0.63500000000000001</v>
      </c>
      <c r="P93">
        <v>266.2</v>
      </c>
      <c r="Q93">
        <v>14.5</v>
      </c>
      <c r="R93">
        <v>80</v>
      </c>
      <c r="S93">
        <v>87.3</v>
      </c>
      <c r="T93">
        <v>99.6</v>
      </c>
      <c r="U93">
        <v>0.75</v>
      </c>
      <c r="V93">
        <v>0.83</v>
      </c>
      <c r="W93">
        <v>1</v>
      </c>
      <c r="X93">
        <v>-14.6</v>
      </c>
      <c r="Y93">
        <v>8.6999999999999993</v>
      </c>
      <c r="Z93" t="s">
        <v>226</v>
      </c>
      <c r="AA93" t="s">
        <v>163</v>
      </c>
      <c r="AB93" t="s">
        <v>261</v>
      </c>
    </row>
    <row r="94" spans="1:28" ht="15.5" x14ac:dyDescent="0.35">
      <c r="A94">
        <v>89</v>
      </c>
      <c r="B94" t="s">
        <v>409</v>
      </c>
      <c r="C94" t="s">
        <v>410</v>
      </c>
      <c r="D94" t="s">
        <v>168</v>
      </c>
      <c r="E94" t="s">
        <v>260</v>
      </c>
      <c r="F94">
        <v>412.34</v>
      </c>
      <c r="G94">
        <v>-78.290000000000006</v>
      </c>
      <c r="H94">
        <v>384.06</v>
      </c>
      <c r="I94">
        <v>0.35</v>
      </c>
      <c r="J94">
        <v>6.5</v>
      </c>
      <c r="K94">
        <v>6.6</v>
      </c>
      <c r="L94" t="s">
        <v>201</v>
      </c>
      <c r="M94" t="s">
        <v>198</v>
      </c>
      <c r="N94" t="s">
        <v>199</v>
      </c>
      <c r="O94">
        <v>0.63500000000000001</v>
      </c>
      <c r="P94">
        <v>266.2</v>
      </c>
      <c r="Q94">
        <v>23.5</v>
      </c>
      <c r="R94">
        <v>45</v>
      </c>
      <c r="S94">
        <v>87.3</v>
      </c>
      <c r="T94">
        <v>99.6</v>
      </c>
      <c r="U94">
        <v>0.75</v>
      </c>
      <c r="V94">
        <v>0.83</v>
      </c>
      <c r="W94">
        <v>1</v>
      </c>
      <c r="X94">
        <v>-9.1999999999999993</v>
      </c>
      <c r="Y94">
        <v>5.3</v>
      </c>
      <c r="Z94" t="s">
        <v>226</v>
      </c>
      <c r="AA94" t="s">
        <v>163</v>
      </c>
      <c r="AB94" t="s">
        <v>261</v>
      </c>
    </row>
    <row r="95" spans="1:28" ht="15.5" x14ac:dyDescent="0.35">
      <c r="A95">
        <v>90</v>
      </c>
      <c r="B95" t="s">
        <v>411</v>
      </c>
      <c r="C95" t="s">
        <v>412</v>
      </c>
      <c r="D95" t="s">
        <v>168</v>
      </c>
      <c r="E95" t="s">
        <v>260</v>
      </c>
      <c r="F95">
        <v>416.91</v>
      </c>
      <c r="G95">
        <v>-74.16</v>
      </c>
      <c r="H95">
        <v>384.54</v>
      </c>
      <c r="I95">
        <v>0.35</v>
      </c>
      <c r="J95">
        <v>6.5</v>
      </c>
      <c r="K95">
        <v>6.6</v>
      </c>
      <c r="L95" t="s">
        <v>201</v>
      </c>
      <c r="M95" t="s">
        <v>198</v>
      </c>
      <c r="N95" t="s">
        <v>199</v>
      </c>
      <c r="O95">
        <v>0.63500000000000001</v>
      </c>
      <c r="P95">
        <v>266.2</v>
      </c>
      <c r="Q95">
        <v>41.5</v>
      </c>
      <c r="R95">
        <v>60</v>
      </c>
      <c r="S95">
        <v>87.3</v>
      </c>
      <c r="T95">
        <v>99.6</v>
      </c>
      <c r="U95">
        <v>0.75</v>
      </c>
      <c r="V95">
        <v>0.83</v>
      </c>
      <c r="W95">
        <v>1</v>
      </c>
      <c r="X95">
        <v>-5.9</v>
      </c>
      <c r="Y95">
        <v>2.4</v>
      </c>
      <c r="Z95" t="s">
        <v>236</v>
      </c>
      <c r="AA95" t="s">
        <v>163</v>
      </c>
      <c r="AB95" t="s">
        <v>320</v>
      </c>
    </row>
    <row r="96" spans="1:28" ht="15.5" x14ac:dyDescent="0.35">
      <c r="A96">
        <v>91</v>
      </c>
      <c r="B96" t="s">
        <v>413</v>
      </c>
      <c r="C96" t="s">
        <v>414</v>
      </c>
      <c r="D96" t="s">
        <v>168</v>
      </c>
      <c r="E96" t="s">
        <v>260</v>
      </c>
      <c r="F96">
        <v>287.57</v>
      </c>
      <c r="G96">
        <v>-50.09</v>
      </c>
      <c r="H96">
        <v>384</v>
      </c>
      <c r="I96">
        <v>0.35</v>
      </c>
      <c r="J96">
        <v>6.5</v>
      </c>
      <c r="K96">
        <v>6.6</v>
      </c>
      <c r="L96" t="s">
        <v>201</v>
      </c>
      <c r="M96" t="s">
        <v>198</v>
      </c>
      <c r="N96" t="s">
        <v>199</v>
      </c>
      <c r="O96">
        <v>0.63500000000000001</v>
      </c>
      <c r="P96">
        <v>266.2</v>
      </c>
      <c r="Q96">
        <v>56.5</v>
      </c>
      <c r="R96">
        <v>322.5</v>
      </c>
      <c r="S96">
        <v>87.3</v>
      </c>
      <c r="T96">
        <v>99.6</v>
      </c>
      <c r="U96">
        <v>0.75</v>
      </c>
      <c r="V96">
        <v>0.83</v>
      </c>
      <c r="W96">
        <v>1</v>
      </c>
      <c r="X96">
        <v>-3.8</v>
      </c>
      <c r="Y96">
        <v>2.2999999999999998</v>
      </c>
      <c r="Z96" t="s">
        <v>226</v>
      </c>
      <c r="AA96" t="s">
        <v>163</v>
      </c>
      <c r="AB96" t="s">
        <v>261</v>
      </c>
    </row>
    <row r="97" spans="1:28" ht="15.5" x14ac:dyDescent="0.35">
      <c r="A97">
        <v>92</v>
      </c>
      <c r="B97" t="s">
        <v>415</v>
      </c>
      <c r="C97" t="s">
        <v>416</v>
      </c>
      <c r="D97" t="s">
        <v>168</v>
      </c>
      <c r="E97" t="s">
        <v>260</v>
      </c>
      <c r="F97">
        <v>280.43</v>
      </c>
      <c r="G97">
        <v>-60</v>
      </c>
      <c r="H97">
        <v>384.02</v>
      </c>
      <c r="I97">
        <v>0.35</v>
      </c>
      <c r="J97">
        <v>6.5</v>
      </c>
      <c r="K97">
        <v>6.6</v>
      </c>
      <c r="L97" t="s">
        <v>201</v>
      </c>
      <c r="M97" t="s">
        <v>198</v>
      </c>
      <c r="N97" t="s">
        <v>199</v>
      </c>
      <c r="O97">
        <v>0.63500000000000001</v>
      </c>
      <c r="P97">
        <v>266.2</v>
      </c>
      <c r="Q97">
        <v>44</v>
      </c>
      <c r="R97">
        <v>322.5</v>
      </c>
      <c r="S97">
        <v>87.3</v>
      </c>
      <c r="T97">
        <v>99.6</v>
      </c>
      <c r="U97">
        <v>0.75</v>
      </c>
      <c r="V97">
        <v>0.83</v>
      </c>
      <c r="W97">
        <v>1</v>
      </c>
      <c r="X97">
        <v>-4.9000000000000004</v>
      </c>
      <c r="Y97">
        <v>2.9</v>
      </c>
      <c r="Z97" t="s">
        <v>226</v>
      </c>
      <c r="AA97" t="s">
        <v>163</v>
      </c>
      <c r="AB97" t="s">
        <v>261</v>
      </c>
    </row>
    <row r="98" spans="1:28" ht="15.5" x14ac:dyDescent="0.35">
      <c r="A98">
        <v>93</v>
      </c>
      <c r="B98" t="s">
        <v>417</v>
      </c>
      <c r="C98" t="s">
        <v>418</v>
      </c>
      <c r="D98" t="s">
        <v>168</v>
      </c>
      <c r="E98" t="s">
        <v>260</v>
      </c>
      <c r="F98">
        <v>273.29000000000002</v>
      </c>
      <c r="G98">
        <v>-69.92</v>
      </c>
      <c r="H98">
        <v>384.06</v>
      </c>
      <c r="I98">
        <v>0.35</v>
      </c>
      <c r="J98">
        <v>6.5</v>
      </c>
      <c r="K98">
        <v>6.6</v>
      </c>
      <c r="L98" t="s">
        <v>201</v>
      </c>
      <c r="M98" t="s">
        <v>198</v>
      </c>
      <c r="N98" t="s">
        <v>199</v>
      </c>
      <c r="O98">
        <v>0.63500000000000001</v>
      </c>
      <c r="P98">
        <v>266.2</v>
      </c>
      <c r="Q98">
        <v>31.5</v>
      </c>
      <c r="R98">
        <v>322.5</v>
      </c>
      <c r="S98">
        <v>87.3</v>
      </c>
      <c r="T98">
        <v>99.6</v>
      </c>
      <c r="U98">
        <v>0.75</v>
      </c>
      <c r="V98">
        <v>0.83</v>
      </c>
      <c r="W98">
        <v>1</v>
      </c>
      <c r="X98">
        <v>-6.9</v>
      </c>
      <c r="Y98">
        <v>4</v>
      </c>
      <c r="Z98" t="s">
        <v>226</v>
      </c>
      <c r="AA98" t="s">
        <v>163</v>
      </c>
      <c r="AB98" t="s">
        <v>261</v>
      </c>
    </row>
    <row r="99" spans="1:28" ht="15.5" x14ac:dyDescent="0.35">
      <c r="A99">
        <v>94</v>
      </c>
      <c r="B99" t="s">
        <v>419</v>
      </c>
      <c r="C99" t="s">
        <v>420</v>
      </c>
      <c r="D99" t="s">
        <v>168</v>
      </c>
      <c r="E99" t="s">
        <v>260</v>
      </c>
      <c r="F99">
        <v>270.60000000000002</v>
      </c>
      <c r="G99">
        <v>-68.349999999999994</v>
      </c>
      <c r="H99">
        <v>384.18</v>
      </c>
      <c r="I99">
        <v>0.35</v>
      </c>
      <c r="J99">
        <v>6.5</v>
      </c>
      <c r="K99">
        <v>6.6</v>
      </c>
      <c r="L99" t="s">
        <v>201</v>
      </c>
      <c r="M99" t="s">
        <v>198</v>
      </c>
      <c r="N99" t="s">
        <v>199</v>
      </c>
      <c r="O99">
        <v>0.63500000000000001</v>
      </c>
      <c r="P99">
        <v>266.2</v>
      </c>
      <c r="Q99">
        <v>27.5</v>
      </c>
      <c r="R99">
        <v>345</v>
      </c>
      <c r="S99">
        <v>87.3</v>
      </c>
      <c r="T99">
        <v>99.6</v>
      </c>
      <c r="U99">
        <v>0.75</v>
      </c>
      <c r="V99">
        <v>0.83</v>
      </c>
      <c r="W99">
        <v>1</v>
      </c>
      <c r="X99">
        <v>-8.1</v>
      </c>
      <c r="Y99">
        <v>4.3</v>
      </c>
      <c r="Z99" t="s">
        <v>226</v>
      </c>
      <c r="AA99" t="s">
        <v>163</v>
      </c>
      <c r="AB99" t="s">
        <v>261</v>
      </c>
    </row>
    <row r="100" spans="1:28" ht="15.5" x14ac:dyDescent="0.35">
      <c r="A100">
        <v>95</v>
      </c>
      <c r="B100" t="s">
        <v>421</v>
      </c>
      <c r="C100" t="s">
        <v>422</v>
      </c>
      <c r="D100" t="s">
        <v>168</v>
      </c>
      <c r="E100" t="s">
        <v>260</v>
      </c>
      <c r="F100">
        <v>262.97000000000003</v>
      </c>
      <c r="G100">
        <v>-68.91</v>
      </c>
      <c r="H100">
        <v>384.02</v>
      </c>
      <c r="I100">
        <v>0.35</v>
      </c>
      <c r="J100">
        <v>6.5</v>
      </c>
      <c r="K100">
        <v>6.6</v>
      </c>
      <c r="L100" t="s">
        <v>201</v>
      </c>
      <c r="M100" t="s">
        <v>198</v>
      </c>
      <c r="N100" t="s">
        <v>199</v>
      </c>
      <c r="O100">
        <v>0.63500000000000001</v>
      </c>
      <c r="P100">
        <v>266.2</v>
      </c>
      <c r="Q100">
        <v>26</v>
      </c>
      <c r="R100">
        <v>0</v>
      </c>
      <c r="S100">
        <v>87.3</v>
      </c>
      <c r="T100">
        <v>99.6</v>
      </c>
      <c r="U100">
        <v>0.75</v>
      </c>
      <c r="V100">
        <v>0.83</v>
      </c>
      <c r="W100">
        <v>1</v>
      </c>
      <c r="X100">
        <v>-8.1999999999999993</v>
      </c>
      <c r="Y100">
        <v>4.9000000000000004</v>
      </c>
      <c r="Z100" t="s">
        <v>226</v>
      </c>
      <c r="AA100" t="s">
        <v>163</v>
      </c>
      <c r="AB100" t="s">
        <v>261</v>
      </c>
    </row>
    <row r="101" spans="1:28" ht="15.5" x14ac:dyDescent="0.35">
      <c r="A101">
        <v>96</v>
      </c>
      <c r="B101" t="s">
        <v>423</v>
      </c>
      <c r="C101" t="s">
        <v>424</v>
      </c>
      <c r="D101" t="s">
        <v>168</v>
      </c>
      <c r="E101" t="s">
        <v>260</v>
      </c>
      <c r="F101">
        <v>253.08</v>
      </c>
      <c r="G101">
        <v>-67.34</v>
      </c>
      <c r="H101">
        <v>384.01</v>
      </c>
      <c r="I101">
        <v>0.35</v>
      </c>
      <c r="J101">
        <v>6.5</v>
      </c>
      <c r="K101">
        <v>6.6</v>
      </c>
      <c r="L101" t="s">
        <v>201</v>
      </c>
      <c r="M101" t="s">
        <v>198</v>
      </c>
      <c r="N101" t="s">
        <v>199</v>
      </c>
      <c r="O101">
        <v>0.63500000000000001</v>
      </c>
      <c r="P101">
        <v>266.2</v>
      </c>
      <c r="Q101">
        <v>28</v>
      </c>
      <c r="R101">
        <v>10</v>
      </c>
      <c r="S101">
        <v>87.3</v>
      </c>
      <c r="T101">
        <v>99.6</v>
      </c>
      <c r="U101">
        <v>0.75</v>
      </c>
      <c r="V101">
        <v>0.83</v>
      </c>
      <c r="W101">
        <v>1</v>
      </c>
      <c r="X101">
        <v>-7.6</v>
      </c>
      <c r="Y101">
        <v>4.5999999999999996</v>
      </c>
      <c r="Z101" t="s">
        <v>226</v>
      </c>
      <c r="AA101" t="s">
        <v>163</v>
      </c>
      <c r="AB101" t="s">
        <v>261</v>
      </c>
    </row>
    <row r="102" spans="1:28" ht="15.5" x14ac:dyDescent="0.35">
      <c r="A102">
        <v>97</v>
      </c>
      <c r="B102" t="s">
        <v>425</v>
      </c>
      <c r="C102" t="s">
        <v>426</v>
      </c>
      <c r="D102" t="s">
        <v>168</v>
      </c>
      <c r="E102" t="s">
        <v>260</v>
      </c>
      <c r="F102">
        <v>247.84</v>
      </c>
      <c r="G102">
        <v>-64.099999999999994</v>
      </c>
      <c r="H102">
        <v>384.04</v>
      </c>
      <c r="I102">
        <v>0.35</v>
      </c>
      <c r="J102">
        <v>6.5</v>
      </c>
      <c r="K102">
        <v>6.6</v>
      </c>
      <c r="L102" t="s">
        <v>201</v>
      </c>
      <c r="M102" t="s">
        <v>198</v>
      </c>
      <c r="N102" t="s">
        <v>199</v>
      </c>
      <c r="O102">
        <v>0.63500000000000001</v>
      </c>
      <c r="P102">
        <v>266.2</v>
      </c>
      <c r="Q102">
        <v>34</v>
      </c>
      <c r="R102">
        <v>25</v>
      </c>
      <c r="S102">
        <v>87.3</v>
      </c>
      <c r="T102">
        <v>99.6</v>
      </c>
      <c r="U102">
        <v>0.75</v>
      </c>
      <c r="V102">
        <v>0.83</v>
      </c>
      <c r="W102">
        <v>1</v>
      </c>
      <c r="X102">
        <v>-6.4</v>
      </c>
      <c r="Y102">
        <v>3.7</v>
      </c>
      <c r="Z102" t="s">
        <v>226</v>
      </c>
      <c r="AA102" t="s">
        <v>163</v>
      </c>
      <c r="AB102" t="s">
        <v>261</v>
      </c>
    </row>
    <row r="103" spans="1:28" ht="15.5" x14ac:dyDescent="0.35">
      <c r="A103">
        <v>98</v>
      </c>
      <c r="B103" t="s">
        <v>427</v>
      </c>
      <c r="C103" t="s">
        <v>428</v>
      </c>
      <c r="D103" t="s">
        <v>168</v>
      </c>
      <c r="E103" t="s">
        <v>260</v>
      </c>
      <c r="F103">
        <v>229.29</v>
      </c>
      <c r="G103">
        <v>-291.23</v>
      </c>
      <c r="H103">
        <v>384.05</v>
      </c>
      <c r="I103">
        <v>0.35</v>
      </c>
      <c r="J103">
        <v>6.5</v>
      </c>
      <c r="K103">
        <v>6.6</v>
      </c>
      <c r="L103" t="s">
        <v>201</v>
      </c>
      <c r="M103" t="s">
        <v>198</v>
      </c>
      <c r="N103" t="s">
        <v>199</v>
      </c>
      <c r="O103">
        <v>0.63500000000000001</v>
      </c>
      <c r="P103">
        <v>266.2</v>
      </c>
      <c r="Q103">
        <v>48.5</v>
      </c>
      <c r="R103">
        <v>185</v>
      </c>
      <c r="S103">
        <v>87.3</v>
      </c>
      <c r="T103">
        <v>99.6</v>
      </c>
      <c r="U103">
        <v>0.75</v>
      </c>
      <c r="V103">
        <v>0.83</v>
      </c>
      <c r="W103">
        <v>1</v>
      </c>
      <c r="X103">
        <v>-4.5</v>
      </c>
      <c r="Y103">
        <v>2.6</v>
      </c>
      <c r="Z103" t="s">
        <v>226</v>
      </c>
      <c r="AA103" t="s">
        <v>163</v>
      </c>
      <c r="AB103" t="s">
        <v>261</v>
      </c>
    </row>
    <row r="104" spans="1:28" ht="15.5" x14ac:dyDescent="0.35">
      <c r="A104">
        <v>99</v>
      </c>
      <c r="B104" t="s">
        <v>429</v>
      </c>
      <c r="C104" t="s">
        <v>430</v>
      </c>
      <c r="D104" t="s">
        <v>168</v>
      </c>
      <c r="E104" t="s">
        <v>260</v>
      </c>
      <c r="F104">
        <v>248.02</v>
      </c>
      <c r="G104">
        <v>-291.91000000000003</v>
      </c>
      <c r="H104">
        <v>384.04</v>
      </c>
      <c r="I104">
        <v>0.35</v>
      </c>
      <c r="J104">
        <v>6.5</v>
      </c>
      <c r="K104">
        <v>6.6</v>
      </c>
      <c r="L104" t="s">
        <v>201</v>
      </c>
      <c r="M104" t="s">
        <v>198</v>
      </c>
      <c r="N104" t="s">
        <v>199</v>
      </c>
      <c r="O104">
        <v>0.63500000000000001</v>
      </c>
      <c r="P104">
        <v>266.2</v>
      </c>
      <c r="Q104">
        <v>49</v>
      </c>
      <c r="R104">
        <v>180</v>
      </c>
      <c r="S104">
        <v>87.3</v>
      </c>
      <c r="T104">
        <v>99.6</v>
      </c>
      <c r="U104">
        <v>0.75</v>
      </c>
      <c r="V104">
        <v>0.83</v>
      </c>
      <c r="W104">
        <v>1</v>
      </c>
      <c r="X104">
        <v>-4.4000000000000004</v>
      </c>
      <c r="Y104">
        <v>2.6</v>
      </c>
      <c r="Z104" t="s">
        <v>226</v>
      </c>
      <c r="AA104" t="s">
        <v>163</v>
      </c>
      <c r="AB104" t="s">
        <v>261</v>
      </c>
    </row>
    <row r="105" spans="1:28" ht="15.5" x14ac:dyDescent="0.35">
      <c r="A105">
        <v>100</v>
      </c>
      <c r="B105" t="s">
        <v>431</v>
      </c>
      <c r="C105" t="s">
        <v>432</v>
      </c>
      <c r="D105" t="s">
        <v>168</v>
      </c>
      <c r="E105" t="s">
        <v>260</v>
      </c>
      <c r="F105">
        <v>262.52</v>
      </c>
      <c r="G105">
        <v>-292.41000000000003</v>
      </c>
      <c r="H105">
        <v>384.08</v>
      </c>
      <c r="I105">
        <v>0.35</v>
      </c>
      <c r="J105">
        <v>6.5</v>
      </c>
      <c r="K105">
        <v>6.6</v>
      </c>
      <c r="L105" t="s">
        <v>201</v>
      </c>
      <c r="M105" t="s">
        <v>198</v>
      </c>
      <c r="N105" t="s">
        <v>199</v>
      </c>
      <c r="O105">
        <v>0.63500000000000001</v>
      </c>
      <c r="P105">
        <v>266.2</v>
      </c>
      <c r="Q105">
        <v>49.5</v>
      </c>
      <c r="R105">
        <v>180</v>
      </c>
      <c r="S105">
        <v>87.3</v>
      </c>
      <c r="T105">
        <v>99.6</v>
      </c>
      <c r="U105">
        <v>0.75</v>
      </c>
      <c r="V105">
        <v>0.83</v>
      </c>
      <c r="W105">
        <v>1</v>
      </c>
      <c r="X105">
        <v>-4.4000000000000004</v>
      </c>
      <c r="Y105">
        <v>2.5</v>
      </c>
      <c r="Z105" t="s">
        <v>226</v>
      </c>
      <c r="AA105" t="s">
        <v>163</v>
      </c>
      <c r="AB105" t="s">
        <v>261</v>
      </c>
    </row>
    <row r="106" spans="1:28" ht="15.5" x14ac:dyDescent="0.35">
      <c r="A106">
        <v>101</v>
      </c>
      <c r="B106" t="s">
        <v>433</v>
      </c>
      <c r="C106" t="s">
        <v>434</v>
      </c>
      <c r="D106" t="s">
        <v>168</v>
      </c>
      <c r="E106" t="s">
        <v>260</v>
      </c>
      <c r="F106">
        <v>277.27</v>
      </c>
      <c r="G106">
        <v>-292.91000000000003</v>
      </c>
      <c r="H106">
        <v>384.04</v>
      </c>
      <c r="I106">
        <v>0.35</v>
      </c>
      <c r="J106">
        <v>6.5</v>
      </c>
      <c r="K106">
        <v>6.6</v>
      </c>
      <c r="L106" t="s">
        <v>201</v>
      </c>
      <c r="M106" t="s">
        <v>198</v>
      </c>
      <c r="N106" t="s">
        <v>199</v>
      </c>
      <c r="O106">
        <v>0.63500000000000001</v>
      </c>
      <c r="P106">
        <v>266.2</v>
      </c>
      <c r="Q106">
        <v>50</v>
      </c>
      <c r="R106">
        <v>180</v>
      </c>
      <c r="S106">
        <v>87.3</v>
      </c>
      <c r="T106">
        <v>99.6</v>
      </c>
      <c r="U106">
        <v>0.75</v>
      </c>
      <c r="V106">
        <v>0.83</v>
      </c>
      <c r="W106">
        <v>1</v>
      </c>
      <c r="X106">
        <v>-4.3</v>
      </c>
      <c r="Y106">
        <v>2.5</v>
      </c>
      <c r="Z106" t="s">
        <v>226</v>
      </c>
      <c r="AA106" t="s">
        <v>163</v>
      </c>
      <c r="AB106" t="s">
        <v>261</v>
      </c>
    </row>
    <row r="107" spans="1:28" ht="15.5" x14ac:dyDescent="0.35">
      <c r="A107">
        <v>102</v>
      </c>
      <c r="B107" t="s">
        <v>435</v>
      </c>
      <c r="C107" t="s">
        <v>436</v>
      </c>
      <c r="D107" t="s">
        <v>168</v>
      </c>
      <c r="E107" t="s">
        <v>260</v>
      </c>
      <c r="F107">
        <v>291.77</v>
      </c>
      <c r="G107">
        <v>-293.41000000000003</v>
      </c>
      <c r="H107">
        <v>384.13</v>
      </c>
      <c r="I107">
        <v>0.35</v>
      </c>
      <c r="J107">
        <v>6.5</v>
      </c>
      <c r="K107">
        <v>6.6</v>
      </c>
      <c r="L107" t="s">
        <v>201</v>
      </c>
      <c r="M107" t="s">
        <v>198</v>
      </c>
      <c r="N107" t="s">
        <v>199</v>
      </c>
      <c r="O107">
        <v>0.63500000000000001</v>
      </c>
      <c r="P107">
        <v>266.2</v>
      </c>
      <c r="Q107">
        <v>50.5</v>
      </c>
      <c r="R107">
        <v>180</v>
      </c>
      <c r="S107">
        <v>87.3</v>
      </c>
      <c r="T107">
        <v>99.6</v>
      </c>
      <c r="U107">
        <v>0.75</v>
      </c>
      <c r="V107">
        <v>0.83</v>
      </c>
      <c r="W107">
        <v>1</v>
      </c>
      <c r="X107">
        <v>-4.4000000000000004</v>
      </c>
      <c r="Y107">
        <v>2.4</v>
      </c>
      <c r="Z107" t="s">
        <v>226</v>
      </c>
      <c r="AA107" t="s">
        <v>163</v>
      </c>
      <c r="AB107" t="s">
        <v>261</v>
      </c>
    </row>
    <row r="108" spans="1:28" ht="15.5" x14ac:dyDescent="0.35">
      <c r="A108">
        <v>103</v>
      </c>
      <c r="B108" t="s">
        <v>437</v>
      </c>
      <c r="C108" t="s">
        <v>438</v>
      </c>
      <c r="D108" t="s">
        <v>168</v>
      </c>
      <c r="E108" t="s">
        <v>260</v>
      </c>
      <c r="F108">
        <v>306.52</v>
      </c>
      <c r="G108">
        <v>-293.41000000000003</v>
      </c>
      <c r="H108">
        <v>384.01</v>
      </c>
      <c r="I108">
        <v>0.35</v>
      </c>
      <c r="J108">
        <v>6.5</v>
      </c>
      <c r="K108">
        <v>6.6</v>
      </c>
      <c r="L108" t="s">
        <v>201</v>
      </c>
      <c r="M108" t="s">
        <v>198</v>
      </c>
      <c r="N108" t="s">
        <v>199</v>
      </c>
      <c r="O108">
        <v>0.63500000000000001</v>
      </c>
      <c r="P108">
        <v>266.2</v>
      </c>
      <c r="Q108">
        <v>50.5</v>
      </c>
      <c r="R108">
        <v>180</v>
      </c>
      <c r="S108">
        <v>87.3</v>
      </c>
      <c r="T108">
        <v>99.6</v>
      </c>
      <c r="U108">
        <v>0.75</v>
      </c>
      <c r="V108">
        <v>0.83</v>
      </c>
      <c r="W108">
        <v>1</v>
      </c>
      <c r="X108">
        <v>-4.3</v>
      </c>
      <c r="Y108">
        <v>2.5</v>
      </c>
      <c r="Z108" t="s">
        <v>226</v>
      </c>
      <c r="AA108" t="s">
        <v>163</v>
      </c>
      <c r="AB108" t="s">
        <v>261</v>
      </c>
    </row>
    <row r="109" spans="1:28" ht="15.5" x14ac:dyDescent="0.35">
      <c r="A109">
        <v>104</v>
      </c>
      <c r="B109" t="s">
        <v>439</v>
      </c>
      <c r="C109" t="s">
        <v>440</v>
      </c>
      <c r="D109" t="s">
        <v>168</v>
      </c>
      <c r="E109" t="s">
        <v>260</v>
      </c>
      <c r="F109">
        <v>321.02</v>
      </c>
      <c r="G109">
        <v>-293.91000000000003</v>
      </c>
      <c r="H109">
        <v>384.08</v>
      </c>
      <c r="I109">
        <v>0.35</v>
      </c>
      <c r="J109">
        <v>6.5</v>
      </c>
      <c r="K109">
        <v>6.6</v>
      </c>
      <c r="L109" t="s">
        <v>201</v>
      </c>
      <c r="M109" t="s">
        <v>198</v>
      </c>
      <c r="N109" t="s">
        <v>199</v>
      </c>
      <c r="O109">
        <v>0.63500000000000001</v>
      </c>
      <c r="P109">
        <v>266.2</v>
      </c>
      <c r="Q109">
        <v>51</v>
      </c>
      <c r="R109">
        <v>180</v>
      </c>
      <c r="S109">
        <v>87.3</v>
      </c>
      <c r="T109">
        <v>99.6</v>
      </c>
      <c r="U109">
        <v>0.75</v>
      </c>
      <c r="V109">
        <v>0.83</v>
      </c>
      <c r="W109">
        <v>1</v>
      </c>
      <c r="X109">
        <v>-4.3</v>
      </c>
      <c r="Y109">
        <v>2.4</v>
      </c>
      <c r="Z109" t="s">
        <v>226</v>
      </c>
      <c r="AA109" t="s">
        <v>163</v>
      </c>
      <c r="AB109" t="s">
        <v>261</v>
      </c>
    </row>
    <row r="110" spans="1:28" ht="15.5" x14ac:dyDescent="0.35">
      <c r="A110">
        <v>105</v>
      </c>
      <c r="B110" t="s">
        <v>441</v>
      </c>
      <c r="C110" t="s">
        <v>442</v>
      </c>
      <c r="D110" t="s">
        <v>168</v>
      </c>
      <c r="E110" t="s">
        <v>260</v>
      </c>
      <c r="F110">
        <v>361.34</v>
      </c>
      <c r="G110">
        <v>-276.23</v>
      </c>
      <c r="H110">
        <v>384.15</v>
      </c>
      <c r="I110">
        <v>0.35</v>
      </c>
      <c r="J110">
        <v>6.5</v>
      </c>
      <c r="K110">
        <v>6.6</v>
      </c>
      <c r="L110" t="s">
        <v>201</v>
      </c>
      <c r="M110" t="s">
        <v>198</v>
      </c>
      <c r="N110" t="s">
        <v>199</v>
      </c>
      <c r="O110">
        <v>0.63500000000000001</v>
      </c>
      <c r="P110">
        <v>266.2</v>
      </c>
      <c r="Q110">
        <v>42</v>
      </c>
      <c r="R110">
        <v>142.5</v>
      </c>
      <c r="S110">
        <v>87.3</v>
      </c>
      <c r="T110">
        <v>99.6</v>
      </c>
      <c r="U110">
        <v>0.75</v>
      </c>
      <c r="V110">
        <v>0.83</v>
      </c>
      <c r="W110">
        <v>1</v>
      </c>
      <c r="X110">
        <v>-5.3</v>
      </c>
      <c r="Y110">
        <v>2.9</v>
      </c>
      <c r="Z110" t="s">
        <v>226</v>
      </c>
      <c r="AA110" t="s">
        <v>163</v>
      </c>
      <c r="AB110" t="s">
        <v>261</v>
      </c>
    </row>
    <row r="111" spans="1:28" ht="15.5" x14ac:dyDescent="0.35">
      <c r="A111">
        <v>106</v>
      </c>
      <c r="B111" t="s">
        <v>443</v>
      </c>
      <c r="C111" t="s">
        <v>444</v>
      </c>
      <c r="D111" t="s">
        <v>168</v>
      </c>
      <c r="E111" t="s">
        <v>260</v>
      </c>
      <c r="F111">
        <v>372.19</v>
      </c>
      <c r="G111">
        <v>-264.83</v>
      </c>
      <c r="H111">
        <v>384.02</v>
      </c>
      <c r="I111">
        <v>0.35</v>
      </c>
      <c r="J111">
        <v>6.5</v>
      </c>
      <c r="K111">
        <v>6.6</v>
      </c>
      <c r="L111" t="s">
        <v>201</v>
      </c>
      <c r="M111" t="s">
        <v>198</v>
      </c>
      <c r="N111" t="s">
        <v>199</v>
      </c>
      <c r="O111">
        <v>0.63500000000000001</v>
      </c>
      <c r="P111">
        <v>266.2</v>
      </c>
      <c r="Q111">
        <v>31</v>
      </c>
      <c r="R111">
        <v>135</v>
      </c>
      <c r="S111">
        <v>87.3</v>
      </c>
      <c r="T111">
        <v>99.6</v>
      </c>
      <c r="U111">
        <v>0.75</v>
      </c>
      <c r="V111">
        <v>0.83</v>
      </c>
      <c r="W111">
        <v>1</v>
      </c>
      <c r="X111">
        <v>-6.9</v>
      </c>
      <c r="Y111">
        <v>4.0999999999999996</v>
      </c>
      <c r="Z111" t="s">
        <v>226</v>
      </c>
      <c r="AA111" t="s">
        <v>163</v>
      </c>
      <c r="AB111" t="s">
        <v>261</v>
      </c>
    </row>
    <row r="112" spans="1:28" ht="15.5" x14ac:dyDescent="0.35">
      <c r="A112">
        <v>107</v>
      </c>
      <c r="B112" t="s">
        <v>445</v>
      </c>
      <c r="C112" t="s">
        <v>446</v>
      </c>
      <c r="D112" t="s">
        <v>168</v>
      </c>
      <c r="E112" t="s">
        <v>260</v>
      </c>
      <c r="F112">
        <v>408.31</v>
      </c>
      <c r="G112">
        <v>-224.21</v>
      </c>
      <c r="H112">
        <v>384.01</v>
      </c>
      <c r="I112">
        <v>0.35</v>
      </c>
      <c r="J112">
        <v>6.5</v>
      </c>
      <c r="K112">
        <v>6.6</v>
      </c>
      <c r="L112" t="s">
        <v>201</v>
      </c>
      <c r="M112" t="s">
        <v>198</v>
      </c>
      <c r="N112" t="s">
        <v>199</v>
      </c>
      <c r="O112">
        <v>0.63500000000000001</v>
      </c>
      <c r="P112">
        <v>266.2</v>
      </c>
      <c r="Q112">
        <v>45.5</v>
      </c>
      <c r="R112">
        <v>100</v>
      </c>
      <c r="S112">
        <v>87.3</v>
      </c>
      <c r="T112">
        <v>99.6</v>
      </c>
      <c r="U112">
        <v>0.75</v>
      </c>
      <c r="V112">
        <v>0.83</v>
      </c>
      <c r="W112">
        <v>1</v>
      </c>
      <c r="X112">
        <v>-4.7</v>
      </c>
      <c r="Y112">
        <v>2.8</v>
      </c>
      <c r="Z112" t="s">
        <v>226</v>
      </c>
      <c r="AA112" t="s">
        <v>163</v>
      </c>
      <c r="AB112" t="s">
        <v>261</v>
      </c>
    </row>
    <row r="113" spans="1:28" ht="15.5" x14ac:dyDescent="0.35">
      <c r="A113">
        <v>108</v>
      </c>
      <c r="B113" t="s">
        <v>447</v>
      </c>
      <c r="C113" t="s">
        <v>448</v>
      </c>
      <c r="D113" t="s">
        <v>168</v>
      </c>
      <c r="E113" t="s">
        <v>260</v>
      </c>
      <c r="F113">
        <v>412.31</v>
      </c>
      <c r="G113">
        <v>-206.08</v>
      </c>
      <c r="H113">
        <v>384.08</v>
      </c>
      <c r="I113">
        <v>0.35</v>
      </c>
      <c r="J113">
        <v>6.5</v>
      </c>
      <c r="K113">
        <v>6.6</v>
      </c>
      <c r="L113" t="s">
        <v>201</v>
      </c>
      <c r="M113" t="s">
        <v>198</v>
      </c>
      <c r="N113" t="s">
        <v>199</v>
      </c>
      <c r="O113">
        <v>0.63500000000000001</v>
      </c>
      <c r="P113">
        <v>266.2</v>
      </c>
      <c r="Q113">
        <v>49</v>
      </c>
      <c r="R113">
        <v>95</v>
      </c>
      <c r="S113">
        <v>87.3</v>
      </c>
      <c r="T113">
        <v>99.6</v>
      </c>
      <c r="U113">
        <v>0.75</v>
      </c>
      <c r="V113">
        <v>0.83</v>
      </c>
      <c r="W113">
        <v>1</v>
      </c>
      <c r="X113">
        <v>-4.5</v>
      </c>
      <c r="Y113">
        <v>2.5</v>
      </c>
      <c r="Z113" t="s">
        <v>226</v>
      </c>
      <c r="AA113" t="s">
        <v>163</v>
      </c>
      <c r="AB113" t="s">
        <v>261</v>
      </c>
    </row>
    <row r="114" spans="1:28" ht="15.5" x14ac:dyDescent="0.35">
      <c r="A114">
        <v>109</v>
      </c>
      <c r="B114" t="s">
        <v>449</v>
      </c>
      <c r="C114" t="s">
        <v>450</v>
      </c>
      <c r="D114" t="s">
        <v>168</v>
      </c>
      <c r="E114" t="s">
        <v>260</v>
      </c>
      <c r="F114">
        <v>414.5</v>
      </c>
      <c r="G114">
        <v>-187.56</v>
      </c>
      <c r="H114">
        <v>384.12</v>
      </c>
      <c r="I114">
        <v>0.35</v>
      </c>
      <c r="J114">
        <v>6.5</v>
      </c>
      <c r="K114">
        <v>6.6</v>
      </c>
      <c r="L114" t="s">
        <v>201</v>
      </c>
      <c r="M114" t="s">
        <v>198</v>
      </c>
      <c r="N114" t="s">
        <v>199</v>
      </c>
      <c r="O114">
        <v>0.63500000000000001</v>
      </c>
      <c r="P114">
        <v>266.2</v>
      </c>
      <c r="Q114">
        <v>51</v>
      </c>
      <c r="R114">
        <v>90</v>
      </c>
      <c r="S114">
        <v>87.3</v>
      </c>
      <c r="T114">
        <v>99.6</v>
      </c>
      <c r="U114">
        <v>0.75</v>
      </c>
      <c r="V114">
        <v>0.83</v>
      </c>
      <c r="W114">
        <v>1</v>
      </c>
      <c r="X114">
        <v>-4.3</v>
      </c>
      <c r="Y114">
        <v>2.4</v>
      </c>
      <c r="Z114" t="s">
        <v>226</v>
      </c>
      <c r="AA114" t="s">
        <v>163</v>
      </c>
      <c r="AB114" t="s">
        <v>261</v>
      </c>
    </row>
    <row r="115" spans="1:28" ht="15.5" x14ac:dyDescent="0.35">
      <c r="A115">
        <v>110</v>
      </c>
      <c r="B115" t="s">
        <v>451</v>
      </c>
      <c r="C115" t="s">
        <v>452</v>
      </c>
      <c r="D115" t="s">
        <v>168</v>
      </c>
      <c r="E115" t="s">
        <v>260</v>
      </c>
      <c r="F115">
        <v>416</v>
      </c>
      <c r="G115">
        <v>-173.06</v>
      </c>
      <c r="H115">
        <v>384.05</v>
      </c>
      <c r="I115">
        <v>0.35</v>
      </c>
      <c r="J115">
        <v>6.5</v>
      </c>
      <c r="K115">
        <v>6.6</v>
      </c>
      <c r="L115" t="s">
        <v>201</v>
      </c>
      <c r="M115" t="s">
        <v>198</v>
      </c>
      <c r="N115" t="s">
        <v>199</v>
      </c>
      <c r="O115">
        <v>0.63500000000000001</v>
      </c>
      <c r="P115">
        <v>266.2</v>
      </c>
      <c r="Q115">
        <v>52.5</v>
      </c>
      <c r="R115">
        <v>90</v>
      </c>
      <c r="S115">
        <v>87.3</v>
      </c>
      <c r="T115">
        <v>99.6</v>
      </c>
      <c r="U115">
        <v>0.75</v>
      </c>
      <c r="V115">
        <v>0.83</v>
      </c>
      <c r="W115">
        <v>1</v>
      </c>
      <c r="X115">
        <v>-4.0999999999999996</v>
      </c>
      <c r="Y115">
        <v>2.4</v>
      </c>
      <c r="Z115" t="s">
        <v>226</v>
      </c>
      <c r="AA115" t="s">
        <v>163</v>
      </c>
      <c r="AB115" t="s">
        <v>261</v>
      </c>
    </row>
    <row r="116" spans="1:28" ht="15.5" x14ac:dyDescent="0.35">
      <c r="A116">
        <v>111</v>
      </c>
      <c r="B116" t="s">
        <v>453</v>
      </c>
      <c r="C116" t="s">
        <v>454</v>
      </c>
      <c r="D116" t="s">
        <v>168</v>
      </c>
      <c r="E116" t="s">
        <v>260</v>
      </c>
      <c r="F116">
        <v>419.63</v>
      </c>
      <c r="G116">
        <v>-168.71</v>
      </c>
      <c r="H116">
        <v>385.93</v>
      </c>
      <c r="I116">
        <v>0.35</v>
      </c>
      <c r="J116">
        <v>6.5</v>
      </c>
      <c r="K116">
        <v>6.6</v>
      </c>
      <c r="L116" t="s">
        <v>201</v>
      </c>
      <c r="M116" t="s">
        <v>198</v>
      </c>
      <c r="N116" t="s">
        <v>199</v>
      </c>
      <c r="O116">
        <v>0.63500000000000001</v>
      </c>
      <c r="P116">
        <v>266.2</v>
      </c>
      <c r="Q116">
        <v>57</v>
      </c>
      <c r="R116">
        <v>100</v>
      </c>
      <c r="S116">
        <v>87.3</v>
      </c>
      <c r="T116">
        <v>99.6</v>
      </c>
      <c r="U116">
        <v>0.75</v>
      </c>
      <c r="V116">
        <v>0.83</v>
      </c>
      <c r="W116">
        <v>1</v>
      </c>
      <c r="X116">
        <v>-5.7</v>
      </c>
      <c r="Y116">
        <v>0.3</v>
      </c>
      <c r="Z116" t="s">
        <v>236</v>
      </c>
      <c r="AA116" t="s">
        <v>163</v>
      </c>
      <c r="AB116" t="s">
        <v>455</v>
      </c>
    </row>
    <row r="117" spans="1:28" ht="15.5" x14ac:dyDescent="0.35">
      <c r="A117">
        <v>112</v>
      </c>
      <c r="B117" t="s">
        <v>456</v>
      </c>
      <c r="C117" t="s">
        <v>457</v>
      </c>
      <c r="D117" t="s">
        <v>168</v>
      </c>
      <c r="E117" t="s">
        <v>225</v>
      </c>
      <c r="F117">
        <v>417.4</v>
      </c>
      <c r="G117">
        <v>-166.67</v>
      </c>
      <c r="H117">
        <v>384.3</v>
      </c>
      <c r="I117">
        <v>0.35</v>
      </c>
      <c r="J117">
        <v>6.5</v>
      </c>
      <c r="K117">
        <v>6.6</v>
      </c>
      <c r="L117" t="s">
        <v>201</v>
      </c>
      <c r="M117" t="s">
        <v>198</v>
      </c>
      <c r="N117" t="s">
        <v>199</v>
      </c>
      <c r="O117">
        <v>0.63500000000000001</v>
      </c>
      <c r="P117">
        <v>266.2</v>
      </c>
      <c r="Q117">
        <v>58.35</v>
      </c>
      <c r="R117">
        <v>112.5</v>
      </c>
      <c r="S117">
        <v>87.3</v>
      </c>
      <c r="T117">
        <v>99.6</v>
      </c>
      <c r="U117">
        <v>0.75</v>
      </c>
      <c r="V117">
        <v>0.83</v>
      </c>
      <c r="W117">
        <v>1</v>
      </c>
      <c r="X117">
        <v>-4</v>
      </c>
      <c r="Y117">
        <v>1.9</v>
      </c>
      <c r="Z117" t="s">
        <v>226</v>
      </c>
      <c r="AA117" t="s">
        <v>163</v>
      </c>
      <c r="AB117" t="s">
        <v>227</v>
      </c>
    </row>
    <row r="118" spans="1:28" ht="15.5" x14ac:dyDescent="0.35">
      <c r="A118">
        <v>113</v>
      </c>
      <c r="B118" t="s">
        <v>458</v>
      </c>
      <c r="C118" t="s">
        <v>459</v>
      </c>
      <c r="D118" t="s">
        <v>168</v>
      </c>
      <c r="E118" t="s">
        <v>260</v>
      </c>
      <c r="F118">
        <v>423.01</v>
      </c>
      <c r="G118">
        <v>-168.16</v>
      </c>
      <c r="H118">
        <v>388.57</v>
      </c>
      <c r="I118">
        <v>0.35</v>
      </c>
      <c r="J118">
        <v>6.5</v>
      </c>
      <c r="K118">
        <v>6.6</v>
      </c>
      <c r="L118" t="s">
        <v>201</v>
      </c>
      <c r="M118" t="s">
        <v>198</v>
      </c>
      <c r="N118" t="s">
        <v>199</v>
      </c>
      <c r="O118">
        <v>0.63500000000000001</v>
      </c>
      <c r="P118">
        <v>266.2</v>
      </c>
      <c r="Q118">
        <v>58.5</v>
      </c>
      <c r="R118">
        <v>120</v>
      </c>
      <c r="S118">
        <v>87.3</v>
      </c>
      <c r="T118">
        <v>99.6</v>
      </c>
      <c r="U118">
        <v>0.75</v>
      </c>
      <c r="V118">
        <v>0.83</v>
      </c>
      <c r="W118">
        <v>1</v>
      </c>
      <c r="X118">
        <v>-8.1</v>
      </c>
      <c r="Y118">
        <v>-2.2999999999999998</v>
      </c>
      <c r="Z118" t="s">
        <v>236</v>
      </c>
      <c r="AA118" t="s">
        <v>163</v>
      </c>
      <c r="AB118" t="s">
        <v>455</v>
      </c>
    </row>
    <row r="119" spans="1:28" ht="15.5" x14ac:dyDescent="0.35">
      <c r="A119">
        <v>114</v>
      </c>
      <c r="B119" t="s">
        <v>460</v>
      </c>
      <c r="C119" t="s">
        <v>461</v>
      </c>
      <c r="D119" t="s">
        <v>168</v>
      </c>
      <c r="E119" t="s">
        <v>260</v>
      </c>
      <c r="F119">
        <v>418.19</v>
      </c>
      <c r="G119">
        <v>-162.96</v>
      </c>
      <c r="H119">
        <v>384</v>
      </c>
      <c r="I119">
        <v>0.35</v>
      </c>
      <c r="J119">
        <v>6.5</v>
      </c>
      <c r="K119">
        <v>6.6</v>
      </c>
      <c r="L119" t="s">
        <v>201</v>
      </c>
      <c r="M119" t="s">
        <v>198</v>
      </c>
      <c r="N119" t="s">
        <v>199</v>
      </c>
      <c r="O119">
        <v>0.63500000000000001</v>
      </c>
      <c r="P119">
        <v>266.2</v>
      </c>
      <c r="Q119">
        <v>39.5</v>
      </c>
      <c r="R119">
        <v>127.5</v>
      </c>
      <c r="S119">
        <v>87.3</v>
      </c>
      <c r="T119">
        <v>99.6</v>
      </c>
      <c r="U119">
        <v>0.75</v>
      </c>
      <c r="V119">
        <v>0.83</v>
      </c>
      <c r="W119">
        <v>1</v>
      </c>
      <c r="X119">
        <v>-5.4</v>
      </c>
      <c r="Y119">
        <v>3.3</v>
      </c>
      <c r="Z119" t="s">
        <v>226</v>
      </c>
      <c r="AA119" t="s">
        <v>163</v>
      </c>
      <c r="AB119" t="s">
        <v>261</v>
      </c>
    </row>
    <row r="120" spans="1:28" ht="15.5" x14ac:dyDescent="0.35">
      <c r="A120">
        <v>115</v>
      </c>
      <c r="B120" t="s">
        <v>462</v>
      </c>
      <c r="C120" t="s">
        <v>463</v>
      </c>
      <c r="D120" t="s">
        <v>170</v>
      </c>
      <c r="E120" t="s">
        <v>225</v>
      </c>
      <c r="F120">
        <v>449.49</v>
      </c>
      <c r="G120">
        <v>23.16</v>
      </c>
      <c r="H120">
        <v>384.39</v>
      </c>
      <c r="I120">
        <v>0.35</v>
      </c>
      <c r="J120">
        <v>6.5</v>
      </c>
      <c r="K120">
        <v>6.6</v>
      </c>
      <c r="L120" t="s">
        <v>197</v>
      </c>
      <c r="M120" t="s">
        <v>198</v>
      </c>
      <c r="N120" t="s">
        <v>199</v>
      </c>
      <c r="O120">
        <v>0.63500000000000001</v>
      </c>
      <c r="P120">
        <v>117.9</v>
      </c>
      <c r="Q120">
        <v>12.16</v>
      </c>
      <c r="R120">
        <v>359.7</v>
      </c>
      <c r="S120">
        <v>40.799999999999997</v>
      </c>
      <c r="T120">
        <v>44.6</v>
      </c>
      <c r="U120">
        <v>0.35</v>
      </c>
      <c r="V120">
        <v>0.9</v>
      </c>
      <c r="W120">
        <v>1</v>
      </c>
      <c r="X120">
        <v>-18.8</v>
      </c>
      <c r="Y120">
        <v>8.6999999999999993</v>
      </c>
      <c r="Z120" t="s">
        <v>226</v>
      </c>
      <c r="AA120" t="s">
        <v>163</v>
      </c>
      <c r="AB120" t="s">
        <v>227</v>
      </c>
    </row>
    <row r="121" spans="1:28" ht="15.5" x14ac:dyDescent="0.35">
      <c r="A121">
        <v>116</v>
      </c>
      <c r="B121" t="s">
        <v>464</v>
      </c>
      <c r="C121" t="s">
        <v>465</v>
      </c>
      <c r="D121" t="s">
        <v>170</v>
      </c>
      <c r="E121" t="s">
        <v>225</v>
      </c>
      <c r="F121">
        <v>410.55</v>
      </c>
      <c r="G121">
        <v>48.58</v>
      </c>
      <c r="H121">
        <v>384.33</v>
      </c>
      <c r="I121">
        <v>0.35</v>
      </c>
      <c r="J121">
        <v>6.5</v>
      </c>
      <c r="K121">
        <v>6.6</v>
      </c>
      <c r="L121" t="s">
        <v>197</v>
      </c>
      <c r="M121" t="s">
        <v>198</v>
      </c>
      <c r="N121" t="s">
        <v>199</v>
      </c>
      <c r="O121">
        <v>0.63500000000000001</v>
      </c>
      <c r="P121">
        <v>117.9</v>
      </c>
      <c r="Q121">
        <v>7.45</v>
      </c>
      <c r="R121">
        <v>74</v>
      </c>
      <c r="S121">
        <v>40.799999999999997</v>
      </c>
      <c r="T121">
        <v>44.6</v>
      </c>
      <c r="U121">
        <v>0.35</v>
      </c>
      <c r="V121">
        <v>0.9</v>
      </c>
      <c r="W121">
        <v>1</v>
      </c>
      <c r="X121">
        <v>-28.7</v>
      </c>
      <c r="Y121">
        <v>14.4</v>
      </c>
      <c r="Z121" t="s">
        <v>226</v>
      </c>
      <c r="AA121" t="s">
        <v>163</v>
      </c>
      <c r="AB121" t="s">
        <v>251</v>
      </c>
    </row>
    <row r="122" spans="1:28" ht="15.5" x14ac:dyDescent="0.35">
      <c r="A122">
        <v>117</v>
      </c>
      <c r="B122" t="s">
        <v>466</v>
      </c>
      <c r="C122" t="s">
        <v>467</v>
      </c>
      <c r="D122" t="s">
        <v>170</v>
      </c>
      <c r="E122" t="s">
        <v>225</v>
      </c>
      <c r="F122">
        <v>409.94</v>
      </c>
      <c r="G122">
        <v>60.97</v>
      </c>
      <c r="H122">
        <v>384.47</v>
      </c>
      <c r="I122">
        <v>0.35</v>
      </c>
      <c r="J122">
        <v>6.5</v>
      </c>
      <c r="K122">
        <v>6.6</v>
      </c>
      <c r="L122" t="s">
        <v>197</v>
      </c>
      <c r="M122" t="s">
        <v>198</v>
      </c>
      <c r="N122" t="s">
        <v>199</v>
      </c>
      <c r="O122">
        <v>0.63500000000000001</v>
      </c>
      <c r="P122">
        <v>117.9</v>
      </c>
      <c r="Q122">
        <v>10.28</v>
      </c>
      <c r="R122">
        <v>74</v>
      </c>
      <c r="S122">
        <v>40.799999999999997</v>
      </c>
      <c r="T122">
        <v>44.6</v>
      </c>
      <c r="U122">
        <v>0.35</v>
      </c>
      <c r="V122">
        <v>0.9</v>
      </c>
      <c r="W122">
        <v>1</v>
      </c>
      <c r="X122">
        <v>-22.3</v>
      </c>
      <c r="Y122">
        <v>9.8000000000000007</v>
      </c>
      <c r="Z122" t="s">
        <v>226</v>
      </c>
      <c r="AA122" t="s">
        <v>163</v>
      </c>
      <c r="AB122" t="s">
        <v>227</v>
      </c>
    </row>
    <row r="123" spans="1:28" ht="15.5" x14ac:dyDescent="0.35">
      <c r="A123">
        <v>118</v>
      </c>
      <c r="B123" t="s">
        <v>468</v>
      </c>
      <c r="C123" t="s">
        <v>469</v>
      </c>
      <c r="D123" t="s">
        <v>170</v>
      </c>
      <c r="E123" t="s">
        <v>225</v>
      </c>
      <c r="F123">
        <v>462.77</v>
      </c>
      <c r="G123">
        <v>-25.58</v>
      </c>
      <c r="H123">
        <v>384.87</v>
      </c>
      <c r="I123">
        <v>0.35</v>
      </c>
      <c r="J123">
        <v>6.5</v>
      </c>
      <c r="K123">
        <v>6.6</v>
      </c>
      <c r="L123" t="s">
        <v>197</v>
      </c>
      <c r="M123" t="s">
        <v>198</v>
      </c>
      <c r="N123" t="s">
        <v>199</v>
      </c>
      <c r="O123">
        <v>0.63500000000000001</v>
      </c>
      <c r="P123">
        <v>117.9</v>
      </c>
      <c r="Q123">
        <v>2.06</v>
      </c>
      <c r="R123">
        <v>74.2</v>
      </c>
      <c r="S123">
        <v>40.799999999999997</v>
      </c>
      <c r="T123">
        <v>44.6</v>
      </c>
      <c r="U123">
        <v>0.35</v>
      </c>
      <c r="V123">
        <v>0.9</v>
      </c>
      <c r="W123">
        <v>1</v>
      </c>
      <c r="X123">
        <v>-66</v>
      </c>
      <c r="Y123">
        <v>33.799999999999997</v>
      </c>
      <c r="Z123" t="s">
        <v>236</v>
      </c>
      <c r="AA123" t="s">
        <v>163</v>
      </c>
      <c r="AB123" t="s">
        <v>248</v>
      </c>
    </row>
    <row r="124" spans="1:28" ht="15.5" x14ac:dyDescent="0.35">
      <c r="A124">
        <v>119</v>
      </c>
      <c r="B124" t="s">
        <v>470</v>
      </c>
      <c r="C124" t="s">
        <v>471</v>
      </c>
      <c r="D124" t="s">
        <v>170</v>
      </c>
      <c r="E124" t="s">
        <v>225</v>
      </c>
      <c r="F124">
        <v>462.26</v>
      </c>
      <c r="G124">
        <v>-9.6999999999999993</v>
      </c>
      <c r="H124">
        <v>384.38</v>
      </c>
      <c r="I124">
        <v>0.35</v>
      </c>
      <c r="J124">
        <v>6.5</v>
      </c>
      <c r="K124">
        <v>6.6</v>
      </c>
      <c r="L124" t="s">
        <v>197</v>
      </c>
      <c r="M124" t="s">
        <v>198</v>
      </c>
      <c r="N124" t="s">
        <v>199</v>
      </c>
      <c r="O124">
        <v>0.63500000000000001</v>
      </c>
      <c r="P124">
        <v>117.9</v>
      </c>
      <c r="Q124">
        <v>5.95</v>
      </c>
      <c r="R124">
        <v>74.099999999999994</v>
      </c>
      <c r="S124">
        <v>40.799999999999997</v>
      </c>
      <c r="T124">
        <v>44.6</v>
      </c>
      <c r="U124">
        <v>0.35</v>
      </c>
      <c r="V124">
        <v>0.9</v>
      </c>
      <c r="W124">
        <v>1</v>
      </c>
      <c r="X124">
        <v>-34.799999999999997</v>
      </c>
      <c r="Y124">
        <v>17.399999999999999</v>
      </c>
      <c r="Z124" t="s">
        <v>226</v>
      </c>
      <c r="AA124" t="s">
        <v>163</v>
      </c>
      <c r="AB124" t="s">
        <v>251</v>
      </c>
    </row>
    <row r="125" spans="1:28" ht="15.5" x14ac:dyDescent="0.35">
      <c r="A125">
        <v>120</v>
      </c>
      <c r="B125" t="s">
        <v>472</v>
      </c>
      <c r="C125" t="s">
        <v>473</v>
      </c>
      <c r="D125" t="s">
        <v>170</v>
      </c>
      <c r="E125" t="s">
        <v>225</v>
      </c>
      <c r="F125">
        <v>430.99</v>
      </c>
      <c r="G125">
        <v>-60.94</v>
      </c>
      <c r="H125">
        <v>384.22</v>
      </c>
      <c r="I125">
        <v>0.35</v>
      </c>
      <c r="J125">
        <v>6.5</v>
      </c>
      <c r="K125">
        <v>6.6</v>
      </c>
      <c r="L125" t="s">
        <v>197</v>
      </c>
      <c r="M125" t="s">
        <v>198</v>
      </c>
      <c r="N125" t="s">
        <v>199</v>
      </c>
      <c r="O125">
        <v>0.63500000000000001</v>
      </c>
      <c r="P125">
        <v>117.9</v>
      </c>
      <c r="Q125">
        <v>24.04</v>
      </c>
      <c r="R125">
        <v>164</v>
      </c>
      <c r="S125">
        <v>40.799999999999997</v>
      </c>
      <c r="T125">
        <v>44.6</v>
      </c>
      <c r="U125">
        <v>0.35</v>
      </c>
      <c r="V125">
        <v>0.9</v>
      </c>
      <c r="W125">
        <v>1</v>
      </c>
      <c r="X125">
        <v>-9.4</v>
      </c>
      <c r="Y125">
        <v>4.8</v>
      </c>
      <c r="Z125" t="s">
        <v>226</v>
      </c>
      <c r="AA125" t="s">
        <v>163</v>
      </c>
      <c r="AB125" t="s">
        <v>227</v>
      </c>
    </row>
    <row r="126" spans="1:28" ht="15.5" x14ac:dyDescent="0.35">
      <c r="A126">
        <v>121</v>
      </c>
      <c r="B126" t="s">
        <v>474</v>
      </c>
      <c r="C126" t="s">
        <v>475</v>
      </c>
      <c r="D126" t="s">
        <v>170</v>
      </c>
      <c r="E126" t="s">
        <v>225</v>
      </c>
      <c r="F126">
        <v>445.56</v>
      </c>
      <c r="G126">
        <v>-49.66</v>
      </c>
      <c r="H126">
        <v>384.57</v>
      </c>
      <c r="I126">
        <v>0.35</v>
      </c>
      <c r="J126">
        <v>6.5</v>
      </c>
      <c r="K126">
        <v>6.6</v>
      </c>
      <c r="L126" t="s">
        <v>197</v>
      </c>
      <c r="M126" t="s">
        <v>198</v>
      </c>
      <c r="N126" t="s">
        <v>199</v>
      </c>
      <c r="O126">
        <v>0.63500000000000001</v>
      </c>
      <c r="P126">
        <v>117.9</v>
      </c>
      <c r="Q126">
        <v>17.21</v>
      </c>
      <c r="R126">
        <v>164</v>
      </c>
      <c r="S126">
        <v>40.799999999999997</v>
      </c>
      <c r="T126">
        <v>44.6</v>
      </c>
      <c r="U126">
        <v>0.35</v>
      </c>
      <c r="V126">
        <v>0.9</v>
      </c>
      <c r="W126">
        <v>1</v>
      </c>
      <c r="X126">
        <v>-14.1</v>
      </c>
      <c r="Y126">
        <v>5.6</v>
      </c>
      <c r="Z126" t="s">
        <v>236</v>
      </c>
      <c r="AA126" t="s">
        <v>163</v>
      </c>
      <c r="AB126" t="s">
        <v>237</v>
      </c>
    </row>
    <row r="127" spans="1:28" ht="15.5" x14ac:dyDescent="0.35">
      <c r="A127">
        <v>122</v>
      </c>
      <c r="B127" t="s">
        <v>476</v>
      </c>
      <c r="C127" t="s">
        <v>477</v>
      </c>
      <c r="D127" t="s">
        <v>170</v>
      </c>
      <c r="E127" t="s">
        <v>225</v>
      </c>
      <c r="F127">
        <v>453.96</v>
      </c>
      <c r="G127">
        <v>-39.869999999999997</v>
      </c>
      <c r="H127">
        <v>384.76</v>
      </c>
      <c r="I127">
        <v>0.35</v>
      </c>
      <c r="J127">
        <v>6.5</v>
      </c>
      <c r="K127">
        <v>6.6</v>
      </c>
      <c r="L127" t="s">
        <v>197</v>
      </c>
      <c r="M127" t="s">
        <v>198</v>
      </c>
      <c r="N127" t="s">
        <v>199</v>
      </c>
      <c r="O127">
        <v>0.63500000000000001</v>
      </c>
      <c r="P127">
        <v>117.9</v>
      </c>
      <c r="Q127">
        <v>10.119999999999999</v>
      </c>
      <c r="R127">
        <v>164</v>
      </c>
      <c r="S127">
        <v>40.799999999999997</v>
      </c>
      <c r="T127">
        <v>44.6</v>
      </c>
      <c r="U127">
        <v>0.35</v>
      </c>
      <c r="V127">
        <v>0.9</v>
      </c>
      <c r="W127">
        <v>1</v>
      </c>
      <c r="X127">
        <v>-24</v>
      </c>
      <c r="Y127">
        <v>8.4</v>
      </c>
      <c r="Z127" t="s">
        <v>236</v>
      </c>
      <c r="AA127" t="s">
        <v>163</v>
      </c>
      <c r="AB127" t="s">
        <v>237</v>
      </c>
    </row>
    <row r="128" spans="1:28" ht="15.5" x14ac:dyDescent="0.35">
      <c r="A128">
        <v>123</v>
      </c>
      <c r="B128" t="s">
        <v>478</v>
      </c>
      <c r="C128" t="s">
        <v>479</v>
      </c>
      <c r="D128" t="s">
        <v>170</v>
      </c>
      <c r="E128" t="s">
        <v>225</v>
      </c>
      <c r="F128">
        <v>321.97000000000003</v>
      </c>
      <c r="G128">
        <v>33.99</v>
      </c>
      <c r="H128">
        <v>384.5</v>
      </c>
      <c r="I128">
        <v>0.35</v>
      </c>
      <c r="J128">
        <v>6.5</v>
      </c>
      <c r="K128">
        <v>6.6</v>
      </c>
      <c r="L128" t="s">
        <v>197</v>
      </c>
      <c r="M128" t="s">
        <v>198</v>
      </c>
      <c r="N128" t="s">
        <v>199</v>
      </c>
      <c r="O128">
        <v>0.63500000000000001</v>
      </c>
      <c r="P128">
        <v>117.9</v>
      </c>
      <c r="Q128">
        <v>7.54</v>
      </c>
      <c r="R128">
        <v>254</v>
      </c>
      <c r="S128">
        <v>40.799999999999997</v>
      </c>
      <c r="T128">
        <v>44.6</v>
      </c>
      <c r="U128">
        <v>0.35</v>
      </c>
      <c r="V128">
        <v>0.9</v>
      </c>
      <c r="W128">
        <v>1</v>
      </c>
      <c r="X128">
        <v>-29.4</v>
      </c>
      <c r="Y128">
        <v>13.1</v>
      </c>
      <c r="Z128" t="s">
        <v>226</v>
      </c>
      <c r="AA128" t="s">
        <v>163</v>
      </c>
      <c r="AB128" t="s">
        <v>251</v>
      </c>
    </row>
    <row r="129" spans="1:28" ht="15.5" x14ac:dyDescent="0.35">
      <c r="A129">
        <v>124</v>
      </c>
      <c r="B129" t="s">
        <v>480</v>
      </c>
      <c r="C129" t="s">
        <v>481</v>
      </c>
      <c r="D129" t="s">
        <v>170</v>
      </c>
      <c r="E129" t="s">
        <v>225</v>
      </c>
      <c r="F129">
        <v>325.58</v>
      </c>
      <c r="G129">
        <v>20.84</v>
      </c>
      <c r="H129">
        <v>384.38</v>
      </c>
      <c r="I129">
        <v>0.35</v>
      </c>
      <c r="J129">
        <v>6.5</v>
      </c>
      <c r="K129">
        <v>6.6</v>
      </c>
      <c r="L129" t="s">
        <v>197</v>
      </c>
      <c r="M129" t="s">
        <v>198</v>
      </c>
      <c r="N129" t="s">
        <v>199</v>
      </c>
      <c r="O129">
        <v>0.63500000000000001</v>
      </c>
      <c r="P129">
        <v>117.9</v>
      </c>
      <c r="Q129">
        <v>7.7</v>
      </c>
      <c r="R129">
        <v>254</v>
      </c>
      <c r="S129">
        <v>40.799999999999997</v>
      </c>
      <c r="T129">
        <v>44.6</v>
      </c>
      <c r="U129">
        <v>0.35</v>
      </c>
      <c r="V129">
        <v>0.9</v>
      </c>
      <c r="W129">
        <v>1</v>
      </c>
      <c r="X129">
        <v>-28.2</v>
      </c>
      <c r="Y129">
        <v>13.7</v>
      </c>
      <c r="Z129" t="s">
        <v>226</v>
      </c>
      <c r="AA129" t="s">
        <v>163</v>
      </c>
      <c r="AB129" t="s">
        <v>251</v>
      </c>
    </row>
    <row r="130" spans="1:28" ht="15.5" x14ac:dyDescent="0.35">
      <c r="A130">
        <v>125</v>
      </c>
      <c r="B130" t="s">
        <v>482</v>
      </c>
      <c r="C130" t="s">
        <v>483</v>
      </c>
      <c r="D130" t="s">
        <v>170</v>
      </c>
      <c r="E130" t="s">
        <v>225</v>
      </c>
      <c r="F130">
        <v>325.22000000000003</v>
      </c>
      <c r="G130">
        <v>10.06</v>
      </c>
      <c r="H130">
        <v>384.24</v>
      </c>
      <c r="I130">
        <v>0.35</v>
      </c>
      <c r="J130">
        <v>6.5</v>
      </c>
      <c r="K130">
        <v>6.6</v>
      </c>
      <c r="L130" t="s">
        <v>197</v>
      </c>
      <c r="M130" t="s">
        <v>198</v>
      </c>
      <c r="N130" t="s">
        <v>199</v>
      </c>
      <c r="O130">
        <v>0.63500000000000001</v>
      </c>
      <c r="P130">
        <v>117.9</v>
      </c>
      <c r="Q130">
        <v>11.02</v>
      </c>
      <c r="R130">
        <v>254</v>
      </c>
      <c r="S130">
        <v>40.799999999999997</v>
      </c>
      <c r="T130">
        <v>44.6</v>
      </c>
      <c r="U130">
        <v>0.35</v>
      </c>
      <c r="V130">
        <v>0.9</v>
      </c>
      <c r="W130">
        <v>1</v>
      </c>
      <c r="X130">
        <v>-19.899999999999999</v>
      </c>
      <c r="Y130">
        <v>10.4</v>
      </c>
      <c r="Z130" t="s">
        <v>226</v>
      </c>
      <c r="AA130" t="s">
        <v>163</v>
      </c>
      <c r="AB130" t="s">
        <v>227</v>
      </c>
    </row>
    <row r="131" spans="1:28" ht="15.5" x14ac:dyDescent="0.35">
      <c r="A131">
        <v>126</v>
      </c>
      <c r="B131" t="s">
        <v>484</v>
      </c>
      <c r="C131" t="s">
        <v>485</v>
      </c>
      <c r="D131" t="s">
        <v>170</v>
      </c>
      <c r="E131" t="s">
        <v>225</v>
      </c>
      <c r="F131">
        <v>382.71</v>
      </c>
      <c r="G131">
        <v>78.03</v>
      </c>
      <c r="H131">
        <v>384.52</v>
      </c>
      <c r="I131">
        <v>0.35</v>
      </c>
      <c r="J131">
        <v>6.5</v>
      </c>
      <c r="K131">
        <v>6.6</v>
      </c>
      <c r="L131" t="s">
        <v>197</v>
      </c>
      <c r="M131" t="s">
        <v>198</v>
      </c>
      <c r="N131" t="s">
        <v>199</v>
      </c>
      <c r="O131">
        <v>0.63500000000000001</v>
      </c>
      <c r="P131">
        <v>117.9</v>
      </c>
      <c r="Q131">
        <v>10.86</v>
      </c>
      <c r="R131">
        <v>344</v>
      </c>
      <c r="S131">
        <v>40.799999999999997</v>
      </c>
      <c r="T131">
        <v>44.6</v>
      </c>
      <c r="U131">
        <v>0.35</v>
      </c>
      <c r="V131">
        <v>0.9</v>
      </c>
      <c r="W131">
        <v>1</v>
      </c>
      <c r="X131">
        <v>-21.5</v>
      </c>
      <c r="Y131">
        <v>9</v>
      </c>
      <c r="Z131" t="s">
        <v>236</v>
      </c>
      <c r="AA131" t="s">
        <v>163</v>
      </c>
      <c r="AB131" t="s">
        <v>237</v>
      </c>
    </row>
    <row r="132" spans="1:28" ht="15.5" x14ac:dyDescent="0.35">
      <c r="A132">
        <v>127</v>
      </c>
      <c r="B132" t="s">
        <v>486</v>
      </c>
      <c r="C132" t="s">
        <v>487</v>
      </c>
      <c r="D132" t="s">
        <v>170</v>
      </c>
      <c r="E132" t="s">
        <v>225</v>
      </c>
      <c r="F132">
        <v>366.78</v>
      </c>
      <c r="G132">
        <v>76.56</v>
      </c>
      <c r="H132">
        <v>384.44</v>
      </c>
      <c r="I132">
        <v>0.35</v>
      </c>
      <c r="J132">
        <v>6.5</v>
      </c>
      <c r="K132">
        <v>6.6</v>
      </c>
      <c r="L132" t="s">
        <v>197</v>
      </c>
      <c r="M132" t="s">
        <v>198</v>
      </c>
      <c r="N132" t="s">
        <v>199</v>
      </c>
      <c r="O132">
        <v>0.63500000000000001</v>
      </c>
      <c r="P132">
        <v>117.9</v>
      </c>
      <c r="Q132">
        <v>13.83</v>
      </c>
      <c r="R132">
        <v>344</v>
      </c>
      <c r="S132">
        <v>40.799999999999997</v>
      </c>
      <c r="T132">
        <v>44.6</v>
      </c>
      <c r="U132">
        <v>0.35</v>
      </c>
      <c r="V132">
        <v>0.9</v>
      </c>
      <c r="W132">
        <v>1</v>
      </c>
      <c r="X132">
        <v>-16.8</v>
      </c>
      <c r="Y132">
        <v>7.5</v>
      </c>
      <c r="Z132" t="s">
        <v>226</v>
      </c>
      <c r="AA132" t="s">
        <v>163</v>
      </c>
      <c r="AB132" t="s">
        <v>227</v>
      </c>
    </row>
    <row r="133" spans="1:28" ht="15.5" x14ac:dyDescent="0.35">
      <c r="A133">
        <v>128</v>
      </c>
      <c r="B133" t="s">
        <v>488</v>
      </c>
      <c r="C133" t="s">
        <v>489</v>
      </c>
      <c r="D133" t="s">
        <v>170</v>
      </c>
      <c r="E133" t="s">
        <v>225</v>
      </c>
      <c r="F133">
        <v>361.96</v>
      </c>
      <c r="G133">
        <v>76.91</v>
      </c>
      <c r="H133">
        <v>384.52</v>
      </c>
      <c r="I133">
        <v>0.35</v>
      </c>
      <c r="J133">
        <v>6.5</v>
      </c>
      <c r="K133">
        <v>6.6</v>
      </c>
      <c r="L133" t="s">
        <v>197</v>
      </c>
      <c r="M133" t="s">
        <v>198</v>
      </c>
      <c r="N133" t="s">
        <v>199</v>
      </c>
      <c r="O133">
        <v>0.63500000000000001</v>
      </c>
      <c r="P133">
        <v>117.9</v>
      </c>
      <c r="Q133">
        <v>15.5</v>
      </c>
      <c r="R133">
        <v>344</v>
      </c>
      <c r="S133">
        <v>40.799999999999997</v>
      </c>
      <c r="T133">
        <v>44.6</v>
      </c>
      <c r="U133">
        <v>0.35</v>
      </c>
      <c r="V133">
        <v>0.9</v>
      </c>
      <c r="W133">
        <v>1</v>
      </c>
      <c r="X133">
        <v>-15.4</v>
      </c>
      <c r="Y133">
        <v>6.4</v>
      </c>
      <c r="Z133" t="s">
        <v>236</v>
      </c>
      <c r="AA133" t="s">
        <v>163</v>
      </c>
      <c r="AB133" t="s">
        <v>237</v>
      </c>
    </row>
    <row r="134" spans="1:28" ht="15.5" x14ac:dyDescent="0.35">
      <c r="A134">
        <v>129</v>
      </c>
      <c r="B134" t="s">
        <v>490</v>
      </c>
      <c r="C134" t="s">
        <v>491</v>
      </c>
      <c r="D134" t="s">
        <v>170</v>
      </c>
      <c r="E134" t="s">
        <v>225</v>
      </c>
      <c r="F134">
        <v>346.78</v>
      </c>
      <c r="G134">
        <v>77.8</v>
      </c>
      <c r="H134">
        <v>384.51</v>
      </c>
      <c r="I134">
        <v>0.35</v>
      </c>
      <c r="J134">
        <v>6.5</v>
      </c>
      <c r="K134">
        <v>6.6</v>
      </c>
      <c r="L134" t="s">
        <v>197</v>
      </c>
      <c r="M134" t="s">
        <v>198</v>
      </c>
      <c r="N134" t="s">
        <v>199</v>
      </c>
      <c r="O134">
        <v>0.63500000000000001</v>
      </c>
      <c r="P134">
        <v>117.9</v>
      </c>
      <c r="Q134">
        <v>20.54</v>
      </c>
      <c r="R134">
        <v>344</v>
      </c>
      <c r="S134">
        <v>40.799999999999997</v>
      </c>
      <c r="T134">
        <v>44.6</v>
      </c>
      <c r="U134">
        <v>0.35</v>
      </c>
      <c r="V134">
        <v>0.9</v>
      </c>
      <c r="W134">
        <v>1</v>
      </c>
      <c r="X134">
        <v>-11.7</v>
      </c>
      <c r="Y134">
        <v>4.8</v>
      </c>
      <c r="Z134" t="s">
        <v>236</v>
      </c>
      <c r="AA134" t="s">
        <v>163</v>
      </c>
      <c r="AB134" t="s">
        <v>237</v>
      </c>
    </row>
    <row r="135" spans="1:28" ht="15.5" x14ac:dyDescent="0.35">
      <c r="A135">
        <v>130</v>
      </c>
      <c r="B135" t="s">
        <v>492</v>
      </c>
      <c r="C135" t="s">
        <v>493</v>
      </c>
      <c r="D135" t="s">
        <v>170</v>
      </c>
      <c r="E135" t="s">
        <v>225</v>
      </c>
      <c r="F135">
        <v>446.63</v>
      </c>
      <c r="G135">
        <v>24.6</v>
      </c>
      <c r="H135">
        <v>384.39</v>
      </c>
      <c r="I135">
        <v>0.35</v>
      </c>
      <c r="J135">
        <v>6.5</v>
      </c>
      <c r="K135">
        <v>6.6</v>
      </c>
      <c r="L135" t="s">
        <v>197</v>
      </c>
      <c r="M135" t="s">
        <v>198</v>
      </c>
      <c r="N135" t="s">
        <v>199</v>
      </c>
      <c r="O135">
        <v>0.63500000000000001</v>
      </c>
      <c r="P135">
        <v>117.9</v>
      </c>
      <c r="Q135">
        <v>13.91</v>
      </c>
      <c r="R135">
        <v>347.9</v>
      </c>
      <c r="S135">
        <v>40.799999999999997</v>
      </c>
      <c r="T135">
        <v>44.6</v>
      </c>
      <c r="U135">
        <v>0.35</v>
      </c>
      <c r="V135">
        <v>0.9</v>
      </c>
      <c r="W135">
        <v>1</v>
      </c>
      <c r="X135">
        <v>-16.600000000000001</v>
      </c>
      <c r="Y135">
        <v>7.6</v>
      </c>
      <c r="Z135" t="s">
        <v>226</v>
      </c>
      <c r="AA135" t="s">
        <v>163</v>
      </c>
      <c r="AB135" t="s">
        <v>227</v>
      </c>
    </row>
    <row r="136" spans="1:28" ht="15.5" x14ac:dyDescent="0.35">
      <c r="A136">
        <v>131</v>
      </c>
      <c r="B136" t="s">
        <v>494</v>
      </c>
      <c r="C136" t="s">
        <v>495</v>
      </c>
      <c r="D136" t="s">
        <v>170</v>
      </c>
      <c r="E136" t="s">
        <v>260</v>
      </c>
      <c r="F136">
        <v>430.87</v>
      </c>
      <c r="G136">
        <v>29.84</v>
      </c>
      <c r="H136">
        <v>384.01</v>
      </c>
      <c r="I136">
        <v>0.35</v>
      </c>
      <c r="J136">
        <v>6.5</v>
      </c>
      <c r="K136">
        <v>6.6</v>
      </c>
      <c r="L136" t="s">
        <v>197</v>
      </c>
      <c r="M136" t="s">
        <v>198</v>
      </c>
      <c r="N136" t="s">
        <v>199</v>
      </c>
      <c r="O136">
        <v>0.63500000000000001</v>
      </c>
      <c r="P136">
        <v>117.9</v>
      </c>
      <c r="Q136">
        <v>27.5</v>
      </c>
      <c r="R136">
        <v>36.5</v>
      </c>
      <c r="S136">
        <v>40.799999999999997</v>
      </c>
      <c r="T136">
        <v>44.6</v>
      </c>
      <c r="U136">
        <v>0.35</v>
      </c>
      <c r="V136">
        <v>0.9</v>
      </c>
      <c r="W136">
        <v>1</v>
      </c>
      <c r="X136">
        <v>-7.8</v>
      </c>
      <c r="Y136">
        <v>4.7</v>
      </c>
      <c r="Z136" t="s">
        <v>226</v>
      </c>
      <c r="AA136" t="s">
        <v>163</v>
      </c>
      <c r="AB136" t="s">
        <v>261</v>
      </c>
    </row>
    <row r="137" spans="1:28" ht="15.5" x14ac:dyDescent="0.35">
      <c r="A137">
        <v>132</v>
      </c>
      <c r="B137" t="s">
        <v>496</v>
      </c>
      <c r="C137" t="s">
        <v>497</v>
      </c>
      <c r="D137" t="s">
        <v>170</v>
      </c>
      <c r="E137" t="s">
        <v>260</v>
      </c>
      <c r="F137">
        <v>413.63</v>
      </c>
      <c r="G137">
        <v>-75.319999999999993</v>
      </c>
      <c r="H137">
        <v>384.08</v>
      </c>
      <c r="I137">
        <v>0.35</v>
      </c>
      <c r="J137">
        <v>6.5</v>
      </c>
      <c r="K137">
        <v>6.6</v>
      </c>
      <c r="L137" t="s">
        <v>197</v>
      </c>
      <c r="M137" t="s">
        <v>198</v>
      </c>
      <c r="N137" t="s">
        <v>199</v>
      </c>
      <c r="O137">
        <v>0.63500000000000001</v>
      </c>
      <c r="P137">
        <v>117.9</v>
      </c>
      <c r="Q137">
        <v>36.5</v>
      </c>
      <c r="R137">
        <v>139</v>
      </c>
      <c r="S137">
        <v>40.799999999999997</v>
      </c>
      <c r="T137">
        <v>44.6</v>
      </c>
      <c r="U137">
        <v>0.35</v>
      </c>
      <c r="V137">
        <v>0.9</v>
      </c>
      <c r="W137">
        <v>1</v>
      </c>
      <c r="X137">
        <v>-6</v>
      </c>
      <c r="Y137">
        <v>3.4</v>
      </c>
      <c r="Z137" t="s">
        <v>226</v>
      </c>
      <c r="AA137" t="s">
        <v>163</v>
      </c>
      <c r="AB137" t="s">
        <v>261</v>
      </c>
    </row>
    <row r="138" spans="1:28" ht="15.5" x14ac:dyDescent="0.35">
      <c r="A138">
        <v>133</v>
      </c>
      <c r="B138" t="s">
        <v>498</v>
      </c>
      <c r="C138" t="s">
        <v>499</v>
      </c>
      <c r="D138" t="s">
        <v>170</v>
      </c>
      <c r="E138" t="s">
        <v>260</v>
      </c>
      <c r="F138">
        <v>309.10000000000002</v>
      </c>
      <c r="G138">
        <v>-1.49</v>
      </c>
      <c r="H138">
        <v>384.02</v>
      </c>
      <c r="I138">
        <v>0.35</v>
      </c>
      <c r="J138">
        <v>6.5</v>
      </c>
      <c r="K138">
        <v>6.6</v>
      </c>
      <c r="L138" t="s">
        <v>197</v>
      </c>
      <c r="M138" t="s">
        <v>198</v>
      </c>
      <c r="N138" t="s">
        <v>199</v>
      </c>
      <c r="O138">
        <v>0.63500000000000001</v>
      </c>
      <c r="P138">
        <v>117.9</v>
      </c>
      <c r="Q138">
        <v>42</v>
      </c>
      <c r="R138">
        <v>299</v>
      </c>
      <c r="S138">
        <v>40.799999999999997</v>
      </c>
      <c r="T138">
        <v>44.6</v>
      </c>
      <c r="U138">
        <v>0.35</v>
      </c>
      <c r="V138">
        <v>0.9</v>
      </c>
      <c r="W138">
        <v>1</v>
      </c>
      <c r="X138">
        <v>-5.0999999999999996</v>
      </c>
      <c r="Y138">
        <v>3</v>
      </c>
      <c r="Z138" t="s">
        <v>226</v>
      </c>
      <c r="AA138" t="s">
        <v>163</v>
      </c>
      <c r="AB138" t="s">
        <v>261</v>
      </c>
    </row>
    <row r="139" spans="1:28" ht="15.5" x14ac:dyDescent="0.35">
      <c r="A139">
        <v>134</v>
      </c>
      <c r="B139" t="s">
        <v>500</v>
      </c>
      <c r="C139" t="s">
        <v>501</v>
      </c>
      <c r="D139" t="s">
        <v>170</v>
      </c>
      <c r="E139" t="s">
        <v>260</v>
      </c>
      <c r="F139">
        <v>323.68</v>
      </c>
      <c r="G139">
        <v>56.43</v>
      </c>
      <c r="H139">
        <v>384.04</v>
      </c>
      <c r="I139">
        <v>0.35</v>
      </c>
      <c r="J139">
        <v>6.5</v>
      </c>
      <c r="K139">
        <v>6.6</v>
      </c>
      <c r="L139" t="s">
        <v>197</v>
      </c>
      <c r="M139" t="s">
        <v>198</v>
      </c>
      <c r="N139" t="s">
        <v>199</v>
      </c>
      <c r="O139">
        <v>0.63500000000000001</v>
      </c>
      <c r="P139">
        <v>117.9</v>
      </c>
      <c r="Q139">
        <v>9</v>
      </c>
      <c r="R139">
        <v>299</v>
      </c>
      <c r="S139">
        <v>40.799999999999997</v>
      </c>
      <c r="T139">
        <v>44.6</v>
      </c>
      <c r="U139">
        <v>0.35</v>
      </c>
      <c r="V139">
        <v>0.9</v>
      </c>
      <c r="W139">
        <v>1</v>
      </c>
      <c r="X139">
        <v>-22.8</v>
      </c>
      <c r="Y139">
        <v>13.8</v>
      </c>
      <c r="Z139" t="s">
        <v>226</v>
      </c>
      <c r="AA139" t="s">
        <v>163</v>
      </c>
      <c r="AB139" t="s">
        <v>261</v>
      </c>
    </row>
    <row r="140" spans="1:28" ht="15.5" x14ac:dyDescent="0.35">
      <c r="A140">
        <v>135</v>
      </c>
      <c r="B140" t="s">
        <v>502</v>
      </c>
      <c r="C140" t="s">
        <v>503</v>
      </c>
      <c r="D140" t="s">
        <v>170</v>
      </c>
      <c r="E140" t="s">
        <v>260</v>
      </c>
      <c r="F140">
        <v>441.86</v>
      </c>
      <c r="G140">
        <v>19.84</v>
      </c>
      <c r="H140">
        <v>384.01</v>
      </c>
      <c r="I140">
        <v>0.35</v>
      </c>
      <c r="J140">
        <v>6.5</v>
      </c>
      <c r="K140">
        <v>6.6</v>
      </c>
      <c r="L140" t="s">
        <v>197</v>
      </c>
      <c r="M140" t="s">
        <v>198</v>
      </c>
      <c r="N140" t="s">
        <v>199</v>
      </c>
      <c r="O140">
        <v>0.63500000000000001</v>
      </c>
      <c r="P140">
        <v>117.9</v>
      </c>
      <c r="Q140">
        <v>18.5</v>
      </c>
      <c r="R140">
        <v>39</v>
      </c>
      <c r="S140">
        <v>40.799999999999997</v>
      </c>
      <c r="T140">
        <v>44.6</v>
      </c>
      <c r="U140">
        <v>0.35</v>
      </c>
      <c r="V140">
        <v>0.9</v>
      </c>
      <c r="W140">
        <v>1</v>
      </c>
      <c r="X140">
        <v>-11.5</v>
      </c>
      <c r="Y140">
        <v>6.9</v>
      </c>
      <c r="Z140" t="s">
        <v>226</v>
      </c>
      <c r="AA140" t="s">
        <v>163</v>
      </c>
      <c r="AB140" t="s">
        <v>261</v>
      </c>
    </row>
    <row r="141" spans="1:28" ht="15.5" x14ac:dyDescent="0.35">
      <c r="A141">
        <v>136</v>
      </c>
      <c r="B141" t="s">
        <v>504</v>
      </c>
      <c r="C141" t="s">
        <v>505</v>
      </c>
      <c r="D141" t="s">
        <v>170</v>
      </c>
      <c r="E141" t="s">
        <v>260</v>
      </c>
      <c r="F141">
        <v>414.35</v>
      </c>
      <c r="G141">
        <v>34.200000000000003</v>
      </c>
      <c r="H141">
        <v>384.01</v>
      </c>
      <c r="I141">
        <v>0.35</v>
      </c>
      <c r="J141">
        <v>6.5</v>
      </c>
      <c r="K141">
        <v>6.6</v>
      </c>
      <c r="L141" t="s">
        <v>197</v>
      </c>
      <c r="M141" t="s">
        <v>198</v>
      </c>
      <c r="N141" t="s">
        <v>199</v>
      </c>
      <c r="O141">
        <v>0.63500000000000001</v>
      </c>
      <c r="P141">
        <v>117.9</v>
      </c>
      <c r="Q141">
        <v>8.99</v>
      </c>
      <c r="R141">
        <v>36.5</v>
      </c>
      <c r="S141">
        <v>40.799999999999997</v>
      </c>
      <c r="T141">
        <v>44.6</v>
      </c>
      <c r="U141">
        <v>0.35</v>
      </c>
      <c r="V141">
        <v>0.9</v>
      </c>
      <c r="W141">
        <v>1</v>
      </c>
      <c r="X141">
        <v>-22.7</v>
      </c>
      <c r="Y141">
        <v>14</v>
      </c>
      <c r="Z141" t="s">
        <v>226</v>
      </c>
      <c r="AA141" t="s">
        <v>163</v>
      </c>
      <c r="AB141" t="s">
        <v>261</v>
      </c>
    </row>
    <row r="142" spans="1:28" ht="15.5" x14ac:dyDescent="0.35">
      <c r="A142">
        <v>137</v>
      </c>
      <c r="B142" t="s">
        <v>506</v>
      </c>
      <c r="C142" t="s">
        <v>507</v>
      </c>
      <c r="D142" t="s">
        <v>170</v>
      </c>
      <c r="E142" t="s">
        <v>260</v>
      </c>
      <c r="F142">
        <v>427.84</v>
      </c>
      <c r="G142">
        <v>-62.97</v>
      </c>
      <c r="H142">
        <v>384.01</v>
      </c>
      <c r="I142">
        <v>0.35</v>
      </c>
      <c r="J142">
        <v>6.5</v>
      </c>
      <c r="K142">
        <v>6.6</v>
      </c>
      <c r="L142" t="s">
        <v>197</v>
      </c>
      <c r="M142" t="s">
        <v>198</v>
      </c>
      <c r="N142" t="s">
        <v>199</v>
      </c>
      <c r="O142">
        <v>0.63500000000000001</v>
      </c>
      <c r="P142">
        <v>117.9</v>
      </c>
      <c r="Q142">
        <v>29</v>
      </c>
      <c r="R142">
        <v>134</v>
      </c>
      <c r="S142">
        <v>40.799999999999997</v>
      </c>
      <c r="T142">
        <v>44.6</v>
      </c>
      <c r="U142">
        <v>0.35</v>
      </c>
      <c r="V142">
        <v>0.9</v>
      </c>
      <c r="W142">
        <v>1</v>
      </c>
      <c r="X142">
        <v>-7.4</v>
      </c>
      <c r="Y142">
        <v>4.4000000000000004</v>
      </c>
      <c r="Z142" t="s">
        <v>226</v>
      </c>
      <c r="AA142" t="s">
        <v>163</v>
      </c>
      <c r="AB142" t="s">
        <v>261</v>
      </c>
    </row>
    <row r="143" spans="1:28" ht="15.5" x14ac:dyDescent="0.35">
      <c r="A143">
        <v>138</v>
      </c>
      <c r="B143" t="s">
        <v>508</v>
      </c>
      <c r="C143" t="s">
        <v>509</v>
      </c>
      <c r="D143" t="s">
        <v>170</v>
      </c>
      <c r="E143" t="s">
        <v>260</v>
      </c>
      <c r="F143">
        <v>326.88</v>
      </c>
      <c r="G143">
        <v>3.2</v>
      </c>
      <c r="H143">
        <v>384.01</v>
      </c>
      <c r="I143">
        <v>0.35</v>
      </c>
      <c r="J143">
        <v>6.5</v>
      </c>
      <c r="K143">
        <v>6.6</v>
      </c>
      <c r="L143" t="s">
        <v>197</v>
      </c>
      <c r="M143" t="s">
        <v>198</v>
      </c>
      <c r="N143" t="s">
        <v>199</v>
      </c>
      <c r="O143">
        <v>0.63500000000000001</v>
      </c>
      <c r="P143">
        <v>117.9</v>
      </c>
      <c r="Q143">
        <v>16</v>
      </c>
      <c r="R143">
        <v>299</v>
      </c>
      <c r="S143">
        <v>40.799999999999997</v>
      </c>
      <c r="T143">
        <v>44.6</v>
      </c>
      <c r="U143">
        <v>0.35</v>
      </c>
      <c r="V143">
        <v>0.9</v>
      </c>
      <c r="W143">
        <v>1</v>
      </c>
      <c r="X143">
        <v>-13.2</v>
      </c>
      <c r="Y143">
        <v>8</v>
      </c>
      <c r="Z143" t="s">
        <v>226</v>
      </c>
      <c r="AA143" t="s">
        <v>163</v>
      </c>
      <c r="AB143" t="s">
        <v>261</v>
      </c>
    </row>
    <row r="144" spans="1:28" ht="15.5" x14ac:dyDescent="0.35">
      <c r="A144">
        <v>139</v>
      </c>
      <c r="B144" t="s">
        <v>510</v>
      </c>
      <c r="C144" t="s">
        <v>511</v>
      </c>
      <c r="D144" t="s">
        <v>170</v>
      </c>
      <c r="E144" t="s">
        <v>260</v>
      </c>
      <c r="F144">
        <v>297.95</v>
      </c>
      <c r="G144">
        <v>-30.81</v>
      </c>
      <c r="H144">
        <v>384.05</v>
      </c>
      <c r="I144">
        <v>0.35</v>
      </c>
      <c r="J144">
        <v>6.5</v>
      </c>
      <c r="K144">
        <v>6.6</v>
      </c>
      <c r="L144" t="s">
        <v>197</v>
      </c>
      <c r="M144" t="s">
        <v>198</v>
      </c>
      <c r="N144" t="s">
        <v>199</v>
      </c>
      <c r="O144">
        <v>0.63500000000000001</v>
      </c>
      <c r="P144">
        <v>117.9</v>
      </c>
      <c r="Q144">
        <v>53.5</v>
      </c>
      <c r="R144">
        <v>279</v>
      </c>
      <c r="S144">
        <v>40.799999999999997</v>
      </c>
      <c r="T144">
        <v>44.6</v>
      </c>
      <c r="U144">
        <v>0.35</v>
      </c>
      <c r="V144">
        <v>0.9</v>
      </c>
      <c r="W144">
        <v>1</v>
      </c>
      <c r="X144">
        <v>-4.0999999999999996</v>
      </c>
      <c r="Y144">
        <v>2.4</v>
      </c>
      <c r="Z144" t="s">
        <v>226</v>
      </c>
      <c r="AA144" t="s">
        <v>163</v>
      </c>
      <c r="AB144" t="s">
        <v>261</v>
      </c>
    </row>
    <row r="145" spans="1:28" ht="15.5" x14ac:dyDescent="0.35">
      <c r="A145">
        <v>140</v>
      </c>
      <c r="B145" t="s">
        <v>512</v>
      </c>
      <c r="C145" t="s">
        <v>513</v>
      </c>
      <c r="D145" t="s">
        <v>170</v>
      </c>
      <c r="E145" t="s">
        <v>260</v>
      </c>
      <c r="F145">
        <v>458.99</v>
      </c>
      <c r="G145">
        <v>1.92</v>
      </c>
      <c r="H145">
        <v>384</v>
      </c>
      <c r="I145">
        <v>0.35</v>
      </c>
      <c r="J145">
        <v>6.5</v>
      </c>
      <c r="K145">
        <v>6.6</v>
      </c>
      <c r="L145" t="s">
        <v>197</v>
      </c>
      <c r="M145" t="s">
        <v>198</v>
      </c>
      <c r="N145" t="s">
        <v>199</v>
      </c>
      <c r="O145">
        <v>0.63500000000000001</v>
      </c>
      <c r="P145">
        <v>117.9</v>
      </c>
      <c r="Q145">
        <v>6</v>
      </c>
      <c r="R145">
        <v>74</v>
      </c>
      <c r="S145">
        <v>40.799999999999997</v>
      </c>
      <c r="T145">
        <v>44.6</v>
      </c>
      <c r="U145">
        <v>0.35</v>
      </c>
      <c r="V145">
        <v>0.9</v>
      </c>
      <c r="W145">
        <v>1</v>
      </c>
      <c r="X145">
        <v>-32</v>
      </c>
      <c r="Y145">
        <v>20.5</v>
      </c>
      <c r="Z145" t="s">
        <v>226</v>
      </c>
      <c r="AA145" t="s">
        <v>163</v>
      </c>
      <c r="AB145" t="s">
        <v>514</v>
      </c>
    </row>
    <row r="146" spans="1:28" ht="15.5" x14ac:dyDescent="0.35">
      <c r="A146">
        <v>141</v>
      </c>
      <c r="B146" t="s">
        <v>515</v>
      </c>
      <c r="C146" t="s">
        <v>516</v>
      </c>
      <c r="D146" t="s">
        <v>170</v>
      </c>
      <c r="E146" t="s">
        <v>260</v>
      </c>
      <c r="F146">
        <v>399.47</v>
      </c>
      <c r="G146">
        <v>71.05</v>
      </c>
      <c r="H146">
        <v>384.14</v>
      </c>
      <c r="I146">
        <v>0.35</v>
      </c>
      <c r="J146">
        <v>6.5</v>
      </c>
      <c r="K146">
        <v>6.6</v>
      </c>
      <c r="L146" t="s">
        <v>197</v>
      </c>
      <c r="M146" t="s">
        <v>198</v>
      </c>
      <c r="N146" t="s">
        <v>199</v>
      </c>
      <c r="O146">
        <v>0.63500000000000001</v>
      </c>
      <c r="P146">
        <v>117.9</v>
      </c>
      <c r="Q146">
        <v>3</v>
      </c>
      <c r="R146">
        <v>73.900000000000006</v>
      </c>
      <c r="S146">
        <v>40.799999999999997</v>
      </c>
      <c r="T146">
        <v>44.6</v>
      </c>
      <c r="U146">
        <v>0.35</v>
      </c>
      <c r="V146">
        <v>0.9</v>
      </c>
      <c r="W146">
        <v>1</v>
      </c>
      <c r="X146">
        <v>-52.3</v>
      </c>
      <c r="Y146">
        <v>35.200000000000003</v>
      </c>
      <c r="Z146" t="s">
        <v>226</v>
      </c>
      <c r="AA146" t="s">
        <v>163</v>
      </c>
      <c r="AB146" t="s">
        <v>514</v>
      </c>
    </row>
    <row r="147" spans="1:28" ht="15.5" x14ac:dyDescent="0.35">
      <c r="A147">
        <v>142</v>
      </c>
      <c r="B147" t="s">
        <v>517</v>
      </c>
      <c r="C147" t="s">
        <v>518</v>
      </c>
      <c r="D147" t="s">
        <v>170</v>
      </c>
      <c r="E147" t="s">
        <v>260</v>
      </c>
      <c r="F147">
        <v>337.99</v>
      </c>
      <c r="G147">
        <v>69.52</v>
      </c>
      <c r="H147">
        <v>384.01</v>
      </c>
      <c r="I147">
        <v>0.35</v>
      </c>
      <c r="J147">
        <v>6.5</v>
      </c>
      <c r="K147">
        <v>6.6</v>
      </c>
      <c r="L147" t="s">
        <v>197</v>
      </c>
      <c r="M147" t="s">
        <v>198</v>
      </c>
      <c r="N147" t="s">
        <v>199</v>
      </c>
      <c r="O147">
        <v>0.63500000000000001</v>
      </c>
      <c r="P147">
        <v>117.9</v>
      </c>
      <c r="Q147">
        <v>15</v>
      </c>
      <c r="R147">
        <v>344</v>
      </c>
      <c r="S147">
        <v>40.799999999999997</v>
      </c>
      <c r="T147">
        <v>44.6</v>
      </c>
      <c r="U147">
        <v>0.35</v>
      </c>
      <c r="V147">
        <v>0.9</v>
      </c>
      <c r="W147">
        <v>1</v>
      </c>
      <c r="X147">
        <v>-14.1</v>
      </c>
      <c r="Y147">
        <v>8.5</v>
      </c>
      <c r="Z147" t="s">
        <v>226</v>
      </c>
      <c r="AA147" t="s">
        <v>163</v>
      </c>
      <c r="AB147" t="s">
        <v>261</v>
      </c>
    </row>
    <row r="148" spans="1:28" ht="15.5" x14ac:dyDescent="0.35">
      <c r="A148">
        <v>143</v>
      </c>
      <c r="B148" t="s">
        <v>519</v>
      </c>
      <c r="C148" t="s">
        <v>520</v>
      </c>
      <c r="D148" t="s">
        <v>171</v>
      </c>
      <c r="E148" t="s">
        <v>225</v>
      </c>
      <c r="F148">
        <v>216.14</v>
      </c>
      <c r="G148">
        <v>-40.06</v>
      </c>
      <c r="H148">
        <v>384.38</v>
      </c>
      <c r="I148">
        <v>0.35</v>
      </c>
      <c r="J148">
        <v>6.5</v>
      </c>
      <c r="K148">
        <v>6.6</v>
      </c>
      <c r="L148" t="s">
        <v>202</v>
      </c>
      <c r="M148" t="s">
        <v>198</v>
      </c>
      <c r="N148" t="s">
        <v>199</v>
      </c>
      <c r="O148">
        <v>0.63500000000000001</v>
      </c>
      <c r="P148">
        <v>143.80000000000001</v>
      </c>
      <c r="Q148">
        <v>37.869999999999997</v>
      </c>
      <c r="R148">
        <v>88.9</v>
      </c>
      <c r="S148">
        <v>45.6</v>
      </c>
      <c r="T148">
        <v>53.6</v>
      </c>
      <c r="U148">
        <v>0.39</v>
      </c>
      <c r="V148">
        <v>0.82</v>
      </c>
      <c r="W148">
        <v>1</v>
      </c>
      <c r="X148">
        <v>-6.2</v>
      </c>
      <c r="Y148">
        <v>2.8</v>
      </c>
      <c r="Z148" t="s">
        <v>226</v>
      </c>
      <c r="AA148" t="s">
        <v>163</v>
      </c>
      <c r="AB148" t="s">
        <v>227</v>
      </c>
    </row>
    <row r="149" spans="1:28" ht="15.5" x14ac:dyDescent="0.35">
      <c r="A149">
        <v>144</v>
      </c>
      <c r="B149" t="s">
        <v>521</v>
      </c>
      <c r="C149" t="s">
        <v>522</v>
      </c>
      <c r="D149" t="s">
        <v>171</v>
      </c>
      <c r="E149" t="s">
        <v>225</v>
      </c>
      <c r="F149">
        <v>194.79</v>
      </c>
      <c r="G149">
        <v>14.05</v>
      </c>
      <c r="H149">
        <v>384.36</v>
      </c>
      <c r="I149">
        <v>0.35</v>
      </c>
      <c r="J149">
        <v>6.5</v>
      </c>
      <c r="K149">
        <v>6.6</v>
      </c>
      <c r="L149" t="s">
        <v>202</v>
      </c>
      <c r="M149" t="s">
        <v>198</v>
      </c>
      <c r="N149" t="s">
        <v>199</v>
      </c>
      <c r="O149">
        <v>0.63500000000000001</v>
      </c>
      <c r="P149">
        <v>143.80000000000001</v>
      </c>
      <c r="Q149">
        <v>34.9</v>
      </c>
      <c r="R149">
        <v>90</v>
      </c>
      <c r="S149">
        <v>45.6</v>
      </c>
      <c r="T149">
        <v>53.6</v>
      </c>
      <c r="U149">
        <v>0.39</v>
      </c>
      <c r="V149">
        <v>0.82</v>
      </c>
      <c r="W149">
        <v>1</v>
      </c>
      <c r="X149">
        <v>-6.7</v>
      </c>
      <c r="Y149">
        <v>3.1</v>
      </c>
      <c r="Z149" t="s">
        <v>226</v>
      </c>
      <c r="AA149" t="s">
        <v>163</v>
      </c>
      <c r="AB149" t="s">
        <v>227</v>
      </c>
    </row>
    <row r="150" spans="1:28" ht="15.5" x14ac:dyDescent="0.35">
      <c r="A150">
        <v>145</v>
      </c>
      <c r="B150" t="s">
        <v>523</v>
      </c>
      <c r="C150" t="s">
        <v>524</v>
      </c>
      <c r="D150" t="s">
        <v>171</v>
      </c>
      <c r="E150" t="s">
        <v>225</v>
      </c>
      <c r="F150">
        <v>193.88</v>
      </c>
      <c r="G150">
        <v>17.89</v>
      </c>
      <c r="H150">
        <v>384.48</v>
      </c>
      <c r="I150">
        <v>0.35</v>
      </c>
      <c r="J150">
        <v>6.5</v>
      </c>
      <c r="K150">
        <v>6.6</v>
      </c>
      <c r="L150" t="s">
        <v>202</v>
      </c>
      <c r="M150" t="s">
        <v>198</v>
      </c>
      <c r="N150" t="s">
        <v>199</v>
      </c>
      <c r="O150">
        <v>0.63500000000000001</v>
      </c>
      <c r="P150">
        <v>143.80000000000001</v>
      </c>
      <c r="Q150">
        <v>33.99</v>
      </c>
      <c r="R150">
        <v>90</v>
      </c>
      <c r="S150">
        <v>45.6</v>
      </c>
      <c r="T150">
        <v>53.6</v>
      </c>
      <c r="U150">
        <v>0.39</v>
      </c>
      <c r="V150">
        <v>0.82</v>
      </c>
      <c r="W150">
        <v>1</v>
      </c>
      <c r="X150">
        <v>-7.1</v>
      </c>
      <c r="Y150">
        <v>3</v>
      </c>
      <c r="Z150" t="s">
        <v>226</v>
      </c>
      <c r="AA150" t="s">
        <v>163</v>
      </c>
      <c r="AB150" t="s">
        <v>227</v>
      </c>
    </row>
    <row r="151" spans="1:28" ht="15.5" x14ac:dyDescent="0.35">
      <c r="A151">
        <v>146</v>
      </c>
      <c r="B151" t="s">
        <v>525</v>
      </c>
      <c r="C151" t="s">
        <v>526</v>
      </c>
      <c r="D151" t="s">
        <v>171</v>
      </c>
      <c r="E151" t="s">
        <v>225</v>
      </c>
      <c r="F151">
        <v>186.66</v>
      </c>
      <c r="G151">
        <v>36.14</v>
      </c>
      <c r="H151">
        <v>384.44</v>
      </c>
      <c r="I151">
        <v>0.35</v>
      </c>
      <c r="J151">
        <v>6.5</v>
      </c>
      <c r="K151">
        <v>6.6</v>
      </c>
      <c r="L151" t="s">
        <v>202</v>
      </c>
      <c r="M151" t="s">
        <v>198</v>
      </c>
      <c r="N151" t="s">
        <v>199</v>
      </c>
      <c r="O151">
        <v>0.63500000000000001</v>
      </c>
      <c r="P151">
        <v>143.80000000000001</v>
      </c>
      <c r="Q151">
        <v>26.77</v>
      </c>
      <c r="R151">
        <v>90</v>
      </c>
      <c r="S151">
        <v>45.6</v>
      </c>
      <c r="T151">
        <v>53.6</v>
      </c>
      <c r="U151">
        <v>0.39</v>
      </c>
      <c r="V151">
        <v>0.82</v>
      </c>
      <c r="W151">
        <v>1</v>
      </c>
      <c r="X151">
        <v>-8.9</v>
      </c>
      <c r="Y151">
        <v>3.9</v>
      </c>
      <c r="Z151" t="s">
        <v>226</v>
      </c>
      <c r="AA151" t="s">
        <v>163</v>
      </c>
      <c r="AB151" t="s">
        <v>227</v>
      </c>
    </row>
    <row r="152" spans="1:28" ht="15.5" x14ac:dyDescent="0.35">
      <c r="A152">
        <v>147</v>
      </c>
      <c r="B152" t="s">
        <v>527</v>
      </c>
      <c r="C152" t="s">
        <v>528</v>
      </c>
      <c r="D152" t="s">
        <v>171</v>
      </c>
      <c r="E152" t="s">
        <v>225</v>
      </c>
      <c r="F152">
        <v>186.22</v>
      </c>
      <c r="G152">
        <v>40.229999999999997</v>
      </c>
      <c r="H152">
        <v>384.46</v>
      </c>
      <c r="I152">
        <v>0.35</v>
      </c>
      <c r="J152">
        <v>6.5</v>
      </c>
      <c r="K152">
        <v>6.6</v>
      </c>
      <c r="L152" t="s">
        <v>202</v>
      </c>
      <c r="M152" t="s">
        <v>198</v>
      </c>
      <c r="N152" t="s">
        <v>199</v>
      </c>
      <c r="O152">
        <v>0.63500000000000001</v>
      </c>
      <c r="P152">
        <v>143.80000000000001</v>
      </c>
      <c r="Q152">
        <v>26.33</v>
      </c>
      <c r="R152">
        <v>90</v>
      </c>
      <c r="S152">
        <v>45.6</v>
      </c>
      <c r="T152">
        <v>53.6</v>
      </c>
      <c r="U152">
        <v>0.39</v>
      </c>
      <c r="V152">
        <v>0.82</v>
      </c>
      <c r="W152">
        <v>1</v>
      </c>
      <c r="X152">
        <v>-9.1</v>
      </c>
      <c r="Y152">
        <v>3.9</v>
      </c>
      <c r="Z152" t="s">
        <v>226</v>
      </c>
      <c r="AA152" t="s">
        <v>163</v>
      </c>
      <c r="AB152" t="s">
        <v>227</v>
      </c>
    </row>
    <row r="153" spans="1:28" ht="15.5" x14ac:dyDescent="0.35">
      <c r="A153">
        <v>148</v>
      </c>
      <c r="B153" t="s">
        <v>529</v>
      </c>
      <c r="C153" t="s">
        <v>530</v>
      </c>
      <c r="D153" t="s">
        <v>171</v>
      </c>
      <c r="E153" t="s">
        <v>225</v>
      </c>
      <c r="F153">
        <v>185.37</v>
      </c>
      <c r="G153">
        <v>48.63</v>
      </c>
      <c r="H153">
        <v>384.51</v>
      </c>
      <c r="I153">
        <v>0.35</v>
      </c>
      <c r="J153">
        <v>6.5</v>
      </c>
      <c r="K153">
        <v>6.6</v>
      </c>
      <c r="L153" t="s">
        <v>202</v>
      </c>
      <c r="M153" t="s">
        <v>198</v>
      </c>
      <c r="N153" t="s">
        <v>199</v>
      </c>
      <c r="O153">
        <v>0.63500000000000001</v>
      </c>
      <c r="P153">
        <v>143.80000000000001</v>
      </c>
      <c r="Q153">
        <v>25.48</v>
      </c>
      <c r="R153">
        <v>90</v>
      </c>
      <c r="S153">
        <v>45.6</v>
      </c>
      <c r="T153">
        <v>53.6</v>
      </c>
      <c r="U153">
        <v>0.39</v>
      </c>
      <c r="V153">
        <v>0.82</v>
      </c>
      <c r="W153">
        <v>1</v>
      </c>
      <c r="X153">
        <v>-9.5</v>
      </c>
      <c r="Y153">
        <v>3.9</v>
      </c>
      <c r="Z153" t="s">
        <v>236</v>
      </c>
      <c r="AA153" t="s">
        <v>163</v>
      </c>
      <c r="AB153" t="s">
        <v>237</v>
      </c>
    </row>
    <row r="154" spans="1:28" ht="15.5" x14ac:dyDescent="0.35">
      <c r="A154">
        <v>149</v>
      </c>
      <c r="B154" t="s">
        <v>531</v>
      </c>
      <c r="C154" t="s">
        <v>532</v>
      </c>
      <c r="D154" t="s">
        <v>171</v>
      </c>
      <c r="E154" t="s">
        <v>225</v>
      </c>
      <c r="F154">
        <v>185.32</v>
      </c>
      <c r="G154">
        <v>58.42</v>
      </c>
      <c r="H154">
        <v>384.46</v>
      </c>
      <c r="I154">
        <v>0.35</v>
      </c>
      <c r="J154">
        <v>6.5</v>
      </c>
      <c r="K154">
        <v>6.6</v>
      </c>
      <c r="L154" t="s">
        <v>202</v>
      </c>
      <c r="M154" t="s">
        <v>198</v>
      </c>
      <c r="N154" t="s">
        <v>199</v>
      </c>
      <c r="O154">
        <v>0.63500000000000001</v>
      </c>
      <c r="P154">
        <v>143.80000000000001</v>
      </c>
      <c r="Q154">
        <v>25.43</v>
      </c>
      <c r="R154">
        <v>90</v>
      </c>
      <c r="S154">
        <v>45.6</v>
      </c>
      <c r="T154">
        <v>53.6</v>
      </c>
      <c r="U154">
        <v>0.39</v>
      </c>
      <c r="V154">
        <v>0.82</v>
      </c>
      <c r="W154">
        <v>1</v>
      </c>
      <c r="X154">
        <v>-9.4</v>
      </c>
      <c r="Y154">
        <v>4</v>
      </c>
      <c r="Z154" t="s">
        <v>226</v>
      </c>
      <c r="AA154" t="s">
        <v>163</v>
      </c>
      <c r="AB154" t="s">
        <v>227</v>
      </c>
    </row>
    <row r="155" spans="1:28" ht="15.5" x14ac:dyDescent="0.35">
      <c r="A155">
        <v>150</v>
      </c>
      <c r="B155" t="s">
        <v>533</v>
      </c>
      <c r="C155" t="s">
        <v>534</v>
      </c>
      <c r="D155" t="s">
        <v>171</v>
      </c>
      <c r="E155" t="s">
        <v>225</v>
      </c>
      <c r="F155">
        <v>187.02</v>
      </c>
      <c r="G155">
        <v>74.62</v>
      </c>
      <c r="H155">
        <v>384.69</v>
      </c>
      <c r="I155">
        <v>0.35</v>
      </c>
      <c r="J155">
        <v>6.5</v>
      </c>
      <c r="K155">
        <v>6.6</v>
      </c>
      <c r="L155" t="s">
        <v>202</v>
      </c>
      <c r="M155" t="s">
        <v>198</v>
      </c>
      <c r="N155" t="s">
        <v>199</v>
      </c>
      <c r="O155">
        <v>0.63500000000000001</v>
      </c>
      <c r="P155">
        <v>143.80000000000001</v>
      </c>
      <c r="Q155">
        <v>27.13</v>
      </c>
      <c r="R155">
        <v>90</v>
      </c>
      <c r="S155">
        <v>45.6</v>
      </c>
      <c r="T155">
        <v>53.6</v>
      </c>
      <c r="U155">
        <v>0.39</v>
      </c>
      <c r="V155">
        <v>0.82</v>
      </c>
      <c r="W155">
        <v>1</v>
      </c>
      <c r="X155">
        <v>-9.3000000000000007</v>
      </c>
      <c r="Y155">
        <v>3.3</v>
      </c>
      <c r="Z155" t="s">
        <v>236</v>
      </c>
      <c r="AA155" t="s">
        <v>163</v>
      </c>
      <c r="AB155" t="s">
        <v>237</v>
      </c>
    </row>
    <row r="156" spans="1:28" ht="15.5" x14ac:dyDescent="0.35">
      <c r="A156">
        <v>151</v>
      </c>
      <c r="B156" t="s">
        <v>535</v>
      </c>
      <c r="C156" t="s">
        <v>536</v>
      </c>
      <c r="D156" t="s">
        <v>171</v>
      </c>
      <c r="E156" t="s">
        <v>225</v>
      </c>
      <c r="F156">
        <v>73.39</v>
      </c>
      <c r="G156">
        <v>-67.7</v>
      </c>
      <c r="H156">
        <v>384.44</v>
      </c>
      <c r="I156">
        <v>0.35</v>
      </c>
      <c r="J156">
        <v>6.5</v>
      </c>
      <c r="K156">
        <v>6.6</v>
      </c>
      <c r="L156" t="s">
        <v>202</v>
      </c>
      <c r="M156" t="s">
        <v>198</v>
      </c>
      <c r="N156" t="s">
        <v>199</v>
      </c>
      <c r="O156">
        <v>0.63500000000000001</v>
      </c>
      <c r="P156">
        <v>143.80000000000001</v>
      </c>
      <c r="Q156">
        <v>13.16</v>
      </c>
      <c r="R156">
        <v>257.3</v>
      </c>
      <c r="S156">
        <v>45.6</v>
      </c>
      <c r="T156">
        <v>53.6</v>
      </c>
      <c r="U156">
        <v>0.39</v>
      </c>
      <c r="V156">
        <v>0.82</v>
      </c>
      <c r="W156">
        <v>1</v>
      </c>
      <c r="X156">
        <v>-17.7</v>
      </c>
      <c r="Y156">
        <v>7.8</v>
      </c>
      <c r="Z156" t="s">
        <v>226</v>
      </c>
      <c r="AA156" t="s">
        <v>163</v>
      </c>
      <c r="AB156" t="s">
        <v>227</v>
      </c>
    </row>
    <row r="157" spans="1:28" ht="15.5" x14ac:dyDescent="0.35">
      <c r="A157">
        <v>152</v>
      </c>
      <c r="B157" t="s">
        <v>537</v>
      </c>
      <c r="C157" t="s">
        <v>538</v>
      </c>
      <c r="D157" t="s">
        <v>171</v>
      </c>
      <c r="E157" t="s">
        <v>225</v>
      </c>
      <c r="F157">
        <v>49</v>
      </c>
      <c r="G157">
        <v>55.35</v>
      </c>
      <c r="H157">
        <v>384.62</v>
      </c>
      <c r="I157">
        <v>0.35</v>
      </c>
      <c r="J157">
        <v>6.5</v>
      </c>
      <c r="K157">
        <v>6.6</v>
      </c>
      <c r="L157" t="s">
        <v>202</v>
      </c>
      <c r="M157" t="s">
        <v>198</v>
      </c>
      <c r="N157" t="s">
        <v>199</v>
      </c>
      <c r="O157">
        <v>0.63500000000000001</v>
      </c>
      <c r="P157">
        <v>143.80000000000001</v>
      </c>
      <c r="Q157">
        <v>36.67</v>
      </c>
      <c r="R157">
        <v>270</v>
      </c>
      <c r="S157">
        <v>45.6</v>
      </c>
      <c r="T157">
        <v>53.6</v>
      </c>
      <c r="U157">
        <v>0.39</v>
      </c>
      <c r="V157">
        <v>0.82</v>
      </c>
      <c r="W157">
        <v>1</v>
      </c>
      <c r="X157">
        <v>-6.8</v>
      </c>
      <c r="Y157">
        <v>2.6</v>
      </c>
      <c r="Z157" t="s">
        <v>236</v>
      </c>
      <c r="AA157" t="s">
        <v>163</v>
      </c>
      <c r="AB157" t="s">
        <v>237</v>
      </c>
    </row>
    <row r="158" spans="1:28" ht="15.5" x14ac:dyDescent="0.35">
      <c r="A158">
        <v>153</v>
      </c>
      <c r="B158" t="s">
        <v>539</v>
      </c>
      <c r="C158" t="s">
        <v>540</v>
      </c>
      <c r="D158" t="s">
        <v>171</v>
      </c>
      <c r="E158" t="s">
        <v>225</v>
      </c>
      <c r="F158">
        <v>58.4</v>
      </c>
      <c r="G158">
        <v>40.67</v>
      </c>
      <c r="H158">
        <v>384.34</v>
      </c>
      <c r="I158">
        <v>0.35</v>
      </c>
      <c r="J158">
        <v>6.5</v>
      </c>
      <c r="K158">
        <v>6.6</v>
      </c>
      <c r="L158" t="s">
        <v>202</v>
      </c>
      <c r="M158" t="s">
        <v>198</v>
      </c>
      <c r="N158" t="s">
        <v>199</v>
      </c>
      <c r="O158">
        <v>0.63500000000000001</v>
      </c>
      <c r="P158">
        <v>143.80000000000001</v>
      </c>
      <c r="Q158">
        <v>27.27</v>
      </c>
      <c r="R158">
        <v>270</v>
      </c>
      <c r="S158">
        <v>45.6</v>
      </c>
      <c r="T158">
        <v>53.6</v>
      </c>
      <c r="U158">
        <v>0.39</v>
      </c>
      <c r="V158">
        <v>0.82</v>
      </c>
      <c r="W158">
        <v>1</v>
      </c>
      <c r="X158">
        <v>-8.5</v>
      </c>
      <c r="Y158">
        <v>4</v>
      </c>
      <c r="Z158" t="s">
        <v>226</v>
      </c>
      <c r="AA158" t="s">
        <v>163</v>
      </c>
      <c r="AB158" t="s">
        <v>227</v>
      </c>
    </row>
    <row r="159" spans="1:28" ht="15.5" x14ac:dyDescent="0.35">
      <c r="A159">
        <v>154</v>
      </c>
      <c r="B159" t="s">
        <v>541</v>
      </c>
      <c r="C159" t="s">
        <v>542</v>
      </c>
      <c r="D159" t="s">
        <v>171</v>
      </c>
      <c r="E159" t="s">
        <v>225</v>
      </c>
      <c r="F159">
        <v>59.95</v>
      </c>
      <c r="G159">
        <v>37.880000000000003</v>
      </c>
      <c r="H159">
        <v>384.31</v>
      </c>
      <c r="I159">
        <v>0.35</v>
      </c>
      <c r="J159">
        <v>6.5</v>
      </c>
      <c r="K159">
        <v>6.6</v>
      </c>
      <c r="L159" t="s">
        <v>202</v>
      </c>
      <c r="M159" t="s">
        <v>198</v>
      </c>
      <c r="N159" t="s">
        <v>199</v>
      </c>
      <c r="O159">
        <v>0.63500000000000001</v>
      </c>
      <c r="P159">
        <v>143.80000000000001</v>
      </c>
      <c r="Q159">
        <v>25.72</v>
      </c>
      <c r="R159">
        <v>270</v>
      </c>
      <c r="S159">
        <v>45.6</v>
      </c>
      <c r="T159">
        <v>53.6</v>
      </c>
      <c r="U159">
        <v>0.39</v>
      </c>
      <c r="V159">
        <v>0.82</v>
      </c>
      <c r="W159">
        <v>1</v>
      </c>
      <c r="X159">
        <v>-9</v>
      </c>
      <c r="Y159">
        <v>4.3</v>
      </c>
      <c r="Z159" t="s">
        <v>226</v>
      </c>
      <c r="AA159" t="s">
        <v>163</v>
      </c>
      <c r="AB159" t="s">
        <v>227</v>
      </c>
    </row>
    <row r="160" spans="1:28" ht="15.5" x14ac:dyDescent="0.35">
      <c r="A160">
        <v>155</v>
      </c>
      <c r="B160" t="s">
        <v>543</v>
      </c>
      <c r="C160" t="s">
        <v>544</v>
      </c>
      <c r="D160" t="s">
        <v>171</v>
      </c>
      <c r="E160" t="s">
        <v>225</v>
      </c>
      <c r="F160">
        <v>59.97</v>
      </c>
      <c r="G160">
        <v>29.37</v>
      </c>
      <c r="H160">
        <v>384.23</v>
      </c>
      <c r="I160">
        <v>0.35</v>
      </c>
      <c r="J160">
        <v>6.5</v>
      </c>
      <c r="K160">
        <v>6.6</v>
      </c>
      <c r="L160" t="s">
        <v>202</v>
      </c>
      <c r="M160" t="s">
        <v>198</v>
      </c>
      <c r="N160" t="s">
        <v>199</v>
      </c>
      <c r="O160">
        <v>0.63500000000000001</v>
      </c>
      <c r="P160">
        <v>143.80000000000001</v>
      </c>
      <c r="Q160">
        <v>25.7</v>
      </c>
      <c r="R160">
        <v>270</v>
      </c>
      <c r="S160">
        <v>45.6</v>
      </c>
      <c r="T160">
        <v>53.6</v>
      </c>
      <c r="U160">
        <v>0.39</v>
      </c>
      <c r="V160">
        <v>0.82</v>
      </c>
      <c r="W160">
        <v>1</v>
      </c>
      <c r="X160">
        <v>-8.8000000000000007</v>
      </c>
      <c r="Y160">
        <v>4.5</v>
      </c>
      <c r="Z160" t="s">
        <v>226</v>
      </c>
      <c r="AA160" t="s">
        <v>163</v>
      </c>
      <c r="AB160" t="s">
        <v>227</v>
      </c>
    </row>
    <row r="161" spans="1:28" ht="15.5" x14ac:dyDescent="0.35">
      <c r="A161">
        <v>156</v>
      </c>
      <c r="B161" t="s">
        <v>545</v>
      </c>
      <c r="C161" t="s">
        <v>546</v>
      </c>
      <c r="D161" t="s">
        <v>171</v>
      </c>
      <c r="E161" t="s">
        <v>225</v>
      </c>
      <c r="F161">
        <v>60.4</v>
      </c>
      <c r="G161">
        <v>-0.42</v>
      </c>
      <c r="H161">
        <v>384.37</v>
      </c>
      <c r="I161">
        <v>0.35</v>
      </c>
      <c r="J161">
        <v>6.5</v>
      </c>
      <c r="K161">
        <v>6.6</v>
      </c>
      <c r="L161" t="s">
        <v>202</v>
      </c>
      <c r="M161" t="s">
        <v>198</v>
      </c>
      <c r="N161" t="s">
        <v>199</v>
      </c>
      <c r="O161">
        <v>0.63500000000000001</v>
      </c>
      <c r="P161">
        <v>143.80000000000001</v>
      </c>
      <c r="Q161">
        <v>25.27</v>
      </c>
      <c r="R161">
        <v>270</v>
      </c>
      <c r="S161">
        <v>45.6</v>
      </c>
      <c r="T161">
        <v>53.6</v>
      </c>
      <c r="U161">
        <v>0.39</v>
      </c>
      <c r="V161">
        <v>0.82</v>
      </c>
      <c r="W161">
        <v>1</v>
      </c>
      <c r="X161">
        <v>-9.3000000000000007</v>
      </c>
      <c r="Y161">
        <v>4.3</v>
      </c>
      <c r="Z161" t="s">
        <v>226</v>
      </c>
      <c r="AA161" t="s">
        <v>163</v>
      </c>
      <c r="AB161" t="s">
        <v>227</v>
      </c>
    </row>
    <row r="162" spans="1:28" ht="15.5" x14ac:dyDescent="0.35">
      <c r="A162">
        <v>157</v>
      </c>
      <c r="B162" t="s">
        <v>547</v>
      </c>
      <c r="C162" t="s">
        <v>548</v>
      </c>
      <c r="D162" t="s">
        <v>171</v>
      </c>
      <c r="E162" t="s">
        <v>225</v>
      </c>
      <c r="F162">
        <v>63.67</v>
      </c>
      <c r="G162">
        <v>-9.27</v>
      </c>
      <c r="H162">
        <v>384.26</v>
      </c>
      <c r="I162">
        <v>0.35</v>
      </c>
      <c r="J162">
        <v>6.5</v>
      </c>
      <c r="K162">
        <v>6.6</v>
      </c>
      <c r="L162" t="s">
        <v>202</v>
      </c>
      <c r="M162" t="s">
        <v>198</v>
      </c>
      <c r="N162" t="s">
        <v>199</v>
      </c>
      <c r="O162">
        <v>0.63500000000000001</v>
      </c>
      <c r="P162">
        <v>143.80000000000001</v>
      </c>
      <c r="Q162">
        <v>22</v>
      </c>
      <c r="R162">
        <v>270</v>
      </c>
      <c r="S162">
        <v>45.6</v>
      </c>
      <c r="T162">
        <v>53.6</v>
      </c>
      <c r="U162">
        <v>0.39</v>
      </c>
      <c r="V162">
        <v>0.82</v>
      </c>
      <c r="W162">
        <v>1</v>
      </c>
      <c r="X162">
        <v>-10.3</v>
      </c>
      <c r="Y162">
        <v>5.2</v>
      </c>
      <c r="Z162" t="s">
        <v>226</v>
      </c>
      <c r="AA162" t="s">
        <v>163</v>
      </c>
      <c r="AB162" t="s">
        <v>227</v>
      </c>
    </row>
    <row r="163" spans="1:28" ht="15.5" x14ac:dyDescent="0.35">
      <c r="A163">
        <v>158</v>
      </c>
      <c r="B163" t="s">
        <v>549</v>
      </c>
      <c r="C163" t="s">
        <v>550</v>
      </c>
      <c r="D163" t="s">
        <v>171</v>
      </c>
      <c r="E163" t="s">
        <v>225</v>
      </c>
      <c r="F163">
        <v>65.17</v>
      </c>
      <c r="G163">
        <v>-17.760000000000002</v>
      </c>
      <c r="H163">
        <v>384.22</v>
      </c>
      <c r="I163">
        <v>0.35</v>
      </c>
      <c r="J163">
        <v>6.5</v>
      </c>
      <c r="K163">
        <v>6.6</v>
      </c>
      <c r="L163" t="s">
        <v>202</v>
      </c>
      <c r="M163" t="s">
        <v>198</v>
      </c>
      <c r="N163" t="s">
        <v>199</v>
      </c>
      <c r="O163">
        <v>0.63500000000000001</v>
      </c>
      <c r="P163">
        <v>143.80000000000001</v>
      </c>
      <c r="Q163">
        <v>20.5</v>
      </c>
      <c r="R163">
        <v>270</v>
      </c>
      <c r="S163">
        <v>45.6</v>
      </c>
      <c r="T163">
        <v>53.6</v>
      </c>
      <c r="U163">
        <v>0.39</v>
      </c>
      <c r="V163">
        <v>0.82</v>
      </c>
      <c r="W163">
        <v>1</v>
      </c>
      <c r="X163">
        <v>-11</v>
      </c>
      <c r="Y163">
        <v>5.6</v>
      </c>
      <c r="Z163" t="s">
        <v>226</v>
      </c>
      <c r="AA163" t="s">
        <v>163</v>
      </c>
      <c r="AB163" t="s">
        <v>227</v>
      </c>
    </row>
    <row r="164" spans="1:28" ht="15.5" x14ac:dyDescent="0.35">
      <c r="A164">
        <v>159</v>
      </c>
      <c r="B164" t="s">
        <v>551</v>
      </c>
      <c r="C164" t="s">
        <v>552</v>
      </c>
      <c r="D164" t="s">
        <v>171</v>
      </c>
      <c r="E164" t="s">
        <v>225</v>
      </c>
      <c r="F164">
        <v>66.209999999999994</v>
      </c>
      <c r="G164">
        <v>-38.89</v>
      </c>
      <c r="H164">
        <v>384.61</v>
      </c>
      <c r="I164">
        <v>0.35</v>
      </c>
      <c r="J164">
        <v>6.5</v>
      </c>
      <c r="K164">
        <v>6.6</v>
      </c>
      <c r="L164" t="s">
        <v>202</v>
      </c>
      <c r="M164" t="s">
        <v>198</v>
      </c>
      <c r="N164" t="s">
        <v>199</v>
      </c>
      <c r="O164">
        <v>0.63500000000000001</v>
      </c>
      <c r="P164">
        <v>143.80000000000001</v>
      </c>
      <c r="Q164">
        <v>19.46</v>
      </c>
      <c r="R164">
        <v>270</v>
      </c>
      <c r="S164">
        <v>45.6</v>
      </c>
      <c r="T164">
        <v>53.6</v>
      </c>
      <c r="U164">
        <v>0.39</v>
      </c>
      <c r="V164">
        <v>0.82</v>
      </c>
      <c r="W164">
        <v>1</v>
      </c>
      <c r="X164">
        <v>-12.6</v>
      </c>
      <c r="Y164">
        <v>4.8</v>
      </c>
      <c r="Z164" t="s">
        <v>236</v>
      </c>
      <c r="AA164" t="s">
        <v>163</v>
      </c>
      <c r="AB164" t="s">
        <v>237</v>
      </c>
    </row>
    <row r="165" spans="1:28" ht="15.5" x14ac:dyDescent="0.35">
      <c r="A165">
        <v>160</v>
      </c>
      <c r="B165" t="s">
        <v>553</v>
      </c>
      <c r="C165" t="s">
        <v>554</v>
      </c>
      <c r="D165" t="s">
        <v>171</v>
      </c>
      <c r="E165" t="s">
        <v>225</v>
      </c>
      <c r="F165">
        <v>69.88</v>
      </c>
      <c r="G165">
        <v>-53.98</v>
      </c>
      <c r="H165">
        <v>384.19</v>
      </c>
      <c r="I165">
        <v>0.35</v>
      </c>
      <c r="J165">
        <v>6.5</v>
      </c>
      <c r="K165">
        <v>6.6</v>
      </c>
      <c r="L165" t="s">
        <v>202</v>
      </c>
      <c r="M165" t="s">
        <v>198</v>
      </c>
      <c r="N165" t="s">
        <v>199</v>
      </c>
      <c r="O165">
        <v>0.63500000000000001</v>
      </c>
      <c r="P165">
        <v>143.80000000000001</v>
      </c>
      <c r="Q165">
        <v>15.79</v>
      </c>
      <c r="R165">
        <v>270</v>
      </c>
      <c r="S165">
        <v>45.6</v>
      </c>
      <c r="T165">
        <v>53.6</v>
      </c>
      <c r="U165">
        <v>0.39</v>
      </c>
      <c r="V165">
        <v>0.82</v>
      </c>
      <c r="W165">
        <v>1</v>
      </c>
      <c r="X165">
        <v>-14</v>
      </c>
      <c r="Y165">
        <v>7.4</v>
      </c>
      <c r="Z165" t="s">
        <v>226</v>
      </c>
      <c r="AA165" t="s">
        <v>163</v>
      </c>
      <c r="AB165" t="s">
        <v>227</v>
      </c>
    </row>
    <row r="166" spans="1:28" ht="15.5" x14ac:dyDescent="0.35">
      <c r="A166">
        <v>161</v>
      </c>
      <c r="B166" t="s">
        <v>555</v>
      </c>
      <c r="C166" t="s">
        <v>556</v>
      </c>
      <c r="D166" t="s">
        <v>171</v>
      </c>
      <c r="E166" t="s">
        <v>260</v>
      </c>
      <c r="F166">
        <v>192.06</v>
      </c>
      <c r="G166">
        <v>9.39</v>
      </c>
      <c r="H166">
        <v>384.01</v>
      </c>
      <c r="I166">
        <v>0.35</v>
      </c>
      <c r="J166">
        <v>6.5</v>
      </c>
      <c r="K166">
        <v>6.6</v>
      </c>
      <c r="L166" t="s">
        <v>202</v>
      </c>
      <c r="M166" t="s">
        <v>198</v>
      </c>
      <c r="N166" t="s">
        <v>199</v>
      </c>
      <c r="O166">
        <v>0.63500000000000001</v>
      </c>
      <c r="P166">
        <v>143.80000000000001</v>
      </c>
      <c r="Q166">
        <v>45.5</v>
      </c>
      <c r="R166">
        <v>45</v>
      </c>
      <c r="S166">
        <v>45.6</v>
      </c>
      <c r="T166">
        <v>53.6</v>
      </c>
      <c r="U166">
        <v>0.39</v>
      </c>
      <c r="V166">
        <v>0.82</v>
      </c>
      <c r="W166">
        <v>1</v>
      </c>
      <c r="X166">
        <v>-4.7</v>
      </c>
      <c r="Y166">
        <v>2.8</v>
      </c>
      <c r="Z166" t="s">
        <v>226</v>
      </c>
      <c r="AA166" t="s">
        <v>163</v>
      </c>
      <c r="AB166" t="s">
        <v>261</v>
      </c>
    </row>
    <row r="167" spans="1:28" ht="15.5" x14ac:dyDescent="0.35">
      <c r="A167">
        <v>162</v>
      </c>
      <c r="B167" t="s">
        <v>557</v>
      </c>
      <c r="C167" t="s">
        <v>558</v>
      </c>
      <c r="D167" t="s">
        <v>171</v>
      </c>
      <c r="E167" t="s">
        <v>260</v>
      </c>
      <c r="F167">
        <v>211.34</v>
      </c>
      <c r="G167">
        <v>-38.54</v>
      </c>
      <c r="H167">
        <v>384.01</v>
      </c>
      <c r="I167">
        <v>0.35</v>
      </c>
      <c r="J167">
        <v>6.5</v>
      </c>
      <c r="K167">
        <v>6.6</v>
      </c>
      <c r="L167" t="s">
        <v>202</v>
      </c>
      <c r="M167" t="s">
        <v>198</v>
      </c>
      <c r="N167" t="s">
        <v>199</v>
      </c>
      <c r="O167">
        <v>0.63500000000000001</v>
      </c>
      <c r="P167">
        <v>143.80000000000001</v>
      </c>
      <c r="Q167">
        <v>51.5</v>
      </c>
      <c r="R167">
        <v>87.5</v>
      </c>
      <c r="S167">
        <v>45.6</v>
      </c>
      <c r="T167">
        <v>53.6</v>
      </c>
      <c r="U167">
        <v>0.39</v>
      </c>
      <c r="V167">
        <v>0.82</v>
      </c>
      <c r="W167">
        <v>1</v>
      </c>
      <c r="X167">
        <v>-4.2</v>
      </c>
      <c r="Y167">
        <v>2.5</v>
      </c>
      <c r="Z167" t="s">
        <v>226</v>
      </c>
      <c r="AA167" t="s">
        <v>163</v>
      </c>
      <c r="AB167" t="s">
        <v>261</v>
      </c>
    </row>
    <row r="168" spans="1:28" ht="15.5" x14ac:dyDescent="0.35">
      <c r="A168">
        <v>163</v>
      </c>
      <c r="B168" t="s">
        <v>559</v>
      </c>
      <c r="C168" t="s">
        <v>560</v>
      </c>
      <c r="D168" t="s">
        <v>171</v>
      </c>
      <c r="E168" t="s">
        <v>260</v>
      </c>
      <c r="F168">
        <v>191.07</v>
      </c>
      <c r="G168">
        <v>13.22</v>
      </c>
      <c r="H168">
        <v>384.02</v>
      </c>
      <c r="I168">
        <v>0.35</v>
      </c>
      <c r="J168">
        <v>6.5</v>
      </c>
      <c r="K168">
        <v>6.6</v>
      </c>
      <c r="L168" t="s">
        <v>202</v>
      </c>
      <c r="M168" t="s">
        <v>198</v>
      </c>
      <c r="N168" t="s">
        <v>199</v>
      </c>
      <c r="O168">
        <v>0.63500000000000001</v>
      </c>
      <c r="P168">
        <v>143.80000000000001</v>
      </c>
      <c r="Q168">
        <v>36</v>
      </c>
      <c r="R168">
        <v>60</v>
      </c>
      <c r="S168">
        <v>45.6</v>
      </c>
      <c r="T168">
        <v>53.6</v>
      </c>
      <c r="U168">
        <v>0.39</v>
      </c>
      <c r="V168">
        <v>0.82</v>
      </c>
      <c r="W168">
        <v>1</v>
      </c>
      <c r="X168">
        <v>-6</v>
      </c>
      <c r="Y168">
        <v>3.5</v>
      </c>
      <c r="Z168" t="s">
        <v>226</v>
      </c>
      <c r="AA168" t="s">
        <v>163</v>
      </c>
      <c r="AB168" t="s">
        <v>261</v>
      </c>
    </row>
    <row r="169" spans="1:28" ht="15.5" x14ac:dyDescent="0.35">
      <c r="A169">
        <v>164</v>
      </c>
      <c r="B169" t="s">
        <v>561</v>
      </c>
      <c r="C169" t="s">
        <v>562</v>
      </c>
      <c r="D169" t="s">
        <v>171</v>
      </c>
      <c r="E169" t="s">
        <v>260</v>
      </c>
      <c r="F169">
        <v>214.1</v>
      </c>
      <c r="G169">
        <v>-42.36</v>
      </c>
      <c r="H169">
        <v>384.02</v>
      </c>
      <c r="I169">
        <v>0.35</v>
      </c>
      <c r="J169">
        <v>6.5</v>
      </c>
      <c r="K169">
        <v>6.6</v>
      </c>
      <c r="L169" t="s">
        <v>202</v>
      </c>
      <c r="M169" t="s">
        <v>198</v>
      </c>
      <c r="N169" t="s">
        <v>199</v>
      </c>
      <c r="O169">
        <v>0.63500000000000001</v>
      </c>
      <c r="P169">
        <v>143.80000000000001</v>
      </c>
      <c r="Q169">
        <v>37.5</v>
      </c>
      <c r="R169">
        <v>70</v>
      </c>
      <c r="S169">
        <v>45.6</v>
      </c>
      <c r="T169">
        <v>53.6</v>
      </c>
      <c r="U169">
        <v>0.39</v>
      </c>
      <c r="V169">
        <v>0.82</v>
      </c>
      <c r="W169">
        <v>1</v>
      </c>
      <c r="X169">
        <v>-5.7</v>
      </c>
      <c r="Y169">
        <v>3.4</v>
      </c>
      <c r="Z169" t="s">
        <v>226</v>
      </c>
      <c r="AA169" t="s">
        <v>163</v>
      </c>
      <c r="AB169" t="s">
        <v>261</v>
      </c>
    </row>
    <row r="170" spans="1:28" ht="15.5" x14ac:dyDescent="0.35">
      <c r="A170">
        <v>165</v>
      </c>
      <c r="B170" t="s">
        <v>563</v>
      </c>
      <c r="C170" t="s">
        <v>564</v>
      </c>
      <c r="D170" t="s">
        <v>171</v>
      </c>
      <c r="E170" t="s">
        <v>260</v>
      </c>
      <c r="F170">
        <v>58.77</v>
      </c>
      <c r="G170">
        <v>12.03</v>
      </c>
      <c r="H170">
        <v>384.02</v>
      </c>
      <c r="I170">
        <v>0.35</v>
      </c>
      <c r="J170">
        <v>6.5</v>
      </c>
      <c r="K170">
        <v>6.6</v>
      </c>
      <c r="L170" t="s">
        <v>202</v>
      </c>
      <c r="M170" t="s">
        <v>198</v>
      </c>
      <c r="N170" t="s">
        <v>199</v>
      </c>
      <c r="O170">
        <v>0.63500000000000001</v>
      </c>
      <c r="P170">
        <v>143.80000000000001</v>
      </c>
      <c r="Q170">
        <v>27</v>
      </c>
      <c r="R170">
        <v>265</v>
      </c>
      <c r="S170">
        <v>45.6</v>
      </c>
      <c r="T170">
        <v>53.6</v>
      </c>
      <c r="U170">
        <v>0.39</v>
      </c>
      <c r="V170">
        <v>0.82</v>
      </c>
      <c r="W170">
        <v>1</v>
      </c>
      <c r="X170">
        <v>-8</v>
      </c>
      <c r="Y170">
        <v>4.7</v>
      </c>
      <c r="Z170" t="s">
        <v>226</v>
      </c>
      <c r="AA170" t="s">
        <v>163</v>
      </c>
      <c r="AB170" t="s">
        <v>261</v>
      </c>
    </row>
    <row r="171" spans="1:28" ht="15.5" x14ac:dyDescent="0.35">
      <c r="A171">
        <v>166</v>
      </c>
      <c r="B171" t="s">
        <v>565</v>
      </c>
      <c r="C171" t="s">
        <v>566</v>
      </c>
      <c r="D171" t="s">
        <v>171</v>
      </c>
      <c r="E171" t="s">
        <v>260</v>
      </c>
      <c r="F171">
        <v>81.73</v>
      </c>
      <c r="G171">
        <v>-97.29</v>
      </c>
      <c r="H171">
        <v>384.1</v>
      </c>
      <c r="I171">
        <v>0.35</v>
      </c>
      <c r="J171">
        <v>6.5</v>
      </c>
      <c r="K171">
        <v>6.6</v>
      </c>
      <c r="L171" t="s">
        <v>202</v>
      </c>
      <c r="M171" t="s">
        <v>198</v>
      </c>
      <c r="N171" t="s">
        <v>199</v>
      </c>
      <c r="O171">
        <v>0.63500000000000001</v>
      </c>
      <c r="P171">
        <v>143.80000000000001</v>
      </c>
      <c r="Q171">
        <v>37.5</v>
      </c>
      <c r="R171">
        <v>210</v>
      </c>
      <c r="S171">
        <v>45.6</v>
      </c>
      <c r="T171">
        <v>53.6</v>
      </c>
      <c r="U171">
        <v>0.39</v>
      </c>
      <c r="V171">
        <v>0.82</v>
      </c>
      <c r="W171">
        <v>1</v>
      </c>
      <c r="X171">
        <v>-5.9</v>
      </c>
      <c r="Y171">
        <v>3.3</v>
      </c>
      <c r="Z171" t="s">
        <v>226</v>
      </c>
      <c r="AA171" t="s">
        <v>163</v>
      </c>
      <c r="AB171" t="s">
        <v>261</v>
      </c>
    </row>
    <row r="172" spans="1:28" ht="15.5" x14ac:dyDescent="0.35">
      <c r="A172">
        <v>167</v>
      </c>
      <c r="B172" t="s">
        <v>567</v>
      </c>
      <c r="C172" t="s">
        <v>568</v>
      </c>
      <c r="D172" t="s">
        <v>172</v>
      </c>
      <c r="E172" t="s">
        <v>260</v>
      </c>
      <c r="F172">
        <v>186.59</v>
      </c>
      <c r="G172">
        <v>151.15</v>
      </c>
      <c r="H172">
        <v>384.67</v>
      </c>
      <c r="I172">
        <v>0.35</v>
      </c>
      <c r="J172">
        <v>6.5</v>
      </c>
      <c r="K172">
        <v>6.6</v>
      </c>
      <c r="L172" t="s">
        <v>203</v>
      </c>
      <c r="M172" t="s">
        <v>198</v>
      </c>
      <c r="N172" t="s">
        <v>199</v>
      </c>
      <c r="O172">
        <v>0.63500000000000001</v>
      </c>
      <c r="P172">
        <v>168.8</v>
      </c>
      <c r="Q172">
        <v>24.41</v>
      </c>
      <c r="R172">
        <v>132.9</v>
      </c>
      <c r="S172">
        <v>59.1</v>
      </c>
      <c r="T172">
        <v>69</v>
      </c>
      <c r="U172">
        <v>0.51</v>
      </c>
      <c r="V172">
        <v>0.82</v>
      </c>
      <c r="W172">
        <v>1</v>
      </c>
      <c r="X172">
        <v>-10.3</v>
      </c>
      <c r="Y172">
        <v>3.7</v>
      </c>
      <c r="Z172" t="s">
        <v>236</v>
      </c>
      <c r="AA172" t="s">
        <v>163</v>
      </c>
      <c r="AB172" t="s">
        <v>320</v>
      </c>
    </row>
    <row r="173" spans="1:28" ht="15.5" x14ac:dyDescent="0.35">
      <c r="A173">
        <v>168</v>
      </c>
      <c r="B173" t="s">
        <v>569</v>
      </c>
      <c r="C173" t="s">
        <v>570</v>
      </c>
      <c r="D173" t="s">
        <v>172</v>
      </c>
      <c r="E173" t="s">
        <v>260</v>
      </c>
      <c r="F173">
        <v>183.84</v>
      </c>
      <c r="G173">
        <v>149.81</v>
      </c>
      <c r="H173">
        <v>384.19</v>
      </c>
      <c r="I173">
        <v>0.35</v>
      </c>
      <c r="J173">
        <v>6.5</v>
      </c>
      <c r="K173">
        <v>6.6</v>
      </c>
      <c r="L173" t="s">
        <v>203</v>
      </c>
      <c r="M173" t="s">
        <v>198</v>
      </c>
      <c r="N173" t="s">
        <v>199</v>
      </c>
      <c r="O173">
        <v>0.63500000000000001</v>
      </c>
      <c r="P173">
        <v>168.8</v>
      </c>
      <c r="Q173">
        <v>23.48</v>
      </c>
      <c r="R173">
        <v>139.9</v>
      </c>
      <c r="S173">
        <v>59.1</v>
      </c>
      <c r="T173">
        <v>69</v>
      </c>
      <c r="U173">
        <v>0.51</v>
      </c>
      <c r="V173">
        <v>0.82</v>
      </c>
      <c r="W173">
        <v>1</v>
      </c>
      <c r="X173">
        <v>-9.5</v>
      </c>
      <c r="Y173">
        <v>5</v>
      </c>
      <c r="Z173" t="s">
        <v>226</v>
      </c>
      <c r="AA173" t="s">
        <v>163</v>
      </c>
      <c r="AB173" t="s">
        <v>261</v>
      </c>
    </row>
    <row r="174" spans="1:28" ht="15.5" x14ac:dyDescent="0.35">
      <c r="A174">
        <v>169</v>
      </c>
      <c r="B174" t="s">
        <v>571</v>
      </c>
      <c r="C174" t="s">
        <v>572</v>
      </c>
      <c r="D174" t="s">
        <v>172</v>
      </c>
      <c r="E174" t="s">
        <v>260</v>
      </c>
      <c r="F174">
        <v>182.45</v>
      </c>
      <c r="G174">
        <v>147.1</v>
      </c>
      <c r="H174">
        <v>384.28</v>
      </c>
      <c r="I174">
        <v>0.35</v>
      </c>
      <c r="J174">
        <v>6.5</v>
      </c>
      <c r="K174">
        <v>6.6</v>
      </c>
      <c r="L174" t="s">
        <v>203</v>
      </c>
      <c r="M174" t="s">
        <v>198</v>
      </c>
      <c r="N174" t="s">
        <v>199</v>
      </c>
      <c r="O174">
        <v>0.63500000000000001</v>
      </c>
      <c r="P174">
        <v>168.8</v>
      </c>
      <c r="Q174">
        <v>24.82</v>
      </c>
      <c r="R174">
        <v>146.4</v>
      </c>
      <c r="S174">
        <v>59.1</v>
      </c>
      <c r="T174">
        <v>69</v>
      </c>
      <c r="U174">
        <v>0.51</v>
      </c>
      <c r="V174">
        <v>0.82</v>
      </c>
      <c r="W174">
        <v>1</v>
      </c>
      <c r="X174">
        <v>-9.1999999999999993</v>
      </c>
      <c r="Y174">
        <v>4.5</v>
      </c>
      <c r="Z174" t="s">
        <v>226</v>
      </c>
      <c r="AA174" t="s">
        <v>163</v>
      </c>
      <c r="AB174" t="s">
        <v>261</v>
      </c>
    </row>
    <row r="175" spans="1:28" ht="15.5" x14ac:dyDescent="0.35">
      <c r="A175">
        <v>170</v>
      </c>
      <c r="B175" t="s">
        <v>573</v>
      </c>
      <c r="C175" t="s">
        <v>574</v>
      </c>
      <c r="D175" t="s">
        <v>172</v>
      </c>
      <c r="E175" t="s">
        <v>225</v>
      </c>
      <c r="F175">
        <v>179.81</v>
      </c>
      <c r="G175">
        <v>141.58000000000001</v>
      </c>
      <c r="H175">
        <v>384.45</v>
      </c>
      <c r="I175">
        <v>0.35</v>
      </c>
      <c r="J175">
        <v>6.5</v>
      </c>
      <c r="K175">
        <v>6.6</v>
      </c>
      <c r="L175" t="s">
        <v>203</v>
      </c>
      <c r="M175" t="s">
        <v>198</v>
      </c>
      <c r="N175" t="s">
        <v>199</v>
      </c>
      <c r="O175">
        <v>0.63500000000000001</v>
      </c>
      <c r="P175">
        <v>168.8</v>
      </c>
      <c r="Q175">
        <v>28.45</v>
      </c>
      <c r="R175">
        <v>157.1</v>
      </c>
      <c r="S175">
        <v>59.1</v>
      </c>
      <c r="T175">
        <v>69</v>
      </c>
      <c r="U175">
        <v>0.51</v>
      </c>
      <c r="V175">
        <v>0.82</v>
      </c>
      <c r="W175">
        <v>1</v>
      </c>
      <c r="X175">
        <v>-8.4</v>
      </c>
      <c r="Y175">
        <v>3.6</v>
      </c>
      <c r="Z175" t="s">
        <v>226</v>
      </c>
      <c r="AA175" t="s">
        <v>163</v>
      </c>
      <c r="AB175" t="s">
        <v>227</v>
      </c>
    </row>
    <row r="176" spans="1:28" ht="15.5" x14ac:dyDescent="0.35">
      <c r="A176">
        <v>171</v>
      </c>
      <c r="B176" t="s">
        <v>575</v>
      </c>
      <c r="C176" t="s">
        <v>576</v>
      </c>
      <c r="D176" t="s">
        <v>172</v>
      </c>
      <c r="E176" t="s">
        <v>225</v>
      </c>
      <c r="F176">
        <v>43.71</v>
      </c>
      <c r="G176">
        <v>192.12</v>
      </c>
      <c r="H176">
        <v>384.31</v>
      </c>
      <c r="I176">
        <v>0.35</v>
      </c>
      <c r="J176">
        <v>6.5</v>
      </c>
      <c r="K176">
        <v>6.6</v>
      </c>
      <c r="L176" t="s">
        <v>203</v>
      </c>
      <c r="M176" t="s">
        <v>198</v>
      </c>
      <c r="N176" t="s">
        <v>199</v>
      </c>
      <c r="O176">
        <v>0.63500000000000001</v>
      </c>
      <c r="P176">
        <v>168.8</v>
      </c>
      <c r="Q176">
        <v>18.21</v>
      </c>
      <c r="R176">
        <v>270</v>
      </c>
      <c r="S176">
        <v>59.1</v>
      </c>
      <c r="T176">
        <v>69</v>
      </c>
      <c r="U176">
        <v>0.51</v>
      </c>
      <c r="V176">
        <v>0.82</v>
      </c>
      <c r="W176">
        <v>1</v>
      </c>
      <c r="X176">
        <v>-12.6</v>
      </c>
      <c r="Y176">
        <v>6.1</v>
      </c>
      <c r="Z176" t="s">
        <v>226</v>
      </c>
      <c r="AA176" t="s">
        <v>163</v>
      </c>
      <c r="AB176" t="s">
        <v>227</v>
      </c>
    </row>
    <row r="177" spans="1:28" ht="15.5" x14ac:dyDescent="0.35">
      <c r="A177">
        <v>172</v>
      </c>
      <c r="B177" t="s">
        <v>577</v>
      </c>
      <c r="C177" t="s">
        <v>578</v>
      </c>
      <c r="D177" t="s">
        <v>172</v>
      </c>
      <c r="E177" t="s">
        <v>225</v>
      </c>
      <c r="F177">
        <v>43.03</v>
      </c>
      <c r="G177">
        <v>184.71</v>
      </c>
      <c r="H177">
        <v>384.31</v>
      </c>
      <c r="I177">
        <v>0.35</v>
      </c>
      <c r="J177">
        <v>6.5</v>
      </c>
      <c r="K177">
        <v>6.6</v>
      </c>
      <c r="L177" t="s">
        <v>203</v>
      </c>
      <c r="M177" t="s">
        <v>198</v>
      </c>
      <c r="N177" t="s">
        <v>199</v>
      </c>
      <c r="O177">
        <v>0.63500000000000001</v>
      </c>
      <c r="P177">
        <v>168.8</v>
      </c>
      <c r="Q177">
        <v>18.89</v>
      </c>
      <c r="R177">
        <v>270</v>
      </c>
      <c r="S177">
        <v>59.1</v>
      </c>
      <c r="T177">
        <v>69</v>
      </c>
      <c r="U177">
        <v>0.51</v>
      </c>
      <c r="V177">
        <v>0.82</v>
      </c>
      <c r="W177">
        <v>1</v>
      </c>
      <c r="X177">
        <v>-12.1</v>
      </c>
      <c r="Y177">
        <v>5.9</v>
      </c>
      <c r="Z177" t="s">
        <v>226</v>
      </c>
      <c r="AA177" t="s">
        <v>163</v>
      </c>
      <c r="AB177" t="s">
        <v>227</v>
      </c>
    </row>
    <row r="178" spans="1:28" ht="15.5" x14ac:dyDescent="0.35">
      <c r="A178">
        <v>173</v>
      </c>
      <c r="B178" t="s">
        <v>579</v>
      </c>
      <c r="C178" t="s">
        <v>580</v>
      </c>
      <c r="D178" t="s">
        <v>172</v>
      </c>
      <c r="E178" t="s">
        <v>225</v>
      </c>
      <c r="F178">
        <v>38.630000000000003</v>
      </c>
      <c r="G178">
        <v>162.4</v>
      </c>
      <c r="H178">
        <v>384.62</v>
      </c>
      <c r="I178">
        <v>0.35</v>
      </c>
      <c r="J178">
        <v>6.5</v>
      </c>
      <c r="K178">
        <v>6.6</v>
      </c>
      <c r="L178" t="s">
        <v>203</v>
      </c>
      <c r="M178" t="s">
        <v>198</v>
      </c>
      <c r="N178" t="s">
        <v>199</v>
      </c>
      <c r="O178">
        <v>0.63500000000000001</v>
      </c>
      <c r="P178">
        <v>168.8</v>
      </c>
      <c r="Q178">
        <v>23.29</v>
      </c>
      <c r="R178">
        <v>270</v>
      </c>
      <c r="S178">
        <v>59.1</v>
      </c>
      <c r="T178">
        <v>69</v>
      </c>
      <c r="U178">
        <v>0.51</v>
      </c>
      <c r="V178">
        <v>0.82</v>
      </c>
      <c r="W178">
        <v>1</v>
      </c>
      <c r="X178">
        <v>-10.6</v>
      </c>
      <c r="Y178">
        <v>4</v>
      </c>
      <c r="Z178" t="s">
        <v>236</v>
      </c>
      <c r="AA178" t="s">
        <v>163</v>
      </c>
      <c r="AB178" t="s">
        <v>237</v>
      </c>
    </row>
    <row r="179" spans="1:28" ht="15.5" x14ac:dyDescent="0.35">
      <c r="A179">
        <v>174</v>
      </c>
      <c r="B179" t="s">
        <v>581</v>
      </c>
      <c r="C179" t="s">
        <v>582</v>
      </c>
      <c r="D179" t="s">
        <v>172</v>
      </c>
      <c r="E179" t="s">
        <v>225</v>
      </c>
      <c r="F179">
        <v>37.72</v>
      </c>
      <c r="G179">
        <v>148.99</v>
      </c>
      <c r="H179">
        <v>384.6</v>
      </c>
      <c r="I179">
        <v>0.35</v>
      </c>
      <c r="J179">
        <v>6.5</v>
      </c>
      <c r="K179">
        <v>6.6</v>
      </c>
      <c r="L179" t="s">
        <v>203</v>
      </c>
      <c r="M179" t="s">
        <v>198</v>
      </c>
      <c r="N179" t="s">
        <v>199</v>
      </c>
      <c r="O179">
        <v>0.63500000000000001</v>
      </c>
      <c r="P179">
        <v>168.8</v>
      </c>
      <c r="Q179">
        <v>24.2</v>
      </c>
      <c r="R179">
        <v>270</v>
      </c>
      <c r="S179">
        <v>59.1</v>
      </c>
      <c r="T179">
        <v>69</v>
      </c>
      <c r="U179">
        <v>0.51</v>
      </c>
      <c r="V179">
        <v>0.82</v>
      </c>
      <c r="W179">
        <v>1</v>
      </c>
      <c r="X179">
        <v>-10.199999999999999</v>
      </c>
      <c r="Y179">
        <v>3.9</v>
      </c>
      <c r="Z179" t="s">
        <v>236</v>
      </c>
      <c r="AA179" t="s">
        <v>163</v>
      </c>
      <c r="AB179" t="s">
        <v>237</v>
      </c>
    </row>
    <row r="180" spans="1:28" ht="15.5" x14ac:dyDescent="0.35">
      <c r="A180">
        <v>175</v>
      </c>
      <c r="B180" t="s">
        <v>583</v>
      </c>
      <c r="C180" t="s">
        <v>584</v>
      </c>
      <c r="D180" t="s">
        <v>172</v>
      </c>
      <c r="E180" t="s">
        <v>225</v>
      </c>
      <c r="F180">
        <v>37.020000000000003</v>
      </c>
      <c r="G180">
        <v>135.54</v>
      </c>
      <c r="H180">
        <v>384.55</v>
      </c>
      <c r="I180">
        <v>0.35</v>
      </c>
      <c r="J180">
        <v>6.5</v>
      </c>
      <c r="K180">
        <v>6.6</v>
      </c>
      <c r="L180" t="s">
        <v>203</v>
      </c>
      <c r="M180" t="s">
        <v>198</v>
      </c>
      <c r="N180" t="s">
        <v>199</v>
      </c>
      <c r="O180">
        <v>0.63500000000000001</v>
      </c>
      <c r="P180">
        <v>168.8</v>
      </c>
      <c r="Q180">
        <v>24.9</v>
      </c>
      <c r="R180">
        <v>270</v>
      </c>
      <c r="S180">
        <v>59.1</v>
      </c>
      <c r="T180">
        <v>69</v>
      </c>
      <c r="U180">
        <v>0.51</v>
      </c>
      <c r="V180">
        <v>0.82</v>
      </c>
      <c r="W180">
        <v>1</v>
      </c>
      <c r="X180">
        <v>-9.8000000000000007</v>
      </c>
      <c r="Y180">
        <v>3.9</v>
      </c>
      <c r="Z180" t="s">
        <v>236</v>
      </c>
      <c r="AA180" t="s">
        <v>163</v>
      </c>
      <c r="AB180" t="s">
        <v>237</v>
      </c>
    </row>
    <row r="181" spans="1:28" ht="15.5" x14ac:dyDescent="0.35">
      <c r="A181">
        <v>176</v>
      </c>
      <c r="B181" t="s">
        <v>585</v>
      </c>
      <c r="C181" t="s">
        <v>586</v>
      </c>
      <c r="D181" t="s">
        <v>172</v>
      </c>
      <c r="E181" t="s">
        <v>225</v>
      </c>
      <c r="F181">
        <v>38.08</v>
      </c>
      <c r="G181">
        <v>114.48</v>
      </c>
      <c r="H181">
        <v>383.87</v>
      </c>
      <c r="I181">
        <v>0.35</v>
      </c>
      <c r="J181">
        <v>6.5</v>
      </c>
      <c r="K181">
        <v>6.6</v>
      </c>
      <c r="L181" t="s">
        <v>203</v>
      </c>
      <c r="M181" t="s">
        <v>198</v>
      </c>
      <c r="N181" t="s">
        <v>199</v>
      </c>
      <c r="O181">
        <v>0.63500000000000001</v>
      </c>
      <c r="P181">
        <v>168.8</v>
      </c>
      <c r="Q181">
        <v>23.84</v>
      </c>
      <c r="R181">
        <v>270</v>
      </c>
      <c r="S181">
        <v>59.1</v>
      </c>
      <c r="T181">
        <v>69</v>
      </c>
      <c r="U181">
        <v>0.51</v>
      </c>
      <c r="V181">
        <v>0.82</v>
      </c>
      <c r="W181">
        <v>1</v>
      </c>
      <c r="X181">
        <v>-8.6</v>
      </c>
      <c r="Y181">
        <v>5.7</v>
      </c>
      <c r="Z181" t="s">
        <v>226</v>
      </c>
      <c r="AA181" t="s">
        <v>163</v>
      </c>
      <c r="AB181" t="s">
        <v>227</v>
      </c>
    </row>
    <row r="182" spans="1:28" ht="15.5" x14ac:dyDescent="0.35">
      <c r="A182">
        <v>177</v>
      </c>
      <c r="B182" t="s">
        <v>587</v>
      </c>
      <c r="C182" t="s">
        <v>588</v>
      </c>
      <c r="D182" t="s">
        <v>172</v>
      </c>
      <c r="E182" t="s">
        <v>225</v>
      </c>
      <c r="F182">
        <v>38.520000000000003</v>
      </c>
      <c r="G182">
        <v>111.31</v>
      </c>
      <c r="H182">
        <v>383.78</v>
      </c>
      <c r="I182">
        <v>0.35</v>
      </c>
      <c r="J182">
        <v>6.5</v>
      </c>
      <c r="K182">
        <v>6.6</v>
      </c>
      <c r="L182" t="s">
        <v>203</v>
      </c>
      <c r="M182" t="s">
        <v>198</v>
      </c>
      <c r="N182" t="s">
        <v>199</v>
      </c>
      <c r="O182">
        <v>0.63500000000000001</v>
      </c>
      <c r="P182">
        <v>168.8</v>
      </c>
      <c r="Q182">
        <v>23.4</v>
      </c>
      <c r="R182">
        <v>270</v>
      </c>
      <c r="S182">
        <v>59.1</v>
      </c>
      <c r="T182">
        <v>69</v>
      </c>
      <c r="U182">
        <v>0.51</v>
      </c>
      <c r="V182">
        <v>0.82</v>
      </c>
      <c r="W182">
        <v>1</v>
      </c>
      <c r="X182">
        <v>-8.6</v>
      </c>
      <c r="Y182">
        <v>6</v>
      </c>
      <c r="Z182" t="s">
        <v>226</v>
      </c>
      <c r="AA182" t="s">
        <v>163</v>
      </c>
      <c r="AB182" t="s">
        <v>227</v>
      </c>
    </row>
    <row r="183" spans="1:28" ht="15.5" x14ac:dyDescent="0.35">
      <c r="A183">
        <v>178</v>
      </c>
      <c r="B183" t="s">
        <v>589</v>
      </c>
      <c r="C183" t="s">
        <v>590</v>
      </c>
      <c r="D183" t="s">
        <v>172</v>
      </c>
      <c r="E183" t="s">
        <v>225</v>
      </c>
      <c r="F183">
        <v>62.02</v>
      </c>
      <c r="G183">
        <v>302.94</v>
      </c>
      <c r="H183">
        <v>384.47</v>
      </c>
      <c r="I183">
        <v>0.35</v>
      </c>
      <c r="J183">
        <v>6.5</v>
      </c>
      <c r="K183">
        <v>6.6</v>
      </c>
      <c r="L183" t="s">
        <v>203</v>
      </c>
      <c r="M183" t="s">
        <v>198</v>
      </c>
      <c r="N183" t="s">
        <v>199</v>
      </c>
      <c r="O183">
        <v>0.63500000000000001</v>
      </c>
      <c r="P183">
        <v>168.8</v>
      </c>
      <c r="Q183">
        <v>21.15</v>
      </c>
      <c r="R183">
        <v>0</v>
      </c>
      <c r="S183">
        <v>59.1</v>
      </c>
      <c r="T183">
        <v>69</v>
      </c>
      <c r="U183">
        <v>0.51</v>
      </c>
      <c r="V183">
        <v>0.82</v>
      </c>
      <c r="W183">
        <v>1</v>
      </c>
      <c r="X183">
        <v>-11.3</v>
      </c>
      <c r="Y183">
        <v>4.8</v>
      </c>
      <c r="Z183" t="s">
        <v>226</v>
      </c>
      <c r="AA183" t="s">
        <v>163</v>
      </c>
      <c r="AB183" t="s">
        <v>227</v>
      </c>
    </row>
    <row r="184" spans="1:28" ht="15.5" x14ac:dyDescent="0.35">
      <c r="A184">
        <v>179</v>
      </c>
      <c r="B184" t="s">
        <v>591</v>
      </c>
      <c r="C184" t="s">
        <v>592</v>
      </c>
      <c r="D184" t="s">
        <v>172</v>
      </c>
      <c r="E184" t="s">
        <v>225</v>
      </c>
      <c r="F184">
        <v>149.97</v>
      </c>
      <c r="G184">
        <v>284.17</v>
      </c>
      <c r="H184">
        <v>384.4</v>
      </c>
      <c r="I184">
        <v>0.35</v>
      </c>
      <c r="J184">
        <v>6.5</v>
      </c>
      <c r="K184">
        <v>6.6</v>
      </c>
      <c r="L184" t="s">
        <v>203</v>
      </c>
      <c r="M184" t="s">
        <v>198</v>
      </c>
      <c r="N184" t="s">
        <v>199</v>
      </c>
      <c r="O184">
        <v>0.63500000000000001</v>
      </c>
      <c r="P184">
        <v>168.8</v>
      </c>
      <c r="Q184">
        <v>16.850000000000001</v>
      </c>
      <c r="R184">
        <v>81.900000000000006</v>
      </c>
      <c r="S184">
        <v>59.1</v>
      </c>
      <c r="T184">
        <v>69</v>
      </c>
      <c r="U184">
        <v>0.51</v>
      </c>
      <c r="V184">
        <v>0.82</v>
      </c>
      <c r="W184">
        <v>1</v>
      </c>
      <c r="X184">
        <v>-13.8</v>
      </c>
      <c r="Y184">
        <v>6.3</v>
      </c>
      <c r="Z184" t="s">
        <v>226</v>
      </c>
      <c r="AA184" t="s">
        <v>163</v>
      </c>
      <c r="AB184" t="s">
        <v>227</v>
      </c>
    </row>
    <row r="185" spans="1:28" ht="15.5" x14ac:dyDescent="0.35">
      <c r="A185">
        <v>180</v>
      </c>
      <c r="B185" t="s">
        <v>593</v>
      </c>
      <c r="C185" t="s">
        <v>594</v>
      </c>
      <c r="D185" t="s">
        <v>172</v>
      </c>
      <c r="E185" t="s">
        <v>260</v>
      </c>
      <c r="F185">
        <v>159.54</v>
      </c>
      <c r="G185">
        <v>249.74</v>
      </c>
      <c r="H185">
        <v>384.23</v>
      </c>
      <c r="I185">
        <v>0.35</v>
      </c>
      <c r="J185">
        <v>6.5</v>
      </c>
      <c r="K185">
        <v>6.6</v>
      </c>
      <c r="L185" t="s">
        <v>203</v>
      </c>
      <c r="M185" t="s">
        <v>198</v>
      </c>
      <c r="N185" t="s">
        <v>199</v>
      </c>
      <c r="O185">
        <v>0.63500000000000001</v>
      </c>
      <c r="P185">
        <v>168.8</v>
      </c>
      <c r="Q185">
        <v>25.64</v>
      </c>
      <c r="R185">
        <v>82</v>
      </c>
      <c r="S185">
        <v>59.1</v>
      </c>
      <c r="T185">
        <v>69</v>
      </c>
      <c r="U185">
        <v>0.51</v>
      </c>
      <c r="V185">
        <v>0.82</v>
      </c>
      <c r="W185">
        <v>1</v>
      </c>
      <c r="X185">
        <v>-8.8000000000000007</v>
      </c>
      <c r="Y185">
        <v>4.5</v>
      </c>
      <c r="Z185" t="s">
        <v>226</v>
      </c>
      <c r="AA185" t="s">
        <v>163</v>
      </c>
      <c r="AB185" t="s">
        <v>261</v>
      </c>
    </row>
    <row r="186" spans="1:28" ht="15.5" x14ac:dyDescent="0.35">
      <c r="A186">
        <v>181</v>
      </c>
      <c r="B186" t="s">
        <v>595</v>
      </c>
      <c r="C186" t="s">
        <v>596</v>
      </c>
      <c r="D186" t="s">
        <v>172</v>
      </c>
      <c r="E186" t="s">
        <v>225</v>
      </c>
      <c r="F186">
        <v>157.94</v>
      </c>
      <c r="G186">
        <v>269.33999999999997</v>
      </c>
      <c r="H186">
        <v>384.88</v>
      </c>
      <c r="I186">
        <v>0.35</v>
      </c>
      <c r="J186">
        <v>6.5</v>
      </c>
      <c r="K186">
        <v>6.6</v>
      </c>
      <c r="L186" t="s">
        <v>203</v>
      </c>
      <c r="M186" t="s">
        <v>198</v>
      </c>
      <c r="N186" t="s">
        <v>199</v>
      </c>
      <c r="O186">
        <v>0.63500000000000001</v>
      </c>
      <c r="P186">
        <v>168.8</v>
      </c>
      <c r="Q186">
        <v>23.79</v>
      </c>
      <c r="R186">
        <v>90</v>
      </c>
      <c r="S186">
        <v>59.1</v>
      </c>
      <c r="T186">
        <v>69</v>
      </c>
      <c r="U186">
        <v>0.51</v>
      </c>
      <c r="V186">
        <v>0.82</v>
      </c>
      <c r="W186">
        <v>1</v>
      </c>
      <c r="X186">
        <v>-11</v>
      </c>
      <c r="Y186">
        <v>3.3</v>
      </c>
      <c r="Z186" t="s">
        <v>236</v>
      </c>
      <c r="AA186" t="s">
        <v>163</v>
      </c>
      <c r="AB186" t="s">
        <v>237</v>
      </c>
    </row>
    <row r="187" spans="1:28" ht="15.5" x14ac:dyDescent="0.35">
      <c r="A187">
        <v>182</v>
      </c>
      <c r="B187" t="s">
        <v>597</v>
      </c>
      <c r="C187" t="s">
        <v>598</v>
      </c>
      <c r="D187" t="s">
        <v>172</v>
      </c>
      <c r="E187" t="s">
        <v>225</v>
      </c>
      <c r="F187">
        <v>35.299999999999997</v>
      </c>
      <c r="G187">
        <v>256.25</v>
      </c>
      <c r="H187">
        <v>384.42</v>
      </c>
      <c r="I187">
        <v>0.35</v>
      </c>
      <c r="J187">
        <v>6.5</v>
      </c>
      <c r="K187">
        <v>6.6</v>
      </c>
      <c r="L187" t="s">
        <v>203</v>
      </c>
      <c r="M187" t="s">
        <v>198</v>
      </c>
      <c r="N187" t="s">
        <v>199</v>
      </c>
      <c r="O187">
        <v>0.63500000000000001</v>
      </c>
      <c r="P187">
        <v>168.8</v>
      </c>
      <c r="Q187">
        <v>26.62</v>
      </c>
      <c r="R187">
        <v>270</v>
      </c>
      <c r="S187">
        <v>59.1</v>
      </c>
      <c r="T187">
        <v>69</v>
      </c>
      <c r="U187">
        <v>0.51</v>
      </c>
      <c r="V187">
        <v>0.82</v>
      </c>
      <c r="W187">
        <v>1</v>
      </c>
      <c r="X187">
        <v>-8.9</v>
      </c>
      <c r="Y187">
        <v>3.9</v>
      </c>
      <c r="Z187" t="s">
        <v>226</v>
      </c>
      <c r="AA187" t="s">
        <v>163</v>
      </c>
      <c r="AB187" t="s">
        <v>227</v>
      </c>
    </row>
    <row r="188" spans="1:28" ht="15.5" x14ac:dyDescent="0.35">
      <c r="A188">
        <v>183</v>
      </c>
      <c r="B188" t="s">
        <v>599</v>
      </c>
      <c r="C188" t="s">
        <v>600</v>
      </c>
      <c r="D188" t="s">
        <v>172</v>
      </c>
      <c r="E188" t="s">
        <v>225</v>
      </c>
      <c r="F188">
        <v>36.049999999999997</v>
      </c>
      <c r="G188">
        <v>238.18</v>
      </c>
      <c r="H188">
        <v>384.37</v>
      </c>
      <c r="I188">
        <v>0.35</v>
      </c>
      <c r="J188">
        <v>6.5</v>
      </c>
      <c r="K188">
        <v>6.6</v>
      </c>
      <c r="L188" t="s">
        <v>203</v>
      </c>
      <c r="M188" t="s">
        <v>198</v>
      </c>
      <c r="N188" t="s">
        <v>199</v>
      </c>
      <c r="O188">
        <v>0.63500000000000001</v>
      </c>
      <c r="P188">
        <v>168.8</v>
      </c>
      <c r="Q188">
        <v>25.87</v>
      </c>
      <c r="R188">
        <v>270</v>
      </c>
      <c r="S188">
        <v>59.1</v>
      </c>
      <c r="T188">
        <v>69</v>
      </c>
      <c r="U188">
        <v>0.51</v>
      </c>
      <c r="V188">
        <v>0.82</v>
      </c>
      <c r="W188">
        <v>1</v>
      </c>
      <c r="X188">
        <v>-9.1</v>
      </c>
      <c r="Y188">
        <v>4.0999999999999996</v>
      </c>
      <c r="Z188" t="s">
        <v>226</v>
      </c>
      <c r="AA188" t="s">
        <v>163</v>
      </c>
      <c r="AB188" t="s">
        <v>227</v>
      </c>
    </row>
    <row r="189" spans="1:28" ht="15.5" x14ac:dyDescent="0.35">
      <c r="A189">
        <v>184</v>
      </c>
      <c r="B189" t="s">
        <v>601</v>
      </c>
      <c r="C189" t="s">
        <v>602</v>
      </c>
      <c r="D189" t="s">
        <v>172</v>
      </c>
      <c r="E189" t="s">
        <v>225</v>
      </c>
      <c r="F189">
        <v>49.56</v>
      </c>
      <c r="G189">
        <v>290.47000000000003</v>
      </c>
      <c r="H189">
        <v>384.18</v>
      </c>
      <c r="I189">
        <v>0.35</v>
      </c>
      <c r="J189">
        <v>6.5</v>
      </c>
      <c r="K189">
        <v>6.6</v>
      </c>
      <c r="L189" t="s">
        <v>203</v>
      </c>
      <c r="M189" t="s">
        <v>198</v>
      </c>
      <c r="N189" t="s">
        <v>199</v>
      </c>
      <c r="O189">
        <v>0.63500000000000001</v>
      </c>
      <c r="P189">
        <v>168.8</v>
      </c>
      <c r="Q189">
        <v>15.1</v>
      </c>
      <c r="R189">
        <v>305.10000000000002</v>
      </c>
      <c r="S189">
        <v>59.1</v>
      </c>
      <c r="T189">
        <v>69</v>
      </c>
      <c r="U189">
        <v>0.51</v>
      </c>
      <c r="V189">
        <v>0.82</v>
      </c>
      <c r="W189">
        <v>1</v>
      </c>
      <c r="X189">
        <v>-14.6</v>
      </c>
      <c r="Y189">
        <v>7.8</v>
      </c>
      <c r="Z189" t="s">
        <v>226</v>
      </c>
      <c r="AA189" t="s">
        <v>163</v>
      </c>
      <c r="AB189" t="s">
        <v>227</v>
      </c>
    </row>
    <row r="190" spans="1:28" ht="15.5" x14ac:dyDescent="0.35">
      <c r="A190">
        <v>185</v>
      </c>
      <c r="B190" t="s">
        <v>603</v>
      </c>
      <c r="C190" t="s">
        <v>604</v>
      </c>
      <c r="D190" t="s">
        <v>172</v>
      </c>
      <c r="E190" t="s">
        <v>225</v>
      </c>
      <c r="F190">
        <v>51.82</v>
      </c>
      <c r="G190">
        <v>292.73</v>
      </c>
      <c r="H190">
        <v>384.32</v>
      </c>
      <c r="I190">
        <v>0.35</v>
      </c>
      <c r="J190">
        <v>6.5</v>
      </c>
      <c r="K190">
        <v>6.6</v>
      </c>
      <c r="L190" t="s">
        <v>203</v>
      </c>
      <c r="M190" t="s">
        <v>198</v>
      </c>
      <c r="N190" t="s">
        <v>199</v>
      </c>
      <c r="O190">
        <v>0.63500000000000001</v>
      </c>
      <c r="P190">
        <v>168.8</v>
      </c>
      <c r="Q190">
        <v>14.89</v>
      </c>
      <c r="R190">
        <v>317.3</v>
      </c>
      <c r="S190">
        <v>59.1</v>
      </c>
      <c r="T190">
        <v>69</v>
      </c>
      <c r="U190">
        <v>0.51</v>
      </c>
      <c r="V190">
        <v>0.82</v>
      </c>
      <c r="W190">
        <v>1</v>
      </c>
      <c r="X190">
        <v>-15.3</v>
      </c>
      <c r="Y190">
        <v>7.4</v>
      </c>
      <c r="Z190" t="s">
        <v>226</v>
      </c>
      <c r="AA190" t="s">
        <v>163</v>
      </c>
      <c r="AB190" t="s">
        <v>227</v>
      </c>
    </row>
    <row r="191" spans="1:28" ht="15.5" x14ac:dyDescent="0.35">
      <c r="A191">
        <v>186</v>
      </c>
      <c r="B191" t="s">
        <v>605</v>
      </c>
      <c r="C191" t="s">
        <v>606</v>
      </c>
      <c r="D191" t="s">
        <v>172</v>
      </c>
      <c r="E191" t="s">
        <v>225</v>
      </c>
      <c r="F191">
        <v>59.49</v>
      </c>
      <c r="G191">
        <v>300.62</v>
      </c>
      <c r="H191">
        <v>384.49</v>
      </c>
      <c r="I191">
        <v>0.35</v>
      </c>
      <c r="J191">
        <v>6.5</v>
      </c>
      <c r="K191">
        <v>6.6</v>
      </c>
      <c r="L191" t="s">
        <v>203</v>
      </c>
      <c r="M191" t="s">
        <v>198</v>
      </c>
      <c r="N191" t="s">
        <v>199</v>
      </c>
      <c r="O191">
        <v>0.63500000000000001</v>
      </c>
      <c r="P191">
        <v>168.8</v>
      </c>
      <c r="Q191">
        <v>18.989999999999998</v>
      </c>
      <c r="R191">
        <v>352.6</v>
      </c>
      <c r="S191">
        <v>59.1</v>
      </c>
      <c r="T191">
        <v>69</v>
      </c>
      <c r="U191">
        <v>0.51</v>
      </c>
      <c r="V191">
        <v>0.82</v>
      </c>
      <c r="W191">
        <v>1</v>
      </c>
      <c r="X191">
        <v>-12.6</v>
      </c>
      <c r="Y191">
        <v>5.3</v>
      </c>
      <c r="Z191" t="s">
        <v>226</v>
      </c>
      <c r="AA191" t="s">
        <v>163</v>
      </c>
      <c r="AB191" t="s">
        <v>227</v>
      </c>
    </row>
    <row r="192" spans="1:28" ht="15.5" x14ac:dyDescent="0.35">
      <c r="A192">
        <v>187</v>
      </c>
      <c r="B192" t="s">
        <v>607</v>
      </c>
      <c r="C192" t="s">
        <v>608</v>
      </c>
      <c r="D192" t="s">
        <v>172</v>
      </c>
      <c r="E192" t="s">
        <v>260</v>
      </c>
      <c r="F192">
        <v>38.78</v>
      </c>
      <c r="G192">
        <v>273.12</v>
      </c>
      <c r="H192">
        <v>384.08</v>
      </c>
      <c r="I192">
        <v>0.35</v>
      </c>
      <c r="J192">
        <v>6.5</v>
      </c>
      <c r="K192">
        <v>6.6</v>
      </c>
      <c r="L192" t="s">
        <v>203</v>
      </c>
      <c r="M192" t="s">
        <v>198</v>
      </c>
      <c r="N192" t="s">
        <v>199</v>
      </c>
      <c r="O192">
        <v>0.63500000000000001</v>
      </c>
      <c r="P192">
        <v>168.8</v>
      </c>
      <c r="Q192">
        <v>23.5</v>
      </c>
      <c r="R192">
        <v>280</v>
      </c>
      <c r="S192">
        <v>59.1</v>
      </c>
      <c r="T192">
        <v>69</v>
      </c>
      <c r="U192">
        <v>0.51</v>
      </c>
      <c r="V192">
        <v>0.82</v>
      </c>
      <c r="W192">
        <v>1</v>
      </c>
      <c r="X192">
        <v>-9.3000000000000007</v>
      </c>
      <c r="Y192">
        <v>5.3</v>
      </c>
      <c r="Z192" t="s">
        <v>226</v>
      </c>
      <c r="AA192" t="s">
        <v>163</v>
      </c>
      <c r="AB192" t="s">
        <v>261</v>
      </c>
    </row>
    <row r="193" spans="1:28" ht="15.5" x14ac:dyDescent="0.35">
      <c r="A193">
        <v>188</v>
      </c>
      <c r="B193" t="s">
        <v>609</v>
      </c>
      <c r="C193" t="s">
        <v>610</v>
      </c>
      <c r="D193" t="s">
        <v>172</v>
      </c>
      <c r="E193" t="s">
        <v>260</v>
      </c>
      <c r="F193">
        <v>36.92</v>
      </c>
      <c r="G193">
        <v>247.25</v>
      </c>
      <c r="H193">
        <v>384.01</v>
      </c>
      <c r="I193">
        <v>0.35</v>
      </c>
      <c r="J193">
        <v>6.5</v>
      </c>
      <c r="K193">
        <v>6.6</v>
      </c>
      <c r="L193" t="s">
        <v>203</v>
      </c>
      <c r="M193" t="s">
        <v>198</v>
      </c>
      <c r="N193" t="s">
        <v>199</v>
      </c>
      <c r="O193">
        <v>0.63500000000000001</v>
      </c>
      <c r="P193">
        <v>168.8</v>
      </c>
      <c r="Q193">
        <v>25</v>
      </c>
      <c r="R193">
        <v>270</v>
      </c>
      <c r="S193">
        <v>59.1</v>
      </c>
      <c r="T193">
        <v>69</v>
      </c>
      <c r="U193">
        <v>0.51</v>
      </c>
      <c r="V193">
        <v>0.82</v>
      </c>
      <c r="W193">
        <v>1</v>
      </c>
      <c r="X193">
        <v>-8.5</v>
      </c>
      <c r="Y193">
        <v>5.0999999999999996</v>
      </c>
      <c r="Z193" t="s">
        <v>226</v>
      </c>
      <c r="AA193" t="s">
        <v>163</v>
      </c>
      <c r="AB193" t="s">
        <v>261</v>
      </c>
    </row>
    <row r="194" spans="1:28" ht="15.5" x14ac:dyDescent="0.35">
      <c r="A194">
        <v>189</v>
      </c>
      <c r="B194" t="s">
        <v>611</v>
      </c>
      <c r="C194" t="s">
        <v>612</v>
      </c>
      <c r="D194" t="s">
        <v>172</v>
      </c>
      <c r="E194" t="s">
        <v>260</v>
      </c>
      <c r="F194">
        <v>38.42</v>
      </c>
      <c r="G194">
        <v>226.68</v>
      </c>
      <c r="H194">
        <v>384.07</v>
      </c>
      <c r="I194">
        <v>0.35</v>
      </c>
      <c r="J194">
        <v>6.5</v>
      </c>
      <c r="K194">
        <v>6.6</v>
      </c>
      <c r="L194" t="s">
        <v>203</v>
      </c>
      <c r="M194" t="s">
        <v>198</v>
      </c>
      <c r="N194" t="s">
        <v>199</v>
      </c>
      <c r="O194">
        <v>0.63500000000000001</v>
      </c>
      <c r="P194">
        <v>168.8</v>
      </c>
      <c r="Q194">
        <v>23.5</v>
      </c>
      <c r="R194">
        <v>270</v>
      </c>
      <c r="S194">
        <v>59.1</v>
      </c>
      <c r="T194">
        <v>69</v>
      </c>
      <c r="U194">
        <v>0.51</v>
      </c>
      <c r="V194">
        <v>0.82</v>
      </c>
      <c r="W194">
        <v>1</v>
      </c>
      <c r="X194">
        <v>-9.1999999999999993</v>
      </c>
      <c r="Y194">
        <v>5.3</v>
      </c>
      <c r="Z194" t="s">
        <v>226</v>
      </c>
      <c r="AA194" t="s">
        <v>163</v>
      </c>
      <c r="AB194" t="s">
        <v>261</v>
      </c>
    </row>
    <row r="195" spans="1:28" ht="15.5" x14ac:dyDescent="0.35">
      <c r="A195">
        <v>190</v>
      </c>
      <c r="B195" t="s">
        <v>613</v>
      </c>
      <c r="C195" t="s">
        <v>614</v>
      </c>
      <c r="D195" t="s">
        <v>172</v>
      </c>
      <c r="E195" t="s">
        <v>260</v>
      </c>
      <c r="F195">
        <v>40.75</v>
      </c>
      <c r="G195">
        <v>211.45</v>
      </c>
      <c r="H195">
        <v>384.1</v>
      </c>
      <c r="I195">
        <v>0.35</v>
      </c>
      <c r="J195">
        <v>6.5</v>
      </c>
      <c r="K195">
        <v>6.6</v>
      </c>
      <c r="L195" t="s">
        <v>203</v>
      </c>
      <c r="M195" t="s">
        <v>198</v>
      </c>
      <c r="N195" t="s">
        <v>199</v>
      </c>
      <c r="O195">
        <v>0.63500000000000001</v>
      </c>
      <c r="P195">
        <v>168.8</v>
      </c>
      <c r="Q195">
        <v>21.5</v>
      </c>
      <c r="R195">
        <v>260</v>
      </c>
      <c r="S195">
        <v>59.1</v>
      </c>
      <c r="T195">
        <v>69</v>
      </c>
      <c r="U195">
        <v>0.51</v>
      </c>
      <c r="V195">
        <v>0.82</v>
      </c>
      <c r="W195">
        <v>1</v>
      </c>
      <c r="X195">
        <v>-10.199999999999999</v>
      </c>
      <c r="Y195">
        <v>5.7</v>
      </c>
      <c r="Z195" t="s">
        <v>226</v>
      </c>
      <c r="AA195" t="s">
        <v>163</v>
      </c>
      <c r="AB195" t="s">
        <v>261</v>
      </c>
    </row>
    <row r="196" spans="1:28" ht="15.5" x14ac:dyDescent="0.35">
      <c r="A196">
        <v>191</v>
      </c>
      <c r="B196" t="s">
        <v>615</v>
      </c>
      <c r="C196" t="s">
        <v>616</v>
      </c>
      <c r="D196" t="s">
        <v>172</v>
      </c>
      <c r="E196" t="s">
        <v>260</v>
      </c>
      <c r="F196">
        <v>43.7</v>
      </c>
      <c r="G196">
        <v>200.47</v>
      </c>
      <c r="H196">
        <v>384.02</v>
      </c>
      <c r="I196">
        <v>0.35</v>
      </c>
      <c r="J196">
        <v>6.5</v>
      </c>
      <c r="K196">
        <v>6.6</v>
      </c>
      <c r="L196" t="s">
        <v>203</v>
      </c>
      <c r="M196" t="s">
        <v>198</v>
      </c>
      <c r="N196" t="s">
        <v>199</v>
      </c>
      <c r="O196">
        <v>0.63500000000000001</v>
      </c>
      <c r="P196">
        <v>168.8</v>
      </c>
      <c r="Q196">
        <v>18.5</v>
      </c>
      <c r="R196">
        <v>260</v>
      </c>
      <c r="S196">
        <v>59.1</v>
      </c>
      <c r="T196">
        <v>69</v>
      </c>
      <c r="U196">
        <v>0.51</v>
      </c>
      <c r="V196">
        <v>0.82</v>
      </c>
      <c r="W196">
        <v>1</v>
      </c>
      <c r="X196">
        <v>-11.5</v>
      </c>
      <c r="Y196">
        <v>6.9</v>
      </c>
      <c r="Z196" t="s">
        <v>226</v>
      </c>
      <c r="AA196" t="s">
        <v>163</v>
      </c>
      <c r="AB196" t="s">
        <v>261</v>
      </c>
    </row>
    <row r="197" spans="1:28" ht="15.5" x14ac:dyDescent="0.35">
      <c r="A197">
        <v>192</v>
      </c>
      <c r="B197" t="s">
        <v>617</v>
      </c>
      <c r="C197" t="s">
        <v>618</v>
      </c>
      <c r="D197" t="s">
        <v>172</v>
      </c>
      <c r="E197" t="s">
        <v>260</v>
      </c>
      <c r="F197">
        <v>42</v>
      </c>
      <c r="G197">
        <v>175.2</v>
      </c>
      <c r="H197">
        <v>384.04</v>
      </c>
      <c r="I197">
        <v>0.35</v>
      </c>
      <c r="J197">
        <v>6.5</v>
      </c>
      <c r="K197">
        <v>6.6</v>
      </c>
      <c r="L197" t="s">
        <v>203</v>
      </c>
      <c r="M197" t="s">
        <v>198</v>
      </c>
      <c r="N197" t="s">
        <v>199</v>
      </c>
      <c r="O197">
        <v>0.63500000000000001</v>
      </c>
      <c r="P197">
        <v>168.8</v>
      </c>
      <c r="Q197">
        <v>20</v>
      </c>
      <c r="R197">
        <v>275</v>
      </c>
      <c r="S197">
        <v>59.1</v>
      </c>
      <c r="T197">
        <v>69</v>
      </c>
      <c r="U197">
        <v>0.51</v>
      </c>
      <c r="V197">
        <v>0.82</v>
      </c>
      <c r="W197">
        <v>1</v>
      </c>
      <c r="X197">
        <v>-10.7</v>
      </c>
      <c r="Y197">
        <v>6.3</v>
      </c>
      <c r="Z197" t="s">
        <v>226</v>
      </c>
      <c r="AA197" t="s">
        <v>163</v>
      </c>
      <c r="AB197" t="s">
        <v>261</v>
      </c>
    </row>
    <row r="198" spans="1:28" ht="15.5" x14ac:dyDescent="0.35">
      <c r="A198">
        <v>193</v>
      </c>
      <c r="B198" t="s">
        <v>619</v>
      </c>
      <c r="C198" t="s">
        <v>620</v>
      </c>
      <c r="D198" t="s">
        <v>172</v>
      </c>
      <c r="E198" t="s">
        <v>260</v>
      </c>
      <c r="F198">
        <v>37.770000000000003</v>
      </c>
      <c r="G198">
        <v>131.51</v>
      </c>
      <c r="H198">
        <v>384.06</v>
      </c>
      <c r="I198">
        <v>0.35</v>
      </c>
      <c r="J198">
        <v>6.5</v>
      </c>
      <c r="K198">
        <v>6.6</v>
      </c>
      <c r="L198" t="s">
        <v>203</v>
      </c>
      <c r="M198" t="s">
        <v>198</v>
      </c>
      <c r="N198" t="s">
        <v>199</v>
      </c>
      <c r="O198">
        <v>0.63500000000000001</v>
      </c>
      <c r="P198">
        <v>168.8</v>
      </c>
      <c r="Q198">
        <v>25</v>
      </c>
      <c r="R198">
        <v>285</v>
      </c>
      <c r="S198">
        <v>59.1</v>
      </c>
      <c r="T198">
        <v>69</v>
      </c>
      <c r="U198">
        <v>0.51</v>
      </c>
      <c r="V198">
        <v>0.82</v>
      </c>
      <c r="W198">
        <v>1</v>
      </c>
      <c r="X198">
        <v>-8.6999999999999993</v>
      </c>
      <c r="Y198">
        <v>5</v>
      </c>
      <c r="Z198" t="s">
        <v>226</v>
      </c>
      <c r="AA198" t="s">
        <v>163</v>
      </c>
      <c r="AB198" t="s">
        <v>261</v>
      </c>
    </row>
    <row r="199" spans="1:28" ht="15.5" x14ac:dyDescent="0.35">
      <c r="A199">
        <v>194</v>
      </c>
      <c r="B199" t="s">
        <v>621</v>
      </c>
      <c r="C199" t="s">
        <v>622</v>
      </c>
      <c r="D199" t="s">
        <v>172</v>
      </c>
      <c r="E199" t="s">
        <v>260</v>
      </c>
      <c r="F199">
        <v>47.33</v>
      </c>
      <c r="G199">
        <v>71.849999999999994</v>
      </c>
      <c r="H199">
        <v>384.01</v>
      </c>
      <c r="I199">
        <v>0.35</v>
      </c>
      <c r="J199">
        <v>6.5</v>
      </c>
      <c r="K199">
        <v>6.6</v>
      </c>
      <c r="L199" t="s">
        <v>203</v>
      </c>
      <c r="M199" t="s">
        <v>198</v>
      </c>
      <c r="N199" t="s">
        <v>199</v>
      </c>
      <c r="O199">
        <v>0.63500000000000001</v>
      </c>
      <c r="P199">
        <v>168.8</v>
      </c>
      <c r="Q199">
        <v>35.5</v>
      </c>
      <c r="R199">
        <v>212.5</v>
      </c>
      <c r="S199">
        <v>59.1</v>
      </c>
      <c r="T199">
        <v>69</v>
      </c>
      <c r="U199">
        <v>0.51</v>
      </c>
      <c r="V199">
        <v>0.82</v>
      </c>
      <c r="W199">
        <v>1</v>
      </c>
      <c r="X199">
        <v>-6</v>
      </c>
      <c r="Y199">
        <v>3.6</v>
      </c>
      <c r="Z199" t="s">
        <v>226</v>
      </c>
      <c r="AA199" t="s">
        <v>163</v>
      </c>
      <c r="AB199" t="s">
        <v>261</v>
      </c>
    </row>
    <row r="200" spans="1:28" ht="15.5" x14ac:dyDescent="0.35">
      <c r="A200">
        <v>195</v>
      </c>
      <c r="B200" t="s">
        <v>623</v>
      </c>
      <c r="C200" t="s">
        <v>624</v>
      </c>
      <c r="D200" t="s">
        <v>172</v>
      </c>
      <c r="E200" t="s">
        <v>260</v>
      </c>
      <c r="F200">
        <v>183.3</v>
      </c>
      <c r="G200">
        <v>111.63</v>
      </c>
      <c r="H200">
        <v>384.17</v>
      </c>
      <c r="I200">
        <v>0.35</v>
      </c>
      <c r="J200">
        <v>6.5</v>
      </c>
      <c r="K200">
        <v>6.6</v>
      </c>
      <c r="L200" t="s">
        <v>203</v>
      </c>
      <c r="M200" t="s">
        <v>198</v>
      </c>
      <c r="N200" t="s">
        <v>199</v>
      </c>
      <c r="O200">
        <v>0.63500000000000001</v>
      </c>
      <c r="P200">
        <v>168.8</v>
      </c>
      <c r="Q200">
        <v>49.73</v>
      </c>
      <c r="R200">
        <v>81.2</v>
      </c>
      <c r="S200">
        <v>59.1</v>
      </c>
      <c r="T200">
        <v>69</v>
      </c>
      <c r="U200">
        <v>0.51</v>
      </c>
      <c r="V200">
        <v>0.82</v>
      </c>
      <c r="W200">
        <v>1</v>
      </c>
      <c r="X200">
        <v>-4.5</v>
      </c>
      <c r="Y200">
        <v>2.4</v>
      </c>
      <c r="Z200" t="s">
        <v>226</v>
      </c>
      <c r="AA200" t="s">
        <v>163</v>
      </c>
      <c r="AB200" t="s">
        <v>261</v>
      </c>
    </row>
    <row r="201" spans="1:28" ht="15.5" x14ac:dyDescent="0.35">
      <c r="A201">
        <v>196</v>
      </c>
      <c r="B201" t="s">
        <v>625</v>
      </c>
      <c r="C201" t="s">
        <v>626</v>
      </c>
      <c r="D201" t="s">
        <v>172</v>
      </c>
      <c r="E201" t="s">
        <v>260</v>
      </c>
      <c r="F201">
        <v>178.32</v>
      </c>
      <c r="G201">
        <v>120.11</v>
      </c>
      <c r="H201">
        <v>384.03</v>
      </c>
      <c r="I201">
        <v>0.35</v>
      </c>
      <c r="J201">
        <v>6.5</v>
      </c>
      <c r="K201">
        <v>6.6</v>
      </c>
      <c r="L201" t="s">
        <v>203</v>
      </c>
      <c r="M201" t="s">
        <v>198</v>
      </c>
      <c r="N201" t="s">
        <v>199</v>
      </c>
      <c r="O201">
        <v>0.63500000000000001</v>
      </c>
      <c r="P201">
        <v>168.8</v>
      </c>
      <c r="Q201">
        <v>44.22</v>
      </c>
      <c r="R201">
        <v>87.3</v>
      </c>
      <c r="S201">
        <v>59.1</v>
      </c>
      <c r="T201">
        <v>69</v>
      </c>
      <c r="U201">
        <v>0.51</v>
      </c>
      <c r="V201">
        <v>0.82</v>
      </c>
      <c r="W201">
        <v>1</v>
      </c>
      <c r="X201">
        <v>-4.9000000000000004</v>
      </c>
      <c r="Y201">
        <v>2.9</v>
      </c>
      <c r="Z201" t="s">
        <v>226</v>
      </c>
      <c r="AA201" t="s">
        <v>163</v>
      </c>
      <c r="AB201" t="s">
        <v>261</v>
      </c>
    </row>
    <row r="202" spans="1:28" ht="15.5" x14ac:dyDescent="0.35">
      <c r="A202">
        <v>197</v>
      </c>
      <c r="B202" t="s">
        <v>627</v>
      </c>
      <c r="C202" t="s">
        <v>628</v>
      </c>
      <c r="D202" t="s">
        <v>172</v>
      </c>
      <c r="E202" t="s">
        <v>225</v>
      </c>
      <c r="F202">
        <v>178.74</v>
      </c>
      <c r="G202">
        <v>123.28</v>
      </c>
      <c r="H202">
        <v>384.45</v>
      </c>
      <c r="I202">
        <v>0.35</v>
      </c>
      <c r="J202">
        <v>6.5</v>
      </c>
      <c r="K202">
        <v>6.6</v>
      </c>
      <c r="L202" t="s">
        <v>203</v>
      </c>
      <c r="M202" t="s">
        <v>198</v>
      </c>
      <c r="N202" t="s">
        <v>199</v>
      </c>
      <c r="O202">
        <v>0.63500000000000001</v>
      </c>
      <c r="P202">
        <v>168.8</v>
      </c>
      <c r="Q202">
        <v>45.44</v>
      </c>
      <c r="R202">
        <v>101.1</v>
      </c>
      <c r="S202">
        <v>59.1</v>
      </c>
      <c r="T202">
        <v>69</v>
      </c>
      <c r="U202">
        <v>0.51</v>
      </c>
      <c r="V202">
        <v>0.82</v>
      </c>
      <c r="W202">
        <v>1</v>
      </c>
      <c r="X202">
        <v>-5.3</v>
      </c>
      <c r="Y202">
        <v>2.2999999999999998</v>
      </c>
      <c r="Z202" t="s">
        <v>226</v>
      </c>
      <c r="AA202" t="s">
        <v>163</v>
      </c>
      <c r="AB202" t="s">
        <v>227</v>
      </c>
    </row>
    <row r="203" spans="1:28" ht="15.5" x14ac:dyDescent="0.35">
      <c r="A203">
        <v>198</v>
      </c>
      <c r="B203" t="s">
        <v>629</v>
      </c>
      <c r="C203" t="s">
        <v>630</v>
      </c>
      <c r="D203" t="s">
        <v>172</v>
      </c>
      <c r="E203" t="s">
        <v>260</v>
      </c>
      <c r="F203">
        <v>175.51</v>
      </c>
      <c r="G203">
        <v>125.33</v>
      </c>
      <c r="H203">
        <v>384.03</v>
      </c>
      <c r="I203">
        <v>0.35</v>
      </c>
      <c r="J203">
        <v>6.5</v>
      </c>
      <c r="K203">
        <v>6.6</v>
      </c>
      <c r="L203" t="s">
        <v>203</v>
      </c>
      <c r="M203" t="s">
        <v>198</v>
      </c>
      <c r="N203" t="s">
        <v>199</v>
      </c>
      <c r="O203">
        <v>0.63500000000000001</v>
      </c>
      <c r="P203">
        <v>168.8</v>
      </c>
      <c r="Q203">
        <v>46.26</v>
      </c>
      <c r="R203">
        <v>116.6</v>
      </c>
      <c r="S203">
        <v>59.1</v>
      </c>
      <c r="T203">
        <v>69</v>
      </c>
      <c r="U203">
        <v>0.51</v>
      </c>
      <c r="V203">
        <v>0.82</v>
      </c>
      <c r="W203">
        <v>1</v>
      </c>
      <c r="X203">
        <v>-4.7</v>
      </c>
      <c r="Y203">
        <v>2.7</v>
      </c>
      <c r="Z203" t="s">
        <v>226</v>
      </c>
      <c r="AA203" t="s">
        <v>163</v>
      </c>
      <c r="AB203" t="s">
        <v>261</v>
      </c>
    </row>
    <row r="204" spans="1:28" ht="15.5" x14ac:dyDescent="0.35">
      <c r="A204">
        <v>199</v>
      </c>
      <c r="B204" t="s">
        <v>631</v>
      </c>
      <c r="C204" t="s">
        <v>632</v>
      </c>
      <c r="D204" t="s">
        <v>172</v>
      </c>
      <c r="E204" t="s">
        <v>225</v>
      </c>
      <c r="F204">
        <v>176.1</v>
      </c>
      <c r="G204">
        <v>130.11000000000001</v>
      </c>
      <c r="H204">
        <v>384.33</v>
      </c>
      <c r="I204">
        <v>0.35</v>
      </c>
      <c r="J204">
        <v>6.5</v>
      </c>
      <c r="K204">
        <v>6.6</v>
      </c>
      <c r="L204" t="s">
        <v>203</v>
      </c>
      <c r="M204" t="s">
        <v>198</v>
      </c>
      <c r="N204" t="s">
        <v>199</v>
      </c>
      <c r="O204">
        <v>0.63500000000000001</v>
      </c>
      <c r="P204">
        <v>168.8</v>
      </c>
      <c r="Q204">
        <v>51.53</v>
      </c>
      <c r="R204">
        <v>125.5</v>
      </c>
      <c r="S204">
        <v>59.1</v>
      </c>
      <c r="T204">
        <v>69</v>
      </c>
      <c r="U204">
        <v>0.51</v>
      </c>
      <c r="V204">
        <v>0.82</v>
      </c>
      <c r="W204">
        <v>1</v>
      </c>
      <c r="X204">
        <v>-4.5</v>
      </c>
      <c r="Y204">
        <v>2.1</v>
      </c>
      <c r="Z204" t="s">
        <v>226</v>
      </c>
      <c r="AA204" t="s">
        <v>163</v>
      </c>
      <c r="AB204" t="s">
        <v>227</v>
      </c>
    </row>
    <row r="205" spans="1:28" ht="15.5" x14ac:dyDescent="0.35">
      <c r="A205">
        <v>200</v>
      </c>
      <c r="B205" t="s">
        <v>633</v>
      </c>
      <c r="C205" t="s">
        <v>634</v>
      </c>
      <c r="D205" t="s">
        <v>172</v>
      </c>
      <c r="E205" t="s">
        <v>225</v>
      </c>
      <c r="F205">
        <v>177</v>
      </c>
      <c r="G205">
        <v>134.34</v>
      </c>
      <c r="H205">
        <v>384.48</v>
      </c>
      <c r="I205">
        <v>0.35</v>
      </c>
      <c r="J205">
        <v>6.5</v>
      </c>
      <c r="K205">
        <v>6.6</v>
      </c>
      <c r="L205" t="s">
        <v>203</v>
      </c>
      <c r="M205" t="s">
        <v>198</v>
      </c>
      <c r="N205" t="s">
        <v>199</v>
      </c>
      <c r="O205">
        <v>0.63500000000000001</v>
      </c>
      <c r="P205">
        <v>168.8</v>
      </c>
      <c r="Q205">
        <v>49.57</v>
      </c>
      <c r="R205">
        <v>132.4</v>
      </c>
      <c r="S205">
        <v>59.1</v>
      </c>
      <c r="T205">
        <v>69</v>
      </c>
      <c r="U205">
        <v>0.51</v>
      </c>
      <c r="V205">
        <v>0.82</v>
      </c>
      <c r="W205">
        <v>1</v>
      </c>
      <c r="X205">
        <v>-4.9000000000000004</v>
      </c>
      <c r="Y205">
        <v>2</v>
      </c>
      <c r="Z205" t="s">
        <v>226</v>
      </c>
      <c r="AA205" t="s">
        <v>163</v>
      </c>
      <c r="AB205" t="s">
        <v>227</v>
      </c>
    </row>
    <row r="206" spans="1:28" ht="15.5" x14ac:dyDescent="0.35">
      <c r="A206">
        <v>201</v>
      </c>
      <c r="B206" t="s">
        <v>635</v>
      </c>
      <c r="C206" t="s">
        <v>636</v>
      </c>
      <c r="D206" t="s">
        <v>172</v>
      </c>
      <c r="E206" t="s">
        <v>260</v>
      </c>
      <c r="F206">
        <v>177.48</v>
      </c>
      <c r="G206">
        <v>139.68</v>
      </c>
      <c r="H206">
        <v>384.06</v>
      </c>
      <c r="I206">
        <v>0.35</v>
      </c>
      <c r="J206">
        <v>6.5</v>
      </c>
      <c r="K206">
        <v>6.6</v>
      </c>
      <c r="L206" t="s">
        <v>203</v>
      </c>
      <c r="M206" t="s">
        <v>198</v>
      </c>
      <c r="N206" t="s">
        <v>199</v>
      </c>
      <c r="O206">
        <v>0.63500000000000001</v>
      </c>
      <c r="P206">
        <v>168.8</v>
      </c>
      <c r="Q206">
        <v>36.200000000000003</v>
      </c>
      <c r="R206">
        <v>140.9</v>
      </c>
      <c r="S206">
        <v>59.1</v>
      </c>
      <c r="T206">
        <v>69</v>
      </c>
      <c r="U206">
        <v>0.51</v>
      </c>
      <c r="V206">
        <v>0.82</v>
      </c>
      <c r="W206">
        <v>1</v>
      </c>
      <c r="X206">
        <v>-6</v>
      </c>
      <c r="Y206">
        <v>3.5</v>
      </c>
      <c r="Z206" t="s">
        <v>226</v>
      </c>
      <c r="AA206" t="s">
        <v>163</v>
      </c>
      <c r="AB206" t="s">
        <v>261</v>
      </c>
    </row>
    <row r="207" spans="1:28" ht="15.5" x14ac:dyDescent="0.35">
      <c r="A207">
        <v>202</v>
      </c>
      <c r="B207" t="s">
        <v>637</v>
      </c>
      <c r="C207" t="s">
        <v>638</v>
      </c>
      <c r="D207" t="s">
        <v>172</v>
      </c>
      <c r="E207" t="s">
        <v>260</v>
      </c>
      <c r="F207">
        <v>192.05</v>
      </c>
      <c r="G207">
        <v>158.44999999999999</v>
      </c>
      <c r="H207">
        <v>384.06</v>
      </c>
      <c r="I207">
        <v>0.35</v>
      </c>
      <c r="J207">
        <v>6.5</v>
      </c>
      <c r="K207">
        <v>6.6</v>
      </c>
      <c r="L207" t="s">
        <v>203</v>
      </c>
      <c r="M207" t="s">
        <v>198</v>
      </c>
      <c r="N207" t="s">
        <v>199</v>
      </c>
      <c r="O207">
        <v>0.63500000000000001</v>
      </c>
      <c r="P207">
        <v>168.8</v>
      </c>
      <c r="Q207">
        <v>32.99</v>
      </c>
      <c r="R207">
        <v>135</v>
      </c>
      <c r="S207">
        <v>59.1</v>
      </c>
      <c r="T207">
        <v>69</v>
      </c>
      <c r="U207">
        <v>0.51</v>
      </c>
      <c r="V207">
        <v>0.82</v>
      </c>
      <c r="W207">
        <v>1</v>
      </c>
      <c r="X207">
        <v>-6.6</v>
      </c>
      <c r="Y207">
        <v>3.8</v>
      </c>
      <c r="Z207" t="s">
        <v>226</v>
      </c>
      <c r="AA207" t="s">
        <v>163</v>
      </c>
      <c r="AB207" t="s">
        <v>261</v>
      </c>
    </row>
    <row r="208" spans="1:28" ht="15.5" x14ac:dyDescent="0.35">
      <c r="A208">
        <v>203</v>
      </c>
      <c r="B208" t="s">
        <v>639</v>
      </c>
      <c r="C208" t="s">
        <v>640</v>
      </c>
      <c r="D208" t="s">
        <v>172</v>
      </c>
      <c r="E208" t="s">
        <v>260</v>
      </c>
      <c r="F208">
        <v>200.19</v>
      </c>
      <c r="G208">
        <v>164.56</v>
      </c>
      <c r="H208">
        <v>384.03</v>
      </c>
      <c r="I208">
        <v>0.35</v>
      </c>
      <c r="J208">
        <v>6.5</v>
      </c>
      <c r="K208">
        <v>6.6</v>
      </c>
      <c r="L208" t="s">
        <v>203</v>
      </c>
      <c r="M208" t="s">
        <v>198</v>
      </c>
      <c r="N208" t="s">
        <v>199</v>
      </c>
      <c r="O208">
        <v>0.63500000000000001</v>
      </c>
      <c r="P208">
        <v>168.8</v>
      </c>
      <c r="Q208">
        <v>44.51</v>
      </c>
      <c r="R208">
        <v>135</v>
      </c>
      <c r="S208">
        <v>59.1</v>
      </c>
      <c r="T208">
        <v>69</v>
      </c>
      <c r="U208">
        <v>0.51</v>
      </c>
      <c r="V208">
        <v>0.82</v>
      </c>
      <c r="W208">
        <v>1</v>
      </c>
      <c r="X208">
        <v>-4.8</v>
      </c>
      <c r="Y208">
        <v>2.9</v>
      </c>
      <c r="Z208" t="s">
        <v>226</v>
      </c>
      <c r="AA208" t="s">
        <v>163</v>
      </c>
      <c r="AB208" t="s">
        <v>261</v>
      </c>
    </row>
    <row r="209" spans="1:28" ht="15.5" x14ac:dyDescent="0.35">
      <c r="A209">
        <v>204</v>
      </c>
      <c r="B209" t="s">
        <v>641</v>
      </c>
      <c r="C209" t="s">
        <v>642</v>
      </c>
      <c r="D209" t="s">
        <v>172</v>
      </c>
      <c r="E209" t="s">
        <v>260</v>
      </c>
      <c r="F209">
        <v>219.02</v>
      </c>
      <c r="G209">
        <v>186.57</v>
      </c>
      <c r="H209">
        <v>384.11</v>
      </c>
      <c r="I209">
        <v>0.35</v>
      </c>
      <c r="J209">
        <v>6.5</v>
      </c>
      <c r="K209">
        <v>6.6</v>
      </c>
      <c r="L209" t="s">
        <v>203</v>
      </c>
      <c r="M209" t="s">
        <v>198</v>
      </c>
      <c r="N209" t="s">
        <v>199</v>
      </c>
      <c r="O209">
        <v>0.63500000000000001</v>
      </c>
      <c r="P209">
        <v>168.8</v>
      </c>
      <c r="Q209">
        <v>55.5</v>
      </c>
      <c r="R209">
        <v>115</v>
      </c>
      <c r="S209">
        <v>59.1</v>
      </c>
      <c r="T209">
        <v>69</v>
      </c>
      <c r="U209">
        <v>0.51</v>
      </c>
      <c r="V209">
        <v>0.82</v>
      </c>
      <c r="W209">
        <v>1</v>
      </c>
      <c r="X209">
        <v>-4</v>
      </c>
      <c r="Y209">
        <v>2.2000000000000002</v>
      </c>
      <c r="Z209" t="s">
        <v>226</v>
      </c>
      <c r="AA209" t="s">
        <v>163</v>
      </c>
      <c r="AB209" t="s">
        <v>261</v>
      </c>
    </row>
    <row r="210" spans="1:28" ht="15.5" x14ac:dyDescent="0.35">
      <c r="A210">
        <v>205</v>
      </c>
      <c r="B210" t="s">
        <v>643</v>
      </c>
      <c r="C210" t="s">
        <v>644</v>
      </c>
      <c r="D210" t="s">
        <v>172</v>
      </c>
      <c r="E210" t="s">
        <v>260</v>
      </c>
      <c r="F210">
        <v>173.26</v>
      </c>
      <c r="G210">
        <v>237.19</v>
      </c>
      <c r="H210">
        <v>384.01</v>
      </c>
      <c r="I210">
        <v>0.35</v>
      </c>
      <c r="J210">
        <v>6.5</v>
      </c>
      <c r="K210">
        <v>6.6</v>
      </c>
      <c r="L210" t="s">
        <v>203</v>
      </c>
      <c r="M210" t="s">
        <v>198</v>
      </c>
      <c r="N210" t="s">
        <v>199</v>
      </c>
      <c r="O210">
        <v>0.63500000000000001</v>
      </c>
      <c r="P210">
        <v>168.8</v>
      </c>
      <c r="Q210">
        <v>14</v>
      </c>
      <c r="R210">
        <v>20</v>
      </c>
      <c r="S210">
        <v>59.1</v>
      </c>
      <c r="T210">
        <v>69</v>
      </c>
      <c r="U210">
        <v>0.51</v>
      </c>
      <c r="V210">
        <v>0.82</v>
      </c>
      <c r="W210">
        <v>1</v>
      </c>
      <c r="X210">
        <v>-15</v>
      </c>
      <c r="Y210">
        <v>9.1</v>
      </c>
      <c r="Z210" t="s">
        <v>226</v>
      </c>
      <c r="AA210" t="s">
        <v>163</v>
      </c>
      <c r="AB210" t="s">
        <v>261</v>
      </c>
    </row>
    <row r="211" spans="1:28" ht="15.5" x14ac:dyDescent="0.35">
      <c r="A211">
        <v>206</v>
      </c>
      <c r="B211" t="s">
        <v>645</v>
      </c>
      <c r="C211" t="s">
        <v>646</v>
      </c>
      <c r="D211" t="s">
        <v>172</v>
      </c>
      <c r="E211" t="s">
        <v>260</v>
      </c>
      <c r="F211">
        <v>163.13</v>
      </c>
      <c r="G211">
        <v>242.61</v>
      </c>
      <c r="H211">
        <v>384.08</v>
      </c>
      <c r="I211">
        <v>0.35</v>
      </c>
      <c r="J211">
        <v>6.5</v>
      </c>
      <c r="K211">
        <v>6.6</v>
      </c>
      <c r="L211" t="s">
        <v>203</v>
      </c>
      <c r="M211" t="s">
        <v>198</v>
      </c>
      <c r="N211" t="s">
        <v>199</v>
      </c>
      <c r="O211">
        <v>0.63500000000000001</v>
      </c>
      <c r="P211">
        <v>168.8</v>
      </c>
      <c r="Q211">
        <v>20.5</v>
      </c>
      <c r="R211">
        <v>25</v>
      </c>
      <c r="S211">
        <v>59.1</v>
      </c>
      <c r="T211">
        <v>69</v>
      </c>
      <c r="U211">
        <v>0.51</v>
      </c>
      <c r="V211">
        <v>0.82</v>
      </c>
      <c r="W211">
        <v>1</v>
      </c>
      <c r="X211">
        <v>-10.6</v>
      </c>
      <c r="Y211">
        <v>6</v>
      </c>
      <c r="Z211" t="s">
        <v>226</v>
      </c>
      <c r="AA211" t="s">
        <v>163</v>
      </c>
      <c r="AB211" t="s">
        <v>261</v>
      </c>
    </row>
    <row r="212" spans="1:28" ht="15.5" x14ac:dyDescent="0.35">
      <c r="A212">
        <v>207</v>
      </c>
      <c r="B212" t="s">
        <v>647</v>
      </c>
      <c r="C212" t="s">
        <v>648</v>
      </c>
      <c r="D212" t="s">
        <v>172</v>
      </c>
      <c r="E212" t="s">
        <v>260</v>
      </c>
      <c r="F212">
        <v>164.26</v>
      </c>
      <c r="G212">
        <v>248.07</v>
      </c>
      <c r="H212">
        <v>385.08</v>
      </c>
      <c r="I212">
        <v>0.35</v>
      </c>
      <c r="J212">
        <v>6.5</v>
      </c>
      <c r="K212">
        <v>6.6</v>
      </c>
      <c r="L212" t="s">
        <v>203</v>
      </c>
      <c r="M212" t="s">
        <v>198</v>
      </c>
      <c r="N212" t="s">
        <v>199</v>
      </c>
      <c r="O212">
        <v>0.63500000000000001</v>
      </c>
      <c r="P212">
        <v>168.8</v>
      </c>
      <c r="Q212">
        <v>34</v>
      </c>
      <c r="R212">
        <v>45</v>
      </c>
      <c r="S212">
        <v>59.1</v>
      </c>
      <c r="T212">
        <v>69</v>
      </c>
      <c r="U212">
        <v>0.51</v>
      </c>
      <c r="V212">
        <v>0.82</v>
      </c>
      <c r="W212">
        <v>1</v>
      </c>
      <c r="X212">
        <v>-8.1</v>
      </c>
      <c r="Y212">
        <v>2</v>
      </c>
      <c r="Z212" t="s">
        <v>236</v>
      </c>
      <c r="AA212" t="s">
        <v>163</v>
      </c>
      <c r="AB212" t="s">
        <v>320</v>
      </c>
    </row>
    <row r="213" spans="1:28" ht="15.5" x14ac:dyDescent="0.35">
      <c r="A213">
        <v>208</v>
      </c>
      <c r="B213" t="s">
        <v>649</v>
      </c>
      <c r="C213" t="s">
        <v>650</v>
      </c>
      <c r="D213" t="s">
        <v>172</v>
      </c>
      <c r="E213" t="s">
        <v>225</v>
      </c>
      <c r="F213">
        <v>161.85</v>
      </c>
      <c r="G213">
        <v>246.16</v>
      </c>
      <c r="H213">
        <v>384.29</v>
      </c>
      <c r="I213">
        <v>0.35</v>
      </c>
      <c r="J213">
        <v>6.5</v>
      </c>
      <c r="K213">
        <v>6.6</v>
      </c>
      <c r="L213" t="s">
        <v>203</v>
      </c>
      <c r="M213" t="s">
        <v>198</v>
      </c>
      <c r="N213" t="s">
        <v>199</v>
      </c>
      <c r="O213">
        <v>0.63500000000000001</v>
      </c>
      <c r="P213">
        <v>168.8</v>
      </c>
      <c r="Q213">
        <v>31.13</v>
      </c>
      <c r="R213">
        <v>62.9</v>
      </c>
      <c r="S213">
        <v>59.1</v>
      </c>
      <c r="T213">
        <v>69</v>
      </c>
      <c r="U213">
        <v>0.51</v>
      </c>
      <c r="V213">
        <v>0.82</v>
      </c>
      <c r="W213">
        <v>1</v>
      </c>
      <c r="X213">
        <v>-7.4</v>
      </c>
      <c r="Y213">
        <v>3.6</v>
      </c>
      <c r="Z213" t="s">
        <v>226</v>
      </c>
      <c r="AA213" t="s">
        <v>163</v>
      </c>
      <c r="AB213" t="s">
        <v>227</v>
      </c>
    </row>
    <row r="214" spans="1:28" ht="15.5" x14ac:dyDescent="0.35">
      <c r="A214">
        <v>209</v>
      </c>
      <c r="B214" t="s">
        <v>651</v>
      </c>
      <c r="C214" t="s">
        <v>652</v>
      </c>
      <c r="D214" t="s">
        <v>172</v>
      </c>
      <c r="E214" t="s">
        <v>260</v>
      </c>
      <c r="F214">
        <v>157.15</v>
      </c>
      <c r="G214">
        <v>257.66000000000003</v>
      </c>
      <c r="H214">
        <v>384.01</v>
      </c>
      <c r="I214">
        <v>0.35</v>
      </c>
      <c r="J214">
        <v>6.5</v>
      </c>
      <c r="K214">
        <v>6.6</v>
      </c>
      <c r="L214" t="s">
        <v>203</v>
      </c>
      <c r="M214" t="s">
        <v>198</v>
      </c>
      <c r="N214" t="s">
        <v>199</v>
      </c>
      <c r="O214">
        <v>0.63500000000000001</v>
      </c>
      <c r="P214">
        <v>168.8</v>
      </c>
      <c r="Q214">
        <v>23</v>
      </c>
      <c r="R214">
        <v>90</v>
      </c>
      <c r="S214">
        <v>59.1</v>
      </c>
      <c r="T214">
        <v>69</v>
      </c>
      <c r="U214">
        <v>0.51</v>
      </c>
      <c r="V214">
        <v>0.82</v>
      </c>
      <c r="W214">
        <v>1</v>
      </c>
      <c r="X214">
        <v>-9.3000000000000007</v>
      </c>
      <c r="Y214">
        <v>5.6</v>
      </c>
      <c r="Z214" t="s">
        <v>226</v>
      </c>
      <c r="AA214" t="s">
        <v>163</v>
      </c>
      <c r="AB214" t="s">
        <v>261</v>
      </c>
    </row>
    <row r="215" spans="1:28" ht="15.5" x14ac:dyDescent="0.35">
      <c r="A215">
        <v>210</v>
      </c>
      <c r="B215" t="s">
        <v>653</v>
      </c>
      <c r="C215" t="s">
        <v>654</v>
      </c>
      <c r="D215" t="s">
        <v>172</v>
      </c>
      <c r="E215" t="s">
        <v>260</v>
      </c>
      <c r="F215">
        <v>79.84</v>
      </c>
      <c r="G215">
        <v>317.42</v>
      </c>
      <c r="H215">
        <v>384.06</v>
      </c>
      <c r="I215">
        <v>0.35</v>
      </c>
      <c r="J215">
        <v>6.5</v>
      </c>
      <c r="K215">
        <v>6.6</v>
      </c>
      <c r="L215" t="s">
        <v>203</v>
      </c>
      <c r="M215" t="s">
        <v>198</v>
      </c>
      <c r="N215" t="s">
        <v>199</v>
      </c>
      <c r="O215">
        <v>0.63500000000000001</v>
      </c>
      <c r="P215">
        <v>168.8</v>
      </c>
      <c r="Q215">
        <v>43.5</v>
      </c>
      <c r="R215">
        <v>325</v>
      </c>
      <c r="S215">
        <v>59.1</v>
      </c>
      <c r="T215">
        <v>69</v>
      </c>
      <c r="U215">
        <v>0.51</v>
      </c>
      <c r="V215">
        <v>0.82</v>
      </c>
      <c r="W215">
        <v>1</v>
      </c>
      <c r="X215">
        <v>-5</v>
      </c>
      <c r="Y215">
        <v>2.9</v>
      </c>
      <c r="Z215" t="s">
        <v>226</v>
      </c>
      <c r="AA215" t="s">
        <v>163</v>
      </c>
      <c r="AB215" t="s">
        <v>261</v>
      </c>
    </row>
    <row r="216" spans="1:28" ht="15.5" x14ac:dyDescent="0.35">
      <c r="A216">
        <v>211</v>
      </c>
      <c r="B216" t="s">
        <v>655</v>
      </c>
      <c r="C216" t="s">
        <v>656</v>
      </c>
      <c r="D216" t="s">
        <v>172</v>
      </c>
      <c r="E216" t="s">
        <v>260</v>
      </c>
      <c r="F216">
        <v>65.260000000000005</v>
      </c>
      <c r="G216">
        <v>303</v>
      </c>
      <c r="H216">
        <v>384.02</v>
      </c>
      <c r="I216">
        <v>0.35</v>
      </c>
      <c r="J216">
        <v>6.5</v>
      </c>
      <c r="K216">
        <v>6.6</v>
      </c>
      <c r="L216" t="s">
        <v>203</v>
      </c>
      <c r="M216" t="s">
        <v>198</v>
      </c>
      <c r="N216" t="s">
        <v>199</v>
      </c>
      <c r="O216">
        <v>0.63500000000000001</v>
      </c>
      <c r="P216">
        <v>168.8</v>
      </c>
      <c r="Q216">
        <v>33</v>
      </c>
      <c r="R216">
        <v>310</v>
      </c>
      <c r="S216">
        <v>59.1</v>
      </c>
      <c r="T216">
        <v>69</v>
      </c>
      <c r="U216">
        <v>0.51</v>
      </c>
      <c r="V216">
        <v>0.82</v>
      </c>
      <c r="W216">
        <v>1</v>
      </c>
      <c r="X216">
        <v>-6.5</v>
      </c>
      <c r="Y216">
        <v>3.9</v>
      </c>
      <c r="Z216" t="s">
        <v>226</v>
      </c>
      <c r="AA216" t="s">
        <v>163</v>
      </c>
      <c r="AB216" t="s">
        <v>261</v>
      </c>
    </row>
    <row r="217" spans="1:28" ht="15.5" x14ac:dyDescent="0.35">
      <c r="A217">
        <v>212</v>
      </c>
      <c r="B217" t="s">
        <v>657</v>
      </c>
      <c r="C217" t="s">
        <v>658</v>
      </c>
      <c r="D217" t="s">
        <v>172</v>
      </c>
      <c r="E217" t="s">
        <v>260</v>
      </c>
      <c r="F217">
        <v>62.59</v>
      </c>
      <c r="G217">
        <v>299.64</v>
      </c>
      <c r="H217">
        <v>384.02</v>
      </c>
      <c r="I217">
        <v>0.35</v>
      </c>
      <c r="J217">
        <v>6.5</v>
      </c>
      <c r="K217">
        <v>6.6</v>
      </c>
      <c r="L217" t="s">
        <v>203</v>
      </c>
      <c r="M217" t="s">
        <v>198</v>
      </c>
      <c r="N217" t="s">
        <v>199</v>
      </c>
      <c r="O217">
        <v>0.63500000000000001</v>
      </c>
      <c r="P217">
        <v>168.8</v>
      </c>
      <c r="Q217">
        <v>22.5</v>
      </c>
      <c r="R217">
        <v>322.5</v>
      </c>
      <c r="S217">
        <v>59.1</v>
      </c>
      <c r="T217">
        <v>69</v>
      </c>
      <c r="U217">
        <v>0.51</v>
      </c>
      <c r="V217">
        <v>0.82</v>
      </c>
      <c r="W217">
        <v>1</v>
      </c>
      <c r="X217">
        <v>-9.5</v>
      </c>
      <c r="Y217">
        <v>5.7</v>
      </c>
      <c r="Z217" t="s">
        <v>226</v>
      </c>
      <c r="AA217" t="s">
        <v>163</v>
      </c>
      <c r="AB217" t="s">
        <v>261</v>
      </c>
    </row>
    <row r="218" spans="1:28" ht="15.5" x14ac:dyDescent="0.35">
      <c r="A218">
        <v>213</v>
      </c>
      <c r="B218" t="s">
        <v>659</v>
      </c>
      <c r="C218" t="s">
        <v>660</v>
      </c>
      <c r="D218" t="s">
        <v>173</v>
      </c>
      <c r="E218" t="s">
        <v>225</v>
      </c>
      <c r="F218">
        <v>154.76</v>
      </c>
      <c r="G218">
        <v>294.58999999999997</v>
      </c>
      <c r="H218">
        <v>384.48</v>
      </c>
      <c r="I218">
        <v>0.35</v>
      </c>
      <c r="J218">
        <v>6.5</v>
      </c>
      <c r="K218">
        <v>6.6</v>
      </c>
      <c r="L218" t="s">
        <v>197</v>
      </c>
      <c r="M218" t="s">
        <v>198</v>
      </c>
      <c r="N218" t="s">
        <v>199</v>
      </c>
      <c r="O218">
        <v>0.63500000000000001</v>
      </c>
      <c r="P218">
        <v>117.9</v>
      </c>
      <c r="Q218">
        <v>14.83</v>
      </c>
      <c r="R218">
        <v>116</v>
      </c>
      <c r="S218">
        <v>30.9</v>
      </c>
      <c r="T218">
        <v>44.6</v>
      </c>
      <c r="U218">
        <v>0.27</v>
      </c>
      <c r="V218">
        <v>0.65</v>
      </c>
      <c r="W218">
        <v>1</v>
      </c>
      <c r="X218">
        <v>-15.9</v>
      </c>
      <c r="Y218">
        <v>6.8</v>
      </c>
      <c r="Z218" t="s">
        <v>226</v>
      </c>
      <c r="AA218" t="s">
        <v>163</v>
      </c>
      <c r="AB218" t="s">
        <v>227</v>
      </c>
    </row>
    <row r="219" spans="1:28" ht="15.5" x14ac:dyDescent="0.35">
      <c r="A219">
        <v>214</v>
      </c>
      <c r="B219" t="s">
        <v>661</v>
      </c>
      <c r="C219" t="s">
        <v>662</v>
      </c>
      <c r="D219" t="s">
        <v>173</v>
      </c>
      <c r="E219" t="s">
        <v>225</v>
      </c>
      <c r="F219">
        <v>163.82</v>
      </c>
      <c r="G219">
        <v>305.39999999999998</v>
      </c>
      <c r="H219">
        <v>384.6</v>
      </c>
      <c r="I219">
        <v>0.35</v>
      </c>
      <c r="J219">
        <v>6.5</v>
      </c>
      <c r="K219">
        <v>6.6</v>
      </c>
      <c r="L219" t="s">
        <v>197</v>
      </c>
      <c r="M219" t="s">
        <v>198</v>
      </c>
      <c r="N219" t="s">
        <v>199</v>
      </c>
      <c r="O219">
        <v>0.63500000000000001</v>
      </c>
      <c r="P219">
        <v>117.9</v>
      </c>
      <c r="Q219">
        <v>18.23</v>
      </c>
      <c r="R219">
        <v>116</v>
      </c>
      <c r="S219">
        <v>30.9</v>
      </c>
      <c r="T219">
        <v>44.6</v>
      </c>
      <c r="U219">
        <v>0.27</v>
      </c>
      <c r="V219">
        <v>0.65</v>
      </c>
      <c r="W219">
        <v>1</v>
      </c>
      <c r="X219">
        <v>-13.4</v>
      </c>
      <c r="Y219">
        <v>5.2</v>
      </c>
      <c r="Z219" t="s">
        <v>236</v>
      </c>
      <c r="AA219" t="s">
        <v>163</v>
      </c>
      <c r="AB219" t="s">
        <v>237</v>
      </c>
    </row>
    <row r="220" spans="1:28" ht="15.5" x14ac:dyDescent="0.35">
      <c r="A220">
        <v>215</v>
      </c>
      <c r="B220" t="s">
        <v>663</v>
      </c>
      <c r="C220" t="s">
        <v>664</v>
      </c>
      <c r="D220" t="s">
        <v>173</v>
      </c>
      <c r="E220" t="s">
        <v>225</v>
      </c>
      <c r="F220">
        <v>172.67</v>
      </c>
      <c r="G220">
        <v>319.13</v>
      </c>
      <c r="H220">
        <v>384.77</v>
      </c>
      <c r="I220">
        <v>0.35</v>
      </c>
      <c r="J220">
        <v>6.5</v>
      </c>
      <c r="K220">
        <v>6.6</v>
      </c>
      <c r="L220" t="s">
        <v>197</v>
      </c>
      <c r="M220" t="s">
        <v>198</v>
      </c>
      <c r="N220" t="s">
        <v>199</v>
      </c>
      <c r="O220">
        <v>0.63500000000000001</v>
      </c>
      <c r="P220">
        <v>117.9</v>
      </c>
      <c r="Q220">
        <v>20.170000000000002</v>
      </c>
      <c r="R220">
        <v>116</v>
      </c>
      <c r="S220">
        <v>30.9</v>
      </c>
      <c r="T220">
        <v>44.6</v>
      </c>
      <c r="U220">
        <v>0.27</v>
      </c>
      <c r="V220">
        <v>0.65</v>
      </c>
      <c r="W220">
        <v>1</v>
      </c>
      <c r="X220">
        <v>-12.6</v>
      </c>
      <c r="Y220">
        <v>4.2</v>
      </c>
      <c r="Z220" t="s">
        <v>236</v>
      </c>
      <c r="AA220" t="s">
        <v>163</v>
      </c>
      <c r="AB220" t="s">
        <v>237</v>
      </c>
    </row>
    <row r="221" spans="1:28" ht="15.5" x14ac:dyDescent="0.35">
      <c r="A221">
        <v>216</v>
      </c>
      <c r="B221" t="s">
        <v>665</v>
      </c>
      <c r="C221" t="s">
        <v>666</v>
      </c>
      <c r="D221" t="s">
        <v>173</v>
      </c>
      <c r="E221" t="s">
        <v>225</v>
      </c>
      <c r="F221">
        <v>177.51</v>
      </c>
      <c r="G221">
        <v>337.51</v>
      </c>
      <c r="H221">
        <v>384.4</v>
      </c>
      <c r="I221">
        <v>0.35</v>
      </c>
      <c r="J221">
        <v>6.5</v>
      </c>
      <c r="K221">
        <v>6.6</v>
      </c>
      <c r="L221" t="s">
        <v>197</v>
      </c>
      <c r="M221" t="s">
        <v>198</v>
      </c>
      <c r="N221" t="s">
        <v>199</v>
      </c>
      <c r="O221">
        <v>0.63500000000000001</v>
      </c>
      <c r="P221">
        <v>117.9</v>
      </c>
      <c r="Q221">
        <v>16.46</v>
      </c>
      <c r="R221">
        <v>116</v>
      </c>
      <c r="S221">
        <v>30.9</v>
      </c>
      <c r="T221">
        <v>44.6</v>
      </c>
      <c r="U221">
        <v>0.27</v>
      </c>
      <c r="V221">
        <v>0.65</v>
      </c>
      <c r="W221">
        <v>1</v>
      </c>
      <c r="X221">
        <v>-14.2</v>
      </c>
      <c r="Y221">
        <v>6.4</v>
      </c>
      <c r="Z221" t="s">
        <v>226</v>
      </c>
      <c r="AA221" t="s">
        <v>163</v>
      </c>
      <c r="AB221" t="s">
        <v>227</v>
      </c>
    </row>
    <row r="222" spans="1:28" ht="15.5" x14ac:dyDescent="0.35">
      <c r="A222">
        <v>217</v>
      </c>
      <c r="B222" t="s">
        <v>667</v>
      </c>
      <c r="C222" t="s">
        <v>668</v>
      </c>
      <c r="D222" t="s">
        <v>173</v>
      </c>
      <c r="E222" t="s">
        <v>225</v>
      </c>
      <c r="F222">
        <v>183.01</v>
      </c>
      <c r="G222">
        <v>352.13</v>
      </c>
      <c r="H222">
        <v>384.54</v>
      </c>
      <c r="I222">
        <v>0.35</v>
      </c>
      <c r="J222">
        <v>6.5</v>
      </c>
      <c r="K222">
        <v>6.6</v>
      </c>
      <c r="L222" t="s">
        <v>197</v>
      </c>
      <c r="M222" t="s">
        <v>198</v>
      </c>
      <c r="N222" t="s">
        <v>199</v>
      </c>
      <c r="O222">
        <v>0.63500000000000001</v>
      </c>
      <c r="P222">
        <v>117.9</v>
      </c>
      <c r="Q222">
        <v>14.99</v>
      </c>
      <c r="R222">
        <v>116</v>
      </c>
      <c r="S222">
        <v>30.9</v>
      </c>
      <c r="T222">
        <v>44.6</v>
      </c>
      <c r="U222">
        <v>0.27</v>
      </c>
      <c r="V222">
        <v>0.65</v>
      </c>
      <c r="W222">
        <v>1</v>
      </c>
      <c r="X222">
        <v>-16</v>
      </c>
      <c r="Y222">
        <v>6.5</v>
      </c>
      <c r="Z222" t="s">
        <v>236</v>
      </c>
      <c r="AA222" t="s">
        <v>163</v>
      </c>
      <c r="AB222" t="s">
        <v>237</v>
      </c>
    </row>
    <row r="223" spans="1:28" ht="15.5" x14ac:dyDescent="0.35">
      <c r="A223">
        <v>218</v>
      </c>
      <c r="B223" t="s">
        <v>669</v>
      </c>
      <c r="C223" t="s">
        <v>670</v>
      </c>
      <c r="D223" t="s">
        <v>173</v>
      </c>
      <c r="E223" t="s">
        <v>225</v>
      </c>
      <c r="F223">
        <v>189.63</v>
      </c>
      <c r="G223">
        <v>364.57</v>
      </c>
      <c r="H223">
        <v>384.49</v>
      </c>
      <c r="I223">
        <v>0.35</v>
      </c>
      <c r="J223">
        <v>6.5</v>
      </c>
      <c r="K223">
        <v>6.6</v>
      </c>
      <c r="L223" t="s">
        <v>197</v>
      </c>
      <c r="M223" t="s">
        <v>198</v>
      </c>
      <c r="N223" t="s">
        <v>199</v>
      </c>
      <c r="O223">
        <v>0.63500000000000001</v>
      </c>
      <c r="P223">
        <v>117.9</v>
      </c>
      <c r="Q223">
        <v>15.49</v>
      </c>
      <c r="R223">
        <v>116</v>
      </c>
      <c r="S223">
        <v>30.9</v>
      </c>
      <c r="T223">
        <v>44.6</v>
      </c>
      <c r="U223">
        <v>0.27</v>
      </c>
      <c r="V223">
        <v>0.65</v>
      </c>
      <c r="W223">
        <v>1</v>
      </c>
      <c r="X223">
        <v>-15.3</v>
      </c>
      <c r="Y223">
        <v>6.5</v>
      </c>
      <c r="Z223" t="s">
        <v>226</v>
      </c>
      <c r="AA223" t="s">
        <v>163</v>
      </c>
      <c r="AB223" t="s">
        <v>227</v>
      </c>
    </row>
    <row r="224" spans="1:28" ht="15.5" x14ac:dyDescent="0.35">
      <c r="A224">
        <v>219</v>
      </c>
      <c r="B224" t="s">
        <v>671</v>
      </c>
      <c r="C224" t="s">
        <v>672</v>
      </c>
      <c r="D224" t="s">
        <v>173</v>
      </c>
      <c r="E224" t="s">
        <v>225</v>
      </c>
      <c r="F224">
        <v>193.87</v>
      </c>
      <c r="G224">
        <v>373.92</v>
      </c>
      <c r="H224">
        <v>384.6</v>
      </c>
      <c r="I224">
        <v>0.35</v>
      </c>
      <c r="J224">
        <v>6.5</v>
      </c>
      <c r="K224">
        <v>6.6</v>
      </c>
      <c r="L224" t="s">
        <v>197</v>
      </c>
      <c r="M224" t="s">
        <v>198</v>
      </c>
      <c r="N224" t="s">
        <v>199</v>
      </c>
      <c r="O224">
        <v>0.63500000000000001</v>
      </c>
      <c r="P224">
        <v>117.9</v>
      </c>
      <c r="Q224">
        <v>15.2</v>
      </c>
      <c r="R224">
        <v>116</v>
      </c>
      <c r="S224">
        <v>30.9</v>
      </c>
      <c r="T224">
        <v>44.6</v>
      </c>
      <c r="U224">
        <v>0.27</v>
      </c>
      <c r="V224">
        <v>0.65</v>
      </c>
      <c r="W224">
        <v>1</v>
      </c>
      <c r="X224">
        <v>-16</v>
      </c>
      <c r="Y224">
        <v>6.2</v>
      </c>
      <c r="Z224" t="s">
        <v>236</v>
      </c>
      <c r="AA224" t="s">
        <v>163</v>
      </c>
      <c r="AB224" t="s">
        <v>237</v>
      </c>
    </row>
    <row r="225" spans="1:28" ht="15.5" x14ac:dyDescent="0.35">
      <c r="A225">
        <v>220</v>
      </c>
      <c r="B225" t="s">
        <v>673</v>
      </c>
      <c r="C225" t="s">
        <v>674</v>
      </c>
      <c r="D225" t="s">
        <v>173</v>
      </c>
      <c r="E225" t="s">
        <v>225</v>
      </c>
      <c r="F225">
        <v>135.11000000000001</v>
      </c>
      <c r="G225">
        <v>400.65</v>
      </c>
      <c r="H225">
        <v>384.29</v>
      </c>
      <c r="I225">
        <v>0.35</v>
      </c>
      <c r="J225">
        <v>6.5</v>
      </c>
      <c r="K225">
        <v>6.6</v>
      </c>
      <c r="L225" t="s">
        <v>197</v>
      </c>
      <c r="M225" t="s">
        <v>198</v>
      </c>
      <c r="N225" t="s">
        <v>199</v>
      </c>
      <c r="O225">
        <v>0.63500000000000001</v>
      </c>
      <c r="P225">
        <v>117.9</v>
      </c>
      <c r="Q225">
        <v>12.8</v>
      </c>
      <c r="R225">
        <v>296</v>
      </c>
      <c r="S225">
        <v>30.9</v>
      </c>
      <c r="T225">
        <v>44.6</v>
      </c>
      <c r="U225">
        <v>0.27</v>
      </c>
      <c r="V225">
        <v>0.65</v>
      </c>
      <c r="W225">
        <v>1</v>
      </c>
      <c r="X225">
        <v>-17.5</v>
      </c>
      <c r="Y225">
        <v>8.6999999999999993</v>
      </c>
      <c r="Z225" t="s">
        <v>226</v>
      </c>
      <c r="AA225" t="s">
        <v>163</v>
      </c>
      <c r="AB225" t="s">
        <v>227</v>
      </c>
    </row>
    <row r="226" spans="1:28" ht="15.5" x14ac:dyDescent="0.35">
      <c r="A226">
        <v>221</v>
      </c>
      <c r="B226" t="s">
        <v>675</v>
      </c>
      <c r="C226" t="s">
        <v>676</v>
      </c>
      <c r="D226" t="s">
        <v>173</v>
      </c>
      <c r="E226" t="s">
        <v>225</v>
      </c>
      <c r="F226">
        <v>118.37</v>
      </c>
      <c r="G226">
        <v>379.9</v>
      </c>
      <c r="H226">
        <v>384.16</v>
      </c>
      <c r="I226">
        <v>0.35</v>
      </c>
      <c r="J226">
        <v>6.5</v>
      </c>
      <c r="K226">
        <v>6.6</v>
      </c>
      <c r="L226" t="s">
        <v>197</v>
      </c>
      <c r="M226" t="s">
        <v>198</v>
      </c>
      <c r="N226" t="s">
        <v>199</v>
      </c>
      <c r="O226">
        <v>0.63500000000000001</v>
      </c>
      <c r="P226">
        <v>117.9</v>
      </c>
      <c r="Q226">
        <v>18.75</v>
      </c>
      <c r="R226">
        <v>296</v>
      </c>
      <c r="S226">
        <v>30.9</v>
      </c>
      <c r="T226">
        <v>44.6</v>
      </c>
      <c r="U226">
        <v>0.27</v>
      </c>
      <c r="V226">
        <v>0.65</v>
      </c>
      <c r="W226">
        <v>1</v>
      </c>
      <c r="X226">
        <v>-11.8</v>
      </c>
      <c r="Y226">
        <v>6.4</v>
      </c>
      <c r="Z226" t="s">
        <v>226</v>
      </c>
      <c r="AA226" t="s">
        <v>163</v>
      </c>
      <c r="AB226" t="s">
        <v>227</v>
      </c>
    </row>
    <row r="227" spans="1:28" ht="15.5" x14ac:dyDescent="0.35">
      <c r="A227">
        <v>222</v>
      </c>
      <c r="B227" t="s">
        <v>677</v>
      </c>
      <c r="C227" t="s">
        <v>678</v>
      </c>
      <c r="D227" t="s">
        <v>173</v>
      </c>
      <c r="E227" t="s">
        <v>225</v>
      </c>
      <c r="F227">
        <v>119.2</v>
      </c>
      <c r="G227">
        <v>382.99</v>
      </c>
      <c r="H227">
        <v>384.34</v>
      </c>
      <c r="I227">
        <v>0.35</v>
      </c>
      <c r="J227">
        <v>6.5</v>
      </c>
      <c r="K227">
        <v>6.6</v>
      </c>
      <c r="L227" t="s">
        <v>197</v>
      </c>
      <c r="M227" t="s">
        <v>198</v>
      </c>
      <c r="N227" t="s">
        <v>199</v>
      </c>
      <c r="O227">
        <v>0.63500000000000001</v>
      </c>
      <c r="P227">
        <v>117.9</v>
      </c>
      <c r="Q227">
        <v>19.350000000000001</v>
      </c>
      <c r="R227">
        <v>296</v>
      </c>
      <c r="S227">
        <v>30.9</v>
      </c>
      <c r="T227">
        <v>44.6</v>
      </c>
      <c r="U227">
        <v>0.27</v>
      </c>
      <c r="V227">
        <v>0.65</v>
      </c>
      <c r="W227">
        <v>1</v>
      </c>
      <c r="X227">
        <v>-11.9</v>
      </c>
      <c r="Y227">
        <v>5.6</v>
      </c>
      <c r="Z227" t="s">
        <v>226</v>
      </c>
      <c r="AA227" t="s">
        <v>163</v>
      </c>
      <c r="AB227" t="s">
        <v>227</v>
      </c>
    </row>
    <row r="228" spans="1:28" ht="15.5" x14ac:dyDescent="0.35">
      <c r="A228">
        <v>223</v>
      </c>
      <c r="B228" t="s">
        <v>679</v>
      </c>
      <c r="C228" t="s">
        <v>680</v>
      </c>
      <c r="D228" t="s">
        <v>173</v>
      </c>
      <c r="E228" t="s">
        <v>225</v>
      </c>
      <c r="F228">
        <v>101.46</v>
      </c>
      <c r="G228">
        <v>358.5</v>
      </c>
      <c r="H228">
        <v>384.74</v>
      </c>
      <c r="I228">
        <v>0.35</v>
      </c>
      <c r="J228">
        <v>6.5</v>
      </c>
      <c r="K228">
        <v>6.6</v>
      </c>
      <c r="L228" t="s">
        <v>197</v>
      </c>
      <c r="M228" t="s">
        <v>198</v>
      </c>
      <c r="N228" t="s">
        <v>199</v>
      </c>
      <c r="O228">
        <v>0.63500000000000001</v>
      </c>
      <c r="P228">
        <v>117.9</v>
      </c>
      <c r="Q228">
        <v>24.56</v>
      </c>
      <c r="R228">
        <v>296</v>
      </c>
      <c r="S228">
        <v>30.9</v>
      </c>
      <c r="T228">
        <v>44.6</v>
      </c>
      <c r="U228">
        <v>0.27</v>
      </c>
      <c r="V228">
        <v>0.65</v>
      </c>
      <c r="W228">
        <v>1</v>
      </c>
      <c r="X228">
        <v>-10.4</v>
      </c>
      <c r="Y228">
        <v>3.5</v>
      </c>
      <c r="Z228" t="s">
        <v>236</v>
      </c>
      <c r="AA228" t="s">
        <v>163</v>
      </c>
      <c r="AB228" t="s">
        <v>237</v>
      </c>
    </row>
    <row r="229" spans="1:28" ht="15.5" x14ac:dyDescent="0.35">
      <c r="A229">
        <v>224</v>
      </c>
      <c r="B229" t="s">
        <v>681</v>
      </c>
      <c r="C229" t="s">
        <v>682</v>
      </c>
      <c r="D229" t="s">
        <v>173</v>
      </c>
      <c r="E229" t="s">
        <v>225</v>
      </c>
      <c r="F229">
        <v>97.02</v>
      </c>
      <c r="G229">
        <v>345.33</v>
      </c>
      <c r="H229">
        <v>384.67</v>
      </c>
      <c r="I229">
        <v>0.35</v>
      </c>
      <c r="J229">
        <v>6.5</v>
      </c>
      <c r="K229">
        <v>6.6</v>
      </c>
      <c r="L229" t="s">
        <v>197</v>
      </c>
      <c r="M229" t="s">
        <v>198</v>
      </c>
      <c r="N229" t="s">
        <v>199</v>
      </c>
      <c r="O229">
        <v>0.63500000000000001</v>
      </c>
      <c r="P229">
        <v>117.9</v>
      </c>
      <c r="Q229">
        <v>22.78</v>
      </c>
      <c r="R229">
        <v>296</v>
      </c>
      <c r="S229">
        <v>30.9</v>
      </c>
      <c r="T229">
        <v>44.6</v>
      </c>
      <c r="U229">
        <v>0.27</v>
      </c>
      <c r="V229">
        <v>0.65</v>
      </c>
      <c r="W229">
        <v>1</v>
      </c>
      <c r="X229">
        <v>-11</v>
      </c>
      <c r="Y229">
        <v>4</v>
      </c>
      <c r="Z229" t="s">
        <v>236</v>
      </c>
      <c r="AA229" t="s">
        <v>163</v>
      </c>
      <c r="AB229" t="s">
        <v>237</v>
      </c>
    </row>
    <row r="230" spans="1:28" ht="15.5" x14ac:dyDescent="0.35">
      <c r="A230">
        <v>225</v>
      </c>
      <c r="B230" t="s">
        <v>683</v>
      </c>
      <c r="C230" t="s">
        <v>684</v>
      </c>
      <c r="D230" t="s">
        <v>173</v>
      </c>
      <c r="E230" t="s">
        <v>225</v>
      </c>
      <c r="F230">
        <v>94.13</v>
      </c>
      <c r="G230">
        <v>337.48</v>
      </c>
      <c r="H230">
        <v>384.23</v>
      </c>
      <c r="I230">
        <v>0.35</v>
      </c>
      <c r="J230">
        <v>6.5</v>
      </c>
      <c r="K230">
        <v>6.6</v>
      </c>
      <c r="L230" t="s">
        <v>197</v>
      </c>
      <c r="M230" t="s">
        <v>198</v>
      </c>
      <c r="N230" t="s">
        <v>199</v>
      </c>
      <c r="O230">
        <v>0.63500000000000001</v>
      </c>
      <c r="P230">
        <v>117.9</v>
      </c>
      <c r="Q230">
        <v>21.94</v>
      </c>
      <c r="R230">
        <v>296</v>
      </c>
      <c r="S230">
        <v>30.9</v>
      </c>
      <c r="T230">
        <v>44.6</v>
      </c>
      <c r="U230">
        <v>0.27</v>
      </c>
      <c r="V230">
        <v>0.65</v>
      </c>
      <c r="W230">
        <v>1</v>
      </c>
      <c r="X230">
        <v>-10.3</v>
      </c>
      <c r="Y230">
        <v>5.3</v>
      </c>
      <c r="Z230" t="s">
        <v>226</v>
      </c>
      <c r="AA230" t="s">
        <v>163</v>
      </c>
      <c r="AB230" t="s">
        <v>227</v>
      </c>
    </row>
    <row r="231" spans="1:28" ht="15.5" x14ac:dyDescent="0.35">
      <c r="A231">
        <v>226</v>
      </c>
      <c r="B231" t="s">
        <v>685</v>
      </c>
      <c r="C231" t="s">
        <v>686</v>
      </c>
      <c r="D231" t="s">
        <v>173</v>
      </c>
      <c r="E231" t="s">
        <v>225</v>
      </c>
      <c r="F231">
        <v>84.31</v>
      </c>
      <c r="G231">
        <v>324.22000000000003</v>
      </c>
      <c r="H231">
        <v>384.51</v>
      </c>
      <c r="I231">
        <v>0.35</v>
      </c>
      <c r="J231">
        <v>6.5</v>
      </c>
      <c r="K231">
        <v>6.6</v>
      </c>
      <c r="L231" t="s">
        <v>197</v>
      </c>
      <c r="M231" t="s">
        <v>198</v>
      </c>
      <c r="N231" t="s">
        <v>199</v>
      </c>
      <c r="O231">
        <v>0.63500000000000001</v>
      </c>
      <c r="P231">
        <v>117.9</v>
      </c>
      <c r="Q231">
        <v>24.95</v>
      </c>
      <c r="R231">
        <v>296</v>
      </c>
      <c r="S231">
        <v>30.9</v>
      </c>
      <c r="T231">
        <v>44.6</v>
      </c>
      <c r="U231">
        <v>0.27</v>
      </c>
      <c r="V231">
        <v>0.65</v>
      </c>
      <c r="W231">
        <v>1</v>
      </c>
      <c r="X231">
        <v>-9.6999999999999993</v>
      </c>
      <c r="Y231">
        <v>4</v>
      </c>
      <c r="Z231" t="s">
        <v>236</v>
      </c>
      <c r="AA231" t="s">
        <v>163</v>
      </c>
      <c r="AB231" t="s">
        <v>237</v>
      </c>
    </row>
    <row r="232" spans="1:28" ht="15.5" x14ac:dyDescent="0.35">
      <c r="A232">
        <v>227</v>
      </c>
      <c r="B232" t="s">
        <v>687</v>
      </c>
      <c r="C232" t="s">
        <v>688</v>
      </c>
      <c r="D232" t="s">
        <v>173</v>
      </c>
      <c r="E232" t="s">
        <v>260</v>
      </c>
      <c r="F232">
        <v>205.06</v>
      </c>
      <c r="G232">
        <v>416.32</v>
      </c>
      <c r="H232">
        <v>384.02</v>
      </c>
      <c r="I232">
        <v>0.35</v>
      </c>
      <c r="J232">
        <v>6.5</v>
      </c>
      <c r="K232">
        <v>6.6</v>
      </c>
      <c r="L232" t="s">
        <v>197</v>
      </c>
      <c r="M232" t="s">
        <v>198</v>
      </c>
      <c r="N232" t="s">
        <v>199</v>
      </c>
      <c r="O232">
        <v>0.63500000000000001</v>
      </c>
      <c r="P232">
        <v>117.9</v>
      </c>
      <c r="Q232">
        <v>37</v>
      </c>
      <c r="R232">
        <v>71</v>
      </c>
      <c r="S232">
        <v>30.9</v>
      </c>
      <c r="T232">
        <v>44.6</v>
      </c>
      <c r="U232">
        <v>0.27</v>
      </c>
      <c r="V232">
        <v>0.65</v>
      </c>
      <c r="W232">
        <v>1</v>
      </c>
      <c r="X232">
        <v>-5.8</v>
      </c>
      <c r="Y232">
        <v>3.5</v>
      </c>
      <c r="Z232" t="s">
        <v>226</v>
      </c>
      <c r="AA232" t="s">
        <v>163</v>
      </c>
      <c r="AB232" t="s">
        <v>261</v>
      </c>
    </row>
    <row r="233" spans="1:28" ht="15.5" x14ac:dyDescent="0.35">
      <c r="A233">
        <v>228</v>
      </c>
      <c r="B233" t="s">
        <v>689</v>
      </c>
      <c r="C233" t="s">
        <v>690</v>
      </c>
      <c r="D233" t="s">
        <v>173</v>
      </c>
      <c r="E233" t="s">
        <v>260</v>
      </c>
      <c r="F233">
        <v>204.22</v>
      </c>
      <c r="G233">
        <v>402.57</v>
      </c>
      <c r="H233">
        <v>384.06</v>
      </c>
      <c r="I233">
        <v>0.35</v>
      </c>
      <c r="J233">
        <v>6.5</v>
      </c>
      <c r="K233">
        <v>6.6</v>
      </c>
      <c r="L233" t="s">
        <v>197</v>
      </c>
      <c r="M233" t="s">
        <v>198</v>
      </c>
      <c r="N233" t="s">
        <v>199</v>
      </c>
      <c r="O233">
        <v>0.63500000000000001</v>
      </c>
      <c r="P233">
        <v>117.9</v>
      </c>
      <c r="Q233">
        <v>19</v>
      </c>
      <c r="R233">
        <v>71</v>
      </c>
      <c r="S233">
        <v>30.9</v>
      </c>
      <c r="T233">
        <v>44.6</v>
      </c>
      <c r="U233">
        <v>0.27</v>
      </c>
      <c r="V233">
        <v>0.65</v>
      </c>
      <c r="W233">
        <v>1</v>
      </c>
      <c r="X233">
        <v>-11.4</v>
      </c>
      <c r="Y233">
        <v>6.6</v>
      </c>
      <c r="Z233" t="s">
        <v>226</v>
      </c>
      <c r="AA233" t="s">
        <v>163</v>
      </c>
      <c r="AB233" t="s">
        <v>261</v>
      </c>
    </row>
    <row r="234" spans="1:28" ht="15.5" x14ac:dyDescent="0.35">
      <c r="A234">
        <v>229</v>
      </c>
      <c r="B234" t="s">
        <v>691</v>
      </c>
      <c r="C234" t="s">
        <v>692</v>
      </c>
      <c r="D234" t="s">
        <v>173</v>
      </c>
      <c r="E234" t="s">
        <v>260</v>
      </c>
      <c r="F234">
        <v>145.02000000000001</v>
      </c>
      <c r="G234">
        <v>417.6</v>
      </c>
      <c r="H234">
        <v>384</v>
      </c>
      <c r="I234">
        <v>0.35</v>
      </c>
      <c r="J234">
        <v>6.5</v>
      </c>
      <c r="K234">
        <v>6.6</v>
      </c>
      <c r="L234" t="s">
        <v>197</v>
      </c>
      <c r="M234" t="s">
        <v>198</v>
      </c>
      <c r="N234" t="s">
        <v>199</v>
      </c>
      <c r="O234">
        <v>0.63500000000000001</v>
      </c>
      <c r="P234">
        <v>117.9</v>
      </c>
      <c r="Q234">
        <v>11.5</v>
      </c>
      <c r="R234">
        <v>306</v>
      </c>
      <c r="S234">
        <v>30.9</v>
      </c>
      <c r="T234">
        <v>44.6</v>
      </c>
      <c r="U234">
        <v>0.27</v>
      </c>
      <c r="V234">
        <v>0.65</v>
      </c>
      <c r="W234">
        <v>1</v>
      </c>
      <c r="X234">
        <v>-18.100000000000001</v>
      </c>
      <c r="Y234">
        <v>11.1</v>
      </c>
      <c r="Z234" t="s">
        <v>226</v>
      </c>
      <c r="AA234" t="s">
        <v>163</v>
      </c>
      <c r="AB234" t="s">
        <v>261</v>
      </c>
    </row>
    <row r="235" spans="1:28" ht="15.5" x14ac:dyDescent="0.35">
      <c r="A235">
        <v>230</v>
      </c>
      <c r="B235" t="s">
        <v>693</v>
      </c>
      <c r="C235" t="s">
        <v>694</v>
      </c>
      <c r="D235" t="s">
        <v>173</v>
      </c>
      <c r="E235" t="s">
        <v>260</v>
      </c>
      <c r="F235">
        <v>115.09</v>
      </c>
      <c r="G235">
        <v>374.35</v>
      </c>
      <c r="H235">
        <v>384</v>
      </c>
      <c r="I235">
        <v>0.35</v>
      </c>
      <c r="J235">
        <v>6.5</v>
      </c>
      <c r="K235">
        <v>6.6</v>
      </c>
      <c r="L235" t="s">
        <v>197</v>
      </c>
      <c r="M235" t="s">
        <v>198</v>
      </c>
      <c r="N235" t="s">
        <v>199</v>
      </c>
      <c r="O235">
        <v>0.63500000000000001</v>
      </c>
      <c r="P235">
        <v>117.9</v>
      </c>
      <c r="Q235">
        <v>20.5</v>
      </c>
      <c r="R235">
        <v>316</v>
      </c>
      <c r="S235">
        <v>30.9</v>
      </c>
      <c r="T235">
        <v>44.6</v>
      </c>
      <c r="U235">
        <v>0.27</v>
      </c>
      <c r="V235">
        <v>0.65</v>
      </c>
      <c r="W235">
        <v>1</v>
      </c>
      <c r="X235">
        <v>-10.4</v>
      </c>
      <c r="Y235">
        <v>6.3</v>
      </c>
      <c r="Z235" t="s">
        <v>226</v>
      </c>
      <c r="AA235" t="s">
        <v>163</v>
      </c>
      <c r="AB235" t="s">
        <v>261</v>
      </c>
    </row>
    <row r="236" spans="1:28" ht="15.5" x14ac:dyDescent="0.35">
      <c r="A236">
        <v>231</v>
      </c>
      <c r="B236" t="s">
        <v>695</v>
      </c>
      <c r="C236" t="s">
        <v>696</v>
      </c>
      <c r="D236" t="s">
        <v>173</v>
      </c>
      <c r="E236" t="s">
        <v>260</v>
      </c>
      <c r="F236">
        <v>130.66999999999999</v>
      </c>
      <c r="G236">
        <v>394.29</v>
      </c>
      <c r="H236">
        <v>384.02</v>
      </c>
      <c r="I236">
        <v>0.35</v>
      </c>
      <c r="J236">
        <v>6.5</v>
      </c>
      <c r="K236">
        <v>6.6</v>
      </c>
      <c r="L236" t="s">
        <v>197</v>
      </c>
      <c r="M236" t="s">
        <v>198</v>
      </c>
      <c r="N236" t="s">
        <v>199</v>
      </c>
      <c r="O236">
        <v>0.63500000000000001</v>
      </c>
      <c r="P236">
        <v>117.9</v>
      </c>
      <c r="Q236">
        <v>14.5</v>
      </c>
      <c r="R236">
        <v>311</v>
      </c>
      <c r="S236">
        <v>30.9</v>
      </c>
      <c r="T236">
        <v>44.6</v>
      </c>
      <c r="U236">
        <v>0.27</v>
      </c>
      <c r="V236">
        <v>0.65</v>
      </c>
      <c r="W236">
        <v>1</v>
      </c>
      <c r="X236">
        <v>-14.6</v>
      </c>
      <c r="Y236">
        <v>8.6999999999999993</v>
      </c>
      <c r="Z236" t="s">
        <v>226</v>
      </c>
      <c r="AA236" t="s">
        <v>163</v>
      </c>
      <c r="AB236" t="s">
        <v>261</v>
      </c>
    </row>
  </sheetData>
  <pageMargins left="0.7" right="0.7" top="0.75" bottom="0.75" header="0.3" footer="0.3"/>
  <ignoredErrors>
    <ignoredError sqref="A1:AB23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40"/>
  <sheetViews>
    <sheetView workbookViewId="0"/>
  </sheetViews>
  <sheetFormatPr defaultRowHeight="14.5" x14ac:dyDescent="0.35"/>
  <cols>
    <col min="1" max="1" width="5.83203125" customWidth="1"/>
    <col min="2" max="2" width="11.83203125" customWidth="1"/>
    <col min="3" max="3" width="10.83203125" customWidth="1"/>
    <col min="4" max="4" width="8.83203125" customWidth="1"/>
    <col min="5" max="6" width="9.83203125" customWidth="1"/>
    <col min="7" max="7" width="10.83203125" customWidth="1"/>
    <col min="8" max="8" width="8.83203125" customWidth="1"/>
    <col min="9" max="10" width="9.83203125" customWidth="1"/>
    <col min="11" max="12" width="10.83203125" customWidth="1"/>
    <col min="13" max="13" width="12.83203125" customWidth="1"/>
    <col min="14" max="14" width="13.83203125" customWidth="1"/>
    <col min="15" max="15" width="14.83203125" customWidth="1"/>
    <col min="16" max="16" width="36.83203125" customWidth="1"/>
    <col min="17" max="18" width="9.83203125" customWidth="1"/>
    <col min="19" max="20" width="7.83203125" customWidth="1"/>
    <col min="21" max="21" width="12.83203125" customWidth="1"/>
    <col min="22" max="23" width="14.83203125" customWidth="1"/>
    <col min="24" max="24" width="9.83203125" customWidth="1"/>
    <col min="25" max="25" width="13.83203125" customWidth="1"/>
    <col min="26" max="26" width="11.83203125" customWidth="1"/>
    <col min="27" max="27" width="7.83203125" customWidth="1"/>
    <col min="28" max="28" width="10.83203125" customWidth="1"/>
    <col min="29" max="29" width="11.83203125" customWidth="1"/>
    <col min="30" max="30" width="14.83203125" customWidth="1"/>
    <col min="31" max="33" width="11.83203125" customWidth="1"/>
    <col min="34" max="36" width="9.83203125" customWidth="1"/>
    <col min="37" max="37" width="10.83203125" customWidth="1"/>
    <col min="38" max="39" width="9.83203125" customWidth="1"/>
    <col min="40" max="40" width="11.83203125" customWidth="1"/>
    <col min="41" max="41" width="60.83203125" customWidth="1"/>
  </cols>
  <sheetData>
    <row r="1" spans="1:41" ht="15.5" x14ac:dyDescent="0.35">
      <c r="A1" t="s">
        <v>697</v>
      </c>
    </row>
    <row r="2" spans="1:41" ht="15.5" x14ac:dyDescent="0.35">
      <c r="A2" t="s">
        <v>54</v>
      </c>
    </row>
    <row r="3" spans="1:41" ht="15.5" x14ac:dyDescent="0.35">
      <c r="A3" t="s">
        <v>698</v>
      </c>
    </row>
    <row r="4" spans="1:41" ht="15.5" x14ac:dyDescent="0.35">
      <c r="A4" t="s">
        <v>2</v>
      </c>
    </row>
    <row r="5" spans="1:41" ht="15.5" x14ac:dyDescent="0.35">
      <c r="A5" t="s">
        <v>207</v>
      </c>
      <c r="B5" t="s">
        <v>699</v>
      </c>
      <c r="C5" t="s">
        <v>700</v>
      </c>
      <c r="D5" t="s">
        <v>160</v>
      </c>
      <c r="E5" t="s">
        <v>701</v>
      </c>
      <c r="F5" t="s">
        <v>702</v>
      </c>
      <c r="G5" t="s">
        <v>703</v>
      </c>
      <c r="H5" t="s">
        <v>164</v>
      </c>
      <c r="I5" t="s">
        <v>704</v>
      </c>
      <c r="J5" t="s">
        <v>705</v>
      </c>
      <c r="K5" t="s">
        <v>211</v>
      </c>
      <c r="L5" t="s">
        <v>212</v>
      </c>
      <c r="M5" t="s">
        <v>706</v>
      </c>
      <c r="N5" t="s">
        <v>707</v>
      </c>
      <c r="O5" t="s">
        <v>708</v>
      </c>
      <c r="P5" t="s">
        <v>709</v>
      </c>
      <c r="Q5" t="s">
        <v>710</v>
      </c>
      <c r="R5" t="s">
        <v>711</v>
      </c>
      <c r="S5" t="s">
        <v>712</v>
      </c>
      <c r="T5" t="s">
        <v>713</v>
      </c>
      <c r="U5" t="s">
        <v>714</v>
      </c>
      <c r="V5" t="s">
        <v>715</v>
      </c>
      <c r="W5" t="s">
        <v>716</v>
      </c>
      <c r="X5" t="s">
        <v>717</v>
      </c>
      <c r="Y5" t="s">
        <v>718</v>
      </c>
      <c r="Z5" t="s">
        <v>719</v>
      </c>
      <c r="AA5" t="s">
        <v>720</v>
      </c>
      <c r="AB5" t="s">
        <v>721</v>
      </c>
      <c r="AC5" t="s">
        <v>722</v>
      </c>
      <c r="AD5" t="s">
        <v>723</v>
      </c>
      <c r="AE5" t="s">
        <v>724</v>
      </c>
      <c r="AF5" t="s">
        <v>725</v>
      </c>
      <c r="AG5" t="s">
        <v>726</v>
      </c>
      <c r="AH5" t="s">
        <v>727</v>
      </c>
      <c r="AI5" t="s">
        <v>728</v>
      </c>
      <c r="AJ5" t="s">
        <v>729</v>
      </c>
      <c r="AK5" t="s">
        <v>730</v>
      </c>
      <c r="AL5" t="s">
        <v>731</v>
      </c>
      <c r="AM5" t="s">
        <v>732</v>
      </c>
      <c r="AN5" t="s">
        <v>196</v>
      </c>
      <c r="AO5" t="s">
        <v>222</v>
      </c>
    </row>
    <row r="6" spans="1:41" ht="15.5" x14ac:dyDescent="0.35">
      <c r="A6">
        <v>1</v>
      </c>
      <c r="B6" t="s">
        <v>733</v>
      </c>
      <c r="C6" t="s">
        <v>734</v>
      </c>
      <c r="D6" t="s">
        <v>160</v>
      </c>
      <c r="E6">
        <v>30.2</v>
      </c>
      <c r="F6">
        <v>12.56</v>
      </c>
      <c r="G6" t="s">
        <v>735</v>
      </c>
      <c r="H6" t="s">
        <v>164</v>
      </c>
      <c r="I6">
        <v>27.8</v>
      </c>
      <c r="J6">
        <v>12.57</v>
      </c>
      <c r="K6">
        <v>-128.58000000000001</v>
      </c>
      <c r="L6">
        <v>44.11</v>
      </c>
      <c r="M6">
        <v>378.3</v>
      </c>
      <c r="N6">
        <v>1.7</v>
      </c>
      <c r="O6">
        <v>7.7</v>
      </c>
      <c r="P6" t="s">
        <v>736</v>
      </c>
      <c r="Q6">
        <v>2.5</v>
      </c>
      <c r="R6">
        <v>29.7</v>
      </c>
      <c r="S6">
        <v>2.5</v>
      </c>
      <c r="T6">
        <v>0.4</v>
      </c>
      <c r="U6">
        <v>2.48</v>
      </c>
      <c r="V6">
        <v>62.5</v>
      </c>
      <c r="W6">
        <v>37.5</v>
      </c>
      <c r="X6">
        <v>6.4</v>
      </c>
      <c r="Y6" t="s">
        <v>737</v>
      </c>
      <c r="Z6">
        <v>119</v>
      </c>
      <c r="AA6">
        <v>4</v>
      </c>
      <c r="AB6" t="s">
        <v>738</v>
      </c>
      <c r="AC6">
        <v>3.7</v>
      </c>
      <c r="AD6">
        <v>65.400000000000006</v>
      </c>
      <c r="AE6">
        <v>38.6</v>
      </c>
      <c r="AF6">
        <v>126</v>
      </c>
      <c r="AG6">
        <v>0</v>
      </c>
      <c r="AH6">
        <v>0.45</v>
      </c>
      <c r="AI6">
        <v>0.27</v>
      </c>
      <c r="AJ6">
        <v>0.46</v>
      </c>
      <c r="AK6">
        <v>0</v>
      </c>
      <c r="AL6">
        <v>0.15</v>
      </c>
      <c r="AM6">
        <v>0.62</v>
      </c>
      <c r="AN6" t="s">
        <v>163</v>
      </c>
      <c r="AO6" t="s">
        <v>739</v>
      </c>
    </row>
    <row r="7" spans="1:41" ht="15.5" x14ac:dyDescent="0.35">
      <c r="A7">
        <v>2</v>
      </c>
      <c r="B7" t="s">
        <v>740</v>
      </c>
      <c r="C7" t="s">
        <v>741</v>
      </c>
      <c r="D7" t="s">
        <v>160</v>
      </c>
      <c r="E7">
        <v>30.2</v>
      </c>
      <c r="F7">
        <v>11.3</v>
      </c>
      <c r="G7" t="s">
        <v>742</v>
      </c>
      <c r="H7" t="s">
        <v>164</v>
      </c>
      <c r="I7">
        <v>27.8</v>
      </c>
      <c r="J7">
        <v>11.3</v>
      </c>
      <c r="K7">
        <v>-138.58000000000001</v>
      </c>
      <c r="L7">
        <v>31.21</v>
      </c>
      <c r="M7">
        <v>378.3</v>
      </c>
      <c r="N7">
        <v>1.7</v>
      </c>
      <c r="O7">
        <v>7.7</v>
      </c>
      <c r="P7" t="s">
        <v>736</v>
      </c>
      <c r="Q7">
        <v>2.1</v>
      </c>
      <c r="R7">
        <v>32.1</v>
      </c>
      <c r="S7">
        <v>2.5</v>
      </c>
      <c r="T7">
        <v>0.4</v>
      </c>
      <c r="U7">
        <v>2.48</v>
      </c>
      <c r="V7">
        <v>62.5</v>
      </c>
      <c r="W7">
        <v>37.5</v>
      </c>
      <c r="X7">
        <v>6.4</v>
      </c>
      <c r="Y7" t="s">
        <v>737</v>
      </c>
      <c r="Z7">
        <v>119</v>
      </c>
      <c r="AA7">
        <v>4</v>
      </c>
      <c r="AB7" t="s">
        <v>738</v>
      </c>
      <c r="AC7">
        <v>3.7</v>
      </c>
      <c r="AD7">
        <v>65.400000000000006</v>
      </c>
      <c r="AE7">
        <v>41.2</v>
      </c>
      <c r="AF7">
        <v>126</v>
      </c>
      <c r="AG7">
        <v>0</v>
      </c>
      <c r="AH7">
        <v>0.49</v>
      </c>
      <c r="AI7">
        <v>0.27</v>
      </c>
      <c r="AJ7">
        <v>0.49</v>
      </c>
      <c r="AK7">
        <v>0</v>
      </c>
      <c r="AL7">
        <v>0.15</v>
      </c>
      <c r="AM7">
        <v>0.62</v>
      </c>
      <c r="AN7" t="s">
        <v>163</v>
      </c>
      <c r="AO7" t="s">
        <v>739</v>
      </c>
    </row>
    <row r="8" spans="1:41" ht="15.5" x14ac:dyDescent="0.35">
      <c r="A8">
        <v>3</v>
      </c>
      <c r="B8" t="s">
        <v>743</v>
      </c>
      <c r="C8" t="s">
        <v>744</v>
      </c>
      <c r="D8" t="s">
        <v>164</v>
      </c>
      <c r="E8">
        <v>27.8</v>
      </c>
      <c r="F8">
        <v>10.08</v>
      </c>
      <c r="G8" t="s">
        <v>745</v>
      </c>
      <c r="H8" t="s">
        <v>165</v>
      </c>
      <c r="I8">
        <v>38.6</v>
      </c>
      <c r="J8">
        <v>10.07</v>
      </c>
      <c r="K8">
        <v>-42.64</v>
      </c>
      <c r="L8">
        <v>-28.74</v>
      </c>
      <c r="M8">
        <v>378.3</v>
      </c>
      <c r="N8">
        <v>1.7</v>
      </c>
      <c r="O8">
        <v>7.7</v>
      </c>
      <c r="P8" t="s">
        <v>736</v>
      </c>
      <c r="Q8">
        <v>8.6999999999999993</v>
      </c>
      <c r="R8">
        <v>39.700000000000003</v>
      </c>
      <c r="S8">
        <v>2.5</v>
      </c>
      <c r="T8">
        <v>0.4</v>
      </c>
      <c r="U8">
        <v>2.48</v>
      </c>
      <c r="V8">
        <v>62.5</v>
      </c>
      <c r="W8">
        <v>37.5</v>
      </c>
      <c r="X8">
        <v>6.4</v>
      </c>
      <c r="Y8" t="s">
        <v>737</v>
      </c>
      <c r="Z8">
        <v>119</v>
      </c>
      <c r="AA8">
        <v>4</v>
      </c>
      <c r="AB8" t="s">
        <v>738</v>
      </c>
      <c r="AC8">
        <v>3.7</v>
      </c>
      <c r="AD8">
        <v>65.400000000000006</v>
      </c>
      <c r="AE8">
        <v>54.4</v>
      </c>
      <c r="AF8">
        <v>126</v>
      </c>
      <c r="AG8">
        <v>2.59</v>
      </c>
      <c r="AH8">
        <v>0.61</v>
      </c>
      <c r="AI8">
        <v>0.36</v>
      </c>
      <c r="AJ8">
        <v>0.65</v>
      </c>
      <c r="AK8">
        <v>0.33</v>
      </c>
      <c r="AL8">
        <v>0.15</v>
      </c>
      <c r="AM8">
        <v>0.62</v>
      </c>
      <c r="AN8" t="s">
        <v>163</v>
      </c>
      <c r="AO8" t="s">
        <v>739</v>
      </c>
    </row>
    <row r="9" spans="1:41" ht="15.5" x14ac:dyDescent="0.35">
      <c r="A9">
        <v>4</v>
      </c>
      <c r="B9" t="s">
        <v>746</v>
      </c>
      <c r="C9" t="s">
        <v>747</v>
      </c>
      <c r="D9" t="s">
        <v>164</v>
      </c>
      <c r="E9">
        <v>27.8</v>
      </c>
      <c r="F9">
        <v>9.01</v>
      </c>
      <c r="G9" t="s">
        <v>748</v>
      </c>
      <c r="H9" t="s">
        <v>165</v>
      </c>
      <c r="I9">
        <v>38.6</v>
      </c>
      <c r="J9">
        <v>9.02</v>
      </c>
      <c r="K9">
        <v>-48.54</v>
      </c>
      <c r="L9">
        <v>-35.03</v>
      </c>
      <c r="M9">
        <v>378.3</v>
      </c>
      <c r="N9">
        <v>1.7</v>
      </c>
      <c r="O9">
        <v>7.7</v>
      </c>
      <c r="P9" t="s">
        <v>736</v>
      </c>
      <c r="Q9">
        <v>8.4</v>
      </c>
      <c r="R9">
        <v>42.5</v>
      </c>
      <c r="S9">
        <v>2.5</v>
      </c>
      <c r="T9">
        <v>0.4</v>
      </c>
      <c r="U9">
        <v>2.48</v>
      </c>
      <c r="V9">
        <v>62.5</v>
      </c>
      <c r="W9">
        <v>37.5</v>
      </c>
      <c r="X9">
        <v>6.4</v>
      </c>
      <c r="Y9" t="s">
        <v>737</v>
      </c>
      <c r="Z9">
        <v>119</v>
      </c>
      <c r="AA9">
        <v>4</v>
      </c>
      <c r="AB9" t="s">
        <v>738</v>
      </c>
      <c r="AC9">
        <v>3.7</v>
      </c>
      <c r="AD9">
        <v>65.400000000000006</v>
      </c>
      <c r="AE9">
        <v>57.7</v>
      </c>
      <c r="AF9">
        <v>126</v>
      </c>
      <c r="AG9">
        <v>3.3</v>
      </c>
      <c r="AH9">
        <v>0.65</v>
      </c>
      <c r="AI9">
        <v>0.36</v>
      </c>
      <c r="AJ9">
        <v>0.69</v>
      </c>
      <c r="AK9">
        <v>0.42</v>
      </c>
      <c r="AL9">
        <v>0.15</v>
      </c>
      <c r="AM9">
        <v>0.62</v>
      </c>
      <c r="AN9" t="s">
        <v>163</v>
      </c>
      <c r="AO9" t="s">
        <v>739</v>
      </c>
    </row>
    <row r="10" spans="1:41" ht="15.5" x14ac:dyDescent="0.35">
      <c r="A10">
        <v>5</v>
      </c>
      <c r="B10" t="s">
        <v>749</v>
      </c>
      <c r="C10" t="s">
        <v>750</v>
      </c>
      <c r="D10" t="s">
        <v>164</v>
      </c>
      <c r="E10">
        <v>27.8</v>
      </c>
      <c r="F10">
        <v>14.23</v>
      </c>
      <c r="G10" t="s">
        <v>751</v>
      </c>
      <c r="H10" t="s">
        <v>165</v>
      </c>
      <c r="I10">
        <v>38.6</v>
      </c>
      <c r="J10">
        <v>14.23</v>
      </c>
      <c r="K10">
        <v>-28.46</v>
      </c>
      <c r="L10">
        <v>-18.93</v>
      </c>
      <c r="M10">
        <v>378.3</v>
      </c>
      <c r="N10">
        <v>1.7</v>
      </c>
      <c r="O10">
        <v>7.7</v>
      </c>
      <c r="P10" t="s">
        <v>736</v>
      </c>
      <c r="Q10">
        <v>9.6</v>
      </c>
      <c r="R10">
        <v>31</v>
      </c>
      <c r="S10">
        <v>2.5</v>
      </c>
      <c r="T10">
        <v>0.4</v>
      </c>
      <c r="U10">
        <v>2.48</v>
      </c>
      <c r="V10">
        <v>62.5</v>
      </c>
      <c r="W10">
        <v>37.5</v>
      </c>
      <c r="X10">
        <v>6.4</v>
      </c>
      <c r="Y10" t="s">
        <v>737</v>
      </c>
      <c r="Z10">
        <v>119</v>
      </c>
      <c r="AA10">
        <v>4</v>
      </c>
      <c r="AB10" t="s">
        <v>738</v>
      </c>
      <c r="AC10">
        <v>3.7</v>
      </c>
      <c r="AD10">
        <v>65.400000000000006</v>
      </c>
      <c r="AE10">
        <v>44</v>
      </c>
      <c r="AF10">
        <v>126</v>
      </c>
      <c r="AG10">
        <v>0.38</v>
      </c>
      <c r="AH10">
        <v>0.47</v>
      </c>
      <c r="AI10">
        <v>0.36</v>
      </c>
      <c r="AJ10">
        <v>0.52</v>
      </c>
      <c r="AK10">
        <v>0.05</v>
      </c>
      <c r="AL10">
        <v>0.15</v>
      </c>
      <c r="AM10">
        <v>0.62</v>
      </c>
      <c r="AN10" t="s">
        <v>163</v>
      </c>
      <c r="AO10" t="s">
        <v>739</v>
      </c>
    </row>
    <row r="11" spans="1:41" ht="15.5" x14ac:dyDescent="0.35">
      <c r="A11">
        <v>6</v>
      </c>
      <c r="B11" t="s">
        <v>752</v>
      </c>
      <c r="C11" t="s">
        <v>753</v>
      </c>
      <c r="D11" t="s">
        <v>165</v>
      </c>
      <c r="E11">
        <v>38.6</v>
      </c>
      <c r="F11">
        <v>9.36</v>
      </c>
      <c r="G11" t="s">
        <v>754</v>
      </c>
      <c r="H11" t="s">
        <v>166</v>
      </c>
      <c r="I11">
        <v>73.7</v>
      </c>
      <c r="J11">
        <v>9.35</v>
      </c>
      <c r="K11">
        <v>16.600000000000001</v>
      </c>
      <c r="L11">
        <v>-124.06</v>
      </c>
      <c r="M11">
        <v>378.3</v>
      </c>
      <c r="N11">
        <v>1.7</v>
      </c>
      <c r="O11">
        <v>7.7</v>
      </c>
      <c r="P11" t="s">
        <v>736</v>
      </c>
      <c r="Q11">
        <v>27.3</v>
      </c>
      <c r="R11">
        <v>70.3</v>
      </c>
      <c r="S11">
        <v>3.25</v>
      </c>
      <c r="T11">
        <v>0.4</v>
      </c>
      <c r="U11">
        <v>4.21</v>
      </c>
      <c r="V11">
        <v>105.6</v>
      </c>
      <c r="W11">
        <v>63.4</v>
      </c>
      <c r="X11">
        <v>10.8</v>
      </c>
      <c r="Y11" t="s">
        <v>737</v>
      </c>
      <c r="Z11">
        <v>202</v>
      </c>
      <c r="AA11">
        <v>4</v>
      </c>
      <c r="AB11" t="s">
        <v>738</v>
      </c>
      <c r="AC11">
        <v>3.7</v>
      </c>
      <c r="AD11">
        <v>88.7</v>
      </c>
      <c r="AE11">
        <v>129.19999999999999</v>
      </c>
      <c r="AF11">
        <v>205.9</v>
      </c>
      <c r="AG11">
        <v>5.89</v>
      </c>
      <c r="AH11">
        <v>0.79</v>
      </c>
      <c r="AI11">
        <v>0.55000000000000004</v>
      </c>
      <c r="AJ11">
        <v>0.94</v>
      </c>
      <c r="AK11">
        <v>0.74</v>
      </c>
      <c r="AL11">
        <v>0.15</v>
      </c>
      <c r="AM11">
        <v>0.62</v>
      </c>
      <c r="AN11" t="s">
        <v>163</v>
      </c>
      <c r="AO11" t="s">
        <v>755</v>
      </c>
    </row>
    <row r="12" spans="1:41" ht="15.5" x14ac:dyDescent="0.35">
      <c r="A12">
        <v>7</v>
      </c>
      <c r="B12" t="s">
        <v>756</v>
      </c>
      <c r="C12" t="s">
        <v>757</v>
      </c>
      <c r="D12" t="s">
        <v>165</v>
      </c>
      <c r="E12">
        <v>38.6</v>
      </c>
      <c r="F12">
        <v>15.33</v>
      </c>
      <c r="G12" t="s">
        <v>758</v>
      </c>
      <c r="H12" t="s">
        <v>166</v>
      </c>
      <c r="I12">
        <v>73.7</v>
      </c>
      <c r="J12">
        <v>15.33</v>
      </c>
      <c r="K12">
        <v>42.39</v>
      </c>
      <c r="L12">
        <v>-119.37</v>
      </c>
      <c r="M12">
        <v>378.3</v>
      </c>
      <c r="N12">
        <v>1.7</v>
      </c>
      <c r="O12">
        <v>7.7</v>
      </c>
      <c r="P12" t="s">
        <v>736</v>
      </c>
      <c r="Q12">
        <v>31.5</v>
      </c>
      <c r="R12">
        <v>49.4</v>
      </c>
      <c r="S12">
        <v>2.5</v>
      </c>
      <c r="T12">
        <v>0.4</v>
      </c>
      <c r="U12">
        <v>2.48</v>
      </c>
      <c r="V12">
        <v>62.5</v>
      </c>
      <c r="W12">
        <v>37.5</v>
      </c>
      <c r="X12">
        <v>6.4</v>
      </c>
      <c r="Y12" t="s">
        <v>737</v>
      </c>
      <c r="Z12">
        <v>119</v>
      </c>
      <c r="AA12">
        <v>4</v>
      </c>
      <c r="AB12" t="s">
        <v>738</v>
      </c>
      <c r="AC12">
        <v>3.7</v>
      </c>
      <c r="AD12">
        <v>65.400000000000006</v>
      </c>
      <c r="AE12">
        <v>79</v>
      </c>
      <c r="AF12">
        <v>126</v>
      </c>
      <c r="AG12">
        <v>7.83</v>
      </c>
      <c r="AH12">
        <v>0.75</v>
      </c>
      <c r="AI12">
        <v>0.74</v>
      </c>
      <c r="AJ12">
        <v>0.94</v>
      </c>
      <c r="AK12">
        <v>0.99</v>
      </c>
      <c r="AL12">
        <v>0.15</v>
      </c>
      <c r="AM12">
        <v>0.62</v>
      </c>
      <c r="AN12" t="s">
        <v>163</v>
      </c>
      <c r="AO12" t="s">
        <v>739</v>
      </c>
    </row>
    <row r="13" spans="1:41" ht="15.5" x14ac:dyDescent="0.35">
      <c r="A13">
        <v>8</v>
      </c>
      <c r="B13" t="s">
        <v>759</v>
      </c>
      <c r="C13" t="s">
        <v>760</v>
      </c>
      <c r="D13" t="s">
        <v>165</v>
      </c>
      <c r="E13">
        <v>38.6</v>
      </c>
      <c r="F13">
        <v>12.34</v>
      </c>
      <c r="G13" t="s">
        <v>761</v>
      </c>
      <c r="H13" t="s">
        <v>166</v>
      </c>
      <c r="I13">
        <v>73.7</v>
      </c>
      <c r="J13">
        <v>12.34</v>
      </c>
      <c r="K13">
        <v>29.5</v>
      </c>
      <c r="L13">
        <v>-121.71</v>
      </c>
      <c r="M13">
        <v>378.3</v>
      </c>
      <c r="N13">
        <v>1.7</v>
      </c>
      <c r="O13">
        <v>7.7</v>
      </c>
      <c r="P13" t="s">
        <v>736</v>
      </c>
      <c r="Q13">
        <v>29.9</v>
      </c>
      <c r="R13">
        <v>58.3</v>
      </c>
      <c r="S13">
        <v>2.75</v>
      </c>
      <c r="T13">
        <v>0.4</v>
      </c>
      <c r="U13">
        <v>3.01</v>
      </c>
      <c r="V13">
        <v>75.599999999999994</v>
      </c>
      <c r="W13">
        <v>45.4</v>
      </c>
      <c r="X13">
        <v>7.7</v>
      </c>
      <c r="Y13" t="s">
        <v>737</v>
      </c>
      <c r="Z13">
        <v>141</v>
      </c>
      <c r="AA13">
        <v>4</v>
      </c>
      <c r="AB13" t="s">
        <v>738</v>
      </c>
      <c r="AC13">
        <v>3.7</v>
      </c>
      <c r="AD13">
        <v>72.5</v>
      </c>
      <c r="AE13">
        <v>96.7</v>
      </c>
      <c r="AF13">
        <v>149.5</v>
      </c>
      <c r="AG13">
        <v>7.79</v>
      </c>
      <c r="AH13">
        <v>0.8</v>
      </c>
      <c r="AI13">
        <v>0.67</v>
      </c>
      <c r="AJ13">
        <v>0.97</v>
      </c>
      <c r="AK13">
        <v>0.98</v>
      </c>
      <c r="AL13">
        <v>0.15</v>
      </c>
      <c r="AM13">
        <v>0.62</v>
      </c>
      <c r="AN13" t="s">
        <v>163</v>
      </c>
      <c r="AO13" t="s">
        <v>755</v>
      </c>
    </row>
    <row r="14" spans="1:41" ht="15.5" x14ac:dyDescent="0.35">
      <c r="A14">
        <v>9</v>
      </c>
      <c r="B14" t="s">
        <v>762</v>
      </c>
      <c r="C14" t="s">
        <v>763</v>
      </c>
      <c r="D14" t="s">
        <v>165</v>
      </c>
      <c r="E14">
        <v>38.6</v>
      </c>
      <c r="F14">
        <v>9.6</v>
      </c>
      <c r="G14" t="s">
        <v>764</v>
      </c>
      <c r="H14" t="s">
        <v>166</v>
      </c>
      <c r="I14">
        <v>73.7</v>
      </c>
      <c r="J14">
        <v>9.59</v>
      </c>
      <c r="K14">
        <v>5.97</v>
      </c>
      <c r="L14">
        <v>-128.68</v>
      </c>
      <c r="M14">
        <v>378.3</v>
      </c>
      <c r="N14">
        <v>1.7</v>
      </c>
      <c r="O14">
        <v>7.7</v>
      </c>
      <c r="P14" t="s">
        <v>736</v>
      </c>
      <c r="Q14">
        <v>27.6</v>
      </c>
      <c r="R14">
        <v>69.2</v>
      </c>
      <c r="S14">
        <v>3.25</v>
      </c>
      <c r="T14">
        <v>0.4</v>
      </c>
      <c r="U14">
        <v>4.21</v>
      </c>
      <c r="V14">
        <v>105.6</v>
      </c>
      <c r="W14">
        <v>63.4</v>
      </c>
      <c r="X14">
        <v>10.8</v>
      </c>
      <c r="Y14" t="s">
        <v>737</v>
      </c>
      <c r="Z14">
        <v>202</v>
      </c>
      <c r="AA14">
        <v>4</v>
      </c>
      <c r="AB14" t="s">
        <v>738</v>
      </c>
      <c r="AC14">
        <v>3.7</v>
      </c>
      <c r="AD14">
        <v>88.7</v>
      </c>
      <c r="AE14">
        <v>127.6</v>
      </c>
      <c r="AF14">
        <v>205.9</v>
      </c>
      <c r="AG14">
        <v>5.62</v>
      </c>
      <c r="AH14">
        <v>0.78</v>
      </c>
      <c r="AI14">
        <v>0.55000000000000004</v>
      </c>
      <c r="AJ14">
        <v>0.93</v>
      </c>
      <c r="AK14">
        <v>0.71</v>
      </c>
      <c r="AL14">
        <v>0.15</v>
      </c>
      <c r="AM14">
        <v>0.62</v>
      </c>
      <c r="AN14" t="s">
        <v>163</v>
      </c>
      <c r="AO14" t="s">
        <v>755</v>
      </c>
    </row>
    <row r="15" spans="1:41" ht="15.5" x14ac:dyDescent="0.35">
      <c r="A15">
        <v>10</v>
      </c>
      <c r="B15" t="s">
        <v>765</v>
      </c>
      <c r="C15" t="s">
        <v>766</v>
      </c>
      <c r="D15" t="s">
        <v>166</v>
      </c>
      <c r="E15">
        <v>73.7</v>
      </c>
      <c r="F15">
        <v>20.96</v>
      </c>
      <c r="G15" t="s">
        <v>767</v>
      </c>
      <c r="H15" t="s">
        <v>168</v>
      </c>
      <c r="I15">
        <v>87.3</v>
      </c>
      <c r="J15">
        <v>20.92</v>
      </c>
      <c r="K15">
        <v>198.11</v>
      </c>
      <c r="L15">
        <v>-227.76</v>
      </c>
      <c r="M15">
        <v>378.3</v>
      </c>
      <c r="N15">
        <v>1.7</v>
      </c>
      <c r="O15">
        <v>7.7</v>
      </c>
      <c r="P15" t="s">
        <v>768</v>
      </c>
      <c r="Q15">
        <v>77.5</v>
      </c>
      <c r="R15">
        <v>31.2</v>
      </c>
      <c r="S15">
        <v>2.75</v>
      </c>
      <c r="T15">
        <v>0.4</v>
      </c>
      <c r="U15">
        <v>3.01</v>
      </c>
      <c r="V15">
        <v>75.599999999999994</v>
      </c>
      <c r="W15">
        <v>45.4</v>
      </c>
      <c r="X15">
        <v>7.7</v>
      </c>
      <c r="Y15" t="s">
        <v>737</v>
      </c>
      <c r="Z15">
        <v>141</v>
      </c>
      <c r="AA15">
        <v>4</v>
      </c>
      <c r="AB15" t="s">
        <v>738</v>
      </c>
      <c r="AC15">
        <v>3.7</v>
      </c>
      <c r="AD15">
        <v>72.5</v>
      </c>
      <c r="AE15">
        <v>85.5</v>
      </c>
      <c r="AF15">
        <v>149.5</v>
      </c>
      <c r="AG15">
        <v>5.64</v>
      </c>
      <c r="AH15">
        <v>0.75</v>
      </c>
      <c r="AI15">
        <v>0.81</v>
      </c>
      <c r="AJ15">
        <v>0.86</v>
      </c>
      <c r="AK15">
        <v>0.71</v>
      </c>
      <c r="AL15">
        <v>0.15</v>
      </c>
      <c r="AM15">
        <v>0.62</v>
      </c>
      <c r="AN15" t="s">
        <v>163</v>
      </c>
      <c r="AO15" t="s">
        <v>755</v>
      </c>
    </row>
    <row r="16" spans="1:41" ht="15.5" x14ac:dyDescent="0.35">
      <c r="A16">
        <v>11</v>
      </c>
      <c r="B16" t="s">
        <v>769</v>
      </c>
      <c r="C16" t="s">
        <v>770</v>
      </c>
      <c r="D16" t="s">
        <v>166</v>
      </c>
      <c r="E16">
        <v>73.7</v>
      </c>
      <c r="F16">
        <v>20.95</v>
      </c>
      <c r="G16" t="s">
        <v>771</v>
      </c>
      <c r="H16" t="s">
        <v>168</v>
      </c>
      <c r="I16">
        <v>87.3</v>
      </c>
      <c r="J16">
        <v>20.92</v>
      </c>
      <c r="K16">
        <v>198.11</v>
      </c>
      <c r="L16">
        <v>-213.26</v>
      </c>
      <c r="M16">
        <v>378.3</v>
      </c>
      <c r="N16">
        <v>1.7</v>
      </c>
      <c r="O16">
        <v>7.7</v>
      </c>
      <c r="P16" t="s">
        <v>772</v>
      </c>
      <c r="Q16">
        <v>77.5</v>
      </c>
      <c r="R16">
        <v>31.2</v>
      </c>
      <c r="S16">
        <v>2.75</v>
      </c>
      <c r="T16">
        <v>0.4</v>
      </c>
      <c r="U16">
        <v>3.01</v>
      </c>
      <c r="V16">
        <v>75.599999999999994</v>
      </c>
      <c r="W16">
        <v>45.4</v>
      </c>
      <c r="X16">
        <v>7.7</v>
      </c>
      <c r="Y16" t="s">
        <v>737</v>
      </c>
      <c r="Z16">
        <v>141</v>
      </c>
      <c r="AA16">
        <v>4</v>
      </c>
      <c r="AB16" t="s">
        <v>738</v>
      </c>
      <c r="AC16">
        <v>3.7</v>
      </c>
      <c r="AD16">
        <v>72.5</v>
      </c>
      <c r="AE16">
        <v>85.5</v>
      </c>
      <c r="AF16">
        <v>149.5</v>
      </c>
      <c r="AG16">
        <v>5.64</v>
      </c>
      <c r="AH16">
        <v>0.75</v>
      </c>
      <c r="AI16">
        <v>0.81</v>
      </c>
      <c r="AJ16">
        <v>0.86</v>
      </c>
      <c r="AK16">
        <v>0.71</v>
      </c>
      <c r="AL16">
        <v>0.15</v>
      </c>
      <c r="AM16">
        <v>0.62</v>
      </c>
      <c r="AN16" t="s">
        <v>163</v>
      </c>
      <c r="AO16" t="s">
        <v>755</v>
      </c>
    </row>
    <row r="17" spans="1:41" ht="15.5" x14ac:dyDescent="0.35">
      <c r="A17">
        <v>12</v>
      </c>
      <c r="B17" t="s">
        <v>773</v>
      </c>
      <c r="C17" t="s">
        <v>774</v>
      </c>
      <c r="D17" t="s">
        <v>166</v>
      </c>
      <c r="E17">
        <v>73.7</v>
      </c>
      <c r="F17">
        <v>21.06</v>
      </c>
      <c r="G17" t="s">
        <v>775</v>
      </c>
      <c r="H17" t="s">
        <v>168</v>
      </c>
      <c r="I17">
        <v>87.3</v>
      </c>
      <c r="J17">
        <v>20.8</v>
      </c>
      <c r="K17">
        <v>198.23</v>
      </c>
      <c r="L17">
        <v>-198.38</v>
      </c>
      <c r="M17">
        <v>378.3</v>
      </c>
      <c r="N17">
        <v>1.7</v>
      </c>
      <c r="O17">
        <v>7.7</v>
      </c>
      <c r="P17" t="s">
        <v>776</v>
      </c>
      <c r="Q17">
        <v>77.5</v>
      </c>
      <c r="R17">
        <v>31.3</v>
      </c>
      <c r="S17">
        <v>2.75</v>
      </c>
      <c r="T17">
        <v>0.4</v>
      </c>
      <c r="U17">
        <v>3.01</v>
      </c>
      <c r="V17">
        <v>75.599999999999994</v>
      </c>
      <c r="W17">
        <v>45.4</v>
      </c>
      <c r="X17">
        <v>7.7</v>
      </c>
      <c r="Y17" t="s">
        <v>737</v>
      </c>
      <c r="Z17">
        <v>141</v>
      </c>
      <c r="AA17">
        <v>4</v>
      </c>
      <c r="AB17" t="s">
        <v>738</v>
      </c>
      <c r="AC17">
        <v>3.7</v>
      </c>
      <c r="AD17">
        <v>72.5</v>
      </c>
      <c r="AE17">
        <v>85.6</v>
      </c>
      <c r="AF17">
        <v>149.5</v>
      </c>
      <c r="AG17">
        <v>5.67</v>
      </c>
      <c r="AH17">
        <v>0.75</v>
      </c>
      <c r="AI17">
        <v>0.81</v>
      </c>
      <c r="AJ17">
        <v>0.86</v>
      </c>
      <c r="AK17">
        <v>0.72</v>
      </c>
      <c r="AL17">
        <v>0.15</v>
      </c>
      <c r="AM17">
        <v>0.62</v>
      </c>
      <c r="AN17" t="s">
        <v>163</v>
      </c>
      <c r="AO17" t="s">
        <v>755</v>
      </c>
    </row>
    <row r="18" spans="1:41" ht="15.5" x14ac:dyDescent="0.35">
      <c r="A18">
        <v>13</v>
      </c>
      <c r="B18" t="s">
        <v>777</v>
      </c>
      <c r="C18" t="s">
        <v>778</v>
      </c>
      <c r="D18" t="s">
        <v>166</v>
      </c>
      <c r="E18">
        <v>73.7</v>
      </c>
      <c r="F18">
        <v>21.06</v>
      </c>
      <c r="G18" t="s">
        <v>779</v>
      </c>
      <c r="H18" t="s">
        <v>168</v>
      </c>
      <c r="I18">
        <v>87.3</v>
      </c>
      <c r="J18">
        <v>20.8</v>
      </c>
      <c r="K18">
        <v>198.23</v>
      </c>
      <c r="L18">
        <v>-183.88</v>
      </c>
      <c r="M18">
        <v>378.3</v>
      </c>
      <c r="N18">
        <v>1.7</v>
      </c>
      <c r="O18">
        <v>7.7</v>
      </c>
      <c r="P18" t="s">
        <v>780</v>
      </c>
      <c r="Q18">
        <v>77.5</v>
      </c>
      <c r="R18">
        <v>31.3</v>
      </c>
      <c r="S18">
        <v>2.75</v>
      </c>
      <c r="T18">
        <v>0.4</v>
      </c>
      <c r="U18">
        <v>3.01</v>
      </c>
      <c r="V18">
        <v>75.599999999999994</v>
      </c>
      <c r="W18">
        <v>45.4</v>
      </c>
      <c r="X18">
        <v>7.7</v>
      </c>
      <c r="Y18" t="s">
        <v>737</v>
      </c>
      <c r="Z18">
        <v>141</v>
      </c>
      <c r="AA18">
        <v>4</v>
      </c>
      <c r="AB18" t="s">
        <v>738</v>
      </c>
      <c r="AC18">
        <v>3.7</v>
      </c>
      <c r="AD18">
        <v>72.5</v>
      </c>
      <c r="AE18">
        <v>85.6</v>
      </c>
      <c r="AF18">
        <v>149.5</v>
      </c>
      <c r="AG18">
        <v>5.67</v>
      </c>
      <c r="AH18">
        <v>0.75</v>
      </c>
      <c r="AI18">
        <v>0.81</v>
      </c>
      <c r="AJ18">
        <v>0.86</v>
      </c>
      <c r="AK18">
        <v>0.72</v>
      </c>
      <c r="AL18">
        <v>0.15</v>
      </c>
      <c r="AM18">
        <v>0.62</v>
      </c>
      <c r="AN18" t="s">
        <v>163</v>
      </c>
      <c r="AO18" t="s">
        <v>755</v>
      </c>
    </row>
    <row r="19" spans="1:41" ht="15.5" x14ac:dyDescent="0.35">
      <c r="A19">
        <v>14</v>
      </c>
      <c r="B19" t="s">
        <v>781</v>
      </c>
      <c r="C19" t="s">
        <v>782</v>
      </c>
      <c r="D19" t="s">
        <v>166</v>
      </c>
      <c r="E19">
        <v>73.7</v>
      </c>
      <c r="F19">
        <v>20.95</v>
      </c>
      <c r="G19" t="s">
        <v>783</v>
      </c>
      <c r="H19" t="s">
        <v>168</v>
      </c>
      <c r="I19">
        <v>87.3</v>
      </c>
      <c r="J19">
        <v>20.92</v>
      </c>
      <c r="K19">
        <v>198.11</v>
      </c>
      <c r="L19">
        <v>-169</v>
      </c>
      <c r="M19">
        <v>378.3</v>
      </c>
      <c r="N19">
        <v>1.7</v>
      </c>
      <c r="O19">
        <v>7.7</v>
      </c>
      <c r="P19" t="s">
        <v>784</v>
      </c>
      <c r="Q19">
        <v>77.5</v>
      </c>
      <c r="R19">
        <v>31.2</v>
      </c>
      <c r="S19">
        <v>2.75</v>
      </c>
      <c r="T19">
        <v>0.4</v>
      </c>
      <c r="U19">
        <v>3.01</v>
      </c>
      <c r="V19">
        <v>75.599999999999994</v>
      </c>
      <c r="W19">
        <v>45.4</v>
      </c>
      <c r="X19">
        <v>7.7</v>
      </c>
      <c r="Y19" t="s">
        <v>737</v>
      </c>
      <c r="Z19">
        <v>141</v>
      </c>
      <c r="AA19">
        <v>4</v>
      </c>
      <c r="AB19" t="s">
        <v>738</v>
      </c>
      <c r="AC19">
        <v>3.7</v>
      </c>
      <c r="AD19">
        <v>72.5</v>
      </c>
      <c r="AE19">
        <v>85.5</v>
      </c>
      <c r="AF19">
        <v>149.5</v>
      </c>
      <c r="AG19">
        <v>5.64</v>
      </c>
      <c r="AH19">
        <v>0.75</v>
      </c>
      <c r="AI19">
        <v>0.81</v>
      </c>
      <c r="AJ19">
        <v>0.86</v>
      </c>
      <c r="AK19">
        <v>0.71</v>
      </c>
      <c r="AL19">
        <v>0.15</v>
      </c>
      <c r="AM19">
        <v>0.62</v>
      </c>
      <c r="AN19" t="s">
        <v>163</v>
      </c>
      <c r="AO19" t="s">
        <v>755</v>
      </c>
    </row>
    <row r="20" spans="1:41" ht="15.5" x14ac:dyDescent="0.35">
      <c r="A20">
        <v>15</v>
      </c>
      <c r="B20" t="s">
        <v>785</v>
      </c>
      <c r="C20" t="s">
        <v>786</v>
      </c>
      <c r="D20" t="s">
        <v>166</v>
      </c>
      <c r="E20">
        <v>73.7</v>
      </c>
      <c r="F20">
        <v>20.97</v>
      </c>
      <c r="G20" t="s">
        <v>787</v>
      </c>
      <c r="H20" t="s">
        <v>168</v>
      </c>
      <c r="I20">
        <v>87.3</v>
      </c>
      <c r="J20">
        <v>20.92</v>
      </c>
      <c r="K20">
        <v>198.11</v>
      </c>
      <c r="L20">
        <v>-154.5</v>
      </c>
      <c r="M20">
        <v>378.3</v>
      </c>
      <c r="N20">
        <v>1.7</v>
      </c>
      <c r="O20">
        <v>7.7</v>
      </c>
      <c r="P20" t="s">
        <v>788</v>
      </c>
      <c r="Q20">
        <v>77.5</v>
      </c>
      <c r="R20">
        <v>31.2</v>
      </c>
      <c r="S20">
        <v>2.75</v>
      </c>
      <c r="T20">
        <v>0.4</v>
      </c>
      <c r="U20">
        <v>3.01</v>
      </c>
      <c r="V20">
        <v>75.599999999999994</v>
      </c>
      <c r="W20">
        <v>45.4</v>
      </c>
      <c r="X20">
        <v>7.7</v>
      </c>
      <c r="Y20" t="s">
        <v>737</v>
      </c>
      <c r="Z20">
        <v>141</v>
      </c>
      <c r="AA20">
        <v>4</v>
      </c>
      <c r="AB20" t="s">
        <v>738</v>
      </c>
      <c r="AC20">
        <v>3.7</v>
      </c>
      <c r="AD20">
        <v>72.5</v>
      </c>
      <c r="AE20">
        <v>85.5</v>
      </c>
      <c r="AF20">
        <v>149.5</v>
      </c>
      <c r="AG20">
        <v>5.64</v>
      </c>
      <c r="AH20">
        <v>0.75</v>
      </c>
      <c r="AI20">
        <v>0.81</v>
      </c>
      <c r="AJ20">
        <v>0.86</v>
      </c>
      <c r="AK20">
        <v>0.71</v>
      </c>
      <c r="AL20">
        <v>0.15</v>
      </c>
      <c r="AM20">
        <v>0.62</v>
      </c>
      <c r="AN20" t="s">
        <v>163</v>
      </c>
      <c r="AO20" t="s">
        <v>755</v>
      </c>
    </row>
    <row r="21" spans="1:41" ht="15.5" x14ac:dyDescent="0.35">
      <c r="A21">
        <v>16</v>
      </c>
      <c r="B21" t="s">
        <v>789</v>
      </c>
      <c r="C21" t="s">
        <v>790</v>
      </c>
      <c r="D21" t="s">
        <v>166</v>
      </c>
      <c r="E21">
        <v>73.7</v>
      </c>
      <c r="F21">
        <v>20.95</v>
      </c>
      <c r="G21" t="s">
        <v>791</v>
      </c>
      <c r="H21" t="s">
        <v>168</v>
      </c>
      <c r="I21">
        <v>87.3</v>
      </c>
      <c r="J21">
        <v>20.95</v>
      </c>
      <c r="K21">
        <v>198.1</v>
      </c>
      <c r="L21">
        <v>-140.38</v>
      </c>
      <c r="M21">
        <v>378.3</v>
      </c>
      <c r="N21">
        <v>1.7</v>
      </c>
      <c r="O21">
        <v>7.7</v>
      </c>
      <c r="P21" t="s">
        <v>792</v>
      </c>
      <c r="Q21">
        <v>77.5</v>
      </c>
      <c r="R21">
        <v>31.1</v>
      </c>
      <c r="S21">
        <v>2.75</v>
      </c>
      <c r="T21">
        <v>0.4</v>
      </c>
      <c r="U21">
        <v>3.01</v>
      </c>
      <c r="V21">
        <v>75.599999999999994</v>
      </c>
      <c r="W21">
        <v>45.4</v>
      </c>
      <c r="X21">
        <v>7.7</v>
      </c>
      <c r="Y21" t="s">
        <v>737</v>
      </c>
      <c r="Z21">
        <v>141</v>
      </c>
      <c r="AA21">
        <v>4</v>
      </c>
      <c r="AB21" t="s">
        <v>738</v>
      </c>
      <c r="AC21">
        <v>3.7</v>
      </c>
      <c r="AD21">
        <v>72.5</v>
      </c>
      <c r="AE21">
        <v>85.4</v>
      </c>
      <c r="AF21">
        <v>149.5</v>
      </c>
      <c r="AG21">
        <v>5.63</v>
      </c>
      <c r="AH21">
        <v>0.75</v>
      </c>
      <c r="AI21">
        <v>0.81</v>
      </c>
      <c r="AJ21">
        <v>0.86</v>
      </c>
      <c r="AK21">
        <v>0.71</v>
      </c>
      <c r="AL21">
        <v>0.15</v>
      </c>
      <c r="AM21">
        <v>0.62</v>
      </c>
      <c r="AN21" t="s">
        <v>163</v>
      </c>
      <c r="AO21" t="s">
        <v>755</v>
      </c>
    </row>
    <row r="22" spans="1:41" ht="15.5" x14ac:dyDescent="0.35">
      <c r="A22">
        <v>17</v>
      </c>
      <c r="B22" t="s">
        <v>793</v>
      </c>
      <c r="C22" t="s">
        <v>794</v>
      </c>
      <c r="D22" t="s">
        <v>166</v>
      </c>
      <c r="E22">
        <v>73.7</v>
      </c>
      <c r="F22">
        <v>20.96</v>
      </c>
      <c r="G22" t="s">
        <v>795</v>
      </c>
      <c r="H22" t="s">
        <v>168</v>
      </c>
      <c r="I22">
        <v>87.3</v>
      </c>
      <c r="J22">
        <v>20.96</v>
      </c>
      <c r="K22">
        <v>198.1</v>
      </c>
      <c r="L22">
        <v>-125.88</v>
      </c>
      <c r="M22">
        <v>378.3</v>
      </c>
      <c r="N22">
        <v>1.7</v>
      </c>
      <c r="O22">
        <v>7.7</v>
      </c>
      <c r="P22" t="s">
        <v>796</v>
      </c>
      <c r="Q22">
        <v>77.5</v>
      </c>
      <c r="R22">
        <v>31.1</v>
      </c>
      <c r="S22">
        <v>2.75</v>
      </c>
      <c r="T22">
        <v>0.4</v>
      </c>
      <c r="U22">
        <v>3.01</v>
      </c>
      <c r="V22">
        <v>75.599999999999994</v>
      </c>
      <c r="W22">
        <v>45.4</v>
      </c>
      <c r="X22">
        <v>7.7</v>
      </c>
      <c r="Y22" t="s">
        <v>737</v>
      </c>
      <c r="Z22">
        <v>141</v>
      </c>
      <c r="AA22">
        <v>4</v>
      </c>
      <c r="AB22" t="s">
        <v>738</v>
      </c>
      <c r="AC22">
        <v>3.7</v>
      </c>
      <c r="AD22">
        <v>72.5</v>
      </c>
      <c r="AE22">
        <v>85.4</v>
      </c>
      <c r="AF22">
        <v>149.5</v>
      </c>
      <c r="AG22">
        <v>5.63</v>
      </c>
      <c r="AH22">
        <v>0.75</v>
      </c>
      <c r="AI22">
        <v>0.81</v>
      </c>
      <c r="AJ22">
        <v>0.86</v>
      </c>
      <c r="AK22">
        <v>0.71</v>
      </c>
      <c r="AL22">
        <v>0.15</v>
      </c>
      <c r="AM22">
        <v>0.62</v>
      </c>
      <c r="AN22" t="s">
        <v>163</v>
      </c>
      <c r="AO22" t="s">
        <v>755</v>
      </c>
    </row>
    <row r="23" spans="1:41" ht="15.5" x14ac:dyDescent="0.35">
      <c r="A23">
        <v>18</v>
      </c>
      <c r="B23" t="s">
        <v>797</v>
      </c>
      <c r="C23" t="s">
        <v>798</v>
      </c>
      <c r="D23" t="s">
        <v>166</v>
      </c>
      <c r="E23">
        <v>73.7</v>
      </c>
      <c r="F23">
        <v>20.98</v>
      </c>
      <c r="G23" t="s">
        <v>799</v>
      </c>
      <c r="H23" t="s">
        <v>168</v>
      </c>
      <c r="I23">
        <v>87.3</v>
      </c>
      <c r="J23">
        <v>20.98</v>
      </c>
      <c r="K23">
        <v>198.1</v>
      </c>
      <c r="L23">
        <v>-111.38</v>
      </c>
      <c r="M23">
        <v>378.3</v>
      </c>
      <c r="N23">
        <v>1.7</v>
      </c>
      <c r="O23">
        <v>7.7</v>
      </c>
      <c r="P23" t="s">
        <v>800</v>
      </c>
      <c r="Q23">
        <v>77.5</v>
      </c>
      <c r="R23">
        <v>31.1</v>
      </c>
      <c r="S23">
        <v>2.75</v>
      </c>
      <c r="T23">
        <v>0.4</v>
      </c>
      <c r="U23">
        <v>3.01</v>
      </c>
      <c r="V23">
        <v>75.599999999999994</v>
      </c>
      <c r="W23">
        <v>45.4</v>
      </c>
      <c r="X23">
        <v>7.7</v>
      </c>
      <c r="Y23" t="s">
        <v>737</v>
      </c>
      <c r="Z23">
        <v>141</v>
      </c>
      <c r="AA23">
        <v>4</v>
      </c>
      <c r="AB23" t="s">
        <v>738</v>
      </c>
      <c r="AC23">
        <v>3.7</v>
      </c>
      <c r="AD23">
        <v>72.5</v>
      </c>
      <c r="AE23">
        <v>85.4</v>
      </c>
      <c r="AF23">
        <v>149.5</v>
      </c>
      <c r="AG23">
        <v>5.62</v>
      </c>
      <c r="AH23">
        <v>0.75</v>
      </c>
      <c r="AI23">
        <v>0.81</v>
      </c>
      <c r="AJ23">
        <v>0.86</v>
      </c>
      <c r="AK23">
        <v>0.71</v>
      </c>
      <c r="AL23">
        <v>0.15</v>
      </c>
      <c r="AM23">
        <v>0.62</v>
      </c>
      <c r="AN23" t="s">
        <v>163</v>
      </c>
      <c r="AO23" t="s">
        <v>755</v>
      </c>
    </row>
    <row r="24" spans="1:41" ht="15.5" x14ac:dyDescent="0.35">
      <c r="A24">
        <v>19</v>
      </c>
      <c r="B24" t="s">
        <v>801</v>
      </c>
      <c r="C24" t="s">
        <v>802</v>
      </c>
      <c r="D24" t="s">
        <v>166</v>
      </c>
      <c r="E24">
        <v>73.7</v>
      </c>
      <c r="F24">
        <v>21</v>
      </c>
      <c r="G24" t="s">
        <v>803</v>
      </c>
      <c r="H24" t="s">
        <v>168</v>
      </c>
      <c r="I24">
        <v>87.3</v>
      </c>
      <c r="J24">
        <v>21</v>
      </c>
      <c r="K24">
        <v>198.1</v>
      </c>
      <c r="L24">
        <v>-96.88</v>
      </c>
      <c r="M24">
        <v>378.3</v>
      </c>
      <c r="N24">
        <v>1.7</v>
      </c>
      <c r="O24">
        <v>7.7</v>
      </c>
      <c r="P24" t="s">
        <v>804</v>
      </c>
      <c r="Q24">
        <v>77.5</v>
      </c>
      <c r="R24">
        <v>31.1</v>
      </c>
      <c r="S24">
        <v>2.75</v>
      </c>
      <c r="T24">
        <v>0.4</v>
      </c>
      <c r="U24">
        <v>3.01</v>
      </c>
      <c r="V24">
        <v>75.599999999999994</v>
      </c>
      <c r="W24">
        <v>45.4</v>
      </c>
      <c r="X24">
        <v>7.7</v>
      </c>
      <c r="Y24" t="s">
        <v>737</v>
      </c>
      <c r="Z24">
        <v>141</v>
      </c>
      <c r="AA24">
        <v>4</v>
      </c>
      <c r="AB24" t="s">
        <v>738</v>
      </c>
      <c r="AC24">
        <v>3.7</v>
      </c>
      <c r="AD24">
        <v>72.5</v>
      </c>
      <c r="AE24">
        <v>85.4</v>
      </c>
      <c r="AF24">
        <v>149.5</v>
      </c>
      <c r="AG24">
        <v>5.62</v>
      </c>
      <c r="AH24">
        <v>0.75</v>
      </c>
      <c r="AI24">
        <v>0.81</v>
      </c>
      <c r="AJ24">
        <v>0.86</v>
      </c>
      <c r="AK24">
        <v>0.71</v>
      </c>
      <c r="AL24">
        <v>0.15</v>
      </c>
      <c r="AM24">
        <v>0.62</v>
      </c>
      <c r="AN24" t="s">
        <v>163</v>
      </c>
      <c r="AO24" t="s">
        <v>755</v>
      </c>
    </row>
    <row r="25" spans="1:41" ht="15.5" x14ac:dyDescent="0.35">
      <c r="A25">
        <v>20</v>
      </c>
      <c r="B25" t="s">
        <v>805</v>
      </c>
      <c r="C25" t="s">
        <v>806</v>
      </c>
      <c r="D25" t="s">
        <v>166</v>
      </c>
      <c r="E25">
        <v>73.7</v>
      </c>
      <c r="F25">
        <v>14.34</v>
      </c>
      <c r="G25" t="s">
        <v>807</v>
      </c>
      <c r="H25" t="s">
        <v>171</v>
      </c>
      <c r="I25">
        <v>45.6</v>
      </c>
      <c r="J25">
        <v>14.34</v>
      </c>
      <c r="K25">
        <v>170.95</v>
      </c>
      <c r="L25">
        <v>-78.930000000000007</v>
      </c>
      <c r="M25">
        <v>378.3</v>
      </c>
      <c r="N25">
        <v>1.7</v>
      </c>
      <c r="O25">
        <v>7.7</v>
      </c>
      <c r="P25" t="s">
        <v>736</v>
      </c>
      <c r="Q25">
        <v>24.9</v>
      </c>
      <c r="R25">
        <v>55.3</v>
      </c>
      <c r="S25">
        <v>2.75</v>
      </c>
      <c r="T25">
        <v>0.4</v>
      </c>
      <c r="U25">
        <v>3.01</v>
      </c>
      <c r="V25">
        <v>75.599999999999994</v>
      </c>
      <c r="W25">
        <v>45.4</v>
      </c>
      <c r="X25">
        <v>7.7</v>
      </c>
      <c r="Y25" t="s">
        <v>737</v>
      </c>
      <c r="Z25">
        <v>141</v>
      </c>
      <c r="AA25">
        <v>4</v>
      </c>
      <c r="AB25" t="s">
        <v>738</v>
      </c>
      <c r="AC25">
        <v>3.7</v>
      </c>
      <c r="AD25">
        <v>72.5</v>
      </c>
      <c r="AE25">
        <v>89.7</v>
      </c>
      <c r="AF25">
        <v>149.5</v>
      </c>
      <c r="AG25">
        <v>6.45</v>
      </c>
      <c r="AH25">
        <v>0.76</v>
      </c>
      <c r="AI25">
        <v>0.67</v>
      </c>
      <c r="AJ25">
        <v>0.9</v>
      </c>
      <c r="AK25">
        <v>0.81</v>
      </c>
      <c r="AL25">
        <v>0.15</v>
      </c>
      <c r="AM25">
        <v>0.62</v>
      </c>
      <c r="AN25" t="s">
        <v>163</v>
      </c>
      <c r="AO25" t="s">
        <v>755</v>
      </c>
    </row>
    <row r="26" spans="1:41" ht="15.5" x14ac:dyDescent="0.35">
      <c r="A26">
        <v>21</v>
      </c>
      <c r="B26" t="s">
        <v>808</v>
      </c>
      <c r="C26" t="s">
        <v>809</v>
      </c>
      <c r="D26" t="s">
        <v>166</v>
      </c>
      <c r="E26">
        <v>73.7</v>
      </c>
      <c r="F26">
        <v>14.36</v>
      </c>
      <c r="G26" t="s">
        <v>810</v>
      </c>
      <c r="H26" t="s">
        <v>171</v>
      </c>
      <c r="I26">
        <v>45.6</v>
      </c>
      <c r="J26">
        <v>14.37</v>
      </c>
      <c r="K26">
        <v>156.82</v>
      </c>
      <c r="L26">
        <v>-78.930000000000007</v>
      </c>
      <c r="M26">
        <v>378.3</v>
      </c>
      <c r="N26">
        <v>1.7</v>
      </c>
      <c r="O26">
        <v>7.7</v>
      </c>
      <c r="P26" t="s">
        <v>736</v>
      </c>
      <c r="Q26">
        <v>24.9</v>
      </c>
      <c r="R26">
        <v>55.2</v>
      </c>
      <c r="S26">
        <v>2.75</v>
      </c>
      <c r="T26">
        <v>0.4</v>
      </c>
      <c r="U26">
        <v>3.01</v>
      </c>
      <c r="V26">
        <v>75.599999999999994</v>
      </c>
      <c r="W26">
        <v>45.4</v>
      </c>
      <c r="X26">
        <v>7.7</v>
      </c>
      <c r="Y26" t="s">
        <v>737</v>
      </c>
      <c r="Z26">
        <v>141</v>
      </c>
      <c r="AA26">
        <v>4</v>
      </c>
      <c r="AB26" t="s">
        <v>738</v>
      </c>
      <c r="AC26">
        <v>3.7</v>
      </c>
      <c r="AD26">
        <v>72.5</v>
      </c>
      <c r="AE26">
        <v>89.6</v>
      </c>
      <c r="AF26">
        <v>149.5</v>
      </c>
      <c r="AG26">
        <v>6.43</v>
      </c>
      <c r="AH26">
        <v>0.76</v>
      </c>
      <c r="AI26">
        <v>0.67</v>
      </c>
      <c r="AJ26">
        <v>0.9</v>
      </c>
      <c r="AK26">
        <v>0.81</v>
      </c>
      <c r="AL26">
        <v>0.15</v>
      </c>
      <c r="AM26">
        <v>0.62</v>
      </c>
      <c r="AN26" t="s">
        <v>163</v>
      </c>
      <c r="AO26" t="s">
        <v>755</v>
      </c>
    </row>
    <row r="27" spans="1:41" ht="15.5" x14ac:dyDescent="0.35">
      <c r="A27">
        <v>22</v>
      </c>
      <c r="B27" t="s">
        <v>811</v>
      </c>
      <c r="C27" t="s">
        <v>812</v>
      </c>
      <c r="D27" t="s">
        <v>166</v>
      </c>
      <c r="E27">
        <v>73.7</v>
      </c>
      <c r="F27">
        <v>14.31</v>
      </c>
      <c r="G27" t="s">
        <v>813</v>
      </c>
      <c r="H27" t="s">
        <v>171</v>
      </c>
      <c r="I27">
        <v>45.6</v>
      </c>
      <c r="J27">
        <v>14.32</v>
      </c>
      <c r="K27">
        <v>142.07</v>
      </c>
      <c r="L27">
        <v>-78.930000000000007</v>
      </c>
      <c r="M27">
        <v>378.3</v>
      </c>
      <c r="N27">
        <v>1.7</v>
      </c>
      <c r="O27">
        <v>7.7</v>
      </c>
      <c r="P27" t="s">
        <v>736</v>
      </c>
      <c r="Q27">
        <v>24.9</v>
      </c>
      <c r="R27">
        <v>55.3</v>
      </c>
      <c r="S27">
        <v>2.75</v>
      </c>
      <c r="T27">
        <v>0.4</v>
      </c>
      <c r="U27">
        <v>3.01</v>
      </c>
      <c r="V27">
        <v>75.599999999999994</v>
      </c>
      <c r="W27">
        <v>45.4</v>
      </c>
      <c r="X27">
        <v>7.7</v>
      </c>
      <c r="Y27" t="s">
        <v>737</v>
      </c>
      <c r="Z27">
        <v>141</v>
      </c>
      <c r="AA27">
        <v>4</v>
      </c>
      <c r="AB27" t="s">
        <v>738</v>
      </c>
      <c r="AC27">
        <v>3.7</v>
      </c>
      <c r="AD27">
        <v>72.5</v>
      </c>
      <c r="AE27">
        <v>89.8</v>
      </c>
      <c r="AF27">
        <v>149.5</v>
      </c>
      <c r="AG27">
        <v>6.47</v>
      </c>
      <c r="AH27">
        <v>0.76</v>
      </c>
      <c r="AI27">
        <v>0.67</v>
      </c>
      <c r="AJ27">
        <v>0.9</v>
      </c>
      <c r="AK27">
        <v>0.82</v>
      </c>
      <c r="AL27">
        <v>0.15</v>
      </c>
      <c r="AM27">
        <v>0.62</v>
      </c>
      <c r="AN27" t="s">
        <v>163</v>
      </c>
      <c r="AO27" t="s">
        <v>755</v>
      </c>
    </row>
    <row r="28" spans="1:41" ht="15.5" x14ac:dyDescent="0.35">
      <c r="A28">
        <v>23</v>
      </c>
      <c r="B28" t="s">
        <v>814</v>
      </c>
      <c r="C28" t="s">
        <v>815</v>
      </c>
      <c r="D28" t="s">
        <v>166</v>
      </c>
      <c r="E28">
        <v>73.7</v>
      </c>
      <c r="F28">
        <v>14.34</v>
      </c>
      <c r="G28" t="s">
        <v>816</v>
      </c>
      <c r="H28" t="s">
        <v>171</v>
      </c>
      <c r="I28">
        <v>45.6</v>
      </c>
      <c r="J28">
        <v>14.34</v>
      </c>
      <c r="K28">
        <v>127.95</v>
      </c>
      <c r="L28">
        <v>-78.930000000000007</v>
      </c>
      <c r="M28">
        <v>378.3</v>
      </c>
      <c r="N28">
        <v>1.7</v>
      </c>
      <c r="O28">
        <v>7.7</v>
      </c>
      <c r="P28" t="s">
        <v>736</v>
      </c>
      <c r="Q28">
        <v>24.9</v>
      </c>
      <c r="R28">
        <v>55.3</v>
      </c>
      <c r="S28">
        <v>2.75</v>
      </c>
      <c r="T28">
        <v>0.4</v>
      </c>
      <c r="U28">
        <v>3.01</v>
      </c>
      <c r="V28">
        <v>75.599999999999994</v>
      </c>
      <c r="W28">
        <v>45.4</v>
      </c>
      <c r="X28">
        <v>7.7</v>
      </c>
      <c r="Y28" t="s">
        <v>737</v>
      </c>
      <c r="Z28">
        <v>141</v>
      </c>
      <c r="AA28">
        <v>4</v>
      </c>
      <c r="AB28" t="s">
        <v>738</v>
      </c>
      <c r="AC28">
        <v>3.7</v>
      </c>
      <c r="AD28">
        <v>72.5</v>
      </c>
      <c r="AE28">
        <v>89.7</v>
      </c>
      <c r="AF28">
        <v>149.5</v>
      </c>
      <c r="AG28">
        <v>6.45</v>
      </c>
      <c r="AH28">
        <v>0.76</v>
      </c>
      <c r="AI28">
        <v>0.67</v>
      </c>
      <c r="AJ28">
        <v>0.9</v>
      </c>
      <c r="AK28">
        <v>0.81</v>
      </c>
      <c r="AL28">
        <v>0.15</v>
      </c>
      <c r="AM28">
        <v>0.62</v>
      </c>
      <c r="AN28" t="s">
        <v>163</v>
      </c>
      <c r="AO28" t="s">
        <v>755</v>
      </c>
    </row>
    <row r="29" spans="1:41" ht="15.5" x14ac:dyDescent="0.35">
      <c r="A29">
        <v>24</v>
      </c>
      <c r="B29" t="s">
        <v>817</v>
      </c>
      <c r="C29" t="s">
        <v>818</v>
      </c>
      <c r="D29" t="s">
        <v>166</v>
      </c>
      <c r="E29">
        <v>73.7</v>
      </c>
      <c r="F29">
        <v>14.29</v>
      </c>
      <c r="G29" t="s">
        <v>819</v>
      </c>
      <c r="H29" t="s">
        <v>171</v>
      </c>
      <c r="I29">
        <v>45.6</v>
      </c>
      <c r="J29">
        <v>14.3</v>
      </c>
      <c r="K29">
        <v>113.2</v>
      </c>
      <c r="L29">
        <v>-78.930000000000007</v>
      </c>
      <c r="M29">
        <v>378.3</v>
      </c>
      <c r="N29">
        <v>1.7</v>
      </c>
      <c r="O29">
        <v>7.7</v>
      </c>
      <c r="P29" t="s">
        <v>736</v>
      </c>
      <c r="Q29">
        <v>24.9</v>
      </c>
      <c r="R29">
        <v>55.4</v>
      </c>
      <c r="S29">
        <v>2.75</v>
      </c>
      <c r="T29">
        <v>0.4</v>
      </c>
      <c r="U29">
        <v>3.01</v>
      </c>
      <c r="V29">
        <v>75.599999999999994</v>
      </c>
      <c r="W29">
        <v>45.4</v>
      </c>
      <c r="X29">
        <v>7.7</v>
      </c>
      <c r="Y29" t="s">
        <v>737</v>
      </c>
      <c r="Z29">
        <v>141</v>
      </c>
      <c r="AA29">
        <v>4</v>
      </c>
      <c r="AB29" t="s">
        <v>738</v>
      </c>
      <c r="AC29">
        <v>3.7</v>
      </c>
      <c r="AD29">
        <v>72.5</v>
      </c>
      <c r="AE29">
        <v>89.8</v>
      </c>
      <c r="AF29">
        <v>149.5</v>
      </c>
      <c r="AG29">
        <v>6.48</v>
      </c>
      <c r="AH29">
        <v>0.76</v>
      </c>
      <c r="AI29">
        <v>0.67</v>
      </c>
      <c r="AJ29">
        <v>0.9</v>
      </c>
      <c r="AK29">
        <v>0.82</v>
      </c>
      <c r="AL29">
        <v>0.15</v>
      </c>
      <c r="AM29">
        <v>0.62</v>
      </c>
      <c r="AN29" t="s">
        <v>163</v>
      </c>
      <c r="AO29" t="s">
        <v>755</v>
      </c>
    </row>
    <row r="30" spans="1:41" ht="15.5" x14ac:dyDescent="0.35">
      <c r="A30">
        <v>25</v>
      </c>
      <c r="B30" t="s">
        <v>820</v>
      </c>
      <c r="C30" t="s">
        <v>821</v>
      </c>
      <c r="D30" t="s">
        <v>168</v>
      </c>
      <c r="E30">
        <v>87.3</v>
      </c>
      <c r="F30">
        <v>21.31</v>
      </c>
      <c r="G30" t="s">
        <v>822</v>
      </c>
      <c r="H30" t="s">
        <v>170</v>
      </c>
      <c r="I30">
        <v>40.799999999999997</v>
      </c>
      <c r="J30">
        <v>21.3</v>
      </c>
      <c r="K30">
        <v>369.3</v>
      </c>
      <c r="L30">
        <v>-73.819999999999993</v>
      </c>
      <c r="M30">
        <v>378.3</v>
      </c>
      <c r="N30">
        <v>1.7</v>
      </c>
      <c r="O30">
        <v>7.7</v>
      </c>
      <c r="P30" t="s">
        <v>823</v>
      </c>
      <c r="Q30">
        <v>77.7</v>
      </c>
      <c r="R30">
        <v>30.7</v>
      </c>
      <c r="S30">
        <v>2.75</v>
      </c>
      <c r="T30">
        <v>0.4</v>
      </c>
      <c r="U30">
        <v>3.01</v>
      </c>
      <c r="V30">
        <v>75.599999999999994</v>
      </c>
      <c r="W30">
        <v>45.4</v>
      </c>
      <c r="X30">
        <v>7.7</v>
      </c>
      <c r="Y30" t="s">
        <v>737</v>
      </c>
      <c r="Z30">
        <v>141</v>
      </c>
      <c r="AA30">
        <v>4</v>
      </c>
      <c r="AB30" t="s">
        <v>738</v>
      </c>
      <c r="AC30">
        <v>3.7</v>
      </c>
      <c r="AD30">
        <v>72.5</v>
      </c>
      <c r="AE30">
        <v>84.9</v>
      </c>
      <c r="AF30">
        <v>149.5</v>
      </c>
      <c r="AG30">
        <v>5.52</v>
      </c>
      <c r="AH30">
        <v>0.59</v>
      </c>
      <c r="AI30">
        <v>0.81</v>
      </c>
      <c r="AJ30">
        <v>0.85</v>
      </c>
      <c r="AK30">
        <v>0.7</v>
      </c>
      <c r="AL30">
        <v>0.15</v>
      </c>
      <c r="AM30">
        <v>0.62</v>
      </c>
      <c r="AN30" t="s">
        <v>163</v>
      </c>
      <c r="AO30" t="s">
        <v>824</v>
      </c>
    </row>
    <row r="31" spans="1:41" ht="15.5" x14ac:dyDescent="0.35">
      <c r="A31">
        <v>26</v>
      </c>
      <c r="B31" t="s">
        <v>825</v>
      </c>
      <c r="C31" t="s">
        <v>826</v>
      </c>
      <c r="D31" t="s">
        <v>168</v>
      </c>
      <c r="E31">
        <v>87.3</v>
      </c>
      <c r="F31">
        <v>19.29</v>
      </c>
      <c r="G31" t="s">
        <v>827</v>
      </c>
      <c r="H31" t="s">
        <v>170</v>
      </c>
      <c r="I31">
        <v>40.799999999999997</v>
      </c>
      <c r="J31">
        <v>19.28</v>
      </c>
      <c r="K31">
        <v>354.71</v>
      </c>
      <c r="L31">
        <v>-75.89</v>
      </c>
      <c r="M31">
        <v>378.3</v>
      </c>
      <c r="N31">
        <v>1.7</v>
      </c>
      <c r="O31">
        <v>7.7</v>
      </c>
      <c r="P31" t="s">
        <v>828</v>
      </c>
      <c r="Q31">
        <v>76.7</v>
      </c>
      <c r="R31">
        <v>33.5</v>
      </c>
      <c r="S31">
        <v>2.75</v>
      </c>
      <c r="T31">
        <v>0.4</v>
      </c>
      <c r="U31">
        <v>3.01</v>
      </c>
      <c r="V31">
        <v>75.599999999999994</v>
      </c>
      <c r="W31">
        <v>45.4</v>
      </c>
      <c r="X31">
        <v>7.7</v>
      </c>
      <c r="Y31" t="s">
        <v>737</v>
      </c>
      <c r="Z31">
        <v>141</v>
      </c>
      <c r="AA31">
        <v>4</v>
      </c>
      <c r="AB31" t="s">
        <v>738</v>
      </c>
      <c r="AC31">
        <v>3.7</v>
      </c>
      <c r="AD31">
        <v>72.5</v>
      </c>
      <c r="AE31">
        <v>88.2</v>
      </c>
      <c r="AF31">
        <v>149.5</v>
      </c>
      <c r="AG31">
        <v>6.17</v>
      </c>
      <c r="AH31">
        <v>0.64</v>
      </c>
      <c r="AI31">
        <v>0.85</v>
      </c>
      <c r="AJ31">
        <v>0.89</v>
      </c>
      <c r="AK31">
        <v>0.78</v>
      </c>
      <c r="AL31">
        <v>0.15</v>
      </c>
      <c r="AM31">
        <v>0.62</v>
      </c>
      <c r="AN31" t="s">
        <v>163</v>
      </c>
      <c r="AO31" t="s">
        <v>829</v>
      </c>
    </row>
    <row r="32" spans="1:41" ht="15.5" x14ac:dyDescent="0.35">
      <c r="A32">
        <v>27</v>
      </c>
      <c r="B32" t="s">
        <v>830</v>
      </c>
      <c r="C32" t="s">
        <v>831</v>
      </c>
      <c r="D32" t="s">
        <v>168</v>
      </c>
      <c r="E32">
        <v>87.3</v>
      </c>
      <c r="F32">
        <v>21.46</v>
      </c>
      <c r="G32" t="s">
        <v>832</v>
      </c>
      <c r="H32" t="s">
        <v>170</v>
      </c>
      <c r="I32">
        <v>40.799999999999997</v>
      </c>
      <c r="J32">
        <v>21.45</v>
      </c>
      <c r="K32">
        <v>346.24</v>
      </c>
      <c r="L32">
        <v>-75.680000000000007</v>
      </c>
      <c r="M32">
        <v>378.3</v>
      </c>
      <c r="N32">
        <v>1.7</v>
      </c>
      <c r="O32">
        <v>7.7</v>
      </c>
      <c r="P32" t="s">
        <v>833</v>
      </c>
      <c r="Q32">
        <v>77.7</v>
      </c>
      <c r="R32">
        <v>30.5</v>
      </c>
      <c r="S32">
        <v>2.75</v>
      </c>
      <c r="T32">
        <v>0.4</v>
      </c>
      <c r="U32">
        <v>3.01</v>
      </c>
      <c r="V32">
        <v>75.599999999999994</v>
      </c>
      <c r="W32">
        <v>45.4</v>
      </c>
      <c r="X32">
        <v>7.7</v>
      </c>
      <c r="Y32" t="s">
        <v>737</v>
      </c>
      <c r="Z32">
        <v>141</v>
      </c>
      <c r="AA32">
        <v>4</v>
      </c>
      <c r="AB32" t="s">
        <v>738</v>
      </c>
      <c r="AC32">
        <v>3.7</v>
      </c>
      <c r="AD32">
        <v>72.5</v>
      </c>
      <c r="AE32">
        <v>84.6</v>
      </c>
      <c r="AF32">
        <v>149.5</v>
      </c>
      <c r="AG32">
        <v>5.48</v>
      </c>
      <c r="AH32">
        <v>0.57999999999999996</v>
      </c>
      <c r="AI32">
        <v>0.81</v>
      </c>
      <c r="AJ32">
        <v>0.85</v>
      </c>
      <c r="AK32">
        <v>0.69</v>
      </c>
      <c r="AL32">
        <v>0.15</v>
      </c>
      <c r="AM32">
        <v>0.62</v>
      </c>
      <c r="AN32" t="s">
        <v>163</v>
      </c>
      <c r="AO32" t="s">
        <v>829</v>
      </c>
    </row>
    <row r="33" spans="1:41" ht="15.5" x14ac:dyDescent="0.35">
      <c r="A33">
        <v>28</v>
      </c>
      <c r="B33" t="s">
        <v>834</v>
      </c>
      <c r="C33" t="s">
        <v>835</v>
      </c>
      <c r="D33" t="s">
        <v>171</v>
      </c>
      <c r="E33">
        <v>45.6</v>
      </c>
      <c r="F33">
        <v>11.52</v>
      </c>
      <c r="G33" t="s">
        <v>836</v>
      </c>
      <c r="H33" t="s">
        <v>172</v>
      </c>
      <c r="I33">
        <v>59.1</v>
      </c>
      <c r="J33">
        <v>11.52</v>
      </c>
      <c r="K33">
        <v>110.63</v>
      </c>
      <c r="L33">
        <v>90.49</v>
      </c>
      <c r="M33">
        <v>378.3</v>
      </c>
      <c r="N33">
        <v>1.7</v>
      </c>
      <c r="O33">
        <v>7.7</v>
      </c>
      <c r="P33" t="s">
        <v>736</v>
      </c>
      <c r="Q33">
        <v>11.4</v>
      </c>
      <c r="R33">
        <v>57.1</v>
      </c>
      <c r="S33">
        <v>2.5</v>
      </c>
      <c r="T33">
        <v>0.4</v>
      </c>
      <c r="U33">
        <v>2.48</v>
      </c>
      <c r="V33">
        <v>62.5</v>
      </c>
      <c r="W33">
        <v>37.5</v>
      </c>
      <c r="X33">
        <v>6.4</v>
      </c>
      <c r="Y33" t="s">
        <v>737</v>
      </c>
      <c r="Z33">
        <v>119</v>
      </c>
      <c r="AA33">
        <v>4</v>
      </c>
      <c r="AB33" t="s">
        <v>738</v>
      </c>
      <c r="AC33">
        <v>3.7</v>
      </c>
      <c r="AD33">
        <v>65.400000000000006</v>
      </c>
      <c r="AE33">
        <v>77.7</v>
      </c>
      <c r="AF33">
        <v>126</v>
      </c>
      <c r="AG33">
        <v>7.55</v>
      </c>
      <c r="AH33">
        <v>0.87</v>
      </c>
      <c r="AI33">
        <v>0.59</v>
      </c>
      <c r="AJ33">
        <v>0.92</v>
      </c>
      <c r="AK33">
        <v>0.95</v>
      </c>
      <c r="AL33">
        <v>0.15</v>
      </c>
      <c r="AM33">
        <v>0.62</v>
      </c>
      <c r="AN33" t="s">
        <v>163</v>
      </c>
      <c r="AO33" t="s">
        <v>739</v>
      </c>
    </row>
    <row r="34" spans="1:41" ht="15.5" x14ac:dyDescent="0.35">
      <c r="A34">
        <v>29</v>
      </c>
      <c r="B34" t="s">
        <v>837</v>
      </c>
      <c r="C34" t="s">
        <v>838</v>
      </c>
      <c r="D34" t="s">
        <v>171</v>
      </c>
      <c r="E34">
        <v>45.6</v>
      </c>
      <c r="F34">
        <v>13.97</v>
      </c>
      <c r="G34" t="s">
        <v>839</v>
      </c>
      <c r="H34" t="s">
        <v>172</v>
      </c>
      <c r="I34">
        <v>59.1</v>
      </c>
      <c r="J34">
        <v>13.98</v>
      </c>
      <c r="K34">
        <v>130.63</v>
      </c>
      <c r="L34">
        <v>90.49</v>
      </c>
      <c r="M34">
        <v>378.3</v>
      </c>
      <c r="N34">
        <v>1.7</v>
      </c>
      <c r="O34">
        <v>7.7</v>
      </c>
      <c r="P34" t="s">
        <v>736</v>
      </c>
      <c r="Q34">
        <v>11.9</v>
      </c>
      <c r="R34">
        <v>49.5</v>
      </c>
      <c r="S34">
        <v>2.5</v>
      </c>
      <c r="T34">
        <v>0.4</v>
      </c>
      <c r="U34">
        <v>2.48</v>
      </c>
      <c r="V34">
        <v>62.5</v>
      </c>
      <c r="W34">
        <v>37.5</v>
      </c>
      <c r="X34">
        <v>6.4</v>
      </c>
      <c r="Y34" t="s">
        <v>737</v>
      </c>
      <c r="Z34">
        <v>119</v>
      </c>
      <c r="AA34">
        <v>4</v>
      </c>
      <c r="AB34" t="s">
        <v>738</v>
      </c>
      <c r="AC34">
        <v>3.7</v>
      </c>
      <c r="AD34">
        <v>65.400000000000006</v>
      </c>
      <c r="AE34">
        <v>68.5</v>
      </c>
      <c r="AF34">
        <v>126</v>
      </c>
      <c r="AG34">
        <v>5.59</v>
      </c>
      <c r="AH34">
        <v>0.76</v>
      </c>
      <c r="AI34">
        <v>0.59</v>
      </c>
      <c r="AJ34">
        <v>0.81</v>
      </c>
      <c r="AK34">
        <v>0.71</v>
      </c>
      <c r="AL34">
        <v>0.15</v>
      </c>
      <c r="AM34">
        <v>0.62</v>
      </c>
      <c r="AN34" t="s">
        <v>163</v>
      </c>
      <c r="AO34" t="s">
        <v>739</v>
      </c>
    </row>
    <row r="35" spans="1:41" ht="15.5" x14ac:dyDescent="0.35">
      <c r="A35">
        <v>30</v>
      </c>
      <c r="B35" t="s">
        <v>840</v>
      </c>
      <c r="C35" t="s">
        <v>841</v>
      </c>
      <c r="D35" t="s">
        <v>171</v>
      </c>
      <c r="E35">
        <v>45.6</v>
      </c>
      <c r="F35">
        <v>11.75</v>
      </c>
      <c r="G35" t="s">
        <v>842</v>
      </c>
      <c r="H35" t="s">
        <v>172</v>
      </c>
      <c r="I35">
        <v>59.1</v>
      </c>
      <c r="J35">
        <v>11.75</v>
      </c>
      <c r="K35">
        <v>83.63</v>
      </c>
      <c r="L35">
        <v>90.49</v>
      </c>
      <c r="M35">
        <v>378.3</v>
      </c>
      <c r="N35">
        <v>1.7</v>
      </c>
      <c r="O35">
        <v>7.7</v>
      </c>
      <c r="P35" t="s">
        <v>736</v>
      </c>
      <c r="Q35">
        <v>11.4</v>
      </c>
      <c r="R35">
        <v>56.3</v>
      </c>
      <c r="S35">
        <v>2.5</v>
      </c>
      <c r="T35">
        <v>0.4</v>
      </c>
      <c r="U35">
        <v>2.48</v>
      </c>
      <c r="V35">
        <v>62.5</v>
      </c>
      <c r="W35">
        <v>37.5</v>
      </c>
      <c r="X35">
        <v>6.4</v>
      </c>
      <c r="Y35" t="s">
        <v>737</v>
      </c>
      <c r="Z35">
        <v>119</v>
      </c>
      <c r="AA35">
        <v>4</v>
      </c>
      <c r="AB35" t="s">
        <v>738</v>
      </c>
      <c r="AC35">
        <v>3.7</v>
      </c>
      <c r="AD35">
        <v>65.400000000000006</v>
      </c>
      <c r="AE35">
        <v>76.7</v>
      </c>
      <c r="AF35">
        <v>126</v>
      </c>
      <c r="AG35">
        <v>7.34</v>
      </c>
      <c r="AH35">
        <v>0.86</v>
      </c>
      <c r="AI35">
        <v>0.59</v>
      </c>
      <c r="AJ35">
        <v>0.91</v>
      </c>
      <c r="AK35">
        <v>0.93</v>
      </c>
      <c r="AL35">
        <v>0.15</v>
      </c>
      <c r="AM35">
        <v>0.62</v>
      </c>
      <c r="AN35" t="s">
        <v>163</v>
      </c>
      <c r="AO35" t="s">
        <v>739</v>
      </c>
    </row>
    <row r="36" spans="1:41" ht="15.5" x14ac:dyDescent="0.35">
      <c r="A36">
        <v>31</v>
      </c>
      <c r="B36" t="s">
        <v>843</v>
      </c>
      <c r="C36" t="s">
        <v>844</v>
      </c>
      <c r="D36" t="s">
        <v>171</v>
      </c>
      <c r="E36">
        <v>45.6</v>
      </c>
      <c r="F36">
        <v>11.3</v>
      </c>
      <c r="G36" t="s">
        <v>845</v>
      </c>
      <c r="H36" t="s">
        <v>172</v>
      </c>
      <c r="I36">
        <v>59.1</v>
      </c>
      <c r="J36">
        <v>11.3</v>
      </c>
      <c r="K36">
        <v>94.38</v>
      </c>
      <c r="L36">
        <v>90.49</v>
      </c>
      <c r="M36">
        <v>378.3</v>
      </c>
      <c r="N36">
        <v>1.7</v>
      </c>
      <c r="O36">
        <v>7.7</v>
      </c>
      <c r="P36" t="s">
        <v>736</v>
      </c>
      <c r="Q36">
        <v>11.3</v>
      </c>
      <c r="R36">
        <v>57.9</v>
      </c>
      <c r="S36">
        <v>2.5</v>
      </c>
      <c r="T36">
        <v>0.4</v>
      </c>
      <c r="U36">
        <v>2.48</v>
      </c>
      <c r="V36">
        <v>62.5</v>
      </c>
      <c r="W36">
        <v>37.5</v>
      </c>
      <c r="X36">
        <v>6.4</v>
      </c>
      <c r="Y36" t="s">
        <v>737</v>
      </c>
      <c r="Z36">
        <v>119</v>
      </c>
      <c r="AA36">
        <v>4</v>
      </c>
      <c r="AB36" t="s">
        <v>738</v>
      </c>
      <c r="AC36">
        <v>3.7</v>
      </c>
      <c r="AD36">
        <v>65.400000000000006</v>
      </c>
      <c r="AE36">
        <v>78.599999999999994</v>
      </c>
      <c r="AF36">
        <v>126</v>
      </c>
      <c r="AG36">
        <v>7.75</v>
      </c>
      <c r="AH36">
        <v>0.89</v>
      </c>
      <c r="AI36">
        <v>0.57999999999999996</v>
      </c>
      <c r="AJ36">
        <v>0.94</v>
      </c>
      <c r="AK36">
        <v>0.98</v>
      </c>
      <c r="AL36">
        <v>0.15</v>
      </c>
      <c r="AM36">
        <v>0.62</v>
      </c>
      <c r="AN36" t="s">
        <v>163</v>
      </c>
      <c r="AO36" t="s">
        <v>739</v>
      </c>
    </row>
    <row r="37" spans="1:41" ht="15.5" x14ac:dyDescent="0.35">
      <c r="A37">
        <v>32</v>
      </c>
      <c r="B37" t="s">
        <v>846</v>
      </c>
      <c r="C37" t="s">
        <v>847</v>
      </c>
      <c r="D37" t="s">
        <v>172</v>
      </c>
      <c r="E37">
        <v>59.1</v>
      </c>
      <c r="F37">
        <v>11.49</v>
      </c>
      <c r="G37" t="s">
        <v>848</v>
      </c>
      <c r="H37" t="s">
        <v>173</v>
      </c>
      <c r="I37">
        <v>30.9</v>
      </c>
      <c r="J37">
        <v>11.49</v>
      </c>
      <c r="K37">
        <v>121.79</v>
      </c>
      <c r="L37">
        <v>292.95</v>
      </c>
      <c r="M37">
        <v>378.3</v>
      </c>
      <c r="N37">
        <v>1.7</v>
      </c>
      <c r="O37">
        <v>7.7</v>
      </c>
      <c r="P37" t="s">
        <v>736</v>
      </c>
      <c r="Q37">
        <v>23.7</v>
      </c>
      <c r="R37">
        <v>49.2</v>
      </c>
      <c r="S37">
        <v>2.5</v>
      </c>
      <c r="T37">
        <v>0.4</v>
      </c>
      <c r="U37">
        <v>2.48</v>
      </c>
      <c r="V37">
        <v>62.5</v>
      </c>
      <c r="W37">
        <v>37.5</v>
      </c>
      <c r="X37">
        <v>6.4</v>
      </c>
      <c r="Y37" t="s">
        <v>737</v>
      </c>
      <c r="Z37">
        <v>119</v>
      </c>
      <c r="AA37">
        <v>4</v>
      </c>
      <c r="AB37" t="s">
        <v>738</v>
      </c>
      <c r="AC37">
        <v>3.7</v>
      </c>
      <c r="AD37">
        <v>65.400000000000006</v>
      </c>
      <c r="AE37">
        <v>74.5</v>
      </c>
      <c r="AF37">
        <v>126</v>
      </c>
      <c r="AG37">
        <v>6.88</v>
      </c>
      <c r="AH37">
        <v>0.75</v>
      </c>
      <c r="AI37">
        <v>0.59</v>
      </c>
      <c r="AJ37">
        <v>0.89</v>
      </c>
      <c r="AK37">
        <v>0.87</v>
      </c>
      <c r="AL37">
        <v>0.15</v>
      </c>
      <c r="AM37">
        <v>0.62</v>
      </c>
      <c r="AN37" t="s">
        <v>163</v>
      </c>
      <c r="AO37" t="s">
        <v>849</v>
      </c>
    </row>
    <row r="38" spans="1:41" ht="15.5" x14ac:dyDescent="0.35">
      <c r="A38" t="s">
        <v>2</v>
      </c>
    </row>
    <row r="39" spans="1:41" ht="15.5" x14ac:dyDescent="0.35">
      <c r="A39" t="s">
        <v>204</v>
      </c>
      <c r="B39" t="s">
        <v>850</v>
      </c>
      <c r="C39" t="s">
        <v>2</v>
      </c>
      <c r="D39" t="s">
        <v>2</v>
      </c>
      <c r="E39" t="s">
        <v>2</v>
      </c>
      <c r="F39" t="s">
        <v>2</v>
      </c>
      <c r="G39" t="s">
        <v>2</v>
      </c>
      <c r="H39" t="s">
        <v>2</v>
      </c>
      <c r="I39" t="s">
        <v>2</v>
      </c>
      <c r="J39" t="s">
        <v>2</v>
      </c>
      <c r="K39" t="s">
        <v>2</v>
      </c>
      <c r="L39" t="s">
        <v>2</v>
      </c>
      <c r="M39" t="s">
        <v>2</v>
      </c>
      <c r="N39" t="s">
        <v>2</v>
      </c>
      <c r="O39" t="s">
        <v>2</v>
      </c>
      <c r="P39" t="s">
        <v>2</v>
      </c>
      <c r="Q39" t="s">
        <v>2</v>
      </c>
      <c r="R39">
        <v>1643</v>
      </c>
      <c r="S39" t="s">
        <v>2</v>
      </c>
      <c r="T39" t="s">
        <v>2</v>
      </c>
      <c r="U39">
        <v>92.8</v>
      </c>
      <c r="V39" t="s">
        <v>2</v>
      </c>
      <c r="W39" t="s">
        <v>2</v>
      </c>
      <c r="X39" t="s">
        <v>2</v>
      </c>
      <c r="Y39" t="s">
        <v>2</v>
      </c>
      <c r="Z39">
        <v>4401</v>
      </c>
      <c r="AA39">
        <v>128</v>
      </c>
      <c r="AB39" t="s">
        <v>2</v>
      </c>
      <c r="AC39" t="s">
        <v>2</v>
      </c>
      <c r="AD39">
        <v>2275</v>
      </c>
    </row>
    <row r="40" spans="1:41" ht="15.5" x14ac:dyDescent="0.35">
      <c r="A40" t="s">
        <v>851</v>
      </c>
    </row>
  </sheetData>
  <pageMargins left="0.7" right="0.7" top="0.75" bottom="0.75" header="0.3" footer="0.3"/>
  <ignoredErrors>
    <ignoredError sqref="A1:AO4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0"/>
  <sheetViews>
    <sheetView workbookViewId="0"/>
  </sheetViews>
  <sheetFormatPr defaultRowHeight="14.5" x14ac:dyDescent="0.35"/>
  <cols>
    <col min="1" max="1" width="11.83203125" customWidth="1"/>
    <col min="2" max="2" width="34.83203125" customWidth="1"/>
    <col min="3" max="3" width="62.83203125" customWidth="1"/>
    <col min="4" max="5" width="22.83203125" customWidth="1"/>
    <col min="6" max="6" width="20.83203125" customWidth="1"/>
    <col min="7" max="7" width="10.83203125" customWidth="1"/>
    <col min="8" max="8" width="18.83203125" customWidth="1"/>
    <col min="9" max="9" width="12.83203125" customWidth="1"/>
  </cols>
  <sheetData>
    <row r="1" spans="1:5" ht="15.5" x14ac:dyDescent="0.35">
      <c r="A1" t="s">
        <v>852</v>
      </c>
    </row>
    <row r="2" spans="1:5" ht="15.5" x14ac:dyDescent="0.35">
      <c r="A2" t="s">
        <v>2</v>
      </c>
    </row>
    <row r="3" spans="1:5" ht="15.5" x14ac:dyDescent="0.35">
      <c r="A3" t="s">
        <v>853</v>
      </c>
      <c r="B3" t="s">
        <v>854</v>
      </c>
      <c r="C3" t="s">
        <v>855</v>
      </c>
      <c r="D3" t="s">
        <v>57</v>
      </c>
      <c r="E3" t="s">
        <v>58</v>
      </c>
    </row>
    <row r="4" spans="1:5" ht="15.5" x14ac:dyDescent="0.35">
      <c r="A4">
        <v>1</v>
      </c>
      <c r="B4" t="s">
        <v>856</v>
      </c>
      <c r="C4" t="s">
        <v>857</v>
      </c>
      <c r="D4">
        <v>15.83</v>
      </c>
      <c r="E4" t="s">
        <v>88</v>
      </c>
    </row>
    <row r="5" spans="1:5" ht="15.5" x14ac:dyDescent="0.35">
      <c r="A5">
        <v>2</v>
      </c>
      <c r="B5" t="s">
        <v>858</v>
      </c>
      <c r="C5" t="s">
        <v>859</v>
      </c>
      <c r="D5">
        <v>0</v>
      </c>
      <c r="E5" t="s">
        <v>88</v>
      </c>
    </row>
    <row r="6" spans="1:5" ht="15.5" x14ac:dyDescent="0.35">
      <c r="A6">
        <v>3</v>
      </c>
      <c r="B6" t="s">
        <v>860</v>
      </c>
      <c r="C6" t="s">
        <v>861</v>
      </c>
      <c r="D6">
        <v>310.10000000000002</v>
      </c>
      <c r="E6" t="s">
        <v>88</v>
      </c>
    </row>
    <row r="7" spans="1:5" ht="15.5" x14ac:dyDescent="0.35">
      <c r="A7">
        <v>4</v>
      </c>
      <c r="B7" t="s">
        <v>862</v>
      </c>
      <c r="C7" t="s">
        <v>863</v>
      </c>
      <c r="D7">
        <v>15.83</v>
      </c>
      <c r="E7" t="s">
        <v>88</v>
      </c>
    </row>
    <row r="8" spans="1:5" ht="15.5" x14ac:dyDescent="0.35">
      <c r="A8">
        <v>5</v>
      </c>
      <c r="B8" t="s">
        <v>864</v>
      </c>
      <c r="C8" t="s">
        <v>865</v>
      </c>
      <c r="D8">
        <v>7.92</v>
      </c>
      <c r="E8" t="s">
        <v>88</v>
      </c>
    </row>
    <row r="9" spans="1:5" ht="15.5" x14ac:dyDescent="0.35">
      <c r="A9">
        <v>6</v>
      </c>
      <c r="B9" t="s">
        <v>866</v>
      </c>
      <c r="C9" t="s">
        <v>867</v>
      </c>
      <c r="D9">
        <v>20.62</v>
      </c>
      <c r="E9" t="s">
        <v>88</v>
      </c>
    </row>
    <row r="10" spans="1:5" ht="15.5" x14ac:dyDescent="0.35">
      <c r="A10">
        <v>7</v>
      </c>
      <c r="B10" t="s">
        <v>868</v>
      </c>
      <c r="C10" t="s">
        <v>869</v>
      </c>
      <c r="D10">
        <v>14.98</v>
      </c>
      <c r="E10" t="s">
        <v>88</v>
      </c>
    </row>
    <row r="11" spans="1:5" ht="15.5" x14ac:dyDescent="0.35">
      <c r="A11">
        <v>8</v>
      </c>
      <c r="B11" t="s">
        <v>870</v>
      </c>
      <c r="C11" t="s">
        <v>871</v>
      </c>
      <c r="D11">
        <v>14.98</v>
      </c>
      <c r="E11" t="s">
        <v>88</v>
      </c>
    </row>
    <row r="12" spans="1:5" ht="15.5" x14ac:dyDescent="0.35">
      <c r="A12">
        <v>9</v>
      </c>
      <c r="B12" t="s">
        <v>872</v>
      </c>
      <c r="C12" t="s">
        <v>873</v>
      </c>
      <c r="D12">
        <v>31.7</v>
      </c>
      <c r="E12" t="s">
        <v>88</v>
      </c>
    </row>
    <row r="13" spans="1:5" ht="15.5" x14ac:dyDescent="0.35">
      <c r="A13">
        <v>10</v>
      </c>
      <c r="B13" t="s">
        <v>874</v>
      </c>
      <c r="C13" t="s">
        <v>875</v>
      </c>
      <c r="D13">
        <v>3.7</v>
      </c>
      <c r="E13" t="s">
        <v>79</v>
      </c>
    </row>
    <row r="14" spans="1:5" ht="15.5" x14ac:dyDescent="0.35">
      <c r="A14">
        <v>11</v>
      </c>
      <c r="B14" t="s">
        <v>876</v>
      </c>
      <c r="C14" t="s">
        <v>877</v>
      </c>
      <c r="D14" t="s">
        <v>878</v>
      </c>
      <c r="E14" t="s">
        <v>2</v>
      </c>
    </row>
    <row r="15" spans="1:5" ht="15.5" x14ac:dyDescent="0.35">
      <c r="A15" t="s">
        <v>2</v>
      </c>
    </row>
    <row r="16" spans="1:5" ht="15.5" x14ac:dyDescent="0.35">
      <c r="A16" t="s">
        <v>879</v>
      </c>
    </row>
    <row r="17" spans="1:9" ht="15.5" x14ac:dyDescent="0.35">
      <c r="A17" t="s">
        <v>2</v>
      </c>
    </row>
    <row r="18" spans="1:9" ht="15.5" x14ac:dyDescent="0.35">
      <c r="A18" t="s">
        <v>699</v>
      </c>
      <c r="B18" t="s">
        <v>712</v>
      </c>
      <c r="C18" t="s">
        <v>880</v>
      </c>
      <c r="D18" t="s">
        <v>881</v>
      </c>
      <c r="E18" t="s">
        <v>882</v>
      </c>
      <c r="F18" t="s">
        <v>883</v>
      </c>
      <c r="G18" t="s">
        <v>884</v>
      </c>
      <c r="H18" t="s">
        <v>885</v>
      </c>
      <c r="I18" t="s">
        <v>196</v>
      </c>
    </row>
    <row r="19" spans="1:9" ht="15.5" x14ac:dyDescent="0.35">
      <c r="A19" t="s">
        <v>733</v>
      </c>
      <c r="B19">
        <v>2.5</v>
      </c>
      <c r="C19">
        <v>29.7</v>
      </c>
      <c r="D19">
        <v>33.799999999999997</v>
      </c>
      <c r="E19">
        <v>0</v>
      </c>
      <c r="F19">
        <v>0</v>
      </c>
      <c r="G19">
        <v>7.92</v>
      </c>
      <c r="H19">
        <v>0</v>
      </c>
      <c r="I19" t="s">
        <v>163</v>
      </c>
    </row>
    <row r="20" spans="1:9" ht="15.5" x14ac:dyDescent="0.35">
      <c r="A20" t="s">
        <v>740</v>
      </c>
      <c r="B20">
        <v>2.5</v>
      </c>
      <c r="C20">
        <v>32.1</v>
      </c>
      <c r="D20">
        <v>33.799999999999997</v>
      </c>
      <c r="E20">
        <v>0</v>
      </c>
      <c r="F20">
        <v>0</v>
      </c>
      <c r="G20">
        <v>7.92</v>
      </c>
      <c r="H20">
        <v>0</v>
      </c>
      <c r="I20" t="s">
        <v>163</v>
      </c>
    </row>
    <row r="21" spans="1:9" ht="15.5" x14ac:dyDescent="0.35">
      <c r="A21" t="s">
        <v>743</v>
      </c>
      <c r="B21">
        <v>2.5</v>
      </c>
      <c r="C21">
        <v>39.700000000000003</v>
      </c>
      <c r="D21">
        <v>33.799999999999997</v>
      </c>
      <c r="E21">
        <v>5.9</v>
      </c>
      <c r="F21">
        <v>2.59</v>
      </c>
      <c r="G21">
        <v>7.92</v>
      </c>
      <c r="H21">
        <v>0.33</v>
      </c>
      <c r="I21" t="s">
        <v>163</v>
      </c>
    </row>
    <row r="22" spans="1:9" ht="15.5" x14ac:dyDescent="0.35">
      <c r="A22" t="s">
        <v>746</v>
      </c>
      <c r="B22">
        <v>2.5</v>
      </c>
      <c r="C22">
        <v>42.5</v>
      </c>
      <c r="D22">
        <v>33.799999999999997</v>
      </c>
      <c r="E22">
        <v>8.6999999999999993</v>
      </c>
      <c r="F22">
        <v>3.3</v>
      </c>
      <c r="G22">
        <v>7.92</v>
      </c>
      <c r="H22">
        <v>0.42</v>
      </c>
      <c r="I22" t="s">
        <v>163</v>
      </c>
    </row>
    <row r="23" spans="1:9" ht="15.5" x14ac:dyDescent="0.35">
      <c r="A23" t="s">
        <v>749</v>
      </c>
      <c r="B23">
        <v>2.5</v>
      </c>
      <c r="C23">
        <v>31</v>
      </c>
      <c r="D23">
        <v>33.799999999999997</v>
      </c>
      <c r="E23">
        <v>0</v>
      </c>
      <c r="F23">
        <v>0.38</v>
      </c>
      <c r="G23">
        <v>7.92</v>
      </c>
      <c r="H23">
        <v>0.05</v>
      </c>
      <c r="I23" t="s">
        <v>163</v>
      </c>
    </row>
    <row r="24" spans="1:9" ht="15.5" x14ac:dyDescent="0.35">
      <c r="A24" t="s">
        <v>752</v>
      </c>
      <c r="B24">
        <v>3.25</v>
      </c>
      <c r="C24">
        <v>70.3</v>
      </c>
      <c r="D24">
        <v>57</v>
      </c>
      <c r="E24">
        <v>13.2</v>
      </c>
      <c r="F24">
        <v>5.89</v>
      </c>
      <c r="G24">
        <v>7.92</v>
      </c>
      <c r="H24">
        <v>0.74</v>
      </c>
      <c r="I24" t="s">
        <v>163</v>
      </c>
    </row>
    <row r="25" spans="1:9" ht="15.5" x14ac:dyDescent="0.35">
      <c r="A25" t="s">
        <v>756</v>
      </c>
      <c r="B25">
        <v>2.5</v>
      </c>
      <c r="C25">
        <v>49.4</v>
      </c>
      <c r="D25">
        <v>33.799999999999997</v>
      </c>
      <c r="E25">
        <v>15.6</v>
      </c>
      <c r="F25">
        <v>7.83</v>
      </c>
      <c r="G25">
        <v>7.92</v>
      </c>
      <c r="H25">
        <v>0.99</v>
      </c>
      <c r="I25" t="s">
        <v>163</v>
      </c>
    </row>
    <row r="26" spans="1:9" ht="15.5" x14ac:dyDescent="0.35">
      <c r="A26" t="s">
        <v>759</v>
      </c>
      <c r="B26">
        <v>2.75</v>
      </c>
      <c r="C26">
        <v>58.3</v>
      </c>
      <c r="D26">
        <v>40.799999999999997</v>
      </c>
      <c r="E26">
        <v>17.5</v>
      </c>
      <c r="F26">
        <v>7.79</v>
      </c>
      <c r="G26">
        <v>7.92</v>
      </c>
      <c r="H26">
        <v>0.98</v>
      </c>
      <c r="I26" t="s">
        <v>163</v>
      </c>
    </row>
    <row r="27" spans="1:9" ht="15.5" x14ac:dyDescent="0.35">
      <c r="A27" t="s">
        <v>762</v>
      </c>
      <c r="B27">
        <v>3.25</v>
      </c>
      <c r="C27">
        <v>69.2</v>
      </c>
      <c r="D27">
        <v>57</v>
      </c>
      <c r="E27">
        <v>12.1</v>
      </c>
      <c r="F27">
        <v>5.62</v>
      </c>
      <c r="G27">
        <v>7.92</v>
      </c>
      <c r="H27">
        <v>0.71</v>
      </c>
      <c r="I27" t="s">
        <v>163</v>
      </c>
    </row>
    <row r="28" spans="1:9" ht="15.5" x14ac:dyDescent="0.35">
      <c r="A28" t="s">
        <v>765</v>
      </c>
      <c r="B28">
        <v>2.75</v>
      </c>
      <c r="C28">
        <v>54.3</v>
      </c>
      <c r="D28">
        <v>40.799999999999997</v>
      </c>
      <c r="E28">
        <v>13.5</v>
      </c>
      <c r="F28">
        <v>5.64</v>
      </c>
      <c r="G28">
        <v>7.92</v>
      </c>
      <c r="H28">
        <v>0.71</v>
      </c>
      <c r="I28" t="s">
        <v>163</v>
      </c>
    </row>
    <row r="29" spans="1:9" ht="15.5" x14ac:dyDescent="0.35">
      <c r="A29" t="s">
        <v>769</v>
      </c>
      <c r="B29">
        <v>2.75</v>
      </c>
      <c r="C29">
        <v>54.3</v>
      </c>
      <c r="D29">
        <v>40.799999999999997</v>
      </c>
      <c r="E29">
        <v>13.5</v>
      </c>
      <c r="F29">
        <v>5.64</v>
      </c>
      <c r="G29">
        <v>7.92</v>
      </c>
      <c r="H29">
        <v>0.71</v>
      </c>
      <c r="I29" t="s">
        <v>163</v>
      </c>
    </row>
    <row r="30" spans="1:9" ht="15.5" x14ac:dyDescent="0.35">
      <c r="A30" t="s">
        <v>773</v>
      </c>
      <c r="B30">
        <v>2.75</v>
      </c>
      <c r="C30">
        <v>54.3</v>
      </c>
      <c r="D30">
        <v>40.799999999999997</v>
      </c>
      <c r="E30">
        <v>13.5</v>
      </c>
      <c r="F30">
        <v>5.67</v>
      </c>
      <c r="G30">
        <v>7.92</v>
      </c>
      <c r="H30">
        <v>0.72</v>
      </c>
      <c r="I30" t="s">
        <v>163</v>
      </c>
    </row>
    <row r="31" spans="1:9" ht="15.5" x14ac:dyDescent="0.35">
      <c r="A31" t="s">
        <v>777</v>
      </c>
      <c r="B31">
        <v>2.75</v>
      </c>
      <c r="C31">
        <v>54.3</v>
      </c>
      <c r="D31">
        <v>40.799999999999997</v>
      </c>
      <c r="E31">
        <v>13.5</v>
      </c>
      <c r="F31">
        <v>5.67</v>
      </c>
      <c r="G31">
        <v>7.92</v>
      </c>
      <c r="H31">
        <v>0.72</v>
      </c>
      <c r="I31" t="s">
        <v>163</v>
      </c>
    </row>
    <row r="32" spans="1:9" ht="15.5" x14ac:dyDescent="0.35">
      <c r="A32" t="s">
        <v>781</v>
      </c>
      <c r="B32">
        <v>2.75</v>
      </c>
      <c r="C32">
        <v>54.3</v>
      </c>
      <c r="D32">
        <v>40.799999999999997</v>
      </c>
      <c r="E32">
        <v>13.5</v>
      </c>
      <c r="F32">
        <v>5.64</v>
      </c>
      <c r="G32">
        <v>7.92</v>
      </c>
      <c r="H32">
        <v>0.71</v>
      </c>
      <c r="I32" t="s">
        <v>163</v>
      </c>
    </row>
    <row r="33" spans="1:9" ht="15.5" x14ac:dyDescent="0.35">
      <c r="A33" t="s">
        <v>785</v>
      </c>
      <c r="B33">
        <v>2.75</v>
      </c>
      <c r="C33">
        <v>54.3</v>
      </c>
      <c r="D33">
        <v>40.799999999999997</v>
      </c>
      <c r="E33">
        <v>13.4</v>
      </c>
      <c r="F33">
        <v>5.64</v>
      </c>
      <c r="G33">
        <v>7.92</v>
      </c>
      <c r="H33">
        <v>0.71</v>
      </c>
      <c r="I33" t="s">
        <v>163</v>
      </c>
    </row>
    <row r="34" spans="1:9" ht="15.5" x14ac:dyDescent="0.35">
      <c r="A34" t="s">
        <v>789</v>
      </c>
      <c r="B34">
        <v>2.75</v>
      </c>
      <c r="C34">
        <v>54.3</v>
      </c>
      <c r="D34">
        <v>40.799999999999997</v>
      </c>
      <c r="E34">
        <v>13.4</v>
      </c>
      <c r="F34">
        <v>5.63</v>
      </c>
      <c r="G34">
        <v>7.92</v>
      </c>
      <c r="H34">
        <v>0.71</v>
      </c>
      <c r="I34" t="s">
        <v>163</v>
      </c>
    </row>
    <row r="35" spans="1:9" ht="15.5" x14ac:dyDescent="0.35">
      <c r="A35" t="s">
        <v>793</v>
      </c>
      <c r="B35">
        <v>2.75</v>
      </c>
      <c r="C35">
        <v>54.2</v>
      </c>
      <c r="D35">
        <v>40.799999999999997</v>
      </c>
      <c r="E35">
        <v>13.4</v>
      </c>
      <c r="F35">
        <v>5.63</v>
      </c>
      <c r="G35">
        <v>7.92</v>
      </c>
      <c r="H35">
        <v>0.71</v>
      </c>
      <c r="I35" t="s">
        <v>163</v>
      </c>
    </row>
    <row r="36" spans="1:9" ht="15.5" x14ac:dyDescent="0.35">
      <c r="A36" t="s">
        <v>797</v>
      </c>
      <c r="B36">
        <v>2.75</v>
      </c>
      <c r="C36">
        <v>54.2</v>
      </c>
      <c r="D36">
        <v>40.799999999999997</v>
      </c>
      <c r="E36">
        <v>13.4</v>
      </c>
      <c r="F36">
        <v>5.62</v>
      </c>
      <c r="G36">
        <v>7.92</v>
      </c>
      <c r="H36">
        <v>0.71</v>
      </c>
      <c r="I36" t="s">
        <v>163</v>
      </c>
    </row>
    <row r="37" spans="1:9" ht="15.5" x14ac:dyDescent="0.35">
      <c r="A37" t="s">
        <v>801</v>
      </c>
      <c r="B37">
        <v>2.75</v>
      </c>
      <c r="C37">
        <v>54.2</v>
      </c>
      <c r="D37">
        <v>40.799999999999997</v>
      </c>
      <c r="E37">
        <v>13.3</v>
      </c>
      <c r="F37">
        <v>5.62</v>
      </c>
      <c r="G37">
        <v>7.92</v>
      </c>
      <c r="H37">
        <v>0.71</v>
      </c>
      <c r="I37" t="s">
        <v>163</v>
      </c>
    </row>
    <row r="38" spans="1:9" ht="15.5" x14ac:dyDescent="0.35">
      <c r="A38" t="s">
        <v>805</v>
      </c>
      <c r="B38">
        <v>2.75</v>
      </c>
      <c r="C38">
        <v>55.3</v>
      </c>
      <c r="D38">
        <v>40.799999999999997</v>
      </c>
      <c r="E38">
        <v>14.4</v>
      </c>
      <c r="F38">
        <v>6.45</v>
      </c>
      <c r="G38">
        <v>7.92</v>
      </c>
      <c r="H38">
        <v>0.81</v>
      </c>
      <c r="I38" t="s">
        <v>163</v>
      </c>
    </row>
    <row r="39" spans="1:9" ht="15.5" x14ac:dyDescent="0.35">
      <c r="A39" t="s">
        <v>808</v>
      </c>
      <c r="B39">
        <v>2.75</v>
      </c>
      <c r="C39">
        <v>55.2</v>
      </c>
      <c r="D39">
        <v>40.799999999999997</v>
      </c>
      <c r="E39">
        <v>14.4</v>
      </c>
      <c r="F39">
        <v>6.43</v>
      </c>
      <c r="G39">
        <v>7.92</v>
      </c>
      <c r="H39">
        <v>0.81</v>
      </c>
      <c r="I39" t="s">
        <v>163</v>
      </c>
    </row>
    <row r="40" spans="1:9" ht="15.5" x14ac:dyDescent="0.35">
      <c r="A40" t="s">
        <v>811</v>
      </c>
      <c r="B40">
        <v>2.75</v>
      </c>
      <c r="C40">
        <v>55.3</v>
      </c>
      <c r="D40">
        <v>40.799999999999997</v>
      </c>
      <c r="E40">
        <v>14.5</v>
      </c>
      <c r="F40">
        <v>6.47</v>
      </c>
      <c r="G40">
        <v>7.92</v>
      </c>
      <c r="H40">
        <v>0.82</v>
      </c>
      <c r="I40" t="s">
        <v>163</v>
      </c>
    </row>
    <row r="41" spans="1:9" ht="15.5" x14ac:dyDescent="0.35">
      <c r="A41" t="s">
        <v>814</v>
      </c>
      <c r="B41">
        <v>2.75</v>
      </c>
      <c r="C41">
        <v>55.3</v>
      </c>
      <c r="D41">
        <v>40.799999999999997</v>
      </c>
      <c r="E41">
        <v>14.4</v>
      </c>
      <c r="F41">
        <v>6.45</v>
      </c>
      <c r="G41">
        <v>7.92</v>
      </c>
      <c r="H41">
        <v>0.81</v>
      </c>
      <c r="I41" t="s">
        <v>163</v>
      </c>
    </row>
    <row r="42" spans="1:9" ht="15.5" x14ac:dyDescent="0.35">
      <c r="A42" t="s">
        <v>817</v>
      </c>
      <c r="B42">
        <v>2.75</v>
      </c>
      <c r="C42">
        <v>55.4</v>
      </c>
      <c r="D42">
        <v>40.799999999999997</v>
      </c>
      <c r="E42">
        <v>14.6</v>
      </c>
      <c r="F42">
        <v>6.48</v>
      </c>
      <c r="G42">
        <v>7.92</v>
      </c>
      <c r="H42">
        <v>0.82</v>
      </c>
      <c r="I42" t="s">
        <v>163</v>
      </c>
    </row>
    <row r="43" spans="1:9" ht="15.5" x14ac:dyDescent="0.35">
      <c r="A43" t="s">
        <v>820</v>
      </c>
      <c r="B43">
        <v>2.75</v>
      </c>
      <c r="C43">
        <v>42.6</v>
      </c>
      <c r="D43">
        <v>40.799999999999997</v>
      </c>
      <c r="E43">
        <v>1.7</v>
      </c>
      <c r="F43">
        <v>5.52</v>
      </c>
      <c r="G43">
        <v>7.92</v>
      </c>
      <c r="H43">
        <v>0.7</v>
      </c>
      <c r="I43" t="s">
        <v>163</v>
      </c>
    </row>
    <row r="44" spans="1:9" ht="15.5" x14ac:dyDescent="0.35">
      <c r="A44" t="s">
        <v>825</v>
      </c>
      <c r="B44">
        <v>2.75</v>
      </c>
      <c r="C44">
        <v>46.4</v>
      </c>
      <c r="D44">
        <v>40.799999999999997</v>
      </c>
      <c r="E44">
        <v>5.6</v>
      </c>
      <c r="F44">
        <v>6.17</v>
      </c>
      <c r="G44">
        <v>7.92</v>
      </c>
      <c r="H44">
        <v>0.78</v>
      </c>
      <c r="I44" t="s">
        <v>163</v>
      </c>
    </row>
    <row r="45" spans="1:9" ht="15.5" x14ac:dyDescent="0.35">
      <c r="A45" t="s">
        <v>830</v>
      </c>
      <c r="B45">
        <v>2.75</v>
      </c>
      <c r="C45">
        <v>42.3</v>
      </c>
      <c r="D45">
        <v>40.799999999999997</v>
      </c>
      <c r="E45">
        <v>1.5</v>
      </c>
      <c r="F45">
        <v>5.48</v>
      </c>
      <c r="G45">
        <v>7.92</v>
      </c>
      <c r="H45">
        <v>0.69</v>
      </c>
      <c r="I45" t="s">
        <v>163</v>
      </c>
    </row>
    <row r="46" spans="1:9" ht="15.5" x14ac:dyDescent="0.35">
      <c r="A46" t="s">
        <v>834</v>
      </c>
      <c r="B46">
        <v>2.5</v>
      </c>
      <c r="C46">
        <v>57.1</v>
      </c>
      <c r="D46">
        <v>33.799999999999997</v>
      </c>
      <c r="E46">
        <v>23.4</v>
      </c>
      <c r="F46">
        <v>7.55</v>
      </c>
      <c r="G46">
        <v>7.92</v>
      </c>
      <c r="H46">
        <v>0.95</v>
      </c>
      <c r="I46" t="s">
        <v>163</v>
      </c>
    </row>
    <row r="47" spans="1:9" ht="15.5" x14ac:dyDescent="0.35">
      <c r="A47" t="s">
        <v>837</v>
      </c>
      <c r="B47">
        <v>2.5</v>
      </c>
      <c r="C47">
        <v>49.5</v>
      </c>
      <c r="D47">
        <v>33.799999999999997</v>
      </c>
      <c r="E47">
        <v>15.8</v>
      </c>
      <c r="F47">
        <v>5.59</v>
      </c>
      <c r="G47">
        <v>7.92</v>
      </c>
      <c r="H47">
        <v>0.71</v>
      </c>
      <c r="I47" t="s">
        <v>163</v>
      </c>
    </row>
    <row r="48" spans="1:9" ht="15.5" x14ac:dyDescent="0.35">
      <c r="A48" t="s">
        <v>840</v>
      </c>
      <c r="B48">
        <v>2.5</v>
      </c>
      <c r="C48">
        <v>56.3</v>
      </c>
      <c r="D48">
        <v>33.799999999999997</v>
      </c>
      <c r="E48">
        <v>22.6</v>
      </c>
      <c r="F48">
        <v>7.34</v>
      </c>
      <c r="G48">
        <v>7.92</v>
      </c>
      <c r="H48">
        <v>0.93</v>
      </c>
      <c r="I48" t="s">
        <v>163</v>
      </c>
    </row>
    <row r="49" spans="1:9" ht="15.5" x14ac:dyDescent="0.35">
      <c r="A49" t="s">
        <v>843</v>
      </c>
      <c r="B49">
        <v>2.5</v>
      </c>
      <c r="C49">
        <v>57.9</v>
      </c>
      <c r="D49">
        <v>33.799999999999997</v>
      </c>
      <c r="E49">
        <v>24.2</v>
      </c>
      <c r="F49">
        <v>7.75</v>
      </c>
      <c r="G49">
        <v>7.92</v>
      </c>
      <c r="H49">
        <v>0.98</v>
      </c>
      <c r="I49" t="s">
        <v>163</v>
      </c>
    </row>
    <row r="50" spans="1:9" ht="15.5" x14ac:dyDescent="0.35">
      <c r="A50" t="s">
        <v>846</v>
      </c>
      <c r="B50">
        <v>2.5</v>
      </c>
      <c r="C50">
        <v>49.2</v>
      </c>
      <c r="D50">
        <v>33.799999999999997</v>
      </c>
      <c r="E50">
        <v>15.4</v>
      </c>
      <c r="F50">
        <v>6.88</v>
      </c>
      <c r="G50">
        <v>7.92</v>
      </c>
      <c r="H50">
        <v>0.87</v>
      </c>
      <c r="I50" t="s">
        <v>163</v>
      </c>
    </row>
  </sheetData>
  <pageMargins left="0.7" right="0.7" top="0.75" bottom="0.75" header="0.3" footer="0.3"/>
  <ignoredErrors>
    <ignoredError sqref="A1:I5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4"/>
  <sheetViews>
    <sheetView workbookViewId="0"/>
  </sheetViews>
  <sheetFormatPr defaultRowHeight="14.5" x14ac:dyDescent="0.35"/>
  <cols>
    <col min="1" max="1" width="8.83203125" customWidth="1"/>
    <col min="2" max="2" width="70.83203125" customWidth="1"/>
    <col min="3" max="3" width="12.83203125" customWidth="1"/>
    <col min="4" max="5" width="16.83203125" customWidth="1"/>
    <col min="6" max="6" width="18.83203125" customWidth="1"/>
    <col min="7" max="7" width="36.83203125" customWidth="1"/>
  </cols>
  <sheetData>
    <row r="1" spans="1:7" ht="15.5" x14ac:dyDescent="0.35">
      <c r="A1" t="s">
        <v>886</v>
      </c>
    </row>
    <row r="2" spans="1:7" ht="15.5" x14ac:dyDescent="0.35">
      <c r="A2" t="s">
        <v>887</v>
      </c>
    </row>
    <row r="3" spans="1:7" ht="15.5" x14ac:dyDescent="0.35">
      <c r="A3" t="s">
        <v>888</v>
      </c>
    </row>
    <row r="4" spans="1:7" ht="15.5" x14ac:dyDescent="0.35">
      <c r="A4" t="s">
        <v>2</v>
      </c>
    </row>
    <row r="5" spans="1:7" ht="15.5" x14ac:dyDescent="0.35">
      <c r="A5" t="s">
        <v>207</v>
      </c>
      <c r="B5" t="s">
        <v>889</v>
      </c>
      <c r="C5" t="s">
        <v>58</v>
      </c>
      <c r="D5" t="s">
        <v>890</v>
      </c>
      <c r="E5" t="s">
        <v>891</v>
      </c>
      <c r="F5" t="s">
        <v>892</v>
      </c>
      <c r="G5" t="s">
        <v>222</v>
      </c>
    </row>
    <row r="6" spans="1:7" ht="15.5" x14ac:dyDescent="0.35">
      <c r="A6" t="s">
        <v>893</v>
      </c>
      <c r="B6" t="s">
        <v>894</v>
      </c>
      <c r="C6" t="s">
        <v>895</v>
      </c>
      <c r="D6" s="1">
        <v>1524.6</v>
      </c>
      <c r="E6" s="2">
        <v>480000</v>
      </c>
      <c r="F6" s="2">
        <v>731808000</v>
      </c>
      <c r="G6" t="s">
        <v>896</v>
      </c>
    </row>
    <row r="7" spans="1:7" ht="15.5" x14ac:dyDescent="0.35">
      <c r="A7" t="s">
        <v>897</v>
      </c>
      <c r="B7" t="s">
        <v>898</v>
      </c>
      <c r="C7" t="s">
        <v>899</v>
      </c>
      <c r="D7" s="1">
        <v>92.8</v>
      </c>
      <c r="E7" s="2">
        <v>0</v>
      </c>
      <c r="F7" s="2">
        <v>0</v>
      </c>
      <c r="G7" t="s">
        <v>900</v>
      </c>
    </row>
    <row r="8" spans="1:7" ht="15.5" x14ac:dyDescent="0.35">
      <c r="A8" t="s">
        <v>901</v>
      </c>
      <c r="B8" t="s">
        <v>902</v>
      </c>
      <c r="C8" t="s">
        <v>903</v>
      </c>
      <c r="D8" s="1">
        <v>4400.6000000000004</v>
      </c>
      <c r="E8" s="2">
        <v>0</v>
      </c>
      <c r="F8" s="2">
        <v>0</v>
      </c>
      <c r="G8" t="s">
        <v>900</v>
      </c>
    </row>
    <row r="9" spans="1:7" ht="15.5" x14ac:dyDescent="0.35">
      <c r="A9" t="s">
        <v>904</v>
      </c>
      <c r="B9" t="s">
        <v>905</v>
      </c>
      <c r="C9" t="s">
        <v>895</v>
      </c>
      <c r="D9" s="1">
        <v>473.6</v>
      </c>
      <c r="E9" s="2">
        <v>0</v>
      </c>
      <c r="F9" s="2">
        <v>0</v>
      </c>
      <c r="G9" t="s">
        <v>900</v>
      </c>
    </row>
    <row r="10" spans="1:7" ht="15.5" x14ac:dyDescent="0.35">
      <c r="A10" t="s">
        <v>906</v>
      </c>
      <c r="B10" t="s">
        <v>907</v>
      </c>
      <c r="C10" t="s">
        <v>908</v>
      </c>
      <c r="D10" s="2">
        <v>32</v>
      </c>
      <c r="E10" s="2">
        <v>0</v>
      </c>
      <c r="F10" s="2">
        <v>0</v>
      </c>
      <c r="G10" t="s">
        <v>900</v>
      </c>
    </row>
    <row r="11" spans="1:7" ht="15.5" x14ac:dyDescent="0.35">
      <c r="A11" t="s">
        <v>909</v>
      </c>
      <c r="B11" t="s">
        <v>910</v>
      </c>
      <c r="C11" t="s">
        <v>911</v>
      </c>
      <c r="D11" s="2">
        <v>1</v>
      </c>
      <c r="E11" s="2">
        <v>50000000</v>
      </c>
      <c r="F11" s="2">
        <v>50000000</v>
      </c>
      <c r="G11" t="s">
        <v>912</v>
      </c>
    </row>
    <row r="12" spans="1:7" ht="15.5" x14ac:dyDescent="0.35">
      <c r="A12" t="s">
        <v>2</v>
      </c>
      <c r="B12" t="s">
        <v>913</v>
      </c>
    </row>
    <row r="13" spans="1:7" ht="15.5" x14ac:dyDescent="0.35">
      <c r="A13" t="s">
        <v>2</v>
      </c>
      <c r="B13" t="s">
        <v>914</v>
      </c>
      <c r="C13" t="s">
        <v>2</v>
      </c>
      <c r="D13" t="s">
        <v>2</v>
      </c>
      <c r="E13" t="s">
        <v>2</v>
      </c>
      <c r="F13" s="2">
        <v>781808000</v>
      </c>
    </row>
    <row r="14" spans="1:7" ht="15.5" x14ac:dyDescent="0.35">
      <c r="A14" t="s">
        <v>2</v>
      </c>
      <c r="B14" t="s">
        <v>915</v>
      </c>
      <c r="C14" t="s">
        <v>2</v>
      </c>
      <c r="D14" t="s">
        <v>2</v>
      </c>
      <c r="E14" t="s">
        <v>2</v>
      </c>
      <c r="F14" s="2">
        <v>39090400</v>
      </c>
    </row>
    <row r="15" spans="1:7" ht="15.5" x14ac:dyDescent="0.35">
      <c r="A15" t="s">
        <v>2</v>
      </c>
      <c r="B15" t="s">
        <v>916</v>
      </c>
      <c r="C15" t="s">
        <v>2</v>
      </c>
      <c r="D15" t="s">
        <v>2</v>
      </c>
      <c r="E15" t="s">
        <v>2</v>
      </c>
      <c r="F15" s="2">
        <v>65671872</v>
      </c>
    </row>
    <row r="16" spans="1:7" ht="15.5" x14ac:dyDescent="0.35">
      <c r="A16" t="s">
        <v>2</v>
      </c>
      <c r="B16" t="s">
        <v>917</v>
      </c>
      <c r="C16" t="s">
        <v>2</v>
      </c>
      <c r="D16" t="s">
        <v>2</v>
      </c>
      <c r="E16" t="s">
        <v>2</v>
      </c>
      <c r="F16" s="2">
        <v>886570272</v>
      </c>
    </row>
    <row r="17" spans="1:7" ht="15.5" x14ac:dyDescent="0.35">
      <c r="A17" t="s">
        <v>2</v>
      </c>
    </row>
    <row r="18" spans="1:7" ht="15.5" x14ac:dyDescent="0.35">
      <c r="A18" t="s">
        <v>918</v>
      </c>
    </row>
    <row r="19" spans="1:7" ht="15.5" x14ac:dyDescent="0.35">
      <c r="A19" t="s">
        <v>2</v>
      </c>
      <c r="B19" t="s">
        <v>919</v>
      </c>
      <c r="C19" t="s">
        <v>899</v>
      </c>
      <c r="D19" s="1">
        <v>146.69999999999999</v>
      </c>
    </row>
    <row r="20" spans="1:7" ht="15.5" x14ac:dyDescent="0.35">
      <c r="A20" t="s">
        <v>2</v>
      </c>
      <c r="B20" t="s">
        <v>920</v>
      </c>
      <c r="C20" t="s">
        <v>921</v>
      </c>
      <c r="D20" s="1">
        <v>38.299999999999997</v>
      </c>
    </row>
    <row r="21" spans="1:7" ht="15.5" x14ac:dyDescent="0.35">
      <c r="A21" t="s">
        <v>2</v>
      </c>
      <c r="B21" t="s">
        <v>922</v>
      </c>
      <c r="C21" t="s">
        <v>921</v>
      </c>
      <c r="D21" s="1">
        <v>10.8</v>
      </c>
    </row>
    <row r="22" spans="1:7" ht="15.5" x14ac:dyDescent="0.35">
      <c r="A22" t="s">
        <v>2</v>
      </c>
      <c r="B22" t="s">
        <v>923</v>
      </c>
    </row>
    <row r="23" spans="1:7" ht="15.5" x14ac:dyDescent="0.35">
      <c r="A23" t="s">
        <v>2</v>
      </c>
    </row>
    <row r="24" spans="1:7" ht="15.5" x14ac:dyDescent="0.35">
      <c r="A24" t="s">
        <v>924</v>
      </c>
    </row>
    <row r="25" spans="1:7" ht="15.5" x14ac:dyDescent="0.35">
      <c r="A25" t="s">
        <v>136</v>
      </c>
      <c r="B25" t="s">
        <v>925</v>
      </c>
      <c r="C25" t="s">
        <v>926</v>
      </c>
      <c r="D25" t="s">
        <v>927</v>
      </c>
      <c r="E25" t="s">
        <v>928</v>
      </c>
      <c r="F25" t="s">
        <v>719</v>
      </c>
      <c r="G25" t="s">
        <v>929</v>
      </c>
    </row>
    <row r="26" spans="1:7" ht="15.5" x14ac:dyDescent="0.35">
      <c r="A26" t="s">
        <v>160</v>
      </c>
      <c r="B26" s="2">
        <v>17</v>
      </c>
      <c r="C26" s="1">
        <v>112.2</v>
      </c>
      <c r="D26" s="2">
        <v>1</v>
      </c>
      <c r="E26" s="1">
        <v>2.5</v>
      </c>
      <c r="F26" s="2">
        <v>119</v>
      </c>
      <c r="G26" s="1">
        <v>14.8</v>
      </c>
    </row>
    <row r="27" spans="1:7" ht="15.5" x14ac:dyDescent="0.35">
      <c r="A27" t="s">
        <v>164</v>
      </c>
      <c r="B27" s="2">
        <v>15</v>
      </c>
      <c r="C27" s="2">
        <v>99</v>
      </c>
      <c r="D27" s="1">
        <v>2.5</v>
      </c>
      <c r="E27" s="1">
        <v>6.2</v>
      </c>
      <c r="F27" s="2">
        <v>299</v>
      </c>
      <c r="G27" s="2">
        <v>37</v>
      </c>
    </row>
    <row r="28" spans="1:7" ht="15.5" x14ac:dyDescent="0.35">
      <c r="A28" t="s">
        <v>165</v>
      </c>
      <c r="B28" s="2">
        <v>15</v>
      </c>
      <c r="C28" s="2">
        <v>99</v>
      </c>
      <c r="D28" s="1">
        <v>3.5</v>
      </c>
      <c r="E28" s="1">
        <v>10.7</v>
      </c>
      <c r="F28" s="2">
        <v>511</v>
      </c>
      <c r="G28" s="1">
        <v>51.8</v>
      </c>
    </row>
    <row r="29" spans="1:7" ht="15.5" x14ac:dyDescent="0.35">
      <c r="A29" t="s">
        <v>166</v>
      </c>
      <c r="B29" s="2">
        <v>31</v>
      </c>
      <c r="C29" s="1">
        <v>204.6</v>
      </c>
      <c r="D29" s="1">
        <v>9.5</v>
      </c>
      <c r="E29" s="1">
        <v>29.5</v>
      </c>
      <c r="F29" s="2">
        <v>1391</v>
      </c>
      <c r="G29" s="1">
        <v>140.6</v>
      </c>
    </row>
    <row r="30" spans="1:7" ht="15.5" x14ac:dyDescent="0.35">
      <c r="A30" t="s">
        <v>168</v>
      </c>
      <c r="B30" s="2">
        <v>36</v>
      </c>
      <c r="C30" s="1">
        <v>237.6</v>
      </c>
      <c r="D30" s="1">
        <v>6.5</v>
      </c>
      <c r="E30" s="1">
        <v>19.5</v>
      </c>
      <c r="F30" s="2">
        <v>918</v>
      </c>
      <c r="G30" s="1">
        <v>96.2</v>
      </c>
    </row>
    <row r="31" spans="1:7" ht="15.5" x14ac:dyDescent="0.35">
      <c r="A31" t="s">
        <v>170</v>
      </c>
      <c r="B31" s="2">
        <v>28</v>
      </c>
      <c r="C31" s="1">
        <v>184.8</v>
      </c>
      <c r="D31" s="1">
        <v>1.5</v>
      </c>
      <c r="E31" s="1">
        <v>4.5</v>
      </c>
      <c r="F31" s="2">
        <v>212</v>
      </c>
      <c r="G31" s="1">
        <v>22.2</v>
      </c>
    </row>
    <row r="32" spans="1:7" ht="15.5" x14ac:dyDescent="0.35">
      <c r="A32" t="s">
        <v>171</v>
      </c>
      <c r="B32" s="2">
        <v>24</v>
      </c>
      <c r="C32" s="1">
        <v>158.4</v>
      </c>
      <c r="D32" s="1">
        <v>4.5</v>
      </c>
      <c r="E32" s="1">
        <v>12.5</v>
      </c>
      <c r="F32" s="2">
        <v>592</v>
      </c>
      <c r="G32" s="1">
        <v>66.599999999999994</v>
      </c>
    </row>
    <row r="33" spans="1:7" ht="15.5" x14ac:dyDescent="0.35">
      <c r="A33" t="s">
        <v>172</v>
      </c>
      <c r="B33" s="2">
        <v>46</v>
      </c>
      <c r="C33" s="1">
        <v>303.60000000000002</v>
      </c>
      <c r="D33" s="1">
        <v>2.5</v>
      </c>
      <c r="E33" s="1">
        <v>6.2</v>
      </c>
      <c r="F33" s="2">
        <v>299</v>
      </c>
      <c r="G33" s="2">
        <v>37</v>
      </c>
    </row>
    <row r="34" spans="1:7" ht="15.5" x14ac:dyDescent="0.35">
      <c r="A34" t="s">
        <v>173</v>
      </c>
      <c r="B34" s="2">
        <v>19</v>
      </c>
      <c r="C34" s="1">
        <v>125.4</v>
      </c>
      <c r="D34" s="1">
        <v>0.5</v>
      </c>
      <c r="E34" s="1">
        <v>1.2</v>
      </c>
      <c r="F34" s="2">
        <v>60</v>
      </c>
      <c r="G34" s="1">
        <v>7.4</v>
      </c>
    </row>
  </sheetData>
  <pageMargins left="0.7" right="0.7" top="0.75" bottom="0.75" header="0.3" footer="0.3"/>
  <ignoredErrors>
    <ignoredError sqref="A1:G3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13"/>
  <sheetViews>
    <sheetView workbookViewId="0"/>
  </sheetViews>
  <sheetFormatPr defaultRowHeight="14.5" x14ac:dyDescent="0.35"/>
  <cols>
    <col min="1" max="1" width="5.83203125" customWidth="1"/>
    <col min="2" max="2" width="12.83203125" customWidth="1"/>
    <col min="3" max="3" width="8.83203125" customWidth="1"/>
    <col min="4" max="4" width="7.83203125" customWidth="1"/>
    <col min="5" max="5" width="9.83203125" customWidth="1"/>
    <col min="6" max="6" width="11.83203125" customWidth="1"/>
    <col min="7" max="10" width="13.83203125" customWidth="1"/>
    <col min="11" max="11" width="11.83203125" customWidth="1"/>
    <col min="12" max="12" width="13.83203125" customWidth="1"/>
    <col min="13" max="15" width="11.83203125" customWidth="1"/>
    <col min="16" max="18" width="12.83203125" customWidth="1"/>
    <col min="19" max="21" width="10.83203125" customWidth="1"/>
    <col min="22" max="22" width="70.83203125" customWidth="1"/>
  </cols>
  <sheetData>
    <row r="1" spans="1:22" ht="15.5" x14ac:dyDescent="0.35">
      <c r="A1" t="s">
        <v>930</v>
      </c>
    </row>
    <row r="2" spans="1:22" ht="15.5" x14ac:dyDescent="0.35">
      <c r="A2" t="s">
        <v>931</v>
      </c>
    </row>
    <row r="3" spans="1:22" ht="15.5" x14ac:dyDescent="0.35">
      <c r="A3" t="s">
        <v>932</v>
      </c>
    </row>
    <row r="4" spans="1:22" ht="15.5" x14ac:dyDescent="0.35">
      <c r="A4" t="s">
        <v>933</v>
      </c>
    </row>
    <row r="5" spans="1:22" ht="15.5" x14ac:dyDescent="0.35">
      <c r="A5" t="s">
        <v>2</v>
      </c>
    </row>
    <row r="6" spans="1:22" ht="15.5" x14ac:dyDescent="0.35">
      <c r="A6" t="s">
        <v>207</v>
      </c>
      <c r="B6" t="s">
        <v>934</v>
      </c>
      <c r="C6" t="s">
        <v>136</v>
      </c>
      <c r="D6" t="s">
        <v>935</v>
      </c>
      <c r="E6" t="s">
        <v>699</v>
      </c>
      <c r="F6" t="s">
        <v>936</v>
      </c>
      <c r="G6" t="s">
        <v>937</v>
      </c>
      <c r="H6" t="s">
        <v>938</v>
      </c>
      <c r="I6" t="s">
        <v>939</v>
      </c>
      <c r="J6" t="s">
        <v>940</v>
      </c>
      <c r="K6" t="s">
        <v>941</v>
      </c>
      <c r="L6" t="s">
        <v>942</v>
      </c>
      <c r="M6" t="s">
        <v>943</v>
      </c>
      <c r="N6" t="s">
        <v>944</v>
      </c>
      <c r="O6" t="s">
        <v>945</v>
      </c>
      <c r="P6" t="s">
        <v>946</v>
      </c>
      <c r="Q6" t="s">
        <v>947</v>
      </c>
      <c r="R6" t="s">
        <v>948</v>
      </c>
      <c r="S6" t="s">
        <v>949</v>
      </c>
      <c r="T6" t="s">
        <v>950</v>
      </c>
      <c r="U6" t="s">
        <v>951</v>
      </c>
      <c r="V6" t="s">
        <v>222</v>
      </c>
    </row>
    <row r="7" spans="1:22" ht="15.5" x14ac:dyDescent="0.35">
      <c r="A7">
        <v>1</v>
      </c>
      <c r="B7" t="s">
        <v>224</v>
      </c>
      <c r="C7" t="s">
        <v>160</v>
      </c>
      <c r="D7" t="s">
        <v>952</v>
      </c>
      <c r="E7" t="s">
        <v>953</v>
      </c>
      <c r="F7">
        <v>12.64</v>
      </c>
      <c r="G7">
        <v>384.39</v>
      </c>
      <c r="H7">
        <v>13.27</v>
      </c>
      <c r="I7">
        <v>12.65</v>
      </c>
      <c r="J7">
        <v>12.79</v>
      </c>
      <c r="K7" t="s">
        <v>78</v>
      </c>
      <c r="L7">
        <v>13.27</v>
      </c>
      <c r="M7">
        <v>0</v>
      </c>
      <c r="N7">
        <v>0.62</v>
      </c>
      <c r="O7">
        <v>0.48</v>
      </c>
      <c r="P7">
        <v>0</v>
      </c>
      <c r="Q7">
        <v>0.62</v>
      </c>
      <c r="R7">
        <v>0.48</v>
      </c>
      <c r="S7">
        <v>-17.7</v>
      </c>
      <c r="T7">
        <v>2.1</v>
      </c>
      <c r="U7">
        <v>8.8000000000000007</v>
      </c>
      <c r="V7" t="s">
        <v>2</v>
      </c>
    </row>
    <row r="8" spans="1:22" ht="15.5" x14ac:dyDescent="0.35">
      <c r="A8">
        <v>2</v>
      </c>
      <c r="B8" t="s">
        <v>229</v>
      </c>
      <c r="C8" t="s">
        <v>160</v>
      </c>
      <c r="D8" t="s">
        <v>952</v>
      </c>
      <c r="E8" t="s">
        <v>953</v>
      </c>
      <c r="F8">
        <v>13.7</v>
      </c>
      <c r="G8">
        <v>384.47</v>
      </c>
      <c r="H8">
        <v>14.31</v>
      </c>
      <c r="I8">
        <v>13.71</v>
      </c>
      <c r="J8">
        <v>13.83</v>
      </c>
      <c r="K8" t="s">
        <v>78</v>
      </c>
      <c r="L8">
        <v>14.31</v>
      </c>
      <c r="M8">
        <v>0</v>
      </c>
      <c r="N8">
        <v>0.6</v>
      </c>
      <c r="O8">
        <v>0.48</v>
      </c>
      <c r="P8">
        <v>0</v>
      </c>
      <c r="Q8">
        <v>0.6</v>
      </c>
      <c r="R8">
        <v>0.48</v>
      </c>
      <c r="S8">
        <v>-16.8</v>
      </c>
      <c r="T8">
        <v>1.6</v>
      </c>
      <c r="U8">
        <v>7.8</v>
      </c>
      <c r="V8" t="s">
        <v>2</v>
      </c>
    </row>
    <row r="9" spans="1:22" ht="15.5" x14ac:dyDescent="0.35">
      <c r="A9">
        <v>3</v>
      </c>
      <c r="B9" t="s">
        <v>231</v>
      </c>
      <c r="C9" t="s">
        <v>160</v>
      </c>
      <c r="D9" t="s">
        <v>952</v>
      </c>
      <c r="E9" t="s">
        <v>953</v>
      </c>
      <c r="F9">
        <v>16.489999999999998</v>
      </c>
      <c r="G9">
        <v>384.43</v>
      </c>
      <c r="H9">
        <v>16.989999999999998</v>
      </c>
      <c r="I9">
        <v>16.5</v>
      </c>
      <c r="J9">
        <v>16.600000000000001</v>
      </c>
      <c r="K9" t="s">
        <v>78</v>
      </c>
      <c r="L9">
        <v>16.989999999999998</v>
      </c>
      <c r="M9">
        <v>0</v>
      </c>
      <c r="N9">
        <v>0.49</v>
      </c>
      <c r="O9">
        <v>0.39</v>
      </c>
      <c r="P9">
        <v>0</v>
      </c>
      <c r="Q9">
        <v>0.49</v>
      </c>
      <c r="R9">
        <v>0.39</v>
      </c>
      <c r="S9">
        <v>-13.9</v>
      </c>
      <c r="T9">
        <v>1.5</v>
      </c>
      <c r="U9">
        <v>6.6</v>
      </c>
      <c r="V9" t="s">
        <v>2</v>
      </c>
    </row>
    <row r="10" spans="1:22" ht="15.5" x14ac:dyDescent="0.35">
      <c r="A10">
        <v>4</v>
      </c>
      <c r="B10" t="s">
        <v>233</v>
      </c>
      <c r="C10" t="s">
        <v>160</v>
      </c>
      <c r="D10" t="s">
        <v>952</v>
      </c>
      <c r="E10" t="s">
        <v>953</v>
      </c>
      <c r="F10">
        <v>32.299999999999997</v>
      </c>
      <c r="G10">
        <v>384.51</v>
      </c>
      <c r="H10">
        <v>32.57</v>
      </c>
      <c r="I10">
        <v>32.299999999999997</v>
      </c>
      <c r="J10">
        <v>32.35</v>
      </c>
      <c r="K10" t="s">
        <v>78</v>
      </c>
      <c r="L10">
        <v>32.57</v>
      </c>
      <c r="M10">
        <v>0</v>
      </c>
      <c r="N10">
        <v>0.26</v>
      </c>
      <c r="O10">
        <v>0.21</v>
      </c>
      <c r="P10">
        <v>0</v>
      </c>
      <c r="Q10">
        <v>0.26</v>
      </c>
      <c r="R10">
        <v>0.21</v>
      </c>
      <c r="S10">
        <v>-7.3</v>
      </c>
      <c r="T10">
        <v>0.6</v>
      </c>
      <c r="U10">
        <v>3.3</v>
      </c>
      <c r="V10" t="s">
        <v>2</v>
      </c>
    </row>
    <row r="11" spans="1:22" ht="15.5" x14ac:dyDescent="0.35">
      <c r="A11">
        <v>5</v>
      </c>
      <c r="B11" t="s">
        <v>235</v>
      </c>
      <c r="C11" t="s">
        <v>160</v>
      </c>
      <c r="D11" t="s">
        <v>952</v>
      </c>
      <c r="E11" t="s">
        <v>953</v>
      </c>
      <c r="F11">
        <v>32.11</v>
      </c>
      <c r="G11">
        <v>384.69</v>
      </c>
      <c r="H11">
        <v>32.4</v>
      </c>
      <c r="I11">
        <v>32.11</v>
      </c>
      <c r="J11">
        <v>32.15</v>
      </c>
      <c r="K11" t="s">
        <v>78</v>
      </c>
      <c r="L11">
        <v>32.4</v>
      </c>
      <c r="M11">
        <v>0</v>
      </c>
      <c r="N11">
        <v>0.28999999999999998</v>
      </c>
      <c r="O11">
        <v>0.25</v>
      </c>
      <c r="P11">
        <v>0</v>
      </c>
      <c r="Q11">
        <v>0.28999999999999998</v>
      </c>
      <c r="R11">
        <v>0.25</v>
      </c>
      <c r="S11">
        <v>-7.7</v>
      </c>
      <c r="T11">
        <v>0.3</v>
      </c>
      <c r="U11">
        <v>3</v>
      </c>
      <c r="V11" t="s">
        <v>2</v>
      </c>
    </row>
    <row r="12" spans="1:22" ht="15.5" x14ac:dyDescent="0.35">
      <c r="A12">
        <v>6</v>
      </c>
      <c r="B12" t="s">
        <v>239</v>
      </c>
      <c r="C12" t="s">
        <v>160</v>
      </c>
      <c r="D12" t="s">
        <v>952</v>
      </c>
      <c r="E12" t="s">
        <v>953</v>
      </c>
      <c r="F12">
        <v>33.119999999999997</v>
      </c>
      <c r="G12">
        <v>384.73</v>
      </c>
      <c r="H12">
        <v>33.409999999999997</v>
      </c>
      <c r="I12">
        <v>33.119999999999997</v>
      </c>
      <c r="J12">
        <v>33.159999999999997</v>
      </c>
      <c r="K12" t="s">
        <v>78</v>
      </c>
      <c r="L12">
        <v>33.409999999999997</v>
      </c>
      <c r="M12">
        <v>0</v>
      </c>
      <c r="N12">
        <v>0.28999999999999998</v>
      </c>
      <c r="O12">
        <v>0.25</v>
      </c>
      <c r="P12">
        <v>0</v>
      </c>
      <c r="Q12">
        <v>0.28999999999999998</v>
      </c>
      <c r="R12">
        <v>0.25</v>
      </c>
      <c r="S12">
        <v>-7.5</v>
      </c>
      <c r="T12">
        <v>0.2</v>
      </c>
      <c r="U12">
        <v>2.8</v>
      </c>
      <c r="V12" t="s">
        <v>2</v>
      </c>
    </row>
    <row r="13" spans="1:22" ht="15.5" x14ac:dyDescent="0.35">
      <c r="A13">
        <v>7</v>
      </c>
      <c r="B13" t="s">
        <v>241</v>
      </c>
      <c r="C13" t="s">
        <v>160</v>
      </c>
      <c r="D13" t="s">
        <v>952</v>
      </c>
      <c r="E13" t="s">
        <v>953</v>
      </c>
      <c r="F13">
        <v>12.78</v>
      </c>
      <c r="G13">
        <v>384.35</v>
      </c>
      <c r="H13">
        <v>13.39</v>
      </c>
      <c r="I13">
        <v>12.79</v>
      </c>
      <c r="J13">
        <v>12.94</v>
      </c>
      <c r="K13" t="s">
        <v>78</v>
      </c>
      <c r="L13">
        <v>13.39</v>
      </c>
      <c r="M13">
        <v>0</v>
      </c>
      <c r="N13">
        <v>0.6</v>
      </c>
      <c r="O13">
        <v>0.45</v>
      </c>
      <c r="P13">
        <v>0</v>
      </c>
      <c r="Q13">
        <v>0.6</v>
      </c>
      <c r="R13">
        <v>0.46</v>
      </c>
      <c r="S13">
        <v>-17.399999999999999</v>
      </c>
      <c r="T13">
        <v>2.2000000000000002</v>
      </c>
      <c r="U13">
        <v>8.9</v>
      </c>
      <c r="V13" t="s">
        <v>2</v>
      </c>
    </row>
    <row r="14" spans="1:22" ht="15.5" x14ac:dyDescent="0.35">
      <c r="A14">
        <v>8</v>
      </c>
      <c r="B14" t="s">
        <v>243</v>
      </c>
      <c r="C14" t="s">
        <v>160</v>
      </c>
      <c r="D14" t="s">
        <v>952</v>
      </c>
      <c r="E14" t="s">
        <v>953</v>
      </c>
      <c r="F14">
        <v>13.84</v>
      </c>
      <c r="G14">
        <v>384.57</v>
      </c>
      <c r="H14">
        <v>14.47</v>
      </c>
      <c r="I14">
        <v>13.84</v>
      </c>
      <c r="J14">
        <v>13.95</v>
      </c>
      <c r="K14" t="s">
        <v>78</v>
      </c>
      <c r="L14">
        <v>14.47</v>
      </c>
      <c r="M14">
        <v>0</v>
      </c>
      <c r="N14">
        <v>0.63</v>
      </c>
      <c r="O14">
        <v>0.51</v>
      </c>
      <c r="P14">
        <v>0</v>
      </c>
      <c r="Q14">
        <v>0.63</v>
      </c>
      <c r="R14">
        <v>0.52</v>
      </c>
      <c r="S14">
        <v>-17</v>
      </c>
      <c r="T14">
        <v>1.2</v>
      </c>
      <c r="U14">
        <v>7.3</v>
      </c>
      <c r="V14" t="s">
        <v>2</v>
      </c>
    </row>
    <row r="15" spans="1:22" ht="15.5" x14ac:dyDescent="0.35">
      <c r="A15">
        <v>9</v>
      </c>
      <c r="B15" t="s">
        <v>245</v>
      </c>
      <c r="C15" t="s">
        <v>160</v>
      </c>
      <c r="D15" t="s">
        <v>952</v>
      </c>
      <c r="E15" t="s">
        <v>953</v>
      </c>
      <c r="F15">
        <v>9.52</v>
      </c>
      <c r="G15">
        <v>384.27</v>
      </c>
      <c r="H15">
        <v>10.29</v>
      </c>
      <c r="I15">
        <v>9.5399999999999991</v>
      </c>
      <c r="J15">
        <v>9.75</v>
      </c>
      <c r="K15" t="s">
        <v>78</v>
      </c>
      <c r="L15">
        <v>10.29</v>
      </c>
      <c r="M15">
        <v>0</v>
      </c>
      <c r="N15">
        <v>0.76</v>
      </c>
      <c r="O15">
        <v>0.55000000000000004</v>
      </c>
      <c r="P15">
        <v>0</v>
      </c>
      <c r="Q15">
        <v>0.76</v>
      </c>
      <c r="R15">
        <v>0.56000000000000005</v>
      </c>
      <c r="S15">
        <v>-22.4</v>
      </c>
      <c r="T15">
        <v>3.5</v>
      </c>
      <c r="U15">
        <v>12.3</v>
      </c>
      <c r="V15" t="s">
        <v>954</v>
      </c>
    </row>
    <row r="16" spans="1:22" ht="15.5" x14ac:dyDescent="0.35">
      <c r="A16">
        <v>10</v>
      </c>
      <c r="B16" t="s">
        <v>247</v>
      </c>
      <c r="C16" t="s">
        <v>160</v>
      </c>
      <c r="D16" t="s">
        <v>952</v>
      </c>
      <c r="E16" t="s">
        <v>953</v>
      </c>
      <c r="F16">
        <v>7.68</v>
      </c>
      <c r="G16">
        <v>384.79</v>
      </c>
      <c r="H16">
        <v>8.8699999999999992</v>
      </c>
      <c r="I16">
        <v>7.68</v>
      </c>
      <c r="J16">
        <v>7.84</v>
      </c>
      <c r="K16" t="s">
        <v>78</v>
      </c>
      <c r="L16">
        <v>8.8699999999999992</v>
      </c>
      <c r="M16">
        <v>0</v>
      </c>
      <c r="N16">
        <v>1.19</v>
      </c>
      <c r="O16">
        <v>1.03</v>
      </c>
      <c r="P16">
        <v>0</v>
      </c>
      <c r="Q16">
        <v>1.19</v>
      </c>
      <c r="R16">
        <v>1.05</v>
      </c>
      <c r="S16">
        <v>-30</v>
      </c>
      <c r="T16">
        <v>0.4</v>
      </c>
      <c r="U16">
        <v>11.5</v>
      </c>
      <c r="V16" t="s">
        <v>954</v>
      </c>
    </row>
    <row r="17" spans="1:22" ht="15.5" x14ac:dyDescent="0.35">
      <c r="A17">
        <v>11</v>
      </c>
      <c r="B17" t="s">
        <v>250</v>
      </c>
      <c r="C17" t="s">
        <v>160</v>
      </c>
      <c r="D17" t="s">
        <v>952</v>
      </c>
      <c r="E17" t="s">
        <v>953</v>
      </c>
      <c r="F17">
        <v>6.75</v>
      </c>
      <c r="G17">
        <v>384.54</v>
      </c>
      <c r="H17">
        <v>7.94</v>
      </c>
      <c r="I17">
        <v>6.76</v>
      </c>
      <c r="J17">
        <v>6.99</v>
      </c>
      <c r="K17" t="s">
        <v>78</v>
      </c>
      <c r="L17">
        <v>7.94</v>
      </c>
      <c r="M17">
        <v>0</v>
      </c>
      <c r="N17">
        <v>1.19</v>
      </c>
      <c r="O17">
        <v>0.95</v>
      </c>
      <c r="P17">
        <v>0</v>
      </c>
      <c r="Q17">
        <v>1.19</v>
      </c>
      <c r="R17">
        <v>0.98</v>
      </c>
      <c r="S17">
        <v>-31.8</v>
      </c>
      <c r="T17">
        <v>2.7</v>
      </c>
      <c r="U17">
        <v>15</v>
      </c>
      <c r="V17" t="s">
        <v>954</v>
      </c>
    </row>
    <row r="18" spans="1:22" ht="15.5" x14ac:dyDescent="0.35">
      <c r="A18">
        <v>12</v>
      </c>
      <c r="B18" t="s">
        <v>253</v>
      </c>
      <c r="C18" t="s">
        <v>160</v>
      </c>
      <c r="D18" t="s">
        <v>952</v>
      </c>
      <c r="E18" t="s">
        <v>953</v>
      </c>
      <c r="F18">
        <v>5.7</v>
      </c>
      <c r="G18">
        <v>383.86</v>
      </c>
      <c r="H18">
        <v>6.7</v>
      </c>
      <c r="I18">
        <v>5.78</v>
      </c>
      <c r="J18">
        <v>6.22</v>
      </c>
      <c r="K18" t="s">
        <v>78</v>
      </c>
      <c r="L18">
        <v>6.7</v>
      </c>
      <c r="M18">
        <v>0</v>
      </c>
      <c r="N18">
        <v>0.91</v>
      </c>
      <c r="O18">
        <v>0.48</v>
      </c>
      <c r="P18">
        <v>0</v>
      </c>
      <c r="Q18">
        <v>0.92</v>
      </c>
      <c r="R18">
        <v>0.52</v>
      </c>
      <c r="S18">
        <v>-31.6</v>
      </c>
      <c r="T18">
        <v>9.8000000000000007</v>
      </c>
      <c r="U18">
        <v>23.6</v>
      </c>
      <c r="V18" t="s">
        <v>954</v>
      </c>
    </row>
    <row r="19" spans="1:22" ht="15.5" x14ac:dyDescent="0.35">
      <c r="A19">
        <v>13</v>
      </c>
      <c r="B19" t="s">
        <v>255</v>
      </c>
      <c r="C19" t="s">
        <v>160</v>
      </c>
      <c r="D19" t="s">
        <v>952</v>
      </c>
      <c r="E19" t="s">
        <v>953</v>
      </c>
      <c r="F19">
        <v>13.25</v>
      </c>
      <c r="G19">
        <v>384.68</v>
      </c>
      <c r="H19">
        <v>13.94</v>
      </c>
      <c r="I19">
        <v>13.25</v>
      </c>
      <c r="J19">
        <v>13.35</v>
      </c>
      <c r="K19" t="s">
        <v>78</v>
      </c>
      <c r="L19">
        <v>13.94</v>
      </c>
      <c r="M19">
        <v>0</v>
      </c>
      <c r="N19">
        <v>0.69</v>
      </c>
      <c r="O19">
        <v>0.59</v>
      </c>
      <c r="P19">
        <v>0</v>
      </c>
      <c r="Q19">
        <v>0.69</v>
      </c>
      <c r="R19">
        <v>0.59</v>
      </c>
      <c r="S19">
        <v>-18.100000000000001</v>
      </c>
      <c r="T19">
        <v>0.7</v>
      </c>
      <c r="U19">
        <v>7.2</v>
      </c>
      <c r="V19" t="s">
        <v>2</v>
      </c>
    </row>
    <row r="20" spans="1:22" ht="15.5" x14ac:dyDescent="0.35">
      <c r="A20">
        <v>14</v>
      </c>
      <c r="B20" t="s">
        <v>257</v>
      </c>
      <c r="C20" t="s">
        <v>160</v>
      </c>
      <c r="D20" t="s">
        <v>952</v>
      </c>
      <c r="E20" t="s">
        <v>953</v>
      </c>
      <c r="F20">
        <v>42.92</v>
      </c>
      <c r="G20">
        <v>384.28</v>
      </c>
      <c r="H20">
        <v>43.1</v>
      </c>
      <c r="I20">
        <v>42.92</v>
      </c>
      <c r="J20">
        <v>42.97</v>
      </c>
      <c r="K20" t="s">
        <v>78</v>
      </c>
      <c r="L20">
        <v>43.1</v>
      </c>
      <c r="M20">
        <v>0</v>
      </c>
      <c r="N20">
        <v>0.18</v>
      </c>
      <c r="O20">
        <v>0.13</v>
      </c>
      <c r="P20">
        <v>0</v>
      </c>
      <c r="Q20">
        <v>0.18</v>
      </c>
      <c r="R20">
        <v>0.13</v>
      </c>
      <c r="S20">
        <v>-5.2</v>
      </c>
      <c r="T20">
        <v>0.8</v>
      </c>
      <c r="U20">
        <v>2.8</v>
      </c>
      <c r="V20" t="s">
        <v>2</v>
      </c>
    </row>
    <row r="21" spans="1:22" ht="15.5" x14ac:dyDescent="0.35">
      <c r="A21">
        <v>15</v>
      </c>
      <c r="B21" t="s">
        <v>734</v>
      </c>
      <c r="C21" t="s">
        <v>160</v>
      </c>
      <c r="D21" t="s">
        <v>955</v>
      </c>
      <c r="E21" t="s">
        <v>956</v>
      </c>
      <c r="F21">
        <v>12.56</v>
      </c>
      <c r="G21">
        <v>378.85</v>
      </c>
      <c r="H21">
        <v>12.65</v>
      </c>
      <c r="I21">
        <v>13.92</v>
      </c>
      <c r="J21">
        <v>14.63</v>
      </c>
      <c r="K21" t="s">
        <v>81</v>
      </c>
      <c r="L21">
        <v>14.63</v>
      </c>
      <c r="M21">
        <v>1.98</v>
      </c>
      <c r="N21">
        <v>0.71</v>
      </c>
      <c r="O21">
        <v>0</v>
      </c>
      <c r="P21">
        <v>1.99</v>
      </c>
      <c r="Q21">
        <v>0.78</v>
      </c>
      <c r="R21">
        <v>0</v>
      </c>
      <c r="S21">
        <v>6.8</v>
      </c>
      <c r="T21">
        <v>25.5</v>
      </c>
      <c r="U21">
        <v>30.8</v>
      </c>
      <c r="V21" t="s">
        <v>957</v>
      </c>
    </row>
    <row r="22" spans="1:22" ht="15.5" x14ac:dyDescent="0.35">
      <c r="A22">
        <v>16</v>
      </c>
      <c r="B22" t="s">
        <v>259</v>
      </c>
      <c r="C22" t="s">
        <v>160</v>
      </c>
      <c r="D22" t="s">
        <v>952</v>
      </c>
      <c r="E22" t="s">
        <v>953</v>
      </c>
      <c r="F22">
        <v>44</v>
      </c>
      <c r="G22">
        <v>384.16</v>
      </c>
      <c r="H22">
        <v>44.16</v>
      </c>
      <c r="I22">
        <v>44.01</v>
      </c>
      <c r="J22">
        <v>44.05</v>
      </c>
      <c r="K22" t="s">
        <v>78</v>
      </c>
      <c r="L22">
        <v>44.16</v>
      </c>
      <c r="M22">
        <v>0</v>
      </c>
      <c r="N22">
        <v>0.16</v>
      </c>
      <c r="O22">
        <v>0.11</v>
      </c>
      <c r="P22">
        <v>0</v>
      </c>
      <c r="Q22">
        <v>0.16</v>
      </c>
      <c r="R22">
        <v>0.11</v>
      </c>
      <c r="S22">
        <v>-5</v>
      </c>
      <c r="T22">
        <v>0.9</v>
      </c>
      <c r="U22">
        <v>2.8</v>
      </c>
      <c r="V22" t="s">
        <v>2</v>
      </c>
    </row>
    <row r="23" spans="1:22" ht="15.5" x14ac:dyDescent="0.35">
      <c r="A23">
        <v>17</v>
      </c>
      <c r="B23" t="s">
        <v>263</v>
      </c>
      <c r="C23" t="s">
        <v>160</v>
      </c>
      <c r="D23" t="s">
        <v>952</v>
      </c>
      <c r="E23" t="s">
        <v>953</v>
      </c>
      <c r="F23">
        <v>24.5</v>
      </c>
      <c r="G23">
        <v>384.17</v>
      </c>
      <c r="H23">
        <v>24.8</v>
      </c>
      <c r="I23">
        <v>24.51</v>
      </c>
      <c r="J23">
        <v>24.6</v>
      </c>
      <c r="K23" t="s">
        <v>78</v>
      </c>
      <c r="L23">
        <v>24.8</v>
      </c>
      <c r="M23">
        <v>0</v>
      </c>
      <c r="N23">
        <v>0.28999999999999998</v>
      </c>
      <c r="O23">
        <v>0.2</v>
      </c>
      <c r="P23">
        <v>0</v>
      </c>
      <c r="Q23">
        <v>0.28999999999999998</v>
      </c>
      <c r="R23">
        <v>0.2</v>
      </c>
      <c r="S23">
        <v>-8.9</v>
      </c>
      <c r="T23">
        <v>1.6</v>
      </c>
      <c r="U23">
        <v>5.0999999999999996</v>
      </c>
      <c r="V23" t="s">
        <v>2</v>
      </c>
    </row>
    <row r="24" spans="1:22" ht="15.5" x14ac:dyDescent="0.35">
      <c r="A24">
        <v>18</v>
      </c>
      <c r="B24" t="s">
        <v>265</v>
      </c>
      <c r="C24" t="s">
        <v>160</v>
      </c>
      <c r="D24" t="s">
        <v>952</v>
      </c>
      <c r="E24" t="s">
        <v>953</v>
      </c>
      <c r="F24">
        <v>17</v>
      </c>
      <c r="G24">
        <v>384.17</v>
      </c>
      <c r="H24">
        <v>17.420000000000002</v>
      </c>
      <c r="I24">
        <v>17.010000000000002</v>
      </c>
      <c r="J24">
        <v>17.14</v>
      </c>
      <c r="K24" t="s">
        <v>78</v>
      </c>
      <c r="L24">
        <v>17.420000000000002</v>
      </c>
      <c r="M24">
        <v>0</v>
      </c>
      <c r="N24">
        <v>0.41</v>
      </c>
      <c r="O24">
        <v>0.28000000000000003</v>
      </c>
      <c r="P24">
        <v>0</v>
      </c>
      <c r="Q24">
        <v>0.41</v>
      </c>
      <c r="R24">
        <v>0.28999999999999998</v>
      </c>
      <c r="S24">
        <v>-12.7</v>
      </c>
      <c r="T24">
        <v>2.2999999999999998</v>
      </c>
      <c r="U24">
        <v>7.3</v>
      </c>
      <c r="V24" t="s">
        <v>2</v>
      </c>
    </row>
    <row r="25" spans="1:22" ht="15.5" x14ac:dyDescent="0.35">
      <c r="A25">
        <v>19</v>
      </c>
      <c r="B25" t="s">
        <v>741</v>
      </c>
      <c r="C25" t="s">
        <v>160</v>
      </c>
      <c r="D25" t="s">
        <v>955</v>
      </c>
      <c r="E25" t="s">
        <v>958</v>
      </c>
      <c r="F25">
        <v>11.3</v>
      </c>
      <c r="G25">
        <v>378.85</v>
      </c>
      <c r="H25">
        <v>11.4</v>
      </c>
      <c r="I25">
        <v>12.79</v>
      </c>
      <c r="J25">
        <v>13.56</v>
      </c>
      <c r="K25" t="s">
        <v>81</v>
      </c>
      <c r="L25">
        <v>13.56</v>
      </c>
      <c r="M25">
        <v>2.16</v>
      </c>
      <c r="N25">
        <v>0.77</v>
      </c>
      <c r="O25">
        <v>0</v>
      </c>
      <c r="P25">
        <v>2.1800000000000002</v>
      </c>
      <c r="Q25">
        <v>0.86</v>
      </c>
      <c r="R25">
        <v>0</v>
      </c>
      <c r="S25">
        <v>7.6</v>
      </c>
      <c r="T25">
        <v>28</v>
      </c>
      <c r="U25">
        <v>33.6</v>
      </c>
      <c r="V25" t="s">
        <v>957</v>
      </c>
    </row>
    <row r="26" spans="1:22" ht="15.5" x14ac:dyDescent="0.35">
      <c r="A26">
        <v>20</v>
      </c>
      <c r="B26" t="s">
        <v>267</v>
      </c>
      <c r="C26" t="s">
        <v>164</v>
      </c>
      <c r="D26" t="s">
        <v>952</v>
      </c>
      <c r="E26" t="s">
        <v>953</v>
      </c>
      <c r="F26">
        <v>12.97</v>
      </c>
      <c r="G26">
        <v>384.75</v>
      </c>
      <c r="H26">
        <v>13.7</v>
      </c>
      <c r="I26">
        <v>12.97</v>
      </c>
      <c r="J26">
        <v>13.07</v>
      </c>
      <c r="K26" t="s">
        <v>78</v>
      </c>
      <c r="L26">
        <v>13.7</v>
      </c>
      <c r="M26">
        <v>0</v>
      </c>
      <c r="N26">
        <v>0.73</v>
      </c>
      <c r="O26">
        <v>0.63</v>
      </c>
      <c r="P26">
        <v>0</v>
      </c>
      <c r="Q26">
        <v>0.73</v>
      </c>
      <c r="R26">
        <v>0.63</v>
      </c>
      <c r="S26">
        <v>-18.8</v>
      </c>
      <c r="T26">
        <v>0.4</v>
      </c>
      <c r="U26">
        <v>7</v>
      </c>
      <c r="V26" t="s">
        <v>2</v>
      </c>
    </row>
    <row r="27" spans="1:22" ht="15.5" x14ac:dyDescent="0.35">
      <c r="A27">
        <v>21</v>
      </c>
      <c r="B27" t="s">
        <v>269</v>
      </c>
      <c r="C27" t="s">
        <v>164</v>
      </c>
      <c r="D27" t="s">
        <v>952</v>
      </c>
      <c r="E27" t="s">
        <v>953</v>
      </c>
      <c r="F27">
        <v>36.85</v>
      </c>
      <c r="G27">
        <v>384.57</v>
      </c>
      <c r="H27">
        <v>37.090000000000003</v>
      </c>
      <c r="I27">
        <v>36.85</v>
      </c>
      <c r="J27">
        <v>36.89</v>
      </c>
      <c r="K27" t="s">
        <v>78</v>
      </c>
      <c r="L27">
        <v>37.090000000000003</v>
      </c>
      <c r="M27">
        <v>0</v>
      </c>
      <c r="N27">
        <v>0.24</v>
      </c>
      <c r="O27">
        <v>0.2</v>
      </c>
      <c r="P27">
        <v>0</v>
      </c>
      <c r="Q27">
        <v>0.24</v>
      </c>
      <c r="R27">
        <v>0.2</v>
      </c>
      <c r="S27">
        <v>-6.5</v>
      </c>
      <c r="T27">
        <v>0.4</v>
      </c>
      <c r="U27">
        <v>2.8</v>
      </c>
      <c r="V27" t="s">
        <v>2</v>
      </c>
    </row>
    <row r="28" spans="1:22" ht="15.5" x14ac:dyDescent="0.35">
      <c r="A28">
        <v>22</v>
      </c>
      <c r="B28" t="s">
        <v>271</v>
      </c>
      <c r="C28" t="s">
        <v>164</v>
      </c>
      <c r="D28" t="s">
        <v>952</v>
      </c>
      <c r="E28" t="s">
        <v>953</v>
      </c>
      <c r="F28">
        <v>38.53</v>
      </c>
      <c r="G28">
        <v>384.81</v>
      </c>
      <c r="H28">
        <v>38.79</v>
      </c>
      <c r="I28">
        <v>38.53</v>
      </c>
      <c r="J28">
        <v>38.56</v>
      </c>
      <c r="K28" t="s">
        <v>78</v>
      </c>
      <c r="L28">
        <v>38.79</v>
      </c>
      <c r="M28">
        <v>0</v>
      </c>
      <c r="N28">
        <v>0.26</v>
      </c>
      <c r="O28">
        <v>0.23</v>
      </c>
      <c r="P28">
        <v>0</v>
      </c>
      <c r="Q28">
        <v>0.26</v>
      </c>
      <c r="R28">
        <v>0.23</v>
      </c>
      <c r="S28">
        <v>-6.6</v>
      </c>
      <c r="T28">
        <v>0.1</v>
      </c>
      <c r="U28">
        <v>2.2999999999999998</v>
      </c>
      <c r="V28" t="s">
        <v>2</v>
      </c>
    </row>
    <row r="29" spans="1:22" ht="15.5" x14ac:dyDescent="0.35">
      <c r="A29">
        <v>23</v>
      </c>
      <c r="B29" t="s">
        <v>273</v>
      </c>
      <c r="C29" t="s">
        <v>164</v>
      </c>
      <c r="D29" t="s">
        <v>952</v>
      </c>
      <c r="E29" t="s">
        <v>953</v>
      </c>
      <c r="F29">
        <v>41.84</v>
      </c>
      <c r="G29">
        <v>384.61</v>
      </c>
      <c r="H29">
        <v>42.06</v>
      </c>
      <c r="I29">
        <v>41.84</v>
      </c>
      <c r="J29">
        <v>41.88</v>
      </c>
      <c r="K29" t="s">
        <v>78</v>
      </c>
      <c r="L29">
        <v>42.06</v>
      </c>
      <c r="M29">
        <v>0</v>
      </c>
      <c r="N29">
        <v>0.22</v>
      </c>
      <c r="O29">
        <v>0.18</v>
      </c>
      <c r="P29">
        <v>0</v>
      </c>
      <c r="Q29">
        <v>0.22</v>
      </c>
      <c r="R29">
        <v>0.18</v>
      </c>
      <c r="S29">
        <v>-5.8</v>
      </c>
      <c r="T29">
        <v>0.3</v>
      </c>
      <c r="U29">
        <v>2.4</v>
      </c>
      <c r="V29" t="s">
        <v>2</v>
      </c>
    </row>
    <row r="30" spans="1:22" ht="15.5" x14ac:dyDescent="0.35">
      <c r="A30">
        <v>24</v>
      </c>
      <c r="B30" t="s">
        <v>275</v>
      </c>
      <c r="C30" t="s">
        <v>164</v>
      </c>
      <c r="D30" t="s">
        <v>952</v>
      </c>
      <c r="E30" t="s">
        <v>953</v>
      </c>
      <c r="F30">
        <v>22.74</v>
      </c>
      <c r="G30">
        <v>384.83</v>
      </c>
      <c r="H30">
        <v>23.18</v>
      </c>
      <c r="I30">
        <v>22.74</v>
      </c>
      <c r="J30">
        <v>22.79</v>
      </c>
      <c r="K30" t="s">
        <v>78</v>
      </c>
      <c r="L30">
        <v>23.18</v>
      </c>
      <c r="M30">
        <v>0</v>
      </c>
      <c r="N30">
        <v>0.44</v>
      </c>
      <c r="O30">
        <v>0.39</v>
      </c>
      <c r="P30">
        <v>0</v>
      </c>
      <c r="Q30">
        <v>0.44</v>
      </c>
      <c r="R30">
        <v>0.39</v>
      </c>
      <c r="S30">
        <v>-11.1</v>
      </c>
      <c r="T30">
        <v>0.1</v>
      </c>
      <c r="U30">
        <v>3.8</v>
      </c>
      <c r="V30" t="s">
        <v>2</v>
      </c>
    </row>
    <row r="31" spans="1:22" ht="15.5" x14ac:dyDescent="0.35">
      <c r="A31">
        <v>25</v>
      </c>
      <c r="B31" t="s">
        <v>277</v>
      </c>
      <c r="C31" t="s">
        <v>164</v>
      </c>
      <c r="D31" t="s">
        <v>952</v>
      </c>
      <c r="E31" t="s">
        <v>953</v>
      </c>
      <c r="F31">
        <v>19.22</v>
      </c>
      <c r="G31">
        <v>384.94</v>
      </c>
      <c r="H31">
        <v>19.760000000000002</v>
      </c>
      <c r="I31">
        <v>19.22</v>
      </c>
      <c r="J31">
        <v>19.27</v>
      </c>
      <c r="K31" t="s">
        <v>78</v>
      </c>
      <c r="L31">
        <v>19.760000000000002</v>
      </c>
      <c r="M31">
        <v>0</v>
      </c>
      <c r="N31">
        <v>0.54</v>
      </c>
      <c r="O31">
        <v>0.49</v>
      </c>
      <c r="P31">
        <v>0</v>
      </c>
      <c r="Q31">
        <v>0.54</v>
      </c>
      <c r="R31">
        <v>0.49</v>
      </c>
      <c r="S31">
        <v>-13.4</v>
      </c>
      <c r="T31">
        <v>-0.3</v>
      </c>
      <c r="U31">
        <v>4.2</v>
      </c>
      <c r="V31" t="s">
        <v>2</v>
      </c>
    </row>
    <row r="32" spans="1:22" ht="15.5" x14ac:dyDescent="0.35">
      <c r="A32">
        <v>26</v>
      </c>
      <c r="B32" t="s">
        <v>279</v>
      </c>
      <c r="C32" t="s">
        <v>164</v>
      </c>
      <c r="D32" t="s">
        <v>952</v>
      </c>
      <c r="E32" t="s">
        <v>953</v>
      </c>
      <c r="F32">
        <v>12.97</v>
      </c>
      <c r="G32">
        <v>384.23</v>
      </c>
      <c r="H32">
        <v>13.54</v>
      </c>
      <c r="I32">
        <v>12.98</v>
      </c>
      <c r="J32">
        <v>13.14</v>
      </c>
      <c r="K32" t="s">
        <v>78</v>
      </c>
      <c r="L32">
        <v>13.54</v>
      </c>
      <c r="M32">
        <v>0</v>
      </c>
      <c r="N32">
        <v>0.55000000000000004</v>
      </c>
      <c r="O32">
        <v>0.4</v>
      </c>
      <c r="P32">
        <v>0</v>
      </c>
      <c r="Q32">
        <v>0.55000000000000004</v>
      </c>
      <c r="R32">
        <v>0.4</v>
      </c>
      <c r="S32">
        <v>-16.7</v>
      </c>
      <c r="T32">
        <v>2.7</v>
      </c>
      <c r="U32">
        <v>9.3000000000000007</v>
      </c>
      <c r="V32" t="s">
        <v>2</v>
      </c>
    </row>
    <row r="33" spans="1:22" ht="15.5" x14ac:dyDescent="0.35">
      <c r="A33">
        <v>27</v>
      </c>
      <c r="B33" t="s">
        <v>281</v>
      </c>
      <c r="C33" t="s">
        <v>164</v>
      </c>
      <c r="D33" t="s">
        <v>952</v>
      </c>
      <c r="E33" t="s">
        <v>953</v>
      </c>
      <c r="F33">
        <v>13.7</v>
      </c>
      <c r="G33">
        <v>384.54</v>
      </c>
      <c r="H33">
        <v>14.33</v>
      </c>
      <c r="I33">
        <v>13.7</v>
      </c>
      <c r="J33">
        <v>13.82</v>
      </c>
      <c r="K33" t="s">
        <v>78</v>
      </c>
      <c r="L33">
        <v>14.33</v>
      </c>
      <c r="M33">
        <v>0</v>
      </c>
      <c r="N33">
        <v>0.62</v>
      </c>
      <c r="O33">
        <v>0.51</v>
      </c>
      <c r="P33">
        <v>0</v>
      </c>
      <c r="Q33">
        <v>0.62</v>
      </c>
      <c r="R33">
        <v>0.51</v>
      </c>
      <c r="S33">
        <v>-17</v>
      </c>
      <c r="T33">
        <v>1.3</v>
      </c>
      <c r="U33">
        <v>7.5</v>
      </c>
      <c r="V33" t="s">
        <v>2</v>
      </c>
    </row>
    <row r="34" spans="1:22" ht="15.5" x14ac:dyDescent="0.35">
      <c r="A34">
        <v>28</v>
      </c>
      <c r="B34" t="s">
        <v>283</v>
      </c>
      <c r="C34" t="s">
        <v>164</v>
      </c>
      <c r="D34" t="s">
        <v>952</v>
      </c>
      <c r="E34" t="s">
        <v>953</v>
      </c>
      <c r="F34">
        <v>12.77</v>
      </c>
      <c r="G34">
        <v>384.06</v>
      </c>
      <c r="H34">
        <v>13.3</v>
      </c>
      <c r="I34">
        <v>12.79</v>
      </c>
      <c r="J34">
        <v>12.97</v>
      </c>
      <c r="K34" t="s">
        <v>78</v>
      </c>
      <c r="L34">
        <v>13.3</v>
      </c>
      <c r="M34">
        <v>0</v>
      </c>
      <c r="N34">
        <v>0.51</v>
      </c>
      <c r="O34">
        <v>0.33</v>
      </c>
      <c r="P34">
        <v>0</v>
      </c>
      <c r="Q34">
        <v>0.51</v>
      </c>
      <c r="R34">
        <v>0.33</v>
      </c>
      <c r="S34">
        <v>-16.2</v>
      </c>
      <c r="T34">
        <v>3.5</v>
      </c>
      <c r="U34">
        <v>10.1</v>
      </c>
      <c r="V34" t="s">
        <v>2</v>
      </c>
    </row>
    <row r="35" spans="1:22" ht="15.5" x14ac:dyDescent="0.35">
      <c r="A35">
        <v>29</v>
      </c>
      <c r="B35" t="s">
        <v>285</v>
      </c>
      <c r="C35" t="s">
        <v>164</v>
      </c>
      <c r="D35" t="s">
        <v>952</v>
      </c>
      <c r="E35" t="s">
        <v>953</v>
      </c>
      <c r="F35">
        <v>15.13</v>
      </c>
      <c r="G35">
        <v>384.59</v>
      </c>
      <c r="H35">
        <v>15.71</v>
      </c>
      <c r="I35">
        <v>15.13</v>
      </c>
      <c r="J35">
        <v>15.23</v>
      </c>
      <c r="K35" t="s">
        <v>78</v>
      </c>
      <c r="L35">
        <v>15.71</v>
      </c>
      <c r="M35">
        <v>0</v>
      </c>
      <c r="N35">
        <v>0.57999999999999996</v>
      </c>
      <c r="O35">
        <v>0.48</v>
      </c>
      <c r="P35">
        <v>0</v>
      </c>
      <c r="Q35">
        <v>0.57999999999999996</v>
      </c>
      <c r="R35">
        <v>0.48</v>
      </c>
      <c r="S35">
        <v>-15.7</v>
      </c>
      <c r="T35">
        <v>1</v>
      </c>
      <c r="U35">
        <v>6.6</v>
      </c>
      <c r="V35" t="s">
        <v>2</v>
      </c>
    </row>
    <row r="36" spans="1:22" ht="15.5" x14ac:dyDescent="0.35">
      <c r="A36">
        <v>30</v>
      </c>
      <c r="B36" t="s">
        <v>287</v>
      </c>
      <c r="C36" t="s">
        <v>164</v>
      </c>
      <c r="D36" t="s">
        <v>952</v>
      </c>
      <c r="E36" t="s">
        <v>953</v>
      </c>
      <c r="F36">
        <v>15.01</v>
      </c>
      <c r="G36">
        <v>384.18</v>
      </c>
      <c r="H36">
        <v>15.49</v>
      </c>
      <c r="I36">
        <v>15.03</v>
      </c>
      <c r="J36">
        <v>15.17</v>
      </c>
      <c r="K36" t="s">
        <v>78</v>
      </c>
      <c r="L36">
        <v>15.49</v>
      </c>
      <c r="M36">
        <v>0</v>
      </c>
      <c r="N36">
        <v>0.46</v>
      </c>
      <c r="O36">
        <v>0.32</v>
      </c>
      <c r="P36">
        <v>0</v>
      </c>
      <c r="Q36">
        <v>0.46</v>
      </c>
      <c r="R36">
        <v>0.33</v>
      </c>
      <c r="S36">
        <v>-14.3</v>
      </c>
      <c r="T36">
        <v>2.6</v>
      </c>
      <c r="U36">
        <v>8.1999999999999993</v>
      </c>
      <c r="V36" t="s">
        <v>2</v>
      </c>
    </row>
    <row r="37" spans="1:22" ht="15.5" x14ac:dyDescent="0.35">
      <c r="A37">
        <v>31</v>
      </c>
      <c r="B37" t="s">
        <v>744</v>
      </c>
      <c r="C37" t="s">
        <v>164</v>
      </c>
      <c r="D37" t="s">
        <v>955</v>
      </c>
      <c r="E37" t="s">
        <v>959</v>
      </c>
      <c r="F37">
        <v>10.08</v>
      </c>
      <c r="G37">
        <v>378.85</v>
      </c>
      <c r="H37">
        <v>10.19</v>
      </c>
      <c r="I37">
        <v>11.73</v>
      </c>
      <c r="J37">
        <v>12.56</v>
      </c>
      <c r="K37" t="s">
        <v>81</v>
      </c>
      <c r="L37">
        <v>12.56</v>
      </c>
      <c r="M37">
        <v>2.37</v>
      </c>
      <c r="N37">
        <v>0.83</v>
      </c>
      <c r="O37">
        <v>0</v>
      </c>
      <c r="P37">
        <v>2.39</v>
      </c>
      <c r="Q37">
        <v>0.96</v>
      </c>
      <c r="R37">
        <v>0</v>
      </c>
      <c r="S37">
        <v>8.5</v>
      </c>
      <c r="T37">
        <v>30.8</v>
      </c>
      <c r="U37">
        <v>36.700000000000003</v>
      </c>
      <c r="V37" t="s">
        <v>960</v>
      </c>
    </row>
    <row r="38" spans="1:22" ht="15.5" x14ac:dyDescent="0.35">
      <c r="A38">
        <v>32</v>
      </c>
      <c r="B38" t="s">
        <v>735</v>
      </c>
      <c r="C38" t="s">
        <v>164</v>
      </c>
      <c r="D38" t="s">
        <v>955</v>
      </c>
      <c r="E38" t="s">
        <v>956</v>
      </c>
      <c r="F38">
        <v>12.57</v>
      </c>
      <c r="G38">
        <v>378.85</v>
      </c>
      <c r="H38">
        <v>12.66</v>
      </c>
      <c r="I38">
        <v>13.93</v>
      </c>
      <c r="J38">
        <v>14.64</v>
      </c>
      <c r="K38" t="s">
        <v>81</v>
      </c>
      <c r="L38">
        <v>14.64</v>
      </c>
      <c r="M38">
        <v>1.98</v>
      </c>
      <c r="N38">
        <v>0.71</v>
      </c>
      <c r="O38">
        <v>0</v>
      </c>
      <c r="P38">
        <v>1.99</v>
      </c>
      <c r="Q38">
        <v>0.78</v>
      </c>
      <c r="R38">
        <v>0</v>
      </c>
      <c r="S38">
        <v>6.8</v>
      </c>
      <c r="T38">
        <v>25.5</v>
      </c>
      <c r="U38">
        <v>30.8</v>
      </c>
      <c r="V38" t="s">
        <v>957</v>
      </c>
    </row>
    <row r="39" spans="1:22" ht="15.5" x14ac:dyDescent="0.35">
      <c r="A39">
        <v>33</v>
      </c>
      <c r="B39" t="s">
        <v>289</v>
      </c>
      <c r="C39" t="s">
        <v>164</v>
      </c>
      <c r="D39" t="s">
        <v>952</v>
      </c>
      <c r="E39" t="s">
        <v>953</v>
      </c>
      <c r="F39">
        <v>30</v>
      </c>
      <c r="G39">
        <v>384.19</v>
      </c>
      <c r="H39">
        <v>30.24</v>
      </c>
      <c r="I39">
        <v>30.01</v>
      </c>
      <c r="J39">
        <v>30.08</v>
      </c>
      <c r="K39" t="s">
        <v>78</v>
      </c>
      <c r="L39">
        <v>30.24</v>
      </c>
      <c r="M39">
        <v>0</v>
      </c>
      <c r="N39">
        <v>0.24</v>
      </c>
      <c r="O39">
        <v>0.17</v>
      </c>
      <c r="P39">
        <v>0</v>
      </c>
      <c r="Q39">
        <v>0.24</v>
      </c>
      <c r="R39">
        <v>0.17</v>
      </c>
      <c r="S39">
        <v>-7.3</v>
      </c>
      <c r="T39">
        <v>1.3</v>
      </c>
      <c r="U39">
        <v>4.0999999999999996</v>
      </c>
      <c r="V39" t="s">
        <v>2</v>
      </c>
    </row>
    <row r="40" spans="1:22" ht="15.5" x14ac:dyDescent="0.35">
      <c r="A40">
        <v>34</v>
      </c>
      <c r="B40" t="s">
        <v>291</v>
      </c>
      <c r="C40" t="s">
        <v>164</v>
      </c>
      <c r="D40" t="s">
        <v>952</v>
      </c>
      <c r="E40" t="s">
        <v>953</v>
      </c>
      <c r="F40">
        <v>17</v>
      </c>
      <c r="G40">
        <v>384.24</v>
      </c>
      <c r="H40">
        <v>17.440000000000001</v>
      </c>
      <c r="I40">
        <v>17.010000000000002</v>
      </c>
      <c r="J40">
        <v>17.13</v>
      </c>
      <c r="K40" t="s">
        <v>78</v>
      </c>
      <c r="L40">
        <v>17.440000000000001</v>
      </c>
      <c r="M40">
        <v>0</v>
      </c>
      <c r="N40">
        <v>0.43</v>
      </c>
      <c r="O40">
        <v>0.31</v>
      </c>
      <c r="P40">
        <v>0</v>
      </c>
      <c r="Q40">
        <v>0.43</v>
      </c>
      <c r="R40">
        <v>0.31</v>
      </c>
      <c r="S40">
        <v>-12.9</v>
      </c>
      <c r="T40">
        <v>2.1</v>
      </c>
      <c r="U40">
        <v>7.1</v>
      </c>
      <c r="V40" t="s">
        <v>2</v>
      </c>
    </row>
    <row r="41" spans="1:22" ht="15.5" x14ac:dyDescent="0.35">
      <c r="A41">
        <v>35</v>
      </c>
      <c r="B41" t="s">
        <v>293</v>
      </c>
      <c r="C41" t="s">
        <v>164</v>
      </c>
      <c r="D41" t="s">
        <v>952</v>
      </c>
      <c r="E41" t="s">
        <v>953</v>
      </c>
      <c r="F41">
        <v>36.5</v>
      </c>
      <c r="G41">
        <v>384.18</v>
      </c>
      <c r="H41">
        <v>36.700000000000003</v>
      </c>
      <c r="I41">
        <v>36.51</v>
      </c>
      <c r="J41">
        <v>36.56</v>
      </c>
      <c r="K41" t="s">
        <v>78</v>
      </c>
      <c r="L41">
        <v>36.700000000000003</v>
      </c>
      <c r="M41">
        <v>0</v>
      </c>
      <c r="N41">
        <v>0.19</v>
      </c>
      <c r="O41">
        <v>0.14000000000000001</v>
      </c>
      <c r="P41">
        <v>0</v>
      </c>
      <c r="Q41">
        <v>0.19</v>
      </c>
      <c r="R41">
        <v>0.14000000000000001</v>
      </c>
      <c r="S41">
        <v>-6</v>
      </c>
      <c r="T41">
        <v>1.1000000000000001</v>
      </c>
      <c r="U41">
        <v>3.4</v>
      </c>
      <c r="V41" t="s">
        <v>2</v>
      </c>
    </row>
    <row r="42" spans="1:22" ht="15.5" x14ac:dyDescent="0.35">
      <c r="A42">
        <v>36</v>
      </c>
      <c r="B42" t="s">
        <v>747</v>
      </c>
      <c r="C42" t="s">
        <v>164</v>
      </c>
      <c r="D42" t="s">
        <v>955</v>
      </c>
      <c r="E42" t="s">
        <v>961</v>
      </c>
      <c r="F42">
        <v>9.01</v>
      </c>
      <c r="G42">
        <v>378.85</v>
      </c>
      <c r="H42">
        <v>9.1300000000000008</v>
      </c>
      <c r="I42">
        <v>10.82</v>
      </c>
      <c r="J42">
        <v>11.72</v>
      </c>
      <c r="K42" t="s">
        <v>81</v>
      </c>
      <c r="L42">
        <v>11.72</v>
      </c>
      <c r="M42">
        <v>2.59</v>
      </c>
      <c r="N42">
        <v>0.9</v>
      </c>
      <c r="O42">
        <v>0</v>
      </c>
      <c r="P42">
        <v>2.62</v>
      </c>
      <c r="Q42">
        <v>1.06</v>
      </c>
      <c r="R42">
        <v>0</v>
      </c>
      <c r="S42">
        <v>9.5</v>
      </c>
      <c r="T42">
        <v>33.700000000000003</v>
      </c>
      <c r="U42">
        <v>39.799999999999997</v>
      </c>
      <c r="V42" t="s">
        <v>962</v>
      </c>
    </row>
    <row r="43" spans="1:22" ht="15.5" x14ac:dyDescent="0.35">
      <c r="A43">
        <v>37</v>
      </c>
      <c r="B43" t="s">
        <v>750</v>
      </c>
      <c r="C43" t="s">
        <v>164</v>
      </c>
      <c r="D43" t="s">
        <v>955</v>
      </c>
      <c r="E43" t="s">
        <v>963</v>
      </c>
      <c r="F43">
        <v>14.23</v>
      </c>
      <c r="G43">
        <v>378.85</v>
      </c>
      <c r="H43">
        <v>14.31</v>
      </c>
      <c r="I43">
        <v>15.44</v>
      </c>
      <c r="J43">
        <v>16.09</v>
      </c>
      <c r="K43" t="s">
        <v>81</v>
      </c>
      <c r="L43">
        <v>16.09</v>
      </c>
      <c r="M43">
        <v>1.78</v>
      </c>
      <c r="N43">
        <v>0.64</v>
      </c>
      <c r="O43">
        <v>0</v>
      </c>
      <c r="P43">
        <v>1.79</v>
      </c>
      <c r="Q43">
        <v>0.69</v>
      </c>
      <c r="R43">
        <v>0</v>
      </c>
      <c r="S43">
        <v>6</v>
      </c>
      <c r="T43">
        <v>22.9</v>
      </c>
      <c r="U43">
        <v>27.8</v>
      </c>
      <c r="V43" t="s">
        <v>957</v>
      </c>
    </row>
    <row r="44" spans="1:22" ht="15.5" x14ac:dyDescent="0.35">
      <c r="A44">
        <v>38</v>
      </c>
      <c r="B44" t="s">
        <v>295</v>
      </c>
      <c r="C44" t="s">
        <v>164</v>
      </c>
      <c r="D44" t="s">
        <v>952</v>
      </c>
      <c r="E44" t="s">
        <v>953</v>
      </c>
      <c r="F44">
        <v>40</v>
      </c>
      <c r="G44">
        <v>384.12</v>
      </c>
      <c r="H44">
        <v>40.18</v>
      </c>
      <c r="I44">
        <v>40.01</v>
      </c>
      <c r="J44">
        <v>40.06</v>
      </c>
      <c r="K44" t="s">
        <v>78</v>
      </c>
      <c r="L44">
        <v>40.18</v>
      </c>
      <c r="M44">
        <v>0</v>
      </c>
      <c r="N44">
        <v>0.17</v>
      </c>
      <c r="O44">
        <v>0.11</v>
      </c>
      <c r="P44">
        <v>0</v>
      </c>
      <c r="Q44">
        <v>0.17</v>
      </c>
      <c r="R44">
        <v>0.11</v>
      </c>
      <c r="S44">
        <v>-5.4</v>
      </c>
      <c r="T44">
        <v>1.1000000000000001</v>
      </c>
      <c r="U44">
        <v>3.2</v>
      </c>
      <c r="V44" t="s">
        <v>2</v>
      </c>
    </row>
    <row r="45" spans="1:22" ht="15.5" x14ac:dyDescent="0.35">
      <c r="A45">
        <v>39</v>
      </c>
      <c r="B45" t="s">
        <v>742</v>
      </c>
      <c r="C45" t="s">
        <v>164</v>
      </c>
      <c r="D45" t="s">
        <v>955</v>
      </c>
      <c r="E45" t="s">
        <v>958</v>
      </c>
      <c r="F45">
        <v>11.3</v>
      </c>
      <c r="G45">
        <v>378.85</v>
      </c>
      <c r="H45">
        <v>11.4</v>
      </c>
      <c r="I45">
        <v>12.79</v>
      </c>
      <c r="J45">
        <v>13.56</v>
      </c>
      <c r="K45" t="s">
        <v>81</v>
      </c>
      <c r="L45">
        <v>13.56</v>
      </c>
      <c r="M45">
        <v>2.16</v>
      </c>
      <c r="N45">
        <v>0.77</v>
      </c>
      <c r="O45">
        <v>0</v>
      </c>
      <c r="P45">
        <v>2.1800000000000002</v>
      </c>
      <c r="Q45">
        <v>0.86</v>
      </c>
      <c r="R45">
        <v>0</v>
      </c>
      <c r="S45">
        <v>7.6</v>
      </c>
      <c r="T45">
        <v>28</v>
      </c>
      <c r="U45">
        <v>33.6</v>
      </c>
      <c r="V45" t="s">
        <v>957</v>
      </c>
    </row>
    <row r="46" spans="1:22" ht="15.5" x14ac:dyDescent="0.35">
      <c r="A46">
        <v>40</v>
      </c>
      <c r="B46" t="s">
        <v>297</v>
      </c>
      <c r="C46" t="s">
        <v>165</v>
      </c>
      <c r="D46" t="s">
        <v>952</v>
      </c>
      <c r="E46" t="s">
        <v>953</v>
      </c>
      <c r="F46">
        <v>26.29</v>
      </c>
      <c r="G46">
        <v>385.14</v>
      </c>
      <c r="H46">
        <v>26.72</v>
      </c>
      <c r="I46">
        <v>26.29</v>
      </c>
      <c r="J46">
        <v>26.32</v>
      </c>
      <c r="K46" t="s">
        <v>78</v>
      </c>
      <c r="L46">
        <v>26.72</v>
      </c>
      <c r="M46">
        <v>0</v>
      </c>
      <c r="N46">
        <v>0.43</v>
      </c>
      <c r="O46">
        <v>0.4</v>
      </c>
      <c r="P46">
        <v>0</v>
      </c>
      <c r="Q46">
        <v>0.43</v>
      </c>
      <c r="R46">
        <v>0.4</v>
      </c>
      <c r="S46">
        <v>-10.3</v>
      </c>
      <c r="T46">
        <v>-0.6</v>
      </c>
      <c r="U46">
        <v>2.6</v>
      </c>
      <c r="V46" t="s">
        <v>2</v>
      </c>
    </row>
    <row r="47" spans="1:22" ht="15.5" x14ac:dyDescent="0.35">
      <c r="A47">
        <v>41</v>
      </c>
      <c r="B47" t="s">
        <v>299</v>
      </c>
      <c r="C47" t="s">
        <v>165</v>
      </c>
      <c r="D47" t="s">
        <v>952</v>
      </c>
      <c r="E47" t="s">
        <v>953</v>
      </c>
      <c r="F47">
        <v>15.87</v>
      </c>
      <c r="G47">
        <v>384.65</v>
      </c>
      <c r="H47">
        <v>16.440000000000001</v>
      </c>
      <c r="I47">
        <v>15.87</v>
      </c>
      <c r="J47">
        <v>15.96</v>
      </c>
      <c r="K47" t="s">
        <v>78</v>
      </c>
      <c r="L47">
        <v>16.440000000000001</v>
      </c>
      <c r="M47">
        <v>0</v>
      </c>
      <c r="N47">
        <v>0.56999999999999995</v>
      </c>
      <c r="O47">
        <v>0.48</v>
      </c>
      <c r="P47">
        <v>0</v>
      </c>
      <c r="Q47">
        <v>0.56999999999999995</v>
      </c>
      <c r="R47">
        <v>0.48</v>
      </c>
      <c r="S47">
        <v>-15.2</v>
      </c>
      <c r="T47">
        <v>0.7</v>
      </c>
      <c r="U47">
        <v>6.1</v>
      </c>
      <c r="V47" t="s">
        <v>2</v>
      </c>
    </row>
    <row r="48" spans="1:22" ht="15.5" x14ac:dyDescent="0.35">
      <c r="A48">
        <v>42</v>
      </c>
      <c r="B48" t="s">
        <v>301</v>
      </c>
      <c r="C48" t="s">
        <v>165</v>
      </c>
      <c r="D48" t="s">
        <v>952</v>
      </c>
      <c r="E48" t="s">
        <v>953</v>
      </c>
      <c r="F48">
        <v>16.91</v>
      </c>
      <c r="G48">
        <v>384.6</v>
      </c>
      <c r="H48">
        <v>17.440000000000001</v>
      </c>
      <c r="I48">
        <v>16.91</v>
      </c>
      <c r="J48">
        <v>17</v>
      </c>
      <c r="K48" t="s">
        <v>78</v>
      </c>
      <c r="L48">
        <v>17.440000000000001</v>
      </c>
      <c r="M48">
        <v>0</v>
      </c>
      <c r="N48">
        <v>0.52</v>
      </c>
      <c r="O48">
        <v>0.44</v>
      </c>
      <c r="P48">
        <v>0</v>
      </c>
      <c r="Q48">
        <v>0.52</v>
      </c>
      <c r="R48">
        <v>0.44</v>
      </c>
      <c r="S48">
        <v>-14.1</v>
      </c>
      <c r="T48">
        <v>0.9</v>
      </c>
      <c r="U48">
        <v>5.9</v>
      </c>
      <c r="V48" t="s">
        <v>2</v>
      </c>
    </row>
    <row r="49" spans="1:22" ht="15.5" x14ac:dyDescent="0.35">
      <c r="A49">
        <v>43</v>
      </c>
      <c r="B49" t="s">
        <v>303</v>
      </c>
      <c r="C49" t="s">
        <v>165</v>
      </c>
      <c r="D49" t="s">
        <v>952</v>
      </c>
      <c r="E49" t="s">
        <v>953</v>
      </c>
      <c r="F49">
        <v>17.68</v>
      </c>
      <c r="G49">
        <v>385.05</v>
      </c>
      <c r="H49">
        <v>18.29</v>
      </c>
      <c r="I49">
        <v>17.68</v>
      </c>
      <c r="J49">
        <v>17.73</v>
      </c>
      <c r="K49" t="s">
        <v>78</v>
      </c>
      <c r="L49">
        <v>18.29</v>
      </c>
      <c r="M49">
        <v>0</v>
      </c>
      <c r="N49">
        <v>0.61</v>
      </c>
      <c r="O49">
        <v>0.56999999999999995</v>
      </c>
      <c r="P49">
        <v>0</v>
      </c>
      <c r="Q49">
        <v>0.61</v>
      </c>
      <c r="R49">
        <v>0.56999999999999995</v>
      </c>
      <c r="S49">
        <v>-14.9</v>
      </c>
      <c r="T49">
        <v>-0.6</v>
      </c>
      <c r="U49">
        <v>4.2</v>
      </c>
      <c r="V49" t="s">
        <v>2</v>
      </c>
    </row>
    <row r="50" spans="1:22" ht="15.5" x14ac:dyDescent="0.35">
      <c r="A50">
        <v>44</v>
      </c>
      <c r="B50" t="s">
        <v>305</v>
      </c>
      <c r="C50" t="s">
        <v>165</v>
      </c>
      <c r="D50" t="s">
        <v>952</v>
      </c>
      <c r="E50" t="s">
        <v>953</v>
      </c>
      <c r="F50">
        <v>20.05</v>
      </c>
      <c r="G50">
        <v>384.34</v>
      </c>
      <c r="H50">
        <v>20.440000000000001</v>
      </c>
      <c r="I50">
        <v>20.059999999999999</v>
      </c>
      <c r="J50">
        <v>20.149999999999999</v>
      </c>
      <c r="K50" t="s">
        <v>78</v>
      </c>
      <c r="L50">
        <v>20.440000000000001</v>
      </c>
      <c r="M50">
        <v>0</v>
      </c>
      <c r="N50">
        <v>0.39</v>
      </c>
      <c r="O50">
        <v>0.28999999999999998</v>
      </c>
      <c r="P50">
        <v>0</v>
      </c>
      <c r="Q50">
        <v>0.39</v>
      </c>
      <c r="R50">
        <v>0.3</v>
      </c>
      <c r="S50">
        <v>-11.3</v>
      </c>
      <c r="T50">
        <v>1.4</v>
      </c>
      <c r="U50">
        <v>5.7</v>
      </c>
      <c r="V50" t="s">
        <v>2</v>
      </c>
    </row>
    <row r="51" spans="1:22" ht="15.5" x14ac:dyDescent="0.35">
      <c r="A51">
        <v>45</v>
      </c>
      <c r="B51" t="s">
        <v>307</v>
      </c>
      <c r="C51" t="s">
        <v>165</v>
      </c>
      <c r="D51" t="s">
        <v>952</v>
      </c>
      <c r="E51" t="s">
        <v>953</v>
      </c>
      <c r="F51">
        <v>19.53</v>
      </c>
      <c r="G51">
        <v>384.59</v>
      </c>
      <c r="H51">
        <v>19.989999999999998</v>
      </c>
      <c r="I51">
        <v>19.53</v>
      </c>
      <c r="J51">
        <v>19.61</v>
      </c>
      <c r="K51" t="s">
        <v>78</v>
      </c>
      <c r="L51">
        <v>19.989999999999998</v>
      </c>
      <c r="M51">
        <v>0</v>
      </c>
      <c r="N51">
        <v>0.45</v>
      </c>
      <c r="O51">
        <v>0.38</v>
      </c>
      <c r="P51">
        <v>0</v>
      </c>
      <c r="Q51">
        <v>0.45</v>
      </c>
      <c r="R51">
        <v>0.38</v>
      </c>
      <c r="S51">
        <v>-12.3</v>
      </c>
      <c r="T51">
        <v>0.8</v>
      </c>
      <c r="U51">
        <v>5.0999999999999996</v>
      </c>
      <c r="V51" t="s">
        <v>2</v>
      </c>
    </row>
    <row r="52" spans="1:22" ht="15.5" x14ac:dyDescent="0.35">
      <c r="A52">
        <v>46</v>
      </c>
      <c r="B52" t="s">
        <v>309</v>
      </c>
      <c r="C52" t="s">
        <v>165</v>
      </c>
      <c r="D52" t="s">
        <v>952</v>
      </c>
      <c r="E52" t="s">
        <v>953</v>
      </c>
      <c r="F52">
        <v>18.079999999999998</v>
      </c>
      <c r="G52">
        <v>384.4</v>
      </c>
      <c r="H52">
        <v>18.53</v>
      </c>
      <c r="I52">
        <v>18.09</v>
      </c>
      <c r="J52">
        <v>18.18</v>
      </c>
      <c r="K52" t="s">
        <v>78</v>
      </c>
      <c r="L52">
        <v>18.53</v>
      </c>
      <c r="M52">
        <v>0</v>
      </c>
      <c r="N52">
        <v>0.44</v>
      </c>
      <c r="O52">
        <v>0.34</v>
      </c>
      <c r="P52">
        <v>0</v>
      </c>
      <c r="Q52">
        <v>0.44</v>
      </c>
      <c r="R52">
        <v>0.35</v>
      </c>
      <c r="S52">
        <v>-12.6</v>
      </c>
      <c r="T52">
        <v>1.4</v>
      </c>
      <c r="U52">
        <v>6.1</v>
      </c>
      <c r="V52" t="s">
        <v>2</v>
      </c>
    </row>
    <row r="53" spans="1:22" ht="15.5" x14ac:dyDescent="0.35">
      <c r="A53">
        <v>47</v>
      </c>
      <c r="B53" t="s">
        <v>311</v>
      </c>
      <c r="C53" t="s">
        <v>165</v>
      </c>
      <c r="D53" t="s">
        <v>952</v>
      </c>
      <c r="E53" t="s">
        <v>953</v>
      </c>
      <c r="F53">
        <v>21.05</v>
      </c>
      <c r="G53">
        <v>384.48</v>
      </c>
      <c r="H53">
        <v>21.45</v>
      </c>
      <c r="I53">
        <v>21.05</v>
      </c>
      <c r="J53">
        <v>21.13</v>
      </c>
      <c r="K53" t="s">
        <v>78</v>
      </c>
      <c r="L53">
        <v>21.45</v>
      </c>
      <c r="M53">
        <v>0</v>
      </c>
      <c r="N53">
        <v>0.4</v>
      </c>
      <c r="O53">
        <v>0.32</v>
      </c>
      <c r="P53">
        <v>0</v>
      </c>
      <c r="Q53">
        <v>0.4</v>
      </c>
      <c r="R53">
        <v>0.32</v>
      </c>
      <c r="S53">
        <v>-11.1</v>
      </c>
      <c r="T53">
        <v>1</v>
      </c>
      <c r="U53">
        <v>5.0999999999999996</v>
      </c>
      <c r="V53" t="s">
        <v>2</v>
      </c>
    </row>
    <row r="54" spans="1:22" ht="15.5" x14ac:dyDescent="0.35">
      <c r="A54">
        <v>48</v>
      </c>
      <c r="B54" t="s">
        <v>313</v>
      </c>
      <c r="C54" t="s">
        <v>165</v>
      </c>
      <c r="D54" t="s">
        <v>952</v>
      </c>
      <c r="E54" t="s">
        <v>953</v>
      </c>
      <c r="F54">
        <v>21.43</v>
      </c>
      <c r="G54">
        <v>384.55</v>
      </c>
      <c r="H54">
        <v>21.84</v>
      </c>
      <c r="I54">
        <v>21.43</v>
      </c>
      <c r="J54">
        <v>21.51</v>
      </c>
      <c r="K54" t="s">
        <v>78</v>
      </c>
      <c r="L54">
        <v>21.84</v>
      </c>
      <c r="M54">
        <v>0</v>
      </c>
      <c r="N54">
        <v>0.41</v>
      </c>
      <c r="O54">
        <v>0.33</v>
      </c>
      <c r="P54">
        <v>0</v>
      </c>
      <c r="Q54">
        <v>0.41</v>
      </c>
      <c r="R54">
        <v>0.33</v>
      </c>
      <c r="S54">
        <v>-11.1</v>
      </c>
      <c r="T54">
        <v>0.8</v>
      </c>
      <c r="U54">
        <v>4.8</v>
      </c>
      <c r="V54" t="s">
        <v>2</v>
      </c>
    </row>
    <row r="55" spans="1:22" ht="15.5" x14ac:dyDescent="0.35">
      <c r="A55">
        <v>49</v>
      </c>
      <c r="B55" t="s">
        <v>315</v>
      </c>
      <c r="C55" t="s">
        <v>165</v>
      </c>
      <c r="D55" t="s">
        <v>952</v>
      </c>
      <c r="E55" t="s">
        <v>953</v>
      </c>
      <c r="F55">
        <v>22.95</v>
      </c>
      <c r="G55">
        <v>384.39</v>
      </c>
      <c r="H55">
        <v>23.3</v>
      </c>
      <c r="I55">
        <v>22.95</v>
      </c>
      <c r="J55">
        <v>23.03</v>
      </c>
      <c r="K55" t="s">
        <v>78</v>
      </c>
      <c r="L55">
        <v>23.3</v>
      </c>
      <c r="M55">
        <v>0</v>
      </c>
      <c r="N55">
        <v>0.35</v>
      </c>
      <c r="O55">
        <v>0.27</v>
      </c>
      <c r="P55">
        <v>0</v>
      </c>
      <c r="Q55">
        <v>0.35</v>
      </c>
      <c r="R55">
        <v>0.27</v>
      </c>
      <c r="S55">
        <v>-10</v>
      </c>
      <c r="T55">
        <v>1.1000000000000001</v>
      </c>
      <c r="U55">
        <v>4.9000000000000004</v>
      </c>
      <c r="V55" t="s">
        <v>2</v>
      </c>
    </row>
    <row r="56" spans="1:22" ht="15.5" x14ac:dyDescent="0.35">
      <c r="A56">
        <v>50</v>
      </c>
      <c r="B56" t="s">
        <v>317</v>
      </c>
      <c r="C56" t="s">
        <v>165</v>
      </c>
      <c r="D56" t="s">
        <v>952</v>
      </c>
      <c r="E56" t="s">
        <v>953</v>
      </c>
      <c r="F56">
        <v>23.71</v>
      </c>
      <c r="G56">
        <v>384.57</v>
      </c>
      <c r="H56">
        <v>24.08</v>
      </c>
      <c r="I56">
        <v>23.71</v>
      </c>
      <c r="J56">
        <v>23.78</v>
      </c>
      <c r="K56" t="s">
        <v>78</v>
      </c>
      <c r="L56">
        <v>24.08</v>
      </c>
      <c r="M56">
        <v>0</v>
      </c>
      <c r="N56">
        <v>0.37</v>
      </c>
      <c r="O56">
        <v>0.31</v>
      </c>
      <c r="P56">
        <v>0</v>
      </c>
      <c r="Q56">
        <v>0.37</v>
      </c>
      <c r="R56">
        <v>0.31</v>
      </c>
      <c r="S56">
        <v>-10.1</v>
      </c>
      <c r="T56">
        <v>0.7</v>
      </c>
      <c r="U56">
        <v>4.3</v>
      </c>
      <c r="V56" t="s">
        <v>2</v>
      </c>
    </row>
    <row r="57" spans="1:22" ht="15.5" x14ac:dyDescent="0.35">
      <c r="A57">
        <v>51</v>
      </c>
      <c r="B57" t="s">
        <v>753</v>
      </c>
      <c r="C57" t="s">
        <v>165</v>
      </c>
      <c r="D57" t="s">
        <v>955</v>
      </c>
      <c r="E57" t="s">
        <v>964</v>
      </c>
      <c r="F57">
        <v>9.36</v>
      </c>
      <c r="G57">
        <v>378.85</v>
      </c>
      <c r="H57">
        <v>9.48</v>
      </c>
      <c r="I57">
        <v>11.12</v>
      </c>
      <c r="J57">
        <v>11.99</v>
      </c>
      <c r="K57" t="s">
        <v>81</v>
      </c>
      <c r="L57">
        <v>11.99</v>
      </c>
      <c r="M57">
        <v>2.5099999999999998</v>
      </c>
      <c r="N57">
        <v>0.88</v>
      </c>
      <c r="O57">
        <v>0</v>
      </c>
      <c r="P57">
        <v>2.54</v>
      </c>
      <c r="Q57">
        <v>1.03</v>
      </c>
      <c r="R57">
        <v>0</v>
      </c>
      <c r="S57">
        <v>9.1</v>
      </c>
      <c r="T57">
        <v>32.700000000000003</v>
      </c>
      <c r="U57">
        <v>38.700000000000003</v>
      </c>
      <c r="V57" t="s">
        <v>965</v>
      </c>
    </row>
    <row r="58" spans="1:22" ht="15.5" x14ac:dyDescent="0.35">
      <c r="A58">
        <v>52</v>
      </c>
      <c r="B58" t="s">
        <v>751</v>
      </c>
      <c r="C58" t="s">
        <v>165</v>
      </c>
      <c r="D58" t="s">
        <v>955</v>
      </c>
      <c r="E58" t="s">
        <v>963</v>
      </c>
      <c r="F58">
        <v>14.23</v>
      </c>
      <c r="G58">
        <v>378.85</v>
      </c>
      <c r="H58">
        <v>14.31</v>
      </c>
      <c r="I58">
        <v>15.44</v>
      </c>
      <c r="J58">
        <v>16.09</v>
      </c>
      <c r="K58" t="s">
        <v>81</v>
      </c>
      <c r="L58">
        <v>16.09</v>
      </c>
      <c r="M58">
        <v>1.78</v>
      </c>
      <c r="N58">
        <v>0.64</v>
      </c>
      <c r="O58">
        <v>0</v>
      </c>
      <c r="P58">
        <v>1.79</v>
      </c>
      <c r="Q58">
        <v>0.69</v>
      </c>
      <c r="R58">
        <v>0</v>
      </c>
      <c r="S58">
        <v>6</v>
      </c>
      <c r="T58">
        <v>22.9</v>
      </c>
      <c r="U58">
        <v>27.8</v>
      </c>
      <c r="V58" t="s">
        <v>957</v>
      </c>
    </row>
    <row r="59" spans="1:22" ht="15.5" x14ac:dyDescent="0.35">
      <c r="A59">
        <v>53</v>
      </c>
      <c r="B59" t="s">
        <v>757</v>
      </c>
      <c r="C59" t="s">
        <v>165</v>
      </c>
      <c r="D59" t="s">
        <v>955</v>
      </c>
      <c r="E59" t="s">
        <v>966</v>
      </c>
      <c r="F59">
        <v>15.33</v>
      </c>
      <c r="G59">
        <v>378.85</v>
      </c>
      <c r="H59">
        <v>15.4</v>
      </c>
      <c r="I59">
        <v>16.46</v>
      </c>
      <c r="J59">
        <v>17.07</v>
      </c>
      <c r="K59" t="s">
        <v>81</v>
      </c>
      <c r="L59">
        <v>17.07</v>
      </c>
      <c r="M59">
        <v>1.66</v>
      </c>
      <c r="N59">
        <v>0.6</v>
      </c>
      <c r="O59">
        <v>0</v>
      </c>
      <c r="P59">
        <v>1.67</v>
      </c>
      <c r="Q59">
        <v>0.65</v>
      </c>
      <c r="R59">
        <v>0</v>
      </c>
      <c r="S59">
        <v>5.6</v>
      </c>
      <c r="T59">
        <v>21.4</v>
      </c>
      <c r="U59">
        <v>26.1</v>
      </c>
      <c r="V59" t="s">
        <v>957</v>
      </c>
    </row>
    <row r="60" spans="1:22" ht="15.5" x14ac:dyDescent="0.35">
      <c r="A60">
        <v>54</v>
      </c>
      <c r="B60" t="s">
        <v>319</v>
      </c>
      <c r="C60" t="s">
        <v>165</v>
      </c>
      <c r="D60" t="s">
        <v>952</v>
      </c>
      <c r="E60" t="s">
        <v>953</v>
      </c>
      <c r="F60">
        <v>58</v>
      </c>
      <c r="G60">
        <v>385.18</v>
      </c>
      <c r="H60">
        <v>58.2</v>
      </c>
      <c r="I60">
        <v>58</v>
      </c>
      <c r="J60">
        <v>58.01</v>
      </c>
      <c r="K60" t="s">
        <v>78</v>
      </c>
      <c r="L60">
        <v>58.2</v>
      </c>
      <c r="M60">
        <v>0</v>
      </c>
      <c r="N60">
        <v>0.2</v>
      </c>
      <c r="O60">
        <v>0.19</v>
      </c>
      <c r="P60">
        <v>0</v>
      </c>
      <c r="Q60">
        <v>0.2</v>
      </c>
      <c r="R60">
        <v>0.19</v>
      </c>
      <c r="S60">
        <v>-4.8</v>
      </c>
      <c r="T60">
        <v>-0.3</v>
      </c>
      <c r="U60">
        <v>1.2</v>
      </c>
      <c r="V60" t="s">
        <v>2</v>
      </c>
    </row>
    <row r="61" spans="1:22" ht="15.5" x14ac:dyDescent="0.35">
      <c r="A61">
        <v>55</v>
      </c>
      <c r="B61" t="s">
        <v>322</v>
      </c>
      <c r="C61" t="s">
        <v>165</v>
      </c>
      <c r="D61" t="s">
        <v>952</v>
      </c>
      <c r="E61" t="s">
        <v>953</v>
      </c>
      <c r="F61">
        <v>33.5</v>
      </c>
      <c r="G61">
        <v>384.16</v>
      </c>
      <c r="H61">
        <v>33.72</v>
      </c>
      <c r="I61">
        <v>33.51</v>
      </c>
      <c r="J61">
        <v>33.57</v>
      </c>
      <c r="K61" t="s">
        <v>78</v>
      </c>
      <c r="L61">
        <v>33.72</v>
      </c>
      <c r="M61">
        <v>0</v>
      </c>
      <c r="N61">
        <v>0.21</v>
      </c>
      <c r="O61">
        <v>0.15</v>
      </c>
      <c r="P61">
        <v>0</v>
      </c>
      <c r="Q61">
        <v>0.21</v>
      </c>
      <c r="R61">
        <v>0.15</v>
      </c>
      <c r="S61">
        <v>-6.5</v>
      </c>
      <c r="T61">
        <v>1.2</v>
      </c>
      <c r="U61">
        <v>3.7</v>
      </c>
      <c r="V61" t="s">
        <v>2</v>
      </c>
    </row>
    <row r="62" spans="1:22" ht="15.5" x14ac:dyDescent="0.35">
      <c r="A62">
        <v>56</v>
      </c>
      <c r="B62" t="s">
        <v>748</v>
      </c>
      <c r="C62" t="s">
        <v>165</v>
      </c>
      <c r="D62" t="s">
        <v>955</v>
      </c>
      <c r="E62" t="s">
        <v>961</v>
      </c>
      <c r="F62">
        <v>9.02</v>
      </c>
      <c r="G62">
        <v>378.85</v>
      </c>
      <c r="H62">
        <v>9.14</v>
      </c>
      <c r="I62">
        <v>10.83</v>
      </c>
      <c r="J62">
        <v>11.73</v>
      </c>
      <c r="K62" t="s">
        <v>81</v>
      </c>
      <c r="L62">
        <v>11.73</v>
      </c>
      <c r="M62">
        <v>2.59</v>
      </c>
      <c r="N62">
        <v>0.9</v>
      </c>
      <c r="O62">
        <v>0</v>
      </c>
      <c r="P62">
        <v>2.61</v>
      </c>
      <c r="Q62">
        <v>1.06</v>
      </c>
      <c r="R62">
        <v>0</v>
      </c>
      <c r="S62">
        <v>9.4</v>
      </c>
      <c r="T62">
        <v>33.6</v>
      </c>
      <c r="U62">
        <v>39.700000000000003</v>
      </c>
      <c r="V62" t="s">
        <v>962</v>
      </c>
    </row>
    <row r="63" spans="1:22" ht="15.5" x14ac:dyDescent="0.35">
      <c r="A63">
        <v>57</v>
      </c>
      <c r="B63" t="s">
        <v>324</v>
      </c>
      <c r="C63" t="s">
        <v>165</v>
      </c>
      <c r="D63" t="s">
        <v>952</v>
      </c>
      <c r="E63" t="s">
        <v>953</v>
      </c>
      <c r="F63">
        <v>20.5</v>
      </c>
      <c r="G63">
        <v>384.13</v>
      </c>
      <c r="H63">
        <v>20.85</v>
      </c>
      <c r="I63">
        <v>20.51</v>
      </c>
      <c r="J63">
        <v>20.62</v>
      </c>
      <c r="K63" t="s">
        <v>78</v>
      </c>
      <c r="L63">
        <v>20.85</v>
      </c>
      <c r="M63">
        <v>0</v>
      </c>
      <c r="N63">
        <v>0.33</v>
      </c>
      <c r="O63">
        <v>0.23</v>
      </c>
      <c r="P63">
        <v>0</v>
      </c>
      <c r="Q63">
        <v>0.33</v>
      </c>
      <c r="R63">
        <v>0.23</v>
      </c>
      <c r="S63">
        <v>-10.5</v>
      </c>
      <c r="T63">
        <v>2</v>
      </c>
      <c r="U63">
        <v>6.2</v>
      </c>
      <c r="V63" t="s">
        <v>2</v>
      </c>
    </row>
    <row r="64" spans="1:22" ht="15.5" x14ac:dyDescent="0.35">
      <c r="A64">
        <v>58</v>
      </c>
      <c r="B64" t="s">
        <v>326</v>
      </c>
      <c r="C64" t="s">
        <v>165</v>
      </c>
      <c r="D64" t="s">
        <v>952</v>
      </c>
      <c r="E64" t="s">
        <v>953</v>
      </c>
      <c r="F64">
        <v>15</v>
      </c>
      <c r="G64">
        <v>384.15</v>
      </c>
      <c r="H64">
        <v>15.47</v>
      </c>
      <c r="I64">
        <v>15.02</v>
      </c>
      <c r="J64">
        <v>15.16</v>
      </c>
      <c r="K64" t="s">
        <v>78</v>
      </c>
      <c r="L64">
        <v>15.47</v>
      </c>
      <c r="M64">
        <v>0</v>
      </c>
      <c r="N64">
        <v>0.46</v>
      </c>
      <c r="O64">
        <v>0.31</v>
      </c>
      <c r="P64">
        <v>0</v>
      </c>
      <c r="Q64">
        <v>0.46</v>
      </c>
      <c r="R64">
        <v>0.32</v>
      </c>
      <c r="S64">
        <v>-14.2</v>
      </c>
      <c r="T64">
        <v>2.7</v>
      </c>
      <c r="U64">
        <v>8.3000000000000007</v>
      </c>
      <c r="V64" t="s">
        <v>2</v>
      </c>
    </row>
    <row r="65" spans="1:22" ht="15.5" x14ac:dyDescent="0.35">
      <c r="A65">
        <v>59</v>
      </c>
      <c r="B65" t="s">
        <v>760</v>
      </c>
      <c r="C65" t="s">
        <v>165</v>
      </c>
      <c r="D65" t="s">
        <v>955</v>
      </c>
      <c r="E65" t="s">
        <v>967</v>
      </c>
      <c r="F65">
        <v>12.34</v>
      </c>
      <c r="G65">
        <v>378.85</v>
      </c>
      <c r="H65">
        <v>12.43</v>
      </c>
      <c r="I65">
        <v>13.72</v>
      </c>
      <c r="J65">
        <v>14.44</v>
      </c>
      <c r="K65" t="s">
        <v>81</v>
      </c>
      <c r="L65">
        <v>14.44</v>
      </c>
      <c r="M65">
        <v>2.0099999999999998</v>
      </c>
      <c r="N65">
        <v>0.72</v>
      </c>
      <c r="O65">
        <v>0</v>
      </c>
      <c r="P65">
        <v>2.02</v>
      </c>
      <c r="Q65">
        <v>0.79</v>
      </c>
      <c r="R65">
        <v>0</v>
      </c>
      <c r="S65">
        <v>6.9</v>
      </c>
      <c r="T65">
        <v>25.9</v>
      </c>
      <c r="U65">
        <v>31.3</v>
      </c>
      <c r="V65" t="s">
        <v>957</v>
      </c>
    </row>
    <row r="66" spans="1:22" ht="15.5" x14ac:dyDescent="0.35">
      <c r="A66">
        <v>60</v>
      </c>
      <c r="B66" t="s">
        <v>763</v>
      </c>
      <c r="C66" t="s">
        <v>165</v>
      </c>
      <c r="D66" t="s">
        <v>955</v>
      </c>
      <c r="E66" t="s">
        <v>968</v>
      </c>
      <c r="F66">
        <v>9.6</v>
      </c>
      <c r="G66">
        <v>378.85</v>
      </c>
      <c r="H66">
        <v>9.7200000000000006</v>
      </c>
      <c r="I66">
        <v>11.32</v>
      </c>
      <c r="J66">
        <v>12.18</v>
      </c>
      <c r="K66" t="s">
        <v>81</v>
      </c>
      <c r="L66">
        <v>12.18</v>
      </c>
      <c r="M66">
        <v>2.4700000000000002</v>
      </c>
      <c r="N66">
        <v>0.86</v>
      </c>
      <c r="O66">
        <v>0</v>
      </c>
      <c r="P66">
        <v>2.4900000000000002</v>
      </c>
      <c r="Q66">
        <v>1</v>
      </c>
      <c r="R66">
        <v>0</v>
      </c>
      <c r="S66">
        <v>8.9</v>
      </c>
      <c r="T66">
        <v>32</v>
      </c>
      <c r="U66">
        <v>38</v>
      </c>
      <c r="V66" t="s">
        <v>969</v>
      </c>
    </row>
    <row r="67" spans="1:22" ht="15.5" x14ac:dyDescent="0.35">
      <c r="A67">
        <v>61</v>
      </c>
      <c r="B67" t="s">
        <v>745</v>
      </c>
      <c r="C67" t="s">
        <v>165</v>
      </c>
      <c r="D67" t="s">
        <v>955</v>
      </c>
      <c r="E67" t="s">
        <v>959</v>
      </c>
      <c r="F67">
        <v>10.07</v>
      </c>
      <c r="G67">
        <v>378.85</v>
      </c>
      <c r="H67">
        <v>10.18</v>
      </c>
      <c r="I67">
        <v>11.72</v>
      </c>
      <c r="J67">
        <v>12.56</v>
      </c>
      <c r="K67" t="s">
        <v>81</v>
      </c>
      <c r="L67">
        <v>12.56</v>
      </c>
      <c r="M67">
        <v>2.37</v>
      </c>
      <c r="N67">
        <v>0.83</v>
      </c>
      <c r="O67">
        <v>0</v>
      </c>
      <c r="P67">
        <v>2.4</v>
      </c>
      <c r="Q67">
        <v>0.96</v>
      </c>
      <c r="R67">
        <v>0</v>
      </c>
      <c r="S67">
        <v>8.5</v>
      </c>
      <c r="T67">
        <v>30.8</v>
      </c>
      <c r="U67">
        <v>36.700000000000003</v>
      </c>
      <c r="V67" t="s">
        <v>960</v>
      </c>
    </row>
    <row r="68" spans="1:22" ht="15.5" x14ac:dyDescent="0.35">
      <c r="A68">
        <v>62</v>
      </c>
      <c r="B68" t="s">
        <v>328</v>
      </c>
      <c r="C68" t="s">
        <v>166</v>
      </c>
      <c r="D68" t="s">
        <v>952</v>
      </c>
      <c r="E68" t="s">
        <v>953</v>
      </c>
      <c r="F68">
        <v>17.04</v>
      </c>
      <c r="G68">
        <v>384.36</v>
      </c>
      <c r="H68">
        <v>17.510000000000002</v>
      </c>
      <c r="I68">
        <v>17.05</v>
      </c>
      <c r="J68">
        <v>17.16</v>
      </c>
      <c r="K68" t="s">
        <v>78</v>
      </c>
      <c r="L68">
        <v>17.510000000000002</v>
      </c>
      <c r="M68">
        <v>0</v>
      </c>
      <c r="N68">
        <v>0.46</v>
      </c>
      <c r="O68">
        <v>0.35</v>
      </c>
      <c r="P68">
        <v>0</v>
      </c>
      <c r="Q68">
        <v>0.46</v>
      </c>
      <c r="R68">
        <v>0.35</v>
      </c>
      <c r="S68">
        <v>-13.2</v>
      </c>
      <c r="T68">
        <v>1.6</v>
      </c>
      <c r="U68">
        <v>6.7</v>
      </c>
      <c r="V68" t="s">
        <v>2</v>
      </c>
    </row>
    <row r="69" spans="1:22" ht="15.5" x14ac:dyDescent="0.35">
      <c r="A69">
        <v>63</v>
      </c>
      <c r="B69" t="s">
        <v>330</v>
      </c>
      <c r="C69" t="s">
        <v>166</v>
      </c>
      <c r="D69" t="s">
        <v>952</v>
      </c>
      <c r="E69" t="s">
        <v>953</v>
      </c>
      <c r="F69">
        <v>18.55</v>
      </c>
      <c r="G69">
        <v>383.89</v>
      </c>
      <c r="H69">
        <v>18.89</v>
      </c>
      <c r="I69">
        <v>18.57</v>
      </c>
      <c r="J69">
        <v>18.71</v>
      </c>
      <c r="K69" t="s">
        <v>78</v>
      </c>
      <c r="L69">
        <v>18.89</v>
      </c>
      <c r="M69">
        <v>0</v>
      </c>
      <c r="N69">
        <v>0.31</v>
      </c>
      <c r="O69">
        <v>0.17</v>
      </c>
      <c r="P69">
        <v>0</v>
      </c>
      <c r="Q69">
        <v>0.31</v>
      </c>
      <c r="R69">
        <v>0.18</v>
      </c>
      <c r="S69">
        <v>-10.8</v>
      </c>
      <c r="T69">
        <v>2.9</v>
      </c>
      <c r="U69">
        <v>7.5</v>
      </c>
      <c r="V69" t="s">
        <v>2</v>
      </c>
    </row>
    <row r="70" spans="1:22" ht="15.5" x14ac:dyDescent="0.35">
      <c r="A70">
        <v>64</v>
      </c>
      <c r="B70" t="s">
        <v>332</v>
      </c>
      <c r="C70" t="s">
        <v>166</v>
      </c>
      <c r="D70" t="s">
        <v>952</v>
      </c>
      <c r="E70" t="s">
        <v>953</v>
      </c>
      <c r="F70">
        <v>25.95</v>
      </c>
      <c r="G70">
        <v>384.95</v>
      </c>
      <c r="H70">
        <v>26.35</v>
      </c>
      <c r="I70">
        <v>25.95</v>
      </c>
      <c r="J70">
        <v>25.99</v>
      </c>
      <c r="K70" t="s">
        <v>78</v>
      </c>
      <c r="L70">
        <v>26.35</v>
      </c>
      <c r="M70">
        <v>0</v>
      </c>
      <c r="N70">
        <v>0.4</v>
      </c>
      <c r="O70">
        <v>0.37</v>
      </c>
      <c r="P70">
        <v>0</v>
      </c>
      <c r="Q70">
        <v>0.4</v>
      </c>
      <c r="R70">
        <v>0.37</v>
      </c>
      <c r="S70">
        <v>-10.1</v>
      </c>
      <c r="T70">
        <v>-0.2</v>
      </c>
      <c r="U70">
        <v>3.1</v>
      </c>
      <c r="V70" t="s">
        <v>2</v>
      </c>
    </row>
    <row r="71" spans="1:22" ht="15.5" x14ac:dyDescent="0.35">
      <c r="A71">
        <v>65</v>
      </c>
      <c r="B71" t="s">
        <v>334</v>
      </c>
      <c r="C71" t="s">
        <v>166</v>
      </c>
      <c r="D71" t="s">
        <v>952</v>
      </c>
      <c r="E71" t="s">
        <v>953</v>
      </c>
      <c r="F71">
        <v>26.32</v>
      </c>
      <c r="G71">
        <v>384.7</v>
      </c>
      <c r="H71">
        <v>26.68</v>
      </c>
      <c r="I71">
        <v>26.32</v>
      </c>
      <c r="J71">
        <v>26.37</v>
      </c>
      <c r="K71" t="s">
        <v>78</v>
      </c>
      <c r="L71">
        <v>26.68</v>
      </c>
      <c r="M71">
        <v>0</v>
      </c>
      <c r="N71">
        <v>0.36</v>
      </c>
      <c r="O71">
        <v>0.3</v>
      </c>
      <c r="P71">
        <v>0</v>
      </c>
      <c r="Q71">
        <v>0.36</v>
      </c>
      <c r="R71">
        <v>0.31</v>
      </c>
      <c r="S71">
        <v>-9.4</v>
      </c>
      <c r="T71">
        <v>0.3</v>
      </c>
      <c r="U71">
        <v>3.6</v>
      </c>
      <c r="V71" t="s">
        <v>2</v>
      </c>
    </row>
    <row r="72" spans="1:22" ht="15.5" x14ac:dyDescent="0.35">
      <c r="A72">
        <v>66</v>
      </c>
      <c r="B72" t="s">
        <v>336</v>
      </c>
      <c r="C72" t="s">
        <v>166</v>
      </c>
      <c r="D72" t="s">
        <v>952</v>
      </c>
      <c r="E72" t="s">
        <v>953</v>
      </c>
      <c r="F72">
        <v>32.35</v>
      </c>
      <c r="G72">
        <v>384.16</v>
      </c>
      <c r="H72">
        <v>32.57</v>
      </c>
      <c r="I72">
        <v>32.36</v>
      </c>
      <c r="J72">
        <v>32.42</v>
      </c>
      <c r="K72" t="s">
        <v>78</v>
      </c>
      <c r="L72">
        <v>32.57</v>
      </c>
      <c r="M72">
        <v>0</v>
      </c>
      <c r="N72">
        <v>0.22</v>
      </c>
      <c r="O72">
        <v>0.15</v>
      </c>
      <c r="P72">
        <v>0</v>
      </c>
      <c r="Q72">
        <v>0.22</v>
      </c>
      <c r="R72">
        <v>0.15</v>
      </c>
      <c r="S72">
        <v>-6.7</v>
      </c>
      <c r="T72">
        <v>1.2</v>
      </c>
      <c r="U72">
        <v>3.9</v>
      </c>
      <c r="V72" t="s">
        <v>2</v>
      </c>
    </row>
    <row r="73" spans="1:22" ht="15.5" x14ac:dyDescent="0.35">
      <c r="A73">
        <v>67</v>
      </c>
      <c r="B73" t="s">
        <v>338</v>
      </c>
      <c r="C73" t="s">
        <v>166</v>
      </c>
      <c r="D73" t="s">
        <v>952</v>
      </c>
      <c r="E73" t="s">
        <v>953</v>
      </c>
      <c r="F73">
        <v>28.79</v>
      </c>
      <c r="G73">
        <v>384.53</v>
      </c>
      <c r="H73">
        <v>29.09</v>
      </c>
      <c r="I73">
        <v>28.79</v>
      </c>
      <c r="J73">
        <v>28.85</v>
      </c>
      <c r="K73" t="s">
        <v>78</v>
      </c>
      <c r="L73">
        <v>29.09</v>
      </c>
      <c r="M73">
        <v>0</v>
      </c>
      <c r="N73">
        <v>0.3</v>
      </c>
      <c r="O73">
        <v>0.24</v>
      </c>
      <c r="P73">
        <v>0</v>
      </c>
      <c r="Q73">
        <v>0.3</v>
      </c>
      <c r="R73">
        <v>0.25</v>
      </c>
      <c r="S73">
        <v>-8.3000000000000007</v>
      </c>
      <c r="T73">
        <v>0.6</v>
      </c>
      <c r="U73">
        <v>3.6</v>
      </c>
      <c r="V73" t="s">
        <v>2</v>
      </c>
    </row>
    <row r="74" spans="1:22" ht="15.5" x14ac:dyDescent="0.35">
      <c r="A74">
        <v>68</v>
      </c>
      <c r="B74" t="s">
        <v>340</v>
      </c>
      <c r="C74" t="s">
        <v>166</v>
      </c>
      <c r="D74" t="s">
        <v>952</v>
      </c>
      <c r="E74" t="s">
        <v>953</v>
      </c>
      <c r="F74">
        <v>46.46</v>
      </c>
      <c r="G74">
        <v>384.6</v>
      </c>
      <c r="H74">
        <v>46.65</v>
      </c>
      <c r="I74">
        <v>46.46</v>
      </c>
      <c r="J74">
        <v>46.49</v>
      </c>
      <c r="K74" t="s">
        <v>78</v>
      </c>
      <c r="L74">
        <v>46.65</v>
      </c>
      <c r="M74">
        <v>0</v>
      </c>
      <c r="N74">
        <v>0.19</v>
      </c>
      <c r="O74">
        <v>0.16</v>
      </c>
      <c r="P74">
        <v>0</v>
      </c>
      <c r="Q74">
        <v>0.19</v>
      </c>
      <c r="R74">
        <v>0.16</v>
      </c>
      <c r="S74">
        <v>-5.2</v>
      </c>
      <c r="T74">
        <v>0.3</v>
      </c>
      <c r="U74">
        <v>2.2000000000000002</v>
      </c>
      <c r="V74" t="s">
        <v>2</v>
      </c>
    </row>
    <row r="75" spans="1:22" ht="15.5" x14ac:dyDescent="0.35">
      <c r="A75">
        <v>69</v>
      </c>
      <c r="B75" t="s">
        <v>342</v>
      </c>
      <c r="C75" t="s">
        <v>166</v>
      </c>
      <c r="D75" t="s">
        <v>952</v>
      </c>
      <c r="E75" t="s">
        <v>953</v>
      </c>
      <c r="F75">
        <v>46.9</v>
      </c>
      <c r="G75">
        <v>384.54</v>
      </c>
      <c r="H75">
        <v>47.09</v>
      </c>
      <c r="I75">
        <v>46.9</v>
      </c>
      <c r="J75">
        <v>46.94</v>
      </c>
      <c r="K75" t="s">
        <v>78</v>
      </c>
      <c r="L75">
        <v>47.09</v>
      </c>
      <c r="M75">
        <v>0</v>
      </c>
      <c r="N75">
        <v>0.19</v>
      </c>
      <c r="O75">
        <v>0.15</v>
      </c>
      <c r="P75">
        <v>0</v>
      </c>
      <c r="Q75">
        <v>0.19</v>
      </c>
      <c r="R75">
        <v>0.15</v>
      </c>
      <c r="S75">
        <v>-5.0999999999999996</v>
      </c>
      <c r="T75">
        <v>0.4</v>
      </c>
      <c r="U75">
        <v>2.2000000000000002</v>
      </c>
      <c r="V75" t="s">
        <v>2</v>
      </c>
    </row>
    <row r="76" spans="1:22" ht="15.5" x14ac:dyDescent="0.35">
      <c r="A76">
        <v>70</v>
      </c>
      <c r="B76" t="s">
        <v>344</v>
      </c>
      <c r="C76" t="s">
        <v>166</v>
      </c>
      <c r="D76" t="s">
        <v>952</v>
      </c>
      <c r="E76" t="s">
        <v>953</v>
      </c>
      <c r="F76">
        <v>47.72</v>
      </c>
      <c r="G76">
        <v>384.6</v>
      </c>
      <c r="H76">
        <v>47.91</v>
      </c>
      <c r="I76">
        <v>47.72</v>
      </c>
      <c r="J76">
        <v>47.75</v>
      </c>
      <c r="K76" t="s">
        <v>78</v>
      </c>
      <c r="L76">
        <v>47.91</v>
      </c>
      <c r="M76">
        <v>0</v>
      </c>
      <c r="N76">
        <v>0.19</v>
      </c>
      <c r="O76">
        <v>0.16</v>
      </c>
      <c r="P76">
        <v>0</v>
      </c>
      <c r="Q76">
        <v>0.19</v>
      </c>
      <c r="R76">
        <v>0.16</v>
      </c>
      <c r="S76">
        <v>-5.0999999999999996</v>
      </c>
      <c r="T76">
        <v>0.3</v>
      </c>
      <c r="U76">
        <v>2.1</v>
      </c>
      <c r="V76" t="s">
        <v>2</v>
      </c>
    </row>
    <row r="77" spans="1:22" ht="15.5" x14ac:dyDescent="0.35">
      <c r="A77">
        <v>71</v>
      </c>
      <c r="B77" t="s">
        <v>346</v>
      </c>
      <c r="C77" t="s">
        <v>166</v>
      </c>
      <c r="D77" t="s">
        <v>952</v>
      </c>
      <c r="E77" t="s">
        <v>953</v>
      </c>
      <c r="F77">
        <v>47.9</v>
      </c>
      <c r="G77">
        <v>384.59</v>
      </c>
      <c r="H77">
        <v>48.09</v>
      </c>
      <c r="I77">
        <v>47.9</v>
      </c>
      <c r="J77">
        <v>47.93</v>
      </c>
      <c r="K77" t="s">
        <v>78</v>
      </c>
      <c r="L77">
        <v>48.09</v>
      </c>
      <c r="M77">
        <v>0</v>
      </c>
      <c r="N77">
        <v>0.19</v>
      </c>
      <c r="O77">
        <v>0.15</v>
      </c>
      <c r="P77">
        <v>0</v>
      </c>
      <c r="Q77">
        <v>0.19</v>
      </c>
      <c r="R77">
        <v>0.15</v>
      </c>
      <c r="S77">
        <v>-5.0999999999999996</v>
      </c>
      <c r="T77">
        <v>0.3</v>
      </c>
      <c r="U77">
        <v>2.1</v>
      </c>
      <c r="V77" t="s">
        <v>2</v>
      </c>
    </row>
    <row r="78" spans="1:22" ht="15.5" x14ac:dyDescent="0.35">
      <c r="A78">
        <v>72</v>
      </c>
      <c r="B78" t="s">
        <v>348</v>
      </c>
      <c r="C78" t="s">
        <v>166</v>
      </c>
      <c r="D78" t="s">
        <v>952</v>
      </c>
      <c r="E78" t="s">
        <v>953</v>
      </c>
      <c r="F78">
        <v>48.3</v>
      </c>
      <c r="G78">
        <v>384.49</v>
      </c>
      <c r="H78">
        <v>48.48</v>
      </c>
      <c r="I78">
        <v>48.3</v>
      </c>
      <c r="J78">
        <v>48.34</v>
      </c>
      <c r="K78" t="s">
        <v>78</v>
      </c>
      <c r="L78">
        <v>48.48</v>
      </c>
      <c r="M78">
        <v>0</v>
      </c>
      <c r="N78">
        <v>0.18</v>
      </c>
      <c r="O78">
        <v>0.14000000000000001</v>
      </c>
      <c r="P78">
        <v>0</v>
      </c>
      <c r="Q78">
        <v>0.18</v>
      </c>
      <c r="R78">
        <v>0.14000000000000001</v>
      </c>
      <c r="S78">
        <v>-4.9000000000000004</v>
      </c>
      <c r="T78">
        <v>0.4</v>
      </c>
      <c r="U78">
        <v>2.2000000000000002</v>
      </c>
      <c r="V78" t="s">
        <v>2</v>
      </c>
    </row>
    <row r="79" spans="1:22" ht="15.5" x14ac:dyDescent="0.35">
      <c r="A79">
        <v>73</v>
      </c>
      <c r="B79" t="s">
        <v>350</v>
      </c>
      <c r="C79" t="s">
        <v>166</v>
      </c>
      <c r="D79" t="s">
        <v>952</v>
      </c>
      <c r="E79" t="s">
        <v>953</v>
      </c>
      <c r="F79">
        <v>48.76</v>
      </c>
      <c r="G79">
        <v>384.55</v>
      </c>
      <c r="H79">
        <v>48.94</v>
      </c>
      <c r="I79">
        <v>48.76</v>
      </c>
      <c r="J79">
        <v>48.79</v>
      </c>
      <c r="K79" t="s">
        <v>78</v>
      </c>
      <c r="L79">
        <v>48.94</v>
      </c>
      <c r="M79">
        <v>0</v>
      </c>
      <c r="N79">
        <v>0.18</v>
      </c>
      <c r="O79">
        <v>0.15</v>
      </c>
      <c r="P79">
        <v>0</v>
      </c>
      <c r="Q79">
        <v>0.18</v>
      </c>
      <c r="R79">
        <v>0.15</v>
      </c>
      <c r="S79">
        <v>-4.9000000000000004</v>
      </c>
      <c r="T79">
        <v>0.4</v>
      </c>
      <c r="U79">
        <v>2.1</v>
      </c>
      <c r="V79" t="s">
        <v>2</v>
      </c>
    </row>
    <row r="80" spans="1:22" ht="15.5" x14ac:dyDescent="0.35">
      <c r="A80">
        <v>74</v>
      </c>
      <c r="B80" t="s">
        <v>352</v>
      </c>
      <c r="C80" t="s">
        <v>166</v>
      </c>
      <c r="D80" t="s">
        <v>952</v>
      </c>
      <c r="E80" t="s">
        <v>953</v>
      </c>
      <c r="F80">
        <v>49.35</v>
      </c>
      <c r="G80">
        <v>384.55</v>
      </c>
      <c r="H80">
        <v>49.53</v>
      </c>
      <c r="I80">
        <v>49.35</v>
      </c>
      <c r="J80">
        <v>49.38</v>
      </c>
      <c r="K80" t="s">
        <v>78</v>
      </c>
      <c r="L80">
        <v>49.53</v>
      </c>
      <c r="M80">
        <v>0</v>
      </c>
      <c r="N80">
        <v>0.18</v>
      </c>
      <c r="O80">
        <v>0.15</v>
      </c>
      <c r="P80">
        <v>0</v>
      </c>
      <c r="Q80">
        <v>0.18</v>
      </c>
      <c r="R80">
        <v>0.15</v>
      </c>
      <c r="S80">
        <v>-4.9000000000000004</v>
      </c>
      <c r="T80">
        <v>0.4</v>
      </c>
      <c r="U80">
        <v>2.1</v>
      </c>
      <c r="V80" t="s">
        <v>2</v>
      </c>
    </row>
    <row r="81" spans="1:22" ht="15.5" x14ac:dyDescent="0.35">
      <c r="A81">
        <v>75</v>
      </c>
      <c r="B81" t="s">
        <v>354</v>
      </c>
      <c r="C81" t="s">
        <v>166</v>
      </c>
      <c r="D81" t="s">
        <v>952</v>
      </c>
      <c r="E81" t="s">
        <v>953</v>
      </c>
      <c r="F81">
        <v>50.66</v>
      </c>
      <c r="G81">
        <v>384.59</v>
      </c>
      <c r="H81">
        <v>50.84</v>
      </c>
      <c r="I81">
        <v>50.66</v>
      </c>
      <c r="J81">
        <v>50.69</v>
      </c>
      <c r="K81" t="s">
        <v>78</v>
      </c>
      <c r="L81">
        <v>50.84</v>
      </c>
      <c r="M81">
        <v>0</v>
      </c>
      <c r="N81">
        <v>0.18</v>
      </c>
      <c r="O81">
        <v>0.15</v>
      </c>
      <c r="P81">
        <v>0</v>
      </c>
      <c r="Q81">
        <v>0.18</v>
      </c>
      <c r="R81">
        <v>0.15</v>
      </c>
      <c r="S81">
        <v>-4.8</v>
      </c>
      <c r="T81">
        <v>0.3</v>
      </c>
      <c r="U81">
        <v>2</v>
      </c>
      <c r="V81" t="s">
        <v>2</v>
      </c>
    </row>
    <row r="82" spans="1:22" ht="15.5" x14ac:dyDescent="0.35">
      <c r="A82">
        <v>76</v>
      </c>
      <c r="B82" t="s">
        <v>356</v>
      </c>
      <c r="C82" t="s">
        <v>166</v>
      </c>
      <c r="D82" t="s">
        <v>952</v>
      </c>
      <c r="E82" t="s">
        <v>953</v>
      </c>
      <c r="F82">
        <v>54.17</v>
      </c>
      <c r="G82">
        <v>384.43</v>
      </c>
      <c r="H82">
        <v>54.32</v>
      </c>
      <c r="I82">
        <v>54.17</v>
      </c>
      <c r="J82">
        <v>54.2</v>
      </c>
      <c r="K82" t="s">
        <v>78</v>
      </c>
      <c r="L82">
        <v>54.32</v>
      </c>
      <c r="M82">
        <v>0</v>
      </c>
      <c r="N82">
        <v>0.15</v>
      </c>
      <c r="O82">
        <v>0.12</v>
      </c>
      <c r="P82">
        <v>0</v>
      </c>
      <c r="Q82">
        <v>0.15</v>
      </c>
      <c r="R82">
        <v>0.12</v>
      </c>
      <c r="S82">
        <v>-4.3</v>
      </c>
      <c r="T82">
        <v>0.4</v>
      </c>
      <c r="U82">
        <v>2</v>
      </c>
      <c r="V82" t="s">
        <v>2</v>
      </c>
    </row>
    <row r="83" spans="1:22" ht="15.5" x14ac:dyDescent="0.35">
      <c r="A83">
        <v>77</v>
      </c>
      <c r="B83" t="s">
        <v>358</v>
      </c>
      <c r="C83" t="s">
        <v>166</v>
      </c>
      <c r="D83" t="s">
        <v>952</v>
      </c>
      <c r="E83" t="s">
        <v>953</v>
      </c>
      <c r="F83">
        <v>22.82</v>
      </c>
      <c r="G83">
        <v>384.47</v>
      </c>
      <c r="H83">
        <v>23.19</v>
      </c>
      <c r="I83">
        <v>22.82</v>
      </c>
      <c r="J83">
        <v>22.9</v>
      </c>
      <c r="K83" t="s">
        <v>78</v>
      </c>
      <c r="L83">
        <v>23.19</v>
      </c>
      <c r="M83">
        <v>0</v>
      </c>
      <c r="N83">
        <v>0.37</v>
      </c>
      <c r="O83">
        <v>0.28999999999999998</v>
      </c>
      <c r="P83">
        <v>0</v>
      </c>
      <c r="Q83">
        <v>0.37</v>
      </c>
      <c r="R83">
        <v>0.28999999999999998</v>
      </c>
      <c r="S83">
        <v>-10.199999999999999</v>
      </c>
      <c r="T83">
        <v>0.9</v>
      </c>
      <c r="U83">
        <v>4.7</v>
      </c>
      <c r="V83" t="s">
        <v>2</v>
      </c>
    </row>
    <row r="84" spans="1:22" ht="15.5" x14ac:dyDescent="0.35">
      <c r="A84">
        <v>78</v>
      </c>
      <c r="B84" t="s">
        <v>360</v>
      </c>
      <c r="C84" t="s">
        <v>166</v>
      </c>
      <c r="D84" t="s">
        <v>952</v>
      </c>
      <c r="E84" t="s">
        <v>953</v>
      </c>
      <c r="F84">
        <v>22.79</v>
      </c>
      <c r="G84">
        <v>384.45</v>
      </c>
      <c r="H84">
        <v>23.16</v>
      </c>
      <c r="I84">
        <v>22.79</v>
      </c>
      <c r="J84">
        <v>22.87</v>
      </c>
      <c r="K84" t="s">
        <v>78</v>
      </c>
      <c r="L84">
        <v>23.16</v>
      </c>
      <c r="M84">
        <v>0</v>
      </c>
      <c r="N84">
        <v>0.36</v>
      </c>
      <c r="O84">
        <v>0.28999999999999998</v>
      </c>
      <c r="P84">
        <v>0</v>
      </c>
      <c r="Q84">
        <v>0.36</v>
      </c>
      <c r="R84">
        <v>0.28999999999999998</v>
      </c>
      <c r="S84">
        <v>-10.199999999999999</v>
      </c>
      <c r="T84">
        <v>1</v>
      </c>
      <c r="U84">
        <v>4.8</v>
      </c>
      <c r="V84" t="s">
        <v>2</v>
      </c>
    </row>
    <row r="85" spans="1:22" ht="15.5" x14ac:dyDescent="0.35">
      <c r="A85">
        <v>79</v>
      </c>
      <c r="B85" t="s">
        <v>362</v>
      </c>
      <c r="C85" t="s">
        <v>166</v>
      </c>
      <c r="D85" t="s">
        <v>952</v>
      </c>
      <c r="E85" t="s">
        <v>953</v>
      </c>
      <c r="F85">
        <v>25.5</v>
      </c>
      <c r="G85">
        <v>384.17</v>
      </c>
      <c r="H85">
        <v>25.78</v>
      </c>
      <c r="I85">
        <v>25.51</v>
      </c>
      <c r="J85">
        <v>25.59</v>
      </c>
      <c r="K85" t="s">
        <v>78</v>
      </c>
      <c r="L85">
        <v>25.78</v>
      </c>
      <c r="M85">
        <v>0</v>
      </c>
      <c r="N85">
        <v>0.28000000000000003</v>
      </c>
      <c r="O85">
        <v>0.19</v>
      </c>
      <c r="P85">
        <v>0</v>
      </c>
      <c r="Q85">
        <v>0.28000000000000003</v>
      </c>
      <c r="R85">
        <v>0.19</v>
      </c>
      <c r="S85">
        <v>-8.5</v>
      </c>
      <c r="T85">
        <v>1.5</v>
      </c>
      <c r="U85">
        <v>4.9000000000000004</v>
      </c>
      <c r="V85" t="s">
        <v>2</v>
      </c>
    </row>
    <row r="86" spans="1:22" ht="15.5" x14ac:dyDescent="0.35">
      <c r="A86">
        <v>80</v>
      </c>
      <c r="B86" t="s">
        <v>364</v>
      </c>
      <c r="C86" t="s">
        <v>166</v>
      </c>
      <c r="D86" t="s">
        <v>952</v>
      </c>
      <c r="E86" t="s">
        <v>953</v>
      </c>
      <c r="F86">
        <v>30.5</v>
      </c>
      <c r="G86">
        <v>384.56</v>
      </c>
      <c r="H86">
        <v>30.79</v>
      </c>
      <c r="I86">
        <v>30.5</v>
      </c>
      <c r="J86">
        <v>30.55</v>
      </c>
      <c r="K86" t="s">
        <v>78</v>
      </c>
      <c r="L86">
        <v>30.79</v>
      </c>
      <c r="M86">
        <v>0</v>
      </c>
      <c r="N86">
        <v>0.28999999999999998</v>
      </c>
      <c r="O86">
        <v>0.24</v>
      </c>
      <c r="P86">
        <v>0</v>
      </c>
      <c r="Q86">
        <v>0.28999999999999998</v>
      </c>
      <c r="R86">
        <v>0.24</v>
      </c>
      <c r="S86">
        <v>-7.9</v>
      </c>
      <c r="T86">
        <v>0.5</v>
      </c>
      <c r="U86">
        <v>3.3</v>
      </c>
      <c r="V86" t="s">
        <v>2</v>
      </c>
    </row>
    <row r="87" spans="1:22" ht="15.5" x14ac:dyDescent="0.35">
      <c r="A87">
        <v>81</v>
      </c>
      <c r="B87" t="s">
        <v>366</v>
      </c>
      <c r="C87" t="s">
        <v>166</v>
      </c>
      <c r="D87" t="s">
        <v>952</v>
      </c>
      <c r="E87" t="s">
        <v>953</v>
      </c>
      <c r="F87">
        <v>18.5</v>
      </c>
      <c r="G87">
        <v>384.11</v>
      </c>
      <c r="H87">
        <v>18.88</v>
      </c>
      <c r="I87">
        <v>18.510000000000002</v>
      </c>
      <c r="J87">
        <v>18.63</v>
      </c>
      <c r="K87" t="s">
        <v>78</v>
      </c>
      <c r="L87">
        <v>18.88</v>
      </c>
      <c r="M87">
        <v>0</v>
      </c>
      <c r="N87">
        <v>0.36</v>
      </c>
      <c r="O87">
        <v>0.24</v>
      </c>
      <c r="P87">
        <v>0</v>
      </c>
      <c r="Q87">
        <v>0.36</v>
      </c>
      <c r="R87">
        <v>0.25</v>
      </c>
      <c r="S87">
        <v>-11.5</v>
      </c>
      <c r="T87">
        <v>2.2999999999999998</v>
      </c>
      <c r="U87">
        <v>6.9</v>
      </c>
      <c r="V87" t="s">
        <v>2</v>
      </c>
    </row>
    <row r="88" spans="1:22" ht="15.5" x14ac:dyDescent="0.35">
      <c r="A88">
        <v>82</v>
      </c>
      <c r="B88" t="s">
        <v>758</v>
      </c>
      <c r="C88" t="s">
        <v>166</v>
      </c>
      <c r="D88" t="s">
        <v>955</v>
      </c>
      <c r="E88" t="s">
        <v>966</v>
      </c>
      <c r="F88">
        <v>15.33</v>
      </c>
      <c r="G88">
        <v>378.85</v>
      </c>
      <c r="H88">
        <v>15.4</v>
      </c>
      <c r="I88">
        <v>16.46</v>
      </c>
      <c r="J88">
        <v>17.07</v>
      </c>
      <c r="K88" t="s">
        <v>81</v>
      </c>
      <c r="L88">
        <v>17.07</v>
      </c>
      <c r="M88">
        <v>1.66</v>
      </c>
      <c r="N88">
        <v>0.6</v>
      </c>
      <c r="O88">
        <v>0</v>
      </c>
      <c r="P88">
        <v>1.67</v>
      </c>
      <c r="Q88">
        <v>0.65</v>
      </c>
      <c r="R88">
        <v>0</v>
      </c>
      <c r="S88">
        <v>5.6</v>
      </c>
      <c r="T88">
        <v>21.4</v>
      </c>
      <c r="U88">
        <v>26.1</v>
      </c>
      <c r="V88" t="s">
        <v>957</v>
      </c>
    </row>
    <row r="89" spans="1:22" ht="15.5" x14ac:dyDescent="0.35">
      <c r="A89">
        <v>83</v>
      </c>
      <c r="B89" t="s">
        <v>761</v>
      </c>
      <c r="C89" t="s">
        <v>166</v>
      </c>
      <c r="D89" t="s">
        <v>955</v>
      </c>
      <c r="E89" t="s">
        <v>967</v>
      </c>
      <c r="F89">
        <v>12.34</v>
      </c>
      <c r="G89">
        <v>378.85</v>
      </c>
      <c r="H89">
        <v>12.43</v>
      </c>
      <c r="I89">
        <v>13.72</v>
      </c>
      <c r="J89">
        <v>14.44</v>
      </c>
      <c r="K89" t="s">
        <v>81</v>
      </c>
      <c r="L89">
        <v>14.44</v>
      </c>
      <c r="M89">
        <v>2.0099999999999998</v>
      </c>
      <c r="N89">
        <v>0.72</v>
      </c>
      <c r="O89">
        <v>0</v>
      </c>
      <c r="P89">
        <v>2.02</v>
      </c>
      <c r="Q89">
        <v>0.79</v>
      </c>
      <c r="R89">
        <v>0</v>
      </c>
      <c r="S89">
        <v>6.9</v>
      </c>
      <c r="T89">
        <v>25.9</v>
      </c>
      <c r="U89">
        <v>31.3</v>
      </c>
      <c r="V89" t="s">
        <v>957</v>
      </c>
    </row>
    <row r="90" spans="1:22" ht="15.5" x14ac:dyDescent="0.35">
      <c r="A90">
        <v>84</v>
      </c>
      <c r="B90" t="s">
        <v>754</v>
      </c>
      <c r="C90" t="s">
        <v>166</v>
      </c>
      <c r="D90" t="s">
        <v>955</v>
      </c>
      <c r="E90" t="s">
        <v>964</v>
      </c>
      <c r="F90">
        <v>9.35</v>
      </c>
      <c r="G90">
        <v>378.85</v>
      </c>
      <c r="H90">
        <v>9.4700000000000006</v>
      </c>
      <c r="I90">
        <v>11.11</v>
      </c>
      <c r="J90">
        <v>11.99</v>
      </c>
      <c r="K90" t="s">
        <v>81</v>
      </c>
      <c r="L90">
        <v>11.99</v>
      </c>
      <c r="M90">
        <v>2.52</v>
      </c>
      <c r="N90">
        <v>0.88</v>
      </c>
      <c r="O90">
        <v>0</v>
      </c>
      <c r="P90">
        <v>2.54</v>
      </c>
      <c r="Q90">
        <v>1.03</v>
      </c>
      <c r="R90">
        <v>0</v>
      </c>
      <c r="S90">
        <v>9.1</v>
      </c>
      <c r="T90">
        <v>32.700000000000003</v>
      </c>
      <c r="U90">
        <v>38.700000000000003</v>
      </c>
      <c r="V90" t="s">
        <v>965</v>
      </c>
    </row>
    <row r="91" spans="1:22" ht="15.5" x14ac:dyDescent="0.35">
      <c r="A91">
        <v>85</v>
      </c>
      <c r="B91" t="s">
        <v>764</v>
      </c>
      <c r="C91" t="s">
        <v>166</v>
      </c>
      <c r="D91" t="s">
        <v>955</v>
      </c>
      <c r="E91" t="s">
        <v>968</v>
      </c>
      <c r="F91">
        <v>9.59</v>
      </c>
      <c r="G91">
        <v>378.85</v>
      </c>
      <c r="H91">
        <v>9.7100000000000009</v>
      </c>
      <c r="I91">
        <v>11.31</v>
      </c>
      <c r="J91">
        <v>12.17</v>
      </c>
      <c r="K91" t="s">
        <v>81</v>
      </c>
      <c r="L91">
        <v>12.17</v>
      </c>
      <c r="M91">
        <v>2.4700000000000002</v>
      </c>
      <c r="N91">
        <v>0.86</v>
      </c>
      <c r="O91">
        <v>0</v>
      </c>
      <c r="P91">
        <v>2.4900000000000002</v>
      </c>
      <c r="Q91">
        <v>1</v>
      </c>
      <c r="R91">
        <v>0</v>
      </c>
      <c r="S91">
        <v>8.9</v>
      </c>
      <c r="T91">
        <v>32</v>
      </c>
      <c r="U91">
        <v>38</v>
      </c>
      <c r="V91" t="s">
        <v>969</v>
      </c>
    </row>
    <row r="92" spans="1:22" ht="15.5" x14ac:dyDescent="0.35">
      <c r="A92">
        <v>86</v>
      </c>
      <c r="B92" t="s">
        <v>368</v>
      </c>
      <c r="C92" t="s">
        <v>166</v>
      </c>
      <c r="D92" t="s">
        <v>952</v>
      </c>
      <c r="E92" t="s">
        <v>953</v>
      </c>
      <c r="F92">
        <v>53.5</v>
      </c>
      <c r="G92">
        <v>384.14</v>
      </c>
      <c r="H92">
        <v>53.63</v>
      </c>
      <c r="I92">
        <v>53.5</v>
      </c>
      <c r="J92">
        <v>53.55</v>
      </c>
      <c r="K92" t="s">
        <v>78</v>
      </c>
      <c r="L92">
        <v>53.63</v>
      </c>
      <c r="M92">
        <v>0</v>
      </c>
      <c r="N92">
        <v>0.13</v>
      </c>
      <c r="O92">
        <v>0.09</v>
      </c>
      <c r="P92">
        <v>0</v>
      </c>
      <c r="Q92">
        <v>0.13</v>
      </c>
      <c r="R92">
        <v>0.09</v>
      </c>
      <c r="S92">
        <v>-4</v>
      </c>
      <c r="T92">
        <v>0.8</v>
      </c>
      <c r="U92">
        <v>2.4</v>
      </c>
      <c r="V92" t="s">
        <v>2</v>
      </c>
    </row>
    <row r="93" spans="1:22" ht="15.5" x14ac:dyDescent="0.35">
      <c r="A93">
        <v>87</v>
      </c>
      <c r="B93" t="s">
        <v>370</v>
      </c>
      <c r="C93" t="s">
        <v>166</v>
      </c>
      <c r="D93" t="s">
        <v>952</v>
      </c>
      <c r="E93" t="s">
        <v>953</v>
      </c>
      <c r="F93">
        <v>41</v>
      </c>
      <c r="G93">
        <v>384.17</v>
      </c>
      <c r="H93">
        <v>41.18</v>
      </c>
      <c r="I93">
        <v>41.01</v>
      </c>
      <c r="J93">
        <v>41.06</v>
      </c>
      <c r="K93" t="s">
        <v>78</v>
      </c>
      <c r="L93">
        <v>41.18</v>
      </c>
      <c r="M93">
        <v>0</v>
      </c>
      <c r="N93">
        <v>0.17</v>
      </c>
      <c r="O93">
        <v>0.12</v>
      </c>
      <c r="P93">
        <v>0</v>
      </c>
      <c r="Q93">
        <v>0.17</v>
      </c>
      <c r="R93">
        <v>0.12</v>
      </c>
      <c r="S93">
        <v>-5.3</v>
      </c>
      <c r="T93">
        <v>1</v>
      </c>
      <c r="U93">
        <v>3</v>
      </c>
      <c r="V93" t="s">
        <v>2</v>
      </c>
    </row>
    <row r="94" spans="1:22" ht="15.5" x14ac:dyDescent="0.35">
      <c r="A94">
        <v>88</v>
      </c>
      <c r="B94" t="s">
        <v>372</v>
      </c>
      <c r="C94" t="s">
        <v>166</v>
      </c>
      <c r="D94" t="s">
        <v>952</v>
      </c>
      <c r="E94" t="s">
        <v>953</v>
      </c>
      <c r="F94">
        <v>35.5</v>
      </c>
      <c r="G94">
        <v>385.35</v>
      </c>
      <c r="H94">
        <v>35.85</v>
      </c>
      <c r="I94">
        <v>35.5</v>
      </c>
      <c r="J94">
        <v>35.51</v>
      </c>
      <c r="K94" t="s">
        <v>78</v>
      </c>
      <c r="L94">
        <v>35.85</v>
      </c>
      <c r="M94">
        <v>0</v>
      </c>
      <c r="N94">
        <v>0.35</v>
      </c>
      <c r="O94">
        <v>0.34</v>
      </c>
      <c r="P94">
        <v>0</v>
      </c>
      <c r="Q94">
        <v>0.35</v>
      </c>
      <c r="R94">
        <v>0.34</v>
      </c>
      <c r="S94">
        <v>-8</v>
      </c>
      <c r="T94">
        <v>-0.8</v>
      </c>
      <c r="U94">
        <v>1.6</v>
      </c>
      <c r="V94" t="s">
        <v>2</v>
      </c>
    </row>
    <row r="95" spans="1:22" ht="15.5" x14ac:dyDescent="0.35">
      <c r="A95">
        <v>89</v>
      </c>
      <c r="B95" t="s">
        <v>374</v>
      </c>
      <c r="C95" t="s">
        <v>166</v>
      </c>
      <c r="D95" t="s">
        <v>952</v>
      </c>
      <c r="E95" t="s">
        <v>953</v>
      </c>
      <c r="F95">
        <v>31.49</v>
      </c>
      <c r="G95">
        <v>384.24</v>
      </c>
      <c r="H95">
        <v>31.73</v>
      </c>
      <c r="I95">
        <v>31.5</v>
      </c>
      <c r="J95">
        <v>31.56</v>
      </c>
      <c r="K95" t="s">
        <v>78</v>
      </c>
      <c r="L95">
        <v>31.73</v>
      </c>
      <c r="M95">
        <v>0</v>
      </c>
      <c r="N95">
        <v>0.23</v>
      </c>
      <c r="O95">
        <v>0.17</v>
      </c>
      <c r="P95">
        <v>0</v>
      </c>
      <c r="Q95">
        <v>0.23</v>
      </c>
      <c r="R95">
        <v>0.17</v>
      </c>
      <c r="S95">
        <v>-7</v>
      </c>
      <c r="T95">
        <v>1.1000000000000001</v>
      </c>
      <c r="U95">
        <v>3.8</v>
      </c>
      <c r="V95" t="s">
        <v>2</v>
      </c>
    </row>
    <row r="96" spans="1:22" ht="15.5" x14ac:dyDescent="0.35">
      <c r="A96">
        <v>90</v>
      </c>
      <c r="B96" t="s">
        <v>376</v>
      </c>
      <c r="C96" t="s">
        <v>166</v>
      </c>
      <c r="D96" t="s">
        <v>952</v>
      </c>
      <c r="E96" t="s">
        <v>953</v>
      </c>
      <c r="F96">
        <v>28</v>
      </c>
      <c r="G96">
        <v>384.21</v>
      </c>
      <c r="H96">
        <v>28.27</v>
      </c>
      <c r="I96">
        <v>28.01</v>
      </c>
      <c r="J96">
        <v>28.08</v>
      </c>
      <c r="K96" t="s">
        <v>78</v>
      </c>
      <c r="L96">
        <v>28.27</v>
      </c>
      <c r="M96">
        <v>0</v>
      </c>
      <c r="N96">
        <v>0.26</v>
      </c>
      <c r="O96">
        <v>0.18</v>
      </c>
      <c r="P96">
        <v>0</v>
      </c>
      <c r="Q96">
        <v>0.26</v>
      </c>
      <c r="R96">
        <v>0.18</v>
      </c>
      <c r="S96">
        <v>-7.9</v>
      </c>
      <c r="T96">
        <v>1.3</v>
      </c>
      <c r="U96">
        <v>4.4000000000000004</v>
      </c>
      <c r="V96" t="s">
        <v>2</v>
      </c>
    </row>
    <row r="97" spans="1:22" ht="15.5" x14ac:dyDescent="0.35">
      <c r="A97">
        <v>91</v>
      </c>
      <c r="B97" t="s">
        <v>378</v>
      </c>
      <c r="C97" t="s">
        <v>166</v>
      </c>
      <c r="D97" t="s">
        <v>952</v>
      </c>
      <c r="E97" t="s">
        <v>953</v>
      </c>
      <c r="F97">
        <v>19</v>
      </c>
      <c r="G97">
        <v>384.13</v>
      </c>
      <c r="H97">
        <v>19.37</v>
      </c>
      <c r="I97">
        <v>19.010000000000002</v>
      </c>
      <c r="J97">
        <v>19.13</v>
      </c>
      <c r="K97" t="s">
        <v>78</v>
      </c>
      <c r="L97">
        <v>19.37</v>
      </c>
      <c r="M97">
        <v>0</v>
      </c>
      <c r="N97">
        <v>0.36</v>
      </c>
      <c r="O97">
        <v>0.24</v>
      </c>
      <c r="P97">
        <v>0</v>
      </c>
      <c r="Q97">
        <v>0.36</v>
      </c>
      <c r="R97">
        <v>0.25</v>
      </c>
      <c r="S97">
        <v>-11.3</v>
      </c>
      <c r="T97">
        <v>2.2000000000000002</v>
      </c>
      <c r="U97">
        <v>6.7</v>
      </c>
      <c r="V97" t="s">
        <v>2</v>
      </c>
    </row>
    <row r="98" spans="1:22" ht="15.5" x14ac:dyDescent="0.35">
      <c r="A98">
        <v>92</v>
      </c>
      <c r="B98" t="s">
        <v>380</v>
      </c>
      <c r="C98" t="s">
        <v>166</v>
      </c>
      <c r="D98" t="s">
        <v>952</v>
      </c>
      <c r="E98" t="s">
        <v>953</v>
      </c>
      <c r="F98">
        <v>27.51</v>
      </c>
      <c r="G98">
        <v>384.22</v>
      </c>
      <c r="H98">
        <v>27.78</v>
      </c>
      <c r="I98">
        <v>27.52</v>
      </c>
      <c r="J98">
        <v>27.59</v>
      </c>
      <c r="K98" t="s">
        <v>78</v>
      </c>
      <c r="L98">
        <v>27.78</v>
      </c>
      <c r="M98">
        <v>0</v>
      </c>
      <c r="N98">
        <v>0.26</v>
      </c>
      <c r="O98">
        <v>0.19</v>
      </c>
      <c r="P98">
        <v>0</v>
      </c>
      <c r="Q98">
        <v>0.26</v>
      </c>
      <c r="R98">
        <v>0.19</v>
      </c>
      <c r="S98">
        <v>-8</v>
      </c>
      <c r="T98">
        <v>1.3</v>
      </c>
      <c r="U98">
        <v>4.4000000000000004</v>
      </c>
      <c r="V98" t="s">
        <v>2</v>
      </c>
    </row>
    <row r="99" spans="1:22" ht="15.5" x14ac:dyDescent="0.35">
      <c r="A99">
        <v>93</v>
      </c>
      <c r="B99" t="s">
        <v>382</v>
      </c>
      <c r="C99" t="s">
        <v>166</v>
      </c>
      <c r="D99" t="s">
        <v>952</v>
      </c>
      <c r="E99" t="s">
        <v>953</v>
      </c>
      <c r="F99">
        <v>41.01</v>
      </c>
      <c r="G99">
        <v>385.36</v>
      </c>
      <c r="H99">
        <v>41.32</v>
      </c>
      <c r="I99">
        <v>41.01</v>
      </c>
      <c r="J99">
        <v>41.02</v>
      </c>
      <c r="K99" t="s">
        <v>78</v>
      </c>
      <c r="L99">
        <v>41.32</v>
      </c>
      <c r="M99">
        <v>0</v>
      </c>
      <c r="N99">
        <v>0.3</v>
      </c>
      <c r="O99">
        <v>0.28999999999999998</v>
      </c>
      <c r="P99">
        <v>0</v>
      </c>
      <c r="Q99">
        <v>0.3</v>
      </c>
      <c r="R99">
        <v>0.28999999999999998</v>
      </c>
      <c r="S99">
        <v>-7</v>
      </c>
      <c r="T99">
        <v>-0.7</v>
      </c>
      <c r="U99">
        <v>1.4</v>
      </c>
      <c r="V99" t="s">
        <v>2</v>
      </c>
    </row>
    <row r="100" spans="1:22" ht="15.5" x14ac:dyDescent="0.35">
      <c r="A100">
        <v>94</v>
      </c>
      <c r="B100" t="s">
        <v>384</v>
      </c>
      <c r="C100" t="s">
        <v>166</v>
      </c>
      <c r="D100" t="s">
        <v>952</v>
      </c>
      <c r="E100" t="s">
        <v>953</v>
      </c>
      <c r="F100">
        <v>38.840000000000003</v>
      </c>
      <c r="G100">
        <v>384.25</v>
      </c>
      <c r="H100">
        <v>39.04</v>
      </c>
      <c r="I100">
        <v>38.840000000000003</v>
      </c>
      <c r="J100">
        <v>38.9</v>
      </c>
      <c r="K100" t="s">
        <v>78</v>
      </c>
      <c r="L100">
        <v>39.04</v>
      </c>
      <c r="M100">
        <v>0</v>
      </c>
      <c r="N100">
        <v>0.19</v>
      </c>
      <c r="O100">
        <v>0.14000000000000001</v>
      </c>
      <c r="P100">
        <v>0</v>
      </c>
      <c r="Q100">
        <v>0.19</v>
      </c>
      <c r="R100">
        <v>0.14000000000000001</v>
      </c>
      <c r="S100">
        <v>-5.7</v>
      </c>
      <c r="T100">
        <v>0.9</v>
      </c>
      <c r="U100">
        <v>3.1</v>
      </c>
      <c r="V100" t="s">
        <v>2</v>
      </c>
    </row>
    <row r="101" spans="1:22" ht="15.5" x14ac:dyDescent="0.35">
      <c r="A101">
        <v>95</v>
      </c>
      <c r="B101" t="s">
        <v>386</v>
      </c>
      <c r="C101" t="s">
        <v>166</v>
      </c>
      <c r="D101" t="s">
        <v>952</v>
      </c>
      <c r="E101" t="s">
        <v>953</v>
      </c>
      <c r="F101">
        <v>43.5</v>
      </c>
      <c r="G101">
        <v>384.18</v>
      </c>
      <c r="H101">
        <v>43.67</v>
      </c>
      <c r="I101">
        <v>43.51</v>
      </c>
      <c r="J101">
        <v>43.55</v>
      </c>
      <c r="K101" t="s">
        <v>78</v>
      </c>
      <c r="L101">
        <v>43.67</v>
      </c>
      <c r="M101">
        <v>0</v>
      </c>
      <c r="N101">
        <v>0.16</v>
      </c>
      <c r="O101">
        <v>0.11</v>
      </c>
      <c r="P101">
        <v>0</v>
      </c>
      <c r="Q101">
        <v>0.16</v>
      </c>
      <c r="R101">
        <v>0.11</v>
      </c>
      <c r="S101">
        <v>-5</v>
      </c>
      <c r="T101">
        <v>0.9</v>
      </c>
      <c r="U101">
        <v>2.9</v>
      </c>
      <c r="V101" t="s">
        <v>2</v>
      </c>
    </row>
    <row r="102" spans="1:22" ht="15.5" x14ac:dyDescent="0.35">
      <c r="A102">
        <v>96</v>
      </c>
      <c r="B102" t="s">
        <v>388</v>
      </c>
      <c r="C102" t="s">
        <v>166</v>
      </c>
      <c r="D102" t="s">
        <v>952</v>
      </c>
      <c r="E102" t="s">
        <v>953</v>
      </c>
      <c r="F102">
        <v>44.5</v>
      </c>
      <c r="G102">
        <v>384.22</v>
      </c>
      <c r="H102">
        <v>44.67</v>
      </c>
      <c r="I102">
        <v>44.5</v>
      </c>
      <c r="J102">
        <v>44.55</v>
      </c>
      <c r="K102" t="s">
        <v>78</v>
      </c>
      <c r="L102">
        <v>44.67</v>
      </c>
      <c r="M102">
        <v>0</v>
      </c>
      <c r="N102">
        <v>0.16</v>
      </c>
      <c r="O102">
        <v>0.12</v>
      </c>
      <c r="P102">
        <v>0</v>
      </c>
      <c r="Q102">
        <v>0.16</v>
      </c>
      <c r="R102">
        <v>0.12</v>
      </c>
      <c r="S102">
        <v>-5</v>
      </c>
      <c r="T102">
        <v>0.8</v>
      </c>
      <c r="U102">
        <v>2.7</v>
      </c>
      <c r="V102" t="s">
        <v>2</v>
      </c>
    </row>
    <row r="103" spans="1:22" ht="15.5" x14ac:dyDescent="0.35">
      <c r="A103">
        <v>97</v>
      </c>
      <c r="B103" t="s">
        <v>766</v>
      </c>
      <c r="C103" t="s">
        <v>166</v>
      </c>
      <c r="D103" t="s">
        <v>955</v>
      </c>
      <c r="E103" t="s">
        <v>970</v>
      </c>
      <c r="F103">
        <v>20.96</v>
      </c>
      <c r="G103">
        <v>378.85</v>
      </c>
      <c r="H103">
        <v>21.01</v>
      </c>
      <c r="I103">
        <v>21.8</v>
      </c>
      <c r="J103">
        <v>22.26</v>
      </c>
      <c r="K103" t="s">
        <v>81</v>
      </c>
      <c r="L103">
        <v>22.26</v>
      </c>
      <c r="M103">
        <v>1.25</v>
      </c>
      <c r="N103">
        <v>0.46</v>
      </c>
      <c r="O103">
        <v>0</v>
      </c>
      <c r="P103">
        <v>1.25</v>
      </c>
      <c r="Q103">
        <v>0.48</v>
      </c>
      <c r="R103">
        <v>0</v>
      </c>
      <c r="S103">
        <v>4.0999999999999996</v>
      </c>
      <c r="T103">
        <v>16</v>
      </c>
      <c r="U103">
        <v>19.7</v>
      </c>
      <c r="V103" t="s">
        <v>957</v>
      </c>
    </row>
    <row r="104" spans="1:22" ht="15.5" x14ac:dyDescent="0.35">
      <c r="A104">
        <v>98</v>
      </c>
      <c r="B104" t="s">
        <v>770</v>
      </c>
      <c r="C104" t="s">
        <v>166</v>
      </c>
      <c r="D104" t="s">
        <v>955</v>
      </c>
      <c r="E104" t="s">
        <v>971</v>
      </c>
      <c r="F104">
        <v>20.95</v>
      </c>
      <c r="G104">
        <v>378.85</v>
      </c>
      <c r="H104">
        <v>21</v>
      </c>
      <c r="I104">
        <v>21.79</v>
      </c>
      <c r="J104">
        <v>22.25</v>
      </c>
      <c r="K104" t="s">
        <v>81</v>
      </c>
      <c r="L104">
        <v>22.25</v>
      </c>
      <c r="M104">
        <v>1.25</v>
      </c>
      <c r="N104">
        <v>0.46</v>
      </c>
      <c r="O104">
        <v>0</v>
      </c>
      <c r="P104">
        <v>1.25</v>
      </c>
      <c r="Q104">
        <v>0.48</v>
      </c>
      <c r="R104">
        <v>0</v>
      </c>
      <c r="S104">
        <v>4.0999999999999996</v>
      </c>
      <c r="T104">
        <v>16</v>
      </c>
      <c r="U104">
        <v>19.7</v>
      </c>
      <c r="V104" t="s">
        <v>957</v>
      </c>
    </row>
    <row r="105" spans="1:22" ht="15.5" x14ac:dyDescent="0.35">
      <c r="A105">
        <v>99</v>
      </c>
      <c r="B105" t="s">
        <v>774</v>
      </c>
      <c r="C105" t="s">
        <v>166</v>
      </c>
      <c r="D105" t="s">
        <v>955</v>
      </c>
      <c r="E105" t="s">
        <v>972</v>
      </c>
      <c r="F105">
        <v>21.06</v>
      </c>
      <c r="G105">
        <v>378.85</v>
      </c>
      <c r="H105">
        <v>21.11</v>
      </c>
      <c r="I105">
        <v>21.9</v>
      </c>
      <c r="J105">
        <v>22.36</v>
      </c>
      <c r="K105" t="s">
        <v>81</v>
      </c>
      <c r="L105">
        <v>22.36</v>
      </c>
      <c r="M105">
        <v>1.24</v>
      </c>
      <c r="N105">
        <v>0.46</v>
      </c>
      <c r="O105">
        <v>0</v>
      </c>
      <c r="P105">
        <v>1.25</v>
      </c>
      <c r="Q105">
        <v>0.48</v>
      </c>
      <c r="R105">
        <v>0</v>
      </c>
      <c r="S105">
        <v>4.0999999999999996</v>
      </c>
      <c r="T105">
        <v>15.9</v>
      </c>
      <c r="U105">
        <v>19.600000000000001</v>
      </c>
      <c r="V105" t="s">
        <v>957</v>
      </c>
    </row>
    <row r="106" spans="1:22" ht="15.5" x14ac:dyDescent="0.35">
      <c r="A106">
        <v>100</v>
      </c>
      <c r="B106" t="s">
        <v>778</v>
      </c>
      <c r="C106" t="s">
        <v>166</v>
      </c>
      <c r="D106" t="s">
        <v>955</v>
      </c>
      <c r="E106" t="s">
        <v>973</v>
      </c>
      <c r="F106">
        <v>21.06</v>
      </c>
      <c r="G106">
        <v>378.85</v>
      </c>
      <c r="H106">
        <v>21.11</v>
      </c>
      <c r="I106">
        <v>21.9</v>
      </c>
      <c r="J106">
        <v>22.36</v>
      </c>
      <c r="K106" t="s">
        <v>81</v>
      </c>
      <c r="L106">
        <v>22.36</v>
      </c>
      <c r="M106">
        <v>1.24</v>
      </c>
      <c r="N106">
        <v>0.46</v>
      </c>
      <c r="O106">
        <v>0</v>
      </c>
      <c r="P106">
        <v>1.25</v>
      </c>
      <c r="Q106">
        <v>0.48</v>
      </c>
      <c r="R106">
        <v>0</v>
      </c>
      <c r="S106">
        <v>4.0999999999999996</v>
      </c>
      <c r="T106">
        <v>15.9</v>
      </c>
      <c r="U106">
        <v>19.600000000000001</v>
      </c>
      <c r="V106" t="s">
        <v>957</v>
      </c>
    </row>
    <row r="107" spans="1:22" ht="15.5" x14ac:dyDescent="0.35">
      <c r="A107">
        <v>101</v>
      </c>
      <c r="B107" t="s">
        <v>782</v>
      </c>
      <c r="C107" t="s">
        <v>166</v>
      </c>
      <c r="D107" t="s">
        <v>955</v>
      </c>
      <c r="E107" t="s">
        <v>974</v>
      </c>
      <c r="F107">
        <v>20.95</v>
      </c>
      <c r="G107">
        <v>378.85</v>
      </c>
      <c r="H107">
        <v>21</v>
      </c>
      <c r="I107">
        <v>21.79</v>
      </c>
      <c r="J107">
        <v>22.25</v>
      </c>
      <c r="K107" t="s">
        <v>81</v>
      </c>
      <c r="L107">
        <v>22.25</v>
      </c>
      <c r="M107">
        <v>1.25</v>
      </c>
      <c r="N107">
        <v>0.46</v>
      </c>
      <c r="O107">
        <v>0</v>
      </c>
      <c r="P107">
        <v>1.25</v>
      </c>
      <c r="Q107">
        <v>0.48</v>
      </c>
      <c r="R107">
        <v>0</v>
      </c>
      <c r="S107">
        <v>4.0999999999999996</v>
      </c>
      <c r="T107">
        <v>16</v>
      </c>
      <c r="U107">
        <v>19.7</v>
      </c>
      <c r="V107" t="s">
        <v>957</v>
      </c>
    </row>
    <row r="108" spans="1:22" ht="15.5" x14ac:dyDescent="0.35">
      <c r="A108">
        <v>102</v>
      </c>
      <c r="B108" t="s">
        <v>786</v>
      </c>
      <c r="C108" t="s">
        <v>166</v>
      </c>
      <c r="D108" t="s">
        <v>955</v>
      </c>
      <c r="E108" t="s">
        <v>975</v>
      </c>
      <c r="F108">
        <v>20.97</v>
      </c>
      <c r="G108">
        <v>378.85</v>
      </c>
      <c r="H108">
        <v>21.02</v>
      </c>
      <c r="I108">
        <v>21.81</v>
      </c>
      <c r="J108">
        <v>22.27</v>
      </c>
      <c r="K108" t="s">
        <v>81</v>
      </c>
      <c r="L108">
        <v>22.27</v>
      </c>
      <c r="M108">
        <v>1.25</v>
      </c>
      <c r="N108">
        <v>0.46</v>
      </c>
      <c r="O108">
        <v>0</v>
      </c>
      <c r="P108">
        <v>1.25</v>
      </c>
      <c r="Q108">
        <v>0.48</v>
      </c>
      <c r="R108">
        <v>0</v>
      </c>
      <c r="S108">
        <v>4.0999999999999996</v>
      </c>
      <c r="T108">
        <v>16</v>
      </c>
      <c r="U108">
        <v>19.7</v>
      </c>
      <c r="V108" t="s">
        <v>957</v>
      </c>
    </row>
    <row r="109" spans="1:22" ht="15.5" x14ac:dyDescent="0.35">
      <c r="A109">
        <v>103</v>
      </c>
      <c r="B109" t="s">
        <v>790</v>
      </c>
      <c r="C109" t="s">
        <v>166</v>
      </c>
      <c r="D109" t="s">
        <v>955</v>
      </c>
      <c r="E109" t="s">
        <v>976</v>
      </c>
      <c r="F109">
        <v>20.95</v>
      </c>
      <c r="G109">
        <v>378.85</v>
      </c>
      <c r="H109">
        <v>21</v>
      </c>
      <c r="I109">
        <v>21.79</v>
      </c>
      <c r="J109">
        <v>22.25</v>
      </c>
      <c r="K109" t="s">
        <v>81</v>
      </c>
      <c r="L109">
        <v>22.25</v>
      </c>
      <c r="M109">
        <v>1.25</v>
      </c>
      <c r="N109">
        <v>0.46</v>
      </c>
      <c r="O109">
        <v>0</v>
      </c>
      <c r="P109">
        <v>1.25</v>
      </c>
      <c r="Q109">
        <v>0.48</v>
      </c>
      <c r="R109">
        <v>0</v>
      </c>
      <c r="S109">
        <v>4.0999999999999996</v>
      </c>
      <c r="T109">
        <v>16</v>
      </c>
      <c r="U109">
        <v>19.7</v>
      </c>
      <c r="V109" t="s">
        <v>957</v>
      </c>
    </row>
    <row r="110" spans="1:22" ht="15.5" x14ac:dyDescent="0.35">
      <c r="A110">
        <v>104</v>
      </c>
      <c r="B110" t="s">
        <v>794</v>
      </c>
      <c r="C110" t="s">
        <v>166</v>
      </c>
      <c r="D110" t="s">
        <v>955</v>
      </c>
      <c r="E110" t="s">
        <v>977</v>
      </c>
      <c r="F110">
        <v>20.96</v>
      </c>
      <c r="G110">
        <v>378.85</v>
      </c>
      <c r="H110">
        <v>21.01</v>
      </c>
      <c r="I110">
        <v>21.8</v>
      </c>
      <c r="J110">
        <v>22.26</v>
      </c>
      <c r="K110" t="s">
        <v>81</v>
      </c>
      <c r="L110">
        <v>22.26</v>
      </c>
      <c r="M110">
        <v>1.25</v>
      </c>
      <c r="N110">
        <v>0.46</v>
      </c>
      <c r="O110">
        <v>0</v>
      </c>
      <c r="P110">
        <v>1.25</v>
      </c>
      <c r="Q110">
        <v>0.48</v>
      </c>
      <c r="R110">
        <v>0</v>
      </c>
      <c r="S110">
        <v>4.0999999999999996</v>
      </c>
      <c r="T110">
        <v>16</v>
      </c>
      <c r="U110">
        <v>19.7</v>
      </c>
      <c r="V110" t="s">
        <v>957</v>
      </c>
    </row>
    <row r="111" spans="1:22" ht="15.5" x14ac:dyDescent="0.35">
      <c r="A111">
        <v>105</v>
      </c>
      <c r="B111" t="s">
        <v>798</v>
      </c>
      <c r="C111" t="s">
        <v>166</v>
      </c>
      <c r="D111" t="s">
        <v>955</v>
      </c>
      <c r="E111" t="s">
        <v>978</v>
      </c>
      <c r="F111">
        <v>20.98</v>
      </c>
      <c r="G111">
        <v>378.85</v>
      </c>
      <c r="H111">
        <v>21.03</v>
      </c>
      <c r="I111">
        <v>21.82</v>
      </c>
      <c r="J111">
        <v>22.28</v>
      </c>
      <c r="K111" t="s">
        <v>81</v>
      </c>
      <c r="L111">
        <v>22.28</v>
      </c>
      <c r="M111">
        <v>1.25</v>
      </c>
      <c r="N111">
        <v>0.46</v>
      </c>
      <c r="O111">
        <v>0</v>
      </c>
      <c r="P111">
        <v>1.25</v>
      </c>
      <c r="Q111">
        <v>0.48</v>
      </c>
      <c r="R111">
        <v>0</v>
      </c>
      <c r="S111">
        <v>4.0999999999999996</v>
      </c>
      <c r="T111">
        <v>16</v>
      </c>
      <c r="U111">
        <v>19.7</v>
      </c>
      <c r="V111" t="s">
        <v>957</v>
      </c>
    </row>
    <row r="112" spans="1:22" ht="15.5" x14ac:dyDescent="0.35">
      <c r="A112">
        <v>106</v>
      </c>
      <c r="B112" t="s">
        <v>802</v>
      </c>
      <c r="C112" t="s">
        <v>166</v>
      </c>
      <c r="D112" t="s">
        <v>955</v>
      </c>
      <c r="E112" t="s">
        <v>979</v>
      </c>
      <c r="F112">
        <v>21</v>
      </c>
      <c r="G112">
        <v>378.85</v>
      </c>
      <c r="H112">
        <v>21.05</v>
      </c>
      <c r="I112">
        <v>21.84</v>
      </c>
      <c r="J112">
        <v>22.3</v>
      </c>
      <c r="K112" t="s">
        <v>81</v>
      </c>
      <c r="L112">
        <v>22.3</v>
      </c>
      <c r="M112">
        <v>1.25</v>
      </c>
      <c r="N112">
        <v>0.46</v>
      </c>
      <c r="O112">
        <v>0</v>
      </c>
      <c r="P112">
        <v>1.25</v>
      </c>
      <c r="Q112">
        <v>0.48</v>
      </c>
      <c r="R112">
        <v>0</v>
      </c>
      <c r="S112">
        <v>4.0999999999999996</v>
      </c>
      <c r="T112">
        <v>15.9</v>
      </c>
      <c r="U112">
        <v>19.7</v>
      </c>
      <c r="V112" t="s">
        <v>957</v>
      </c>
    </row>
    <row r="113" spans="1:22" ht="15.5" x14ac:dyDescent="0.35">
      <c r="A113">
        <v>107</v>
      </c>
      <c r="B113" t="s">
        <v>806</v>
      </c>
      <c r="C113" t="s">
        <v>166</v>
      </c>
      <c r="D113" t="s">
        <v>955</v>
      </c>
      <c r="E113" t="s">
        <v>980</v>
      </c>
      <c r="F113">
        <v>14.34</v>
      </c>
      <c r="G113">
        <v>378.85</v>
      </c>
      <c r="H113">
        <v>14.42</v>
      </c>
      <c r="I113">
        <v>15.54</v>
      </c>
      <c r="J113">
        <v>16.18</v>
      </c>
      <c r="K113" t="s">
        <v>81</v>
      </c>
      <c r="L113">
        <v>16.18</v>
      </c>
      <c r="M113">
        <v>1.76</v>
      </c>
      <c r="N113">
        <v>0.64</v>
      </c>
      <c r="O113">
        <v>0</v>
      </c>
      <c r="P113">
        <v>1.77</v>
      </c>
      <c r="Q113">
        <v>0.69</v>
      </c>
      <c r="R113">
        <v>0</v>
      </c>
      <c r="S113">
        <v>6</v>
      </c>
      <c r="T113">
        <v>22.7</v>
      </c>
      <c r="U113">
        <v>27.6</v>
      </c>
      <c r="V113" t="s">
        <v>957</v>
      </c>
    </row>
    <row r="114" spans="1:22" ht="15.5" x14ac:dyDescent="0.35">
      <c r="A114">
        <v>108</v>
      </c>
      <c r="B114" t="s">
        <v>809</v>
      </c>
      <c r="C114" t="s">
        <v>166</v>
      </c>
      <c r="D114" t="s">
        <v>955</v>
      </c>
      <c r="E114" t="s">
        <v>981</v>
      </c>
      <c r="F114">
        <v>14.36</v>
      </c>
      <c r="G114">
        <v>378.85</v>
      </c>
      <c r="H114">
        <v>14.44</v>
      </c>
      <c r="I114">
        <v>15.56</v>
      </c>
      <c r="J114">
        <v>16.2</v>
      </c>
      <c r="K114" t="s">
        <v>81</v>
      </c>
      <c r="L114">
        <v>16.2</v>
      </c>
      <c r="M114">
        <v>1.76</v>
      </c>
      <c r="N114">
        <v>0.64</v>
      </c>
      <c r="O114">
        <v>0</v>
      </c>
      <c r="P114">
        <v>1.77</v>
      </c>
      <c r="Q114">
        <v>0.69</v>
      </c>
      <c r="R114">
        <v>0</v>
      </c>
      <c r="S114">
        <v>6</v>
      </c>
      <c r="T114">
        <v>22.7</v>
      </c>
      <c r="U114">
        <v>27.6</v>
      </c>
      <c r="V114" t="s">
        <v>957</v>
      </c>
    </row>
    <row r="115" spans="1:22" ht="15.5" x14ac:dyDescent="0.35">
      <c r="A115">
        <v>109</v>
      </c>
      <c r="B115" t="s">
        <v>812</v>
      </c>
      <c r="C115" t="s">
        <v>166</v>
      </c>
      <c r="D115" t="s">
        <v>955</v>
      </c>
      <c r="E115" t="s">
        <v>982</v>
      </c>
      <c r="F115">
        <v>14.31</v>
      </c>
      <c r="G115">
        <v>378.85</v>
      </c>
      <c r="H115">
        <v>14.39</v>
      </c>
      <c r="I115">
        <v>15.52</v>
      </c>
      <c r="J115">
        <v>16.16</v>
      </c>
      <c r="K115" t="s">
        <v>81</v>
      </c>
      <c r="L115">
        <v>16.16</v>
      </c>
      <c r="M115">
        <v>1.77</v>
      </c>
      <c r="N115">
        <v>0.64</v>
      </c>
      <c r="O115">
        <v>0</v>
      </c>
      <c r="P115">
        <v>1.78</v>
      </c>
      <c r="Q115">
        <v>0.69</v>
      </c>
      <c r="R115">
        <v>0</v>
      </c>
      <c r="S115">
        <v>6</v>
      </c>
      <c r="T115">
        <v>22.7</v>
      </c>
      <c r="U115">
        <v>27.7</v>
      </c>
      <c r="V115" t="s">
        <v>957</v>
      </c>
    </row>
    <row r="116" spans="1:22" ht="15.5" x14ac:dyDescent="0.35">
      <c r="A116">
        <v>110</v>
      </c>
      <c r="B116" t="s">
        <v>815</v>
      </c>
      <c r="C116" t="s">
        <v>166</v>
      </c>
      <c r="D116" t="s">
        <v>955</v>
      </c>
      <c r="E116" t="s">
        <v>983</v>
      </c>
      <c r="F116">
        <v>14.34</v>
      </c>
      <c r="G116">
        <v>378.85</v>
      </c>
      <c r="H116">
        <v>14.42</v>
      </c>
      <c r="I116">
        <v>15.54</v>
      </c>
      <c r="J116">
        <v>16.18</v>
      </c>
      <c r="K116" t="s">
        <v>81</v>
      </c>
      <c r="L116">
        <v>16.18</v>
      </c>
      <c r="M116">
        <v>1.76</v>
      </c>
      <c r="N116">
        <v>0.64</v>
      </c>
      <c r="O116">
        <v>0</v>
      </c>
      <c r="P116">
        <v>1.77</v>
      </c>
      <c r="Q116">
        <v>0.69</v>
      </c>
      <c r="R116">
        <v>0</v>
      </c>
      <c r="S116">
        <v>6</v>
      </c>
      <c r="T116">
        <v>22.7</v>
      </c>
      <c r="U116">
        <v>27.6</v>
      </c>
      <c r="V116" t="s">
        <v>957</v>
      </c>
    </row>
    <row r="117" spans="1:22" ht="15.5" x14ac:dyDescent="0.35">
      <c r="A117">
        <v>111</v>
      </c>
      <c r="B117" t="s">
        <v>818</v>
      </c>
      <c r="C117" t="s">
        <v>166</v>
      </c>
      <c r="D117" t="s">
        <v>955</v>
      </c>
      <c r="E117" t="s">
        <v>984</v>
      </c>
      <c r="F117">
        <v>14.29</v>
      </c>
      <c r="G117">
        <v>378.85</v>
      </c>
      <c r="H117">
        <v>14.37</v>
      </c>
      <c r="I117">
        <v>15.5</v>
      </c>
      <c r="J117">
        <v>16.14</v>
      </c>
      <c r="K117" t="s">
        <v>81</v>
      </c>
      <c r="L117">
        <v>16.14</v>
      </c>
      <c r="M117">
        <v>1.77</v>
      </c>
      <c r="N117">
        <v>0.64</v>
      </c>
      <c r="O117">
        <v>0</v>
      </c>
      <c r="P117">
        <v>1.78</v>
      </c>
      <c r="Q117">
        <v>0.69</v>
      </c>
      <c r="R117">
        <v>0</v>
      </c>
      <c r="S117">
        <v>6</v>
      </c>
      <c r="T117">
        <v>22.8</v>
      </c>
      <c r="U117">
        <v>27.7</v>
      </c>
      <c r="V117" t="s">
        <v>957</v>
      </c>
    </row>
    <row r="118" spans="1:22" ht="15.5" x14ac:dyDescent="0.35">
      <c r="A118">
        <v>112</v>
      </c>
      <c r="B118" t="s">
        <v>390</v>
      </c>
      <c r="C118" t="s">
        <v>168</v>
      </c>
      <c r="D118" t="s">
        <v>952</v>
      </c>
      <c r="E118" t="s">
        <v>953</v>
      </c>
      <c r="F118">
        <v>49.24</v>
      </c>
      <c r="G118">
        <v>384.52</v>
      </c>
      <c r="H118">
        <v>49.42</v>
      </c>
      <c r="I118">
        <v>49.24</v>
      </c>
      <c r="J118">
        <v>49.27</v>
      </c>
      <c r="K118" t="s">
        <v>78</v>
      </c>
      <c r="L118">
        <v>49.42</v>
      </c>
      <c r="M118">
        <v>0</v>
      </c>
      <c r="N118">
        <v>0.18</v>
      </c>
      <c r="O118">
        <v>0.14000000000000001</v>
      </c>
      <c r="P118">
        <v>0</v>
      </c>
      <c r="Q118">
        <v>0.18</v>
      </c>
      <c r="R118">
        <v>0.14000000000000001</v>
      </c>
      <c r="S118">
        <v>-4.8</v>
      </c>
      <c r="T118">
        <v>0.4</v>
      </c>
      <c r="U118">
        <v>2.1</v>
      </c>
      <c r="V118" t="s">
        <v>2</v>
      </c>
    </row>
    <row r="119" spans="1:22" ht="15.5" x14ac:dyDescent="0.35">
      <c r="A119">
        <v>113</v>
      </c>
      <c r="B119" t="s">
        <v>392</v>
      </c>
      <c r="C119" t="s">
        <v>168</v>
      </c>
      <c r="D119" t="s">
        <v>952</v>
      </c>
      <c r="E119" t="s">
        <v>953</v>
      </c>
      <c r="F119">
        <v>42.39</v>
      </c>
      <c r="G119">
        <v>384.14</v>
      </c>
      <c r="H119">
        <v>42.56</v>
      </c>
      <c r="I119">
        <v>42.4</v>
      </c>
      <c r="J119">
        <v>42.45</v>
      </c>
      <c r="K119" t="s">
        <v>78</v>
      </c>
      <c r="L119">
        <v>42.56</v>
      </c>
      <c r="M119">
        <v>0</v>
      </c>
      <c r="N119">
        <v>0.16</v>
      </c>
      <c r="O119">
        <v>0.11</v>
      </c>
      <c r="P119">
        <v>0</v>
      </c>
      <c r="Q119">
        <v>0.16</v>
      </c>
      <c r="R119">
        <v>0.11</v>
      </c>
      <c r="S119">
        <v>-5.0999999999999996</v>
      </c>
      <c r="T119">
        <v>1</v>
      </c>
      <c r="U119">
        <v>3</v>
      </c>
      <c r="V119" t="s">
        <v>2</v>
      </c>
    </row>
    <row r="120" spans="1:22" ht="15.5" x14ac:dyDescent="0.35">
      <c r="A120">
        <v>114</v>
      </c>
      <c r="B120" t="s">
        <v>394</v>
      </c>
      <c r="C120" t="s">
        <v>168</v>
      </c>
      <c r="D120" t="s">
        <v>952</v>
      </c>
      <c r="E120" t="s">
        <v>953</v>
      </c>
      <c r="F120">
        <v>29.3</v>
      </c>
      <c r="G120">
        <v>384.69</v>
      </c>
      <c r="H120">
        <v>29.62</v>
      </c>
      <c r="I120">
        <v>29.3</v>
      </c>
      <c r="J120">
        <v>29.35</v>
      </c>
      <c r="K120" t="s">
        <v>78</v>
      </c>
      <c r="L120">
        <v>29.62</v>
      </c>
      <c r="M120">
        <v>0</v>
      </c>
      <c r="N120">
        <v>0.32</v>
      </c>
      <c r="O120">
        <v>0.27</v>
      </c>
      <c r="P120">
        <v>0</v>
      </c>
      <c r="Q120">
        <v>0.32</v>
      </c>
      <c r="R120">
        <v>0.27</v>
      </c>
      <c r="S120">
        <v>-8.4</v>
      </c>
      <c r="T120">
        <v>0.3</v>
      </c>
      <c r="U120">
        <v>3.2</v>
      </c>
      <c r="V120" t="s">
        <v>2</v>
      </c>
    </row>
    <row r="121" spans="1:22" ht="15.5" x14ac:dyDescent="0.35">
      <c r="A121">
        <v>115</v>
      </c>
      <c r="B121" t="s">
        <v>396</v>
      </c>
      <c r="C121" t="s">
        <v>168</v>
      </c>
      <c r="D121" t="s">
        <v>952</v>
      </c>
      <c r="E121" t="s">
        <v>953</v>
      </c>
      <c r="F121">
        <v>24.71</v>
      </c>
      <c r="G121">
        <v>384.63</v>
      </c>
      <c r="H121">
        <v>25.08</v>
      </c>
      <c r="I121">
        <v>24.71</v>
      </c>
      <c r="J121">
        <v>24.77</v>
      </c>
      <c r="K121" t="s">
        <v>78</v>
      </c>
      <c r="L121">
        <v>25.08</v>
      </c>
      <c r="M121">
        <v>0</v>
      </c>
      <c r="N121">
        <v>0.37</v>
      </c>
      <c r="O121">
        <v>0.31</v>
      </c>
      <c r="P121">
        <v>0</v>
      </c>
      <c r="Q121">
        <v>0.37</v>
      </c>
      <c r="R121">
        <v>0.31</v>
      </c>
      <c r="S121">
        <v>-9.8000000000000007</v>
      </c>
      <c r="T121">
        <v>0.5</v>
      </c>
      <c r="U121">
        <v>4</v>
      </c>
      <c r="V121" t="s">
        <v>2</v>
      </c>
    </row>
    <row r="122" spans="1:22" ht="15.5" x14ac:dyDescent="0.35">
      <c r="A122">
        <v>116</v>
      </c>
      <c r="B122" t="s">
        <v>398</v>
      </c>
      <c r="C122" t="s">
        <v>168</v>
      </c>
      <c r="D122" t="s">
        <v>952</v>
      </c>
      <c r="E122" t="s">
        <v>953</v>
      </c>
      <c r="F122">
        <v>23.86</v>
      </c>
      <c r="G122">
        <v>384.58</v>
      </c>
      <c r="H122">
        <v>24.23</v>
      </c>
      <c r="I122">
        <v>23.86</v>
      </c>
      <c r="J122">
        <v>23.93</v>
      </c>
      <c r="K122" t="s">
        <v>78</v>
      </c>
      <c r="L122">
        <v>24.23</v>
      </c>
      <c r="M122">
        <v>0</v>
      </c>
      <c r="N122">
        <v>0.37</v>
      </c>
      <c r="O122">
        <v>0.31</v>
      </c>
      <c r="P122">
        <v>0</v>
      </c>
      <c r="Q122">
        <v>0.37</v>
      </c>
      <c r="R122">
        <v>0.31</v>
      </c>
      <c r="S122">
        <v>-10.1</v>
      </c>
      <c r="T122">
        <v>0.6</v>
      </c>
      <c r="U122">
        <v>4.2</v>
      </c>
      <c r="V122" t="s">
        <v>2</v>
      </c>
    </row>
    <row r="123" spans="1:22" ht="15.5" x14ac:dyDescent="0.35">
      <c r="A123">
        <v>117</v>
      </c>
      <c r="B123" t="s">
        <v>400</v>
      </c>
      <c r="C123" t="s">
        <v>168</v>
      </c>
      <c r="D123" t="s">
        <v>952</v>
      </c>
      <c r="E123" t="s">
        <v>953</v>
      </c>
      <c r="F123">
        <v>20.83</v>
      </c>
      <c r="G123">
        <v>385.22</v>
      </c>
      <c r="H123">
        <v>21.39</v>
      </c>
      <c r="I123">
        <v>20.83</v>
      </c>
      <c r="J123">
        <v>20.86</v>
      </c>
      <c r="K123" t="s">
        <v>78</v>
      </c>
      <c r="L123">
        <v>21.39</v>
      </c>
      <c r="M123">
        <v>0</v>
      </c>
      <c r="N123">
        <v>0.56000000000000005</v>
      </c>
      <c r="O123">
        <v>0.53</v>
      </c>
      <c r="P123">
        <v>0</v>
      </c>
      <c r="Q123">
        <v>0.56000000000000005</v>
      </c>
      <c r="R123">
        <v>0.53</v>
      </c>
      <c r="S123">
        <v>-13.2</v>
      </c>
      <c r="T123">
        <v>-1</v>
      </c>
      <c r="U123">
        <v>3.1</v>
      </c>
      <c r="V123" t="s">
        <v>2</v>
      </c>
    </row>
    <row r="124" spans="1:22" ht="15.5" x14ac:dyDescent="0.35">
      <c r="A124">
        <v>118</v>
      </c>
      <c r="B124" t="s">
        <v>402</v>
      </c>
      <c r="C124" t="s">
        <v>168</v>
      </c>
      <c r="D124" t="s">
        <v>952</v>
      </c>
      <c r="E124" t="s">
        <v>953</v>
      </c>
      <c r="F124">
        <v>18.5</v>
      </c>
      <c r="G124">
        <v>384.36</v>
      </c>
      <c r="H124">
        <v>18.93</v>
      </c>
      <c r="I124">
        <v>18.510000000000002</v>
      </c>
      <c r="J124">
        <v>18.61</v>
      </c>
      <c r="K124" t="s">
        <v>78</v>
      </c>
      <c r="L124">
        <v>18.93</v>
      </c>
      <c r="M124">
        <v>0</v>
      </c>
      <c r="N124">
        <v>0.42</v>
      </c>
      <c r="O124">
        <v>0.32</v>
      </c>
      <c r="P124">
        <v>0</v>
      </c>
      <c r="Q124">
        <v>0.42</v>
      </c>
      <c r="R124">
        <v>0.33</v>
      </c>
      <c r="S124">
        <v>-12.2</v>
      </c>
      <c r="T124">
        <v>1.5</v>
      </c>
      <c r="U124">
        <v>6.1</v>
      </c>
      <c r="V124" t="s">
        <v>2</v>
      </c>
    </row>
    <row r="125" spans="1:22" ht="15.5" x14ac:dyDescent="0.35">
      <c r="A125">
        <v>119</v>
      </c>
      <c r="B125" t="s">
        <v>404</v>
      </c>
      <c r="C125" t="s">
        <v>168</v>
      </c>
      <c r="D125" t="s">
        <v>952</v>
      </c>
      <c r="E125" t="s">
        <v>953</v>
      </c>
      <c r="F125">
        <v>21.47</v>
      </c>
      <c r="G125">
        <v>385.72</v>
      </c>
      <c r="H125">
        <v>22.13</v>
      </c>
      <c r="I125">
        <v>21.49</v>
      </c>
      <c r="J125">
        <v>21.48</v>
      </c>
      <c r="K125" t="s">
        <v>78</v>
      </c>
      <c r="L125">
        <v>22.13</v>
      </c>
      <c r="M125">
        <v>0</v>
      </c>
      <c r="N125">
        <v>0.64</v>
      </c>
      <c r="O125">
        <v>0.65</v>
      </c>
      <c r="P125">
        <v>0</v>
      </c>
      <c r="Q125">
        <v>0.64</v>
      </c>
      <c r="R125">
        <v>0.65</v>
      </c>
      <c r="S125">
        <v>-14</v>
      </c>
      <c r="T125">
        <v>-2.2999999999999998</v>
      </c>
      <c r="U125">
        <v>1.7</v>
      </c>
      <c r="V125" t="s">
        <v>2</v>
      </c>
    </row>
    <row r="126" spans="1:22" ht="15.5" x14ac:dyDescent="0.35">
      <c r="A126">
        <v>120</v>
      </c>
      <c r="B126" t="s">
        <v>406</v>
      </c>
      <c r="C126" t="s">
        <v>168</v>
      </c>
      <c r="D126" t="s">
        <v>952</v>
      </c>
      <c r="E126" t="s">
        <v>953</v>
      </c>
      <c r="F126">
        <v>20.079999999999998</v>
      </c>
      <c r="G126">
        <v>384.32</v>
      </c>
      <c r="H126">
        <v>20.47</v>
      </c>
      <c r="I126">
        <v>20.09</v>
      </c>
      <c r="J126">
        <v>20.18</v>
      </c>
      <c r="K126" t="s">
        <v>78</v>
      </c>
      <c r="L126">
        <v>20.47</v>
      </c>
      <c r="M126">
        <v>0</v>
      </c>
      <c r="N126">
        <v>0.38</v>
      </c>
      <c r="O126">
        <v>0.28999999999999998</v>
      </c>
      <c r="P126">
        <v>0</v>
      </c>
      <c r="Q126">
        <v>0.38</v>
      </c>
      <c r="R126">
        <v>0.28999999999999998</v>
      </c>
      <c r="S126">
        <v>-11.2</v>
      </c>
      <c r="T126">
        <v>1.5</v>
      </c>
      <c r="U126">
        <v>5.8</v>
      </c>
      <c r="V126" t="s">
        <v>2</v>
      </c>
    </row>
    <row r="127" spans="1:22" ht="15.5" x14ac:dyDescent="0.35">
      <c r="A127">
        <v>121</v>
      </c>
      <c r="B127" t="s">
        <v>408</v>
      </c>
      <c r="C127" t="s">
        <v>168</v>
      </c>
      <c r="D127" t="s">
        <v>952</v>
      </c>
      <c r="E127" t="s">
        <v>953</v>
      </c>
      <c r="F127">
        <v>14.5</v>
      </c>
      <c r="G127">
        <v>384.12</v>
      </c>
      <c r="H127">
        <v>14.98</v>
      </c>
      <c r="I127">
        <v>14.52</v>
      </c>
      <c r="J127">
        <v>14.67</v>
      </c>
      <c r="K127" t="s">
        <v>78</v>
      </c>
      <c r="L127">
        <v>14.98</v>
      </c>
      <c r="M127">
        <v>0</v>
      </c>
      <c r="N127">
        <v>0.46</v>
      </c>
      <c r="O127">
        <v>0.31</v>
      </c>
      <c r="P127">
        <v>0</v>
      </c>
      <c r="Q127">
        <v>0.47</v>
      </c>
      <c r="R127">
        <v>0.32</v>
      </c>
      <c r="S127">
        <v>-14.6</v>
      </c>
      <c r="T127">
        <v>2.9</v>
      </c>
      <c r="U127">
        <v>8.6999999999999993</v>
      </c>
      <c r="V127" t="s">
        <v>2</v>
      </c>
    </row>
    <row r="128" spans="1:22" ht="15.5" x14ac:dyDescent="0.35">
      <c r="A128">
        <v>122</v>
      </c>
      <c r="B128" t="s">
        <v>410</v>
      </c>
      <c r="C128" t="s">
        <v>168</v>
      </c>
      <c r="D128" t="s">
        <v>952</v>
      </c>
      <c r="E128" t="s">
        <v>953</v>
      </c>
      <c r="F128">
        <v>23.5</v>
      </c>
      <c r="G128">
        <v>384.16</v>
      </c>
      <c r="H128">
        <v>23.81</v>
      </c>
      <c r="I128">
        <v>23.51</v>
      </c>
      <c r="J128">
        <v>23.6</v>
      </c>
      <c r="K128" t="s">
        <v>78</v>
      </c>
      <c r="L128">
        <v>23.81</v>
      </c>
      <c r="M128">
        <v>0</v>
      </c>
      <c r="N128">
        <v>0.3</v>
      </c>
      <c r="O128">
        <v>0.2</v>
      </c>
      <c r="P128">
        <v>0</v>
      </c>
      <c r="Q128">
        <v>0.3</v>
      </c>
      <c r="R128">
        <v>0.21</v>
      </c>
      <c r="S128">
        <v>-9.1999999999999993</v>
      </c>
      <c r="T128">
        <v>1.7</v>
      </c>
      <c r="U128">
        <v>5.3</v>
      </c>
      <c r="V128" t="s">
        <v>2</v>
      </c>
    </row>
    <row r="129" spans="1:22" ht="15.5" x14ac:dyDescent="0.35">
      <c r="A129">
        <v>123</v>
      </c>
      <c r="B129" t="s">
        <v>412</v>
      </c>
      <c r="C129" t="s">
        <v>168</v>
      </c>
      <c r="D129" t="s">
        <v>952</v>
      </c>
      <c r="E129" t="s">
        <v>953</v>
      </c>
      <c r="F129">
        <v>41.5</v>
      </c>
      <c r="G129">
        <v>384.64</v>
      </c>
      <c r="H129">
        <v>41.72</v>
      </c>
      <c r="I129">
        <v>41.5</v>
      </c>
      <c r="J129">
        <v>41.54</v>
      </c>
      <c r="K129" t="s">
        <v>78</v>
      </c>
      <c r="L129">
        <v>41.72</v>
      </c>
      <c r="M129">
        <v>0</v>
      </c>
      <c r="N129">
        <v>0.22</v>
      </c>
      <c r="O129">
        <v>0.19</v>
      </c>
      <c r="P129">
        <v>0</v>
      </c>
      <c r="Q129">
        <v>0.22</v>
      </c>
      <c r="R129">
        <v>0.19</v>
      </c>
      <c r="S129">
        <v>-5.9</v>
      </c>
      <c r="T129">
        <v>0.3</v>
      </c>
      <c r="U129">
        <v>2.4</v>
      </c>
      <c r="V129" t="s">
        <v>2</v>
      </c>
    </row>
    <row r="130" spans="1:22" ht="15.5" x14ac:dyDescent="0.35">
      <c r="A130">
        <v>124</v>
      </c>
      <c r="B130" t="s">
        <v>821</v>
      </c>
      <c r="C130" t="s">
        <v>168</v>
      </c>
      <c r="D130" t="s">
        <v>955</v>
      </c>
      <c r="E130" t="s">
        <v>985</v>
      </c>
      <c r="F130">
        <v>21.31</v>
      </c>
      <c r="G130">
        <v>378.85</v>
      </c>
      <c r="H130">
        <v>21.36</v>
      </c>
      <c r="I130">
        <v>22.14</v>
      </c>
      <c r="J130">
        <v>22.59</v>
      </c>
      <c r="K130" t="s">
        <v>81</v>
      </c>
      <c r="L130">
        <v>22.59</v>
      </c>
      <c r="M130">
        <v>1.23</v>
      </c>
      <c r="N130">
        <v>0.45</v>
      </c>
      <c r="O130">
        <v>0</v>
      </c>
      <c r="P130">
        <v>1.23</v>
      </c>
      <c r="Q130">
        <v>0.47</v>
      </c>
      <c r="R130">
        <v>0</v>
      </c>
      <c r="S130">
        <v>4</v>
      </c>
      <c r="T130">
        <v>15.7</v>
      </c>
      <c r="U130">
        <v>19.399999999999999</v>
      </c>
      <c r="V130" t="s">
        <v>957</v>
      </c>
    </row>
    <row r="131" spans="1:22" ht="15.5" x14ac:dyDescent="0.35">
      <c r="A131">
        <v>125</v>
      </c>
      <c r="B131" t="s">
        <v>826</v>
      </c>
      <c r="C131" t="s">
        <v>168</v>
      </c>
      <c r="D131" t="s">
        <v>955</v>
      </c>
      <c r="E131" t="s">
        <v>986</v>
      </c>
      <c r="F131">
        <v>19.29</v>
      </c>
      <c r="G131">
        <v>378.85</v>
      </c>
      <c r="H131">
        <v>19.350000000000001</v>
      </c>
      <c r="I131">
        <v>20.2</v>
      </c>
      <c r="J131">
        <v>20.7</v>
      </c>
      <c r="K131" t="s">
        <v>81</v>
      </c>
      <c r="L131">
        <v>20.7</v>
      </c>
      <c r="M131">
        <v>1.35</v>
      </c>
      <c r="N131">
        <v>0.5</v>
      </c>
      <c r="O131">
        <v>0</v>
      </c>
      <c r="P131">
        <v>1.35</v>
      </c>
      <c r="Q131">
        <v>0.52</v>
      </c>
      <c r="R131">
        <v>0</v>
      </c>
      <c r="S131">
        <v>4.4000000000000004</v>
      </c>
      <c r="T131">
        <v>17.3</v>
      </c>
      <c r="U131">
        <v>21.2</v>
      </c>
      <c r="V131" t="s">
        <v>957</v>
      </c>
    </row>
    <row r="132" spans="1:22" ht="15.5" x14ac:dyDescent="0.35">
      <c r="A132">
        <v>126</v>
      </c>
      <c r="B132" t="s">
        <v>831</v>
      </c>
      <c r="C132" t="s">
        <v>168</v>
      </c>
      <c r="D132" t="s">
        <v>955</v>
      </c>
      <c r="E132" t="s">
        <v>987</v>
      </c>
      <c r="F132">
        <v>21.46</v>
      </c>
      <c r="G132">
        <v>378.85</v>
      </c>
      <c r="H132">
        <v>21.51</v>
      </c>
      <c r="I132">
        <v>22.28</v>
      </c>
      <c r="J132">
        <v>22.73</v>
      </c>
      <c r="K132" t="s">
        <v>81</v>
      </c>
      <c r="L132">
        <v>22.73</v>
      </c>
      <c r="M132">
        <v>1.22</v>
      </c>
      <c r="N132">
        <v>0.45</v>
      </c>
      <c r="O132">
        <v>0</v>
      </c>
      <c r="P132">
        <v>1.22</v>
      </c>
      <c r="Q132">
        <v>0.47</v>
      </c>
      <c r="R132">
        <v>0</v>
      </c>
      <c r="S132">
        <v>4</v>
      </c>
      <c r="T132">
        <v>15.6</v>
      </c>
      <c r="U132">
        <v>19.3</v>
      </c>
      <c r="V132" t="s">
        <v>957</v>
      </c>
    </row>
    <row r="133" spans="1:22" ht="15.5" x14ac:dyDescent="0.35">
      <c r="A133">
        <v>127</v>
      </c>
      <c r="B133" t="s">
        <v>414</v>
      </c>
      <c r="C133" t="s">
        <v>168</v>
      </c>
      <c r="D133" t="s">
        <v>952</v>
      </c>
      <c r="E133" t="s">
        <v>953</v>
      </c>
      <c r="F133">
        <v>56.5</v>
      </c>
      <c r="G133">
        <v>384.1</v>
      </c>
      <c r="H133">
        <v>56.62</v>
      </c>
      <c r="I133">
        <v>56.5</v>
      </c>
      <c r="J133">
        <v>56.54</v>
      </c>
      <c r="K133" t="s">
        <v>78</v>
      </c>
      <c r="L133">
        <v>56.62</v>
      </c>
      <c r="M133">
        <v>0</v>
      </c>
      <c r="N133">
        <v>0.12</v>
      </c>
      <c r="O133">
        <v>0.08</v>
      </c>
      <c r="P133">
        <v>0</v>
      </c>
      <c r="Q133">
        <v>0.12</v>
      </c>
      <c r="R133">
        <v>0.08</v>
      </c>
      <c r="S133">
        <v>-3.8</v>
      </c>
      <c r="T133">
        <v>0.8</v>
      </c>
      <c r="U133">
        <v>2.2999999999999998</v>
      </c>
      <c r="V133" t="s">
        <v>2</v>
      </c>
    </row>
    <row r="134" spans="1:22" ht="15.5" x14ac:dyDescent="0.35">
      <c r="A134">
        <v>128</v>
      </c>
      <c r="B134" t="s">
        <v>416</v>
      </c>
      <c r="C134" t="s">
        <v>168</v>
      </c>
      <c r="D134" t="s">
        <v>952</v>
      </c>
      <c r="E134" t="s">
        <v>953</v>
      </c>
      <c r="F134">
        <v>44</v>
      </c>
      <c r="G134">
        <v>384.12</v>
      </c>
      <c r="H134">
        <v>44.16</v>
      </c>
      <c r="I134">
        <v>44.01</v>
      </c>
      <c r="J134">
        <v>44.06</v>
      </c>
      <c r="K134" t="s">
        <v>78</v>
      </c>
      <c r="L134">
        <v>44.16</v>
      </c>
      <c r="M134">
        <v>0</v>
      </c>
      <c r="N134">
        <v>0.16</v>
      </c>
      <c r="O134">
        <v>0.11</v>
      </c>
      <c r="P134">
        <v>0</v>
      </c>
      <c r="Q134">
        <v>0.16</v>
      </c>
      <c r="R134">
        <v>0.11</v>
      </c>
      <c r="S134">
        <v>-4.9000000000000004</v>
      </c>
      <c r="T134">
        <v>0.9</v>
      </c>
      <c r="U134">
        <v>2.9</v>
      </c>
      <c r="V134" t="s">
        <v>2</v>
      </c>
    </row>
    <row r="135" spans="1:22" ht="15.5" x14ac:dyDescent="0.35">
      <c r="A135">
        <v>129</v>
      </c>
      <c r="B135" t="s">
        <v>418</v>
      </c>
      <c r="C135" t="s">
        <v>168</v>
      </c>
      <c r="D135" t="s">
        <v>952</v>
      </c>
      <c r="E135" t="s">
        <v>953</v>
      </c>
      <c r="F135">
        <v>31.5</v>
      </c>
      <c r="G135">
        <v>384.16</v>
      </c>
      <c r="H135">
        <v>31.73</v>
      </c>
      <c r="I135">
        <v>31.51</v>
      </c>
      <c r="J135">
        <v>31.58</v>
      </c>
      <c r="K135" t="s">
        <v>78</v>
      </c>
      <c r="L135">
        <v>31.73</v>
      </c>
      <c r="M135">
        <v>0</v>
      </c>
      <c r="N135">
        <v>0.22</v>
      </c>
      <c r="O135">
        <v>0.15</v>
      </c>
      <c r="P135">
        <v>0</v>
      </c>
      <c r="Q135">
        <v>0.22</v>
      </c>
      <c r="R135">
        <v>0.15</v>
      </c>
      <c r="S135">
        <v>-6.9</v>
      </c>
      <c r="T135">
        <v>1.3</v>
      </c>
      <c r="U135">
        <v>4</v>
      </c>
      <c r="V135" t="s">
        <v>2</v>
      </c>
    </row>
    <row r="136" spans="1:22" ht="15.5" x14ac:dyDescent="0.35">
      <c r="A136">
        <v>130</v>
      </c>
      <c r="B136" t="s">
        <v>420</v>
      </c>
      <c r="C136" t="s">
        <v>168</v>
      </c>
      <c r="D136" t="s">
        <v>952</v>
      </c>
      <c r="E136" t="s">
        <v>953</v>
      </c>
      <c r="F136">
        <v>27.5</v>
      </c>
      <c r="G136">
        <v>384.28</v>
      </c>
      <c r="H136">
        <v>27.78</v>
      </c>
      <c r="I136">
        <v>27.51</v>
      </c>
      <c r="J136">
        <v>27.58</v>
      </c>
      <c r="K136" t="s">
        <v>78</v>
      </c>
      <c r="L136">
        <v>27.78</v>
      </c>
      <c r="M136">
        <v>0</v>
      </c>
      <c r="N136">
        <v>0.27</v>
      </c>
      <c r="O136">
        <v>0.2</v>
      </c>
      <c r="P136">
        <v>0</v>
      </c>
      <c r="Q136">
        <v>0.27</v>
      </c>
      <c r="R136">
        <v>0.2</v>
      </c>
      <c r="S136">
        <v>-8.1</v>
      </c>
      <c r="T136">
        <v>1.2</v>
      </c>
      <c r="U136">
        <v>4.3</v>
      </c>
      <c r="V136" t="s">
        <v>2</v>
      </c>
    </row>
    <row r="137" spans="1:22" ht="15.5" x14ac:dyDescent="0.35">
      <c r="A137">
        <v>131</v>
      </c>
      <c r="B137" t="s">
        <v>422</v>
      </c>
      <c r="C137" t="s">
        <v>168</v>
      </c>
      <c r="D137" t="s">
        <v>952</v>
      </c>
      <c r="E137" t="s">
        <v>953</v>
      </c>
      <c r="F137">
        <v>26</v>
      </c>
      <c r="G137">
        <v>384.12</v>
      </c>
      <c r="H137">
        <v>26.27</v>
      </c>
      <c r="I137">
        <v>26.01</v>
      </c>
      <c r="J137">
        <v>26.1</v>
      </c>
      <c r="K137" t="s">
        <v>78</v>
      </c>
      <c r="L137">
        <v>26.27</v>
      </c>
      <c r="M137">
        <v>0</v>
      </c>
      <c r="N137">
        <v>0.26</v>
      </c>
      <c r="O137">
        <v>0.18</v>
      </c>
      <c r="P137">
        <v>0</v>
      </c>
      <c r="Q137">
        <v>0.26</v>
      </c>
      <c r="R137">
        <v>0.18</v>
      </c>
      <c r="S137">
        <v>-8.1999999999999993</v>
      </c>
      <c r="T137">
        <v>1.6</v>
      </c>
      <c r="U137">
        <v>4.9000000000000004</v>
      </c>
      <c r="V137" t="s">
        <v>2</v>
      </c>
    </row>
    <row r="138" spans="1:22" ht="15.5" x14ac:dyDescent="0.35">
      <c r="A138">
        <v>132</v>
      </c>
      <c r="B138" t="s">
        <v>424</v>
      </c>
      <c r="C138" t="s">
        <v>168</v>
      </c>
      <c r="D138" t="s">
        <v>952</v>
      </c>
      <c r="E138" t="s">
        <v>953</v>
      </c>
      <c r="F138">
        <v>28</v>
      </c>
      <c r="G138">
        <v>384.11</v>
      </c>
      <c r="H138">
        <v>28.25</v>
      </c>
      <c r="I138">
        <v>28.01</v>
      </c>
      <c r="J138">
        <v>28.09</v>
      </c>
      <c r="K138" t="s">
        <v>78</v>
      </c>
      <c r="L138">
        <v>28.25</v>
      </c>
      <c r="M138">
        <v>0</v>
      </c>
      <c r="N138">
        <v>0.24</v>
      </c>
      <c r="O138">
        <v>0.16</v>
      </c>
      <c r="P138">
        <v>0</v>
      </c>
      <c r="Q138">
        <v>0.24</v>
      </c>
      <c r="R138">
        <v>0.16</v>
      </c>
      <c r="S138">
        <v>-7.6</v>
      </c>
      <c r="T138">
        <v>1.5</v>
      </c>
      <c r="U138">
        <v>4.5999999999999996</v>
      </c>
      <c r="V138" t="s">
        <v>2</v>
      </c>
    </row>
    <row r="139" spans="1:22" ht="15.5" x14ac:dyDescent="0.35">
      <c r="A139">
        <v>133</v>
      </c>
      <c r="B139" t="s">
        <v>426</v>
      </c>
      <c r="C139" t="s">
        <v>168</v>
      </c>
      <c r="D139" t="s">
        <v>952</v>
      </c>
      <c r="E139" t="s">
        <v>953</v>
      </c>
      <c r="F139">
        <v>34</v>
      </c>
      <c r="G139">
        <v>384.14</v>
      </c>
      <c r="H139">
        <v>34.21</v>
      </c>
      <c r="I139">
        <v>34.01</v>
      </c>
      <c r="J139">
        <v>34.07</v>
      </c>
      <c r="K139" t="s">
        <v>78</v>
      </c>
      <c r="L139">
        <v>34.21</v>
      </c>
      <c r="M139">
        <v>0</v>
      </c>
      <c r="N139">
        <v>0.2</v>
      </c>
      <c r="O139">
        <v>0.14000000000000001</v>
      </c>
      <c r="P139">
        <v>0</v>
      </c>
      <c r="Q139">
        <v>0.2</v>
      </c>
      <c r="R139">
        <v>0.14000000000000001</v>
      </c>
      <c r="S139">
        <v>-6.4</v>
      </c>
      <c r="T139">
        <v>1.2</v>
      </c>
      <c r="U139">
        <v>3.7</v>
      </c>
      <c r="V139" t="s">
        <v>2</v>
      </c>
    </row>
    <row r="140" spans="1:22" ht="15.5" x14ac:dyDescent="0.35">
      <c r="A140">
        <v>134</v>
      </c>
      <c r="B140" t="s">
        <v>803</v>
      </c>
      <c r="C140" t="s">
        <v>168</v>
      </c>
      <c r="D140" t="s">
        <v>955</v>
      </c>
      <c r="E140" t="s">
        <v>979</v>
      </c>
      <c r="F140">
        <v>21</v>
      </c>
      <c r="G140">
        <v>378.85</v>
      </c>
      <c r="H140">
        <v>21.05</v>
      </c>
      <c r="I140">
        <v>21.84</v>
      </c>
      <c r="J140">
        <v>22.3</v>
      </c>
      <c r="K140" t="s">
        <v>81</v>
      </c>
      <c r="L140">
        <v>22.3</v>
      </c>
      <c r="M140">
        <v>1.25</v>
      </c>
      <c r="N140">
        <v>0.46</v>
      </c>
      <c r="O140">
        <v>0</v>
      </c>
      <c r="P140">
        <v>1.25</v>
      </c>
      <c r="Q140">
        <v>0.48</v>
      </c>
      <c r="R140">
        <v>0</v>
      </c>
      <c r="S140">
        <v>4.0999999999999996</v>
      </c>
      <c r="T140">
        <v>15.9</v>
      </c>
      <c r="U140">
        <v>19.7</v>
      </c>
      <c r="V140" t="s">
        <v>957</v>
      </c>
    </row>
    <row r="141" spans="1:22" ht="15.5" x14ac:dyDescent="0.35">
      <c r="A141">
        <v>135</v>
      </c>
      <c r="B141" t="s">
        <v>799</v>
      </c>
      <c r="C141" t="s">
        <v>168</v>
      </c>
      <c r="D141" t="s">
        <v>955</v>
      </c>
      <c r="E141" t="s">
        <v>978</v>
      </c>
      <c r="F141">
        <v>20.98</v>
      </c>
      <c r="G141">
        <v>378.85</v>
      </c>
      <c r="H141">
        <v>21.03</v>
      </c>
      <c r="I141">
        <v>21.82</v>
      </c>
      <c r="J141">
        <v>22.28</v>
      </c>
      <c r="K141" t="s">
        <v>81</v>
      </c>
      <c r="L141">
        <v>22.28</v>
      </c>
      <c r="M141">
        <v>1.25</v>
      </c>
      <c r="N141">
        <v>0.46</v>
      </c>
      <c r="O141">
        <v>0</v>
      </c>
      <c r="P141">
        <v>1.25</v>
      </c>
      <c r="Q141">
        <v>0.48</v>
      </c>
      <c r="R141">
        <v>0</v>
      </c>
      <c r="S141">
        <v>4.0999999999999996</v>
      </c>
      <c r="T141">
        <v>16</v>
      </c>
      <c r="U141">
        <v>19.7</v>
      </c>
      <c r="V141" t="s">
        <v>957</v>
      </c>
    </row>
    <row r="142" spans="1:22" ht="15.5" x14ac:dyDescent="0.35">
      <c r="A142">
        <v>136</v>
      </c>
      <c r="B142" t="s">
        <v>795</v>
      </c>
      <c r="C142" t="s">
        <v>168</v>
      </c>
      <c r="D142" t="s">
        <v>955</v>
      </c>
      <c r="E142" t="s">
        <v>977</v>
      </c>
      <c r="F142">
        <v>20.96</v>
      </c>
      <c r="G142">
        <v>378.85</v>
      </c>
      <c r="H142">
        <v>21.01</v>
      </c>
      <c r="I142">
        <v>21.8</v>
      </c>
      <c r="J142">
        <v>22.26</v>
      </c>
      <c r="K142" t="s">
        <v>81</v>
      </c>
      <c r="L142">
        <v>22.26</v>
      </c>
      <c r="M142">
        <v>1.25</v>
      </c>
      <c r="N142">
        <v>0.46</v>
      </c>
      <c r="O142">
        <v>0</v>
      </c>
      <c r="P142">
        <v>1.25</v>
      </c>
      <c r="Q142">
        <v>0.48</v>
      </c>
      <c r="R142">
        <v>0</v>
      </c>
      <c r="S142">
        <v>4.0999999999999996</v>
      </c>
      <c r="T142">
        <v>16</v>
      </c>
      <c r="U142">
        <v>19.7</v>
      </c>
      <c r="V142" t="s">
        <v>957</v>
      </c>
    </row>
    <row r="143" spans="1:22" ht="15.5" x14ac:dyDescent="0.35">
      <c r="A143">
        <v>137</v>
      </c>
      <c r="B143" t="s">
        <v>791</v>
      </c>
      <c r="C143" t="s">
        <v>168</v>
      </c>
      <c r="D143" t="s">
        <v>955</v>
      </c>
      <c r="E143" t="s">
        <v>976</v>
      </c>
      <c r="F143">
        <v>20.95</v>
      </c>
      <c r="G143">
        <v>378.85</v>
      </c>
      <c r="H143">
        <v>21</v>
      </c>
      <c r="I143">
        <v>21.79</v>
      </c>
      <c r="J143">
        <v>22.25</v>
      </c>
      <c r="K143" t="s">
        <v>81</v>
      </c>
      <c r="L143">
        <v>22.25</v>
      </c>
      <c r="M143">
        <v>1.25</v>
      </c>
      <c r="N143">
        <v>0.46</v>
      </c>
      <c r="O143">
        <v>0</v>
      </c>
      <c r="P143">
        <v>1.25</v>
      </c>
      <c r="Q143">
        <v>0.48</v>
      </c>
      <c r="R143">
        <v>0</v>
      </c>
      <c r="S143">
        <v>4.0999999999999996</v>
      </c>
      <c r="T143">
        <v>16</v>
      </c>
      <c r="U143">
        <v>19.7</v>
      </c>
      <c r="V143" t="s">
        <v>957</v>
      </c>
    </row>
    <row r="144" spans="1:22" ht="15.5" x14ac:dyDescent="0.35">
      <c r="A144">
        <v>138</v>
      </c>
      <c r="B144" t="s">
        <v>787</v>
      </c>
      <c r="C144" t="s">
        <v>168</v>
      </c>
      <c r="D144" t="s">
        <v>955</v>
      </c>
      <c r="E144" t="s">
        <v>975</v>
      </c>
      <c r="F144">
        <v>20.92</v>
      </c>
      <c r="G144">
        <v>378.85</v>
      </c>
      <c r="H144">
        <v>20.97</v>
      </c>
      <c r="I144">
        <v>21.76</v>
      </c>
      <c r="J144">
        <v>22.22</v>
      </c>
      <c r="K144" t="s">
        <v>81</v>
      </c>
      <c r="L144">
        <v>22.22</v>
      </c>
      <c r="M144">
        <v>1.25</v>
      </c>
      <c r="N144">
        <v>0.46</v>
      </c>
      <c r="O144">
        <v>0</v>
      </c>
      <c r="P144">
        <v>1.25</v>
      </c>
      <c r="Q144">
        <v>0.48</v>
      </c>
      <c r="R144">
        <v>0</v>
      </c>
      <c r="S144">
        <v>4.0999999999999996</v>
      </c>
      <c r="T144">
        <v>16</v>
      </c>
      <c r="U144">
        <v>19.7</v>
      </c>
      <c r="V144" t="s">
        <v>957</v>
      </c>
    </row>
    <row r="145" spans="1:22" ht="15.5" x14ac:dyDescent="0.35">
      <c r="A145">
        <v>139</v>
      </c>
      <c r="B145" t="s">
        <v>783</v>
      </c>
      <c r="C145" t="s">
        <v>168</v>
      </c>
      <c r="D145" t="s">
        <v>955</v>
      </c>
      <c r="E145" t="s">
        <v>974</v>
      </c>
      <c r="F145">
        <v>20.92</v>
      </c>
      <c r="G145">
        <v>378.85</v>
      </c>
      <c r="H145">
        <v>20.97</v>
      </c>
      <c r="I145">
        <v>21.76</v>
      </c>
      <c r="J145">
        <v>22.22</v>
      </c>
      <c r="K145" t="s">
        <v>81</v>
      </c>
      <c r="L145">
        <v>22.22</v>
      </c>
      <c r="M145">
        <v>1.25</v>
      </c>
      <c r="N145">
        <v>0.46</v>
      </c>
      <c r="O145">
        <v>0</v>
      </c>
      <c r="P145">
        <v>1.25</v>
      </c>
      <c r="Q145">
        <v>0.48</v>
      </c>
      <c r="R145">
        <v>0</v>
      </c>
      <c r="S145">
        <v>4.0999999999999996</v>
      </c>
      <c r="T145">
        <v>16</v>
      </c>
      <c r="U145">
        <v>19.7</v>
      </c>
      <c r="V145" t="s">
        <v>957</v>
      </c>
    </row>
    <row r="146" spans="1:22" ht="15.5" x14ac:dyDescent="0.35">
      <c r="A146">
        <v>140</v>
      </c>
      <c r="B146" t="s">
        <v>779</v>
      </c>
      <c r="C146" t="s">
        <v>168</v>
      </c>
      <c r="D146" t="s">
        <v>955</v>
      </c>
      <c r="E146" t="s">
        <v>973</v>
      </c>
      <c r="F146">
        <v>20.8</v>
      </c>
      <c r="G146">
        <v>378.85</v>
      </c>
      <c r="H146">
        <v>20.85</v>
      </c>
      <c r="I146">
        <v>21.65</v>
      </c>
      <c r="J146">
        <v>22.11</v>
      </c>
      <c r="K146" t="s">
        <v>81</v>
      </c>
      <c r="L146">
        <v>22.11</v>
      </c>
      <c r="M146">
        <v>1.26</v>
      </c>
      <c r="N146">
        <v>0.46</v>
      </c>
      <c r="O146">
        <v>0</v>
      </c>
      <c r="P146">
        <v>1.26</v>
      </c>
      <c r="Q146">
        <v>0.48</v>
      </c>
      <c r="R146">
        <v>0</v>
      </c>
      <c r="S146">
        <v>4.0999999999999996</v>
      </c>
      <c r="T146">
        <v>16.100000000000001</v>
      </c>
      <c r="U146">
        <v>19.8</v>
      </c>
      <c r="V146" t="s">
        <v>957</v>
      </c>
    </row>
    <row r="147" spans="1:22" ht="15.5" x14ac:dyDescent="0.35">
      <c r="A147">
        <v>141</v>
      </c>
      <c r="B147" t="s">
        <v>775</v>
      </c>
      <c r="C147" t="s">
        <v>168</v>
      </c>
      <c r="D147" t="s">
        <v>955</v>
      </c>
      <c r="E147" t="s">
        <v>972</v>
      </c>
      <c r="F147">
        <v>20.8</v>
      </c>
      <c r="G147">
        <v>378.85</v>
      </c>
      <c r="H147">
        <v>20.85</v>
      </c>
      <c r="I147">
        <v>21.65</v>
      </c>
      <c r="J147">
        <v>22.11</v>
      </c>
      <c r="K147" t="s">
        <v>81</v>
      </c>
      <c r="L147">
        <v>22.11</v>
      </c>
      <c r="M147">
        <v>1.26</v>
      </c>
      <c r="N147">
        <v>0.46</v>
      </c>
      <c r="O147">
        <v>0</v>
      </c>
      <c r="P147">
        <v>1.26</v>
      </c>
      <c r="Q147">
        <v>0.48</v>
      </c>
      <c r="R147">
        <v>0</v>
      </c>
      <c r="S147">
        <v>4.0999999999999996</v>
      </c>
      <c r="T147">
        <v>16.100000000000001</v>
      </c>
      <c r="U147">
        <v>19.8</v>
      </c>
      <c r="V147" t="s">
        <v>957</v>
      </c>
    </row>
    <row r="148" spans="1:22" ht="15.5" x14ac:dyDescent="0.35">
      <c r="A148">
        <v>142</v>
      </c>
      <c r="B148" t="s">
        <v>771</v>
      </c>
      <c r="C148" t="s">
        <v>168</v>
      </c>
      <c r="D148" t="s">
        <v>955</v>
      </c>
      <c r="E148" t="s">
        <v>971</v>
      </c>
      <c r="F148">
        <v>20.92</v>
      </c>
      <c r="G148">
        <v>378.85</v>
      </c>
      <c r="H148">
        <v>20.97</v>
      </c>
      <c r="I148">
        <v>21.76</v>
      </c>
      <c r="J148">
        <v>22.22</v>
      </c>
      <c r="K148" t="s">
        <v>81</v>
      </c>
      <c r="L148">
        <v>22.22</v>
      </c>
      <c r="M148">
        <v>1.25</v>
      </c>
      <c r="N148">
        <v>0.46</v>
      </c>
      <c r="O148">
        <v>0</v>
      </c>
      <c r="P148">
        <v>1.25</v>
      </c>
      <c r="Q148">
        <v>0.48</v>
      </c>
      <c r="R148">
        <v>0</v>
      </c>
      <c r="S148">
        <v>4.0999999999999996</v>
      </c>
      <c r="T148">
        <v>16</v>
      </c>
      <c r="U148">
        <v>19.7</v>
      </c>
      <c r="V148" t="s">
        <v>957</v>
      </c>
    </row>
    <row r="149" spans="1:22" ht="15.5" x14ac:dyDescent="0.35">
      <c r="A149">
        <v>143</v>
      </c>
      <c r="B149" t="s">
        <v>767</v>
      </c>
      <c r="C149" t="s">
        <v>168</v>
      </c>
      <c r="D149" t="s">
        <v>955</v>
      </c>
      <c r="E149" t="s">
        <v>970</v>
      </c>
      <c r="F149">
        <v>20.92</v>
      </c>
      <c r="G149">
        <v>378.85</v>
      </c>
      <c r="H149">
        <v>20.97</v>
      </c>
      <c r="I149">
        <v>21.76</v>
      </c>
      <c r="J149">
        <v>22.22</v>
      </c>
      <c r="K149" t="s">
        <v>81</v>
      </c>
      <c r="L149">
        <v>22.22</v>
      </c>
      <c r="M149">
        <v>1.25</v>
      </c>
      <c r="N149">
        <v>0.46</v>
      </c>
      <c r="O149">
        <v>0</v>
      </c>
      <c r="P149">
        <v>1.25</v>
      </c>
      <c r="Q149">
        <v>0.48</v>
      </c>
      <c r="R149">
        <v>0</v>
      </c>
      <c r="S149">
        <v>4.0999999999999996</v>
      </c>
      <c r="T149">
        <v>16</v>
      </c>
      <c r="U149">
        <v>19.7</v>
      </c>
      <c r="V149" t="s">
        <v>957</v>
      </c>
    </row>
    <row r="150" spans="1:22" ht="15.5" x14ac:dyDescent="0.35">
      <c r="A150">
        <v>144</v>
      </c>
      <c r="B150" t="s">
        <v>428</v>
      </c>
      <c r="C150" t="s">
        <v>168</v>
      </c>
      <c r="D150" t="s">
        <v>952</v>
      </c>
      <c r="E150" t="s">
        <v>953</v>
      </c>
      <c r="F150">
        <v>48.5</v>
      </c>
      <c r="G150">
        <v>384.15</v>
      </c>
      <c r="H150">
        <v>48.65</v>
      </c>
      <c r="I150">
        <v>48.51</v>
      </c>
      <c r="J150">
        <v>48.55</v>
      </c>
      <c r="K150" t="s">
        <v>78</v>
      </c>
      <c r="L150">
        <v>48.65</v>
      </c>
      <c r="M150">
        <v>0</v>
      </c>
      <c r="N150">
        <v>0.14000000000000001</v>
      </c>
      <c r="O150">
        <v>0.1</v>
      </c>
      <c r="P150">
        <v>0</v>
      </c>
      <c r="Q150">
        <v>0.14000000000000001</v>
      </c>
      <c r="R150">
        <v>0.1</v>
      </c>
      <c r="S150">
        <v>-4.5</v>
      </c>
      <c r="T150">
        <v>0.8</v>
      </c>
      <c r="U150">
        <v>2.6</v>
      </c>
      <c r="V150" t="s">
        <v>2</v>
      </c>
    </row>
    <row r="151" spans="1:22" ht="15.5" x14ac:dyDescent="0.35">
      <c r="A151">
        <v>145</v>
      </c>
      <c r="B151" t="s">
        <v>430</v>
      </c>
      <c r="C151" t="s">
        <v>168</v>
      </c>
      <c r="D151" t="s">
        <v>952</v>
      </c>
      <c r="E151" t="s">
        <v>953</v>
      </c>
      <c r="F151">
        <v>49</v>
      </c>
      <c r="G151">
        <v>384.14</v>
      </c>
      <c r="H151">
        <v>49.15</v>
      </c>
      <c r="I151">
        <v>49.01</v>
      </c>
      <c r="J151">
        <v>49.05</v>
      </c>
      <c r="K151" t="s">
        <v>78</v>
      </c>
      <c r="L151">
        <v>49.15</v>
      </c>
      <c r="M151">
        <v>0</v>
      </c>
      <c r="N151">
        <v>0.14000000000000001</v>
      </c>
      <c r="O151">
        <v>0.1</v>
      </c>
      <c r="P151">
        <v>0</v>
      </c>
      <c r="Q151">
        <v>0.14000000000000001</v>
      </c>
      <c r="R151">
        <v>0.1</v>
      </c>
      <c r="S151">
        <v>-4.4000000000000004</v>
      </c>
      <c r="T151">
        <v>0.8</v>
      </c>
      <c r="U151">
        <v>2.6</v>
      </c>
      <c r="V151" t="s">
        <v>2</v>
      </c>
    </row>
    <row r="152" spans="1:22" ht="15.5" x14ac:dyDescent="0.35">
      <c r="A152">
        <v>146</v>
      </c>
      <c r="B152" t="s">
        <v>432</v>
      </c>
      <c r="C152" t="s">
        <v>168</v>
      </c>
      <c r="D152" t="s">
        <v>952</v>
      </c>
      <c r="E152" t="s">
        <v>953</v>
      </c>
      <c r="F152">
        <v>49.5</v>
      </c>
      <c r="G152">
        <v>384.18</v>
      </c>
      <c r="H152">
        <v>49.65</v>
      </c>
      <c r="I152">
        <v>49.5</v>
      </c>
      <c r="J152">
        <v>49.55</v>
      </c>
      <c r="K152" t="s">
        <v>78</v>
      </c>
      <c r="L152">
        <v>49.65</v>
      </c>
      <c r="M152">
        <v>0</v>
      </c>
      <c r="N152">
        <v>0.14000000000000001</v>
      </c>
      <c r="O152">
        <v>0.1</v>
      </c>
      <c r="P152">
        <v>0</v>
      </c>
      <c r="Q152">
        <v>0.14000000000000001</v>
      </c>
      <c r="R152">
        <v>0.1</v>
      </c>
      <c r="S152">
        <v>-4.4000000000000004</v>
      </c>
      <c r="T152">
        <v>0.8</v>
      </c>
      <c r="U152">
        <v>2.5</v>
      </c>
      <c r="V152" t="s">
        <v>2</v>
      </c>
    </row>
    <row r="153" spans="1:22" ht="15.5" x14ac:dyDescent="0.35">
      <c r="A153">
        <v>147</v>
      </c>
      <c r="B153" t="s">
        <v>434</v>
      </c>
      <c r="C153" t="s">
        <v>168</v>
      </c>
      <c r="D153" t="s">
        <v>952</v>
      </c>
      <c r="E153" t="s">
        <v>953</v>
      </c>
      <c r="F153">
        <v>50</v>
      </c>
      <c r="G153">
        <v>384.14</v>
      </c>
      <c r="H153">
        <v>50.14</v>
      </c>
      <c r="I153">
        <v>50</v>
      </c>
      <c r="J153">
        <v>50.05</v>
      </c>
      <c r="K153" t="s">
        <v>78</v>
      </c>
      <c r="L153">
        <v>50.14</v>
      </c>
      <c r="M153">
        <v>0</v>
      </c>
      <c r="N153">
        <v>0.14000000000000001</v>
      </c>
      <c r="O153">
        <v>0.1</v>
      </c>
      <c r="P153">
        <v>0</v>
      </c>
      <c r="Q153">
        <v>0.14000000000000001</v>
      </c>
      <c r="R153">
        <v>0.1</v>
      </c>
      <c r="S153">
        <v>-4.3</v>
      </c>
      <c r="T153">
        <v>0.8</v>
      </c>
      <c r="U153">
        <v>2.5</v>
      </c>
      <c r="V153" t="s">
        <v>2</v>
      </c>
    </row>
    <row r="154" spans="1:22" ht="15.5" x14ac:dyDescent="0.35">
      <c r="A154">
        <v>148</v>
      </c>
      <c r="B154" t="s">
        <v>436</v>
      </c>
      <c r="C154" t="s">
        <v>168</v>
      </c>
      <c r="D154" t="s">
        <v>952</v>
      </c>
      <c r="E154" t="s">
        <v>953</v>
      </c>
      <c r="F154">
        <v>50.5</v>
      </c>
      <c r="G154">
        <v>384.23</v>
      </c>
      <c r="H154">
        <v>50.65</v>
      </c>
      <c r="I154">
        <v>50.5</v>
      </c>
      <c r="J154">
        <v>50.54</v>
      </c>
      <c r="K154" t="s">
        <v>78</v>
      </c>
      <c r="L154">
        <v>50.65</v>
      </c>
      <c r="M154">
        <v>0</v>
      </c>
      <c r="N154">
        <v>0.14000000000000001</v>
      </c>
      <c r="O154">
        <v>0.1</v>
      </c>
      <c r="P154">
        <v>0</v>
      </c>
      <c r="Q154">
        <v>0.14000000000000001</v>
      </c>
      <c r="R154">
        <v>0.1</v>
      </c>
      <c r="S154">
        <v>-4.4000000000000004</v>
      </c>
      <c r="T154">
        <v>0.7</v>
      </c>
      <c r="U154">
        <v>2.4</v>
      </c>
      <c r="V154" t="s">
        <v>2</v>
      </c>
    </row>
    <row r="155" spans="1:22" ht="15.5" x14ac:dyDescent="0.35">
      <c r="A155">
        <v>149</v>
      </c>
      <c r="B155" t="s">
        <v>438</v>
      </c>
      <c r="C155" t="s">
        <v>168</v>
      </c>
      <c r="D155" t="s">
        <v>952</v>
      </c>
      <c r="E155" t="s">
        <v>953</v>
      </c>
      <c r="F155">
        <v>50.5</v>
      </c>
      <c r="G155">
        <v>384.11</v>
      </c>
      <c r="H155">
        <v>50.64</v>
      </c>
      <c r="I155">
        <v>50.51</v>
      </c>
      <c r="J155">
        <v>50.55</v>
      </c>
      <c r="K155" t="s">
        <v>78</v>
      </c>
      <c r="L155">
        <v>50.64</v>
      </c>
      <c r="M155">
        <v>0</v>
      </c>
      <c r="N155">
        <v>0.13</v>
      </c>
      <c r="O155">
        <v>0.09</v>
      </c>
      <c r="P155">
        <v>0</v>
      </c>
      <c r="Q155">
        <v>0.13</v>
      </c>
      <c r="R155">
        <v>0.09</v>
      </c>
      <c r="S155">
        <v>-4.3</v>
      </c>
      <c r="T155">
        <v>0.8</v>
      </c>
      <c r="U155">
        <v>2.5</v>
      </c>
      <c r="V155" t="s">
        <v>2</v>
      </c>
    </row>
    <row r="156" spans="1:22" ht="15.5" x14ac:dyDescent="0.35">
      <c r="A156">
        <v>150</v>
      </c>
      <c r="B156" t="s">
        <v>440</v>
      </c>
      <c r="C156" t="s">
        <v>168</v>
      </c>
      <c r="D156" t="s">
        <v>952</v>
      </c>
      <c r="E156" t="s">
        <v>953</v>
      </c>
      <c r="F156">
        <v>51</v>
      </c>
      <c r="G156">
        <v>384.18</v>
      </c>
      <c r="H156">
        <v>51.14</v>
      </c>
      <c r="I156">
        <v>51</v>
      </c>
      <c r="J156">
        <v>51.05</v>
      </c>
      <c r="K156" t="s">
        <v>78</v>
      </c>
      <c r="L156">
        <v>51.14</v>
      </c>
      <c r="M156">
        <v>0</v>
      </c>
      <c r="N156">
        <v>0.14000000000000001</v>
      </c>
      <c r="O156">
        <v>0.1</v>
      </c>
      <c r="P156">
        <v>0</v>
      </c>
      <c r="Q156">
        <v>0.14000000000000001</v>
      </c>
      <c r="R156">
        <v>0.1</v>
      </c>
      <c r="S156">
        <v>-4.3</v>
      </c>
      <c r="T156">
        <v>0.7</v>
      </c>
      <c r="U156">
        <v>2.4</v>
      </c>
      <c r="V156" t="s">
        <v>2</v>
      </c>
    </row>
    <row r="157" spans="1:22" ht="15.5" x14ac:dyDescent="0.35">
      <c r="A157">
        <v>151</v>
      </c>
      <c r="B157" t="s">
        <v>442</v>
      </c>
      <c r="C157" t="s">
        <v>168</v>
      </c>
      <c r="D157" t="s">
        <v>952</v>
      </c>
      <c r="E157" t="s">
        <v>953</v>
      </c>
      <c r="F157">
        <v>42</v>
      </c>
      <c r="G157">
        <v>384.25</v>
      </c>
      <c r="H157">
        <v>42.18</v>
      </c>
      <c r="I157">
        <v>42</v>
      </c>
      <c r="J157">
        <v>42.05</v>
      </c>
      <c r="K157" t="s">
        <v>78</v>
      </c>
      <c r="L157">
        <v>42.18</v>
      </c>
      <c r="M157">
        <v>0</v>
      </c>
      <c r="N157">
        <v>0.18</v>
      </c>
      <c r="O157">
        <v>0.13</v>
      </c>
      <c r="P157">
        <v>0</v>
      </c>
      <c r="Q157">
        <v>0.18</v>
      </c>
      <c r="R157">
        <v>0.13</v>
      </c>
      <c r="S157">
        <v>-5.3</v>
      </c>
      <c r="T157">
        <v>0.8</v>
      </c>
      <c r="U157">
        <v>2.9</v>
      </c>
      <c r="V157" t="s">
        <v>2</v>
      </c>
    </row>
    <row r="158" spans="1:22" ht="15.5" x14ac:dyDescent="0.35">
      <c r="A158">
        <v>152</v>
      </c>
      <c r="B158" t="s">
        <v>444</v>
      </c>
      <c r="C158" t="s">
        <v>168</v>
      </c>
      <c r="D158" t="s">
        <v>952</v>
      </c>
      <c r="E158" t="s">
        <v>953</v>
      </c>
      <c r="F158">
        <v>31</v>
      </c>
      <c r="G158">
        <v>384.12</v>
      </c>
      <c r="H158">
        <v>31.23</v>
      </c>
      <c r="I158">
        <v>31.01</v>
      </c>
      <c r="J158">
        <v>31.08</v>
      </c>
      <c r="K158" t="s">
        <v>78</v>
      </c>
      <c r="L158">
        <v>31.23</v>
      </c>
      <c r="M158">
        <v>0</v>
      </c>
      <c r="N158">
        <v>0.22</v>
      </c>
      <c r="O158">
        <v>0.15</v>
      </c>
      <c r="P158">
        <v>0</v>
      </c>
      <c r="Q158">
        <v>0.22</v>
      </c>
      <c r="R158">
        <v>0.15</v>
      </c>
      <c r="S158">
        <v>-6.9</v>
      </c>
      <c r="T158">
        <v>1.3</v>
      </c>
      <c r="U158">
        <v>4.0999999999999996</v>
      </c>
      <c r="V158" t="s">
        <v>2</v>
      </c>
    </row>
    <row r="159" spans="1:22" ht="15.5" x14ac:dyDescent="0.35">
      <c r="A159">
        <v>153</v>
      </c>
      <c r="B159" t="s">
        <v>446</v>
      </c>
      <c r="C159" t="s">
        <v>168</v>
      </c>
      <c r="D159" t="s">
        <v>952</v>
      </c>
      <c r="E159" t="s">
        <v>953</v>
      </c>
      <c r="F159">
        <v>45.5</v>
      </c>
      <c r="G159">
        <v>384.11</v>
      </c>
      <c r="H159">
        <v>45.66</v>
      </c>
      <c r="I159">
        <v>45.51</v>
      </c>
      <c r="J159">
        <v>45.56</v>
      </c>
      <c r="K159" t="s">
        <v>78</v>
      </c>
      <c r="L159">
        <v>45.66</v>
      </c>
      <c r="M159">
        <v>0</v>
      </c>
      <c r="N159">
        <v>0.15</v>
      </c>
      <c r="O159">
        <v>0.1</v>
      </c>
      <c r="P159">
        <v>0</v>
      </c>
      <c r="Q159">
        <v>0.15</v>
      </c>
      <c r="R159">
        <v>0.1</v>
      </c>
      <c r="S159">
        <v>-4.7</v>
      </c>
      <c r="T159">
        <v>0.9</v>
      </c>
      <c r="U159">
        <v>2.8</v>
      </c>
      <c r="V159" t="s">
        <v>2</v>
      </c>
    </row>
    <row r="160" spans="1:22" ht="15.5" x14ac:dyDescent="0.35">
      <c r="A160">
        <v>154</v>
      </c>
      <c r="B160" t="s">
        <v>448</v>
      </c>
      <c r="C160" t="s">
        <v>168</v>
      </c>
      <c r="D160" t="s">
        <v>952</v>
      </c>
      <c r="E160" t="s">
        <v>953</v>
      </c>
      <c r="F160">
        <v>49</v>
      </c>
      <c r="G160">
        <v>384.18</v>
      </c>
      <c r="H160">
        <v>49.15</v>
      </c>
      <c r="I160">
        <v>49</v>
      </c>
      <c r="J160">
        <v>49.05</v>
      </c>
      <c r="K160" t="s">
        <v>78</v>
      </c>
      <c r="L160">
        <v>49.15</v>
      </c>
      <c r="M160">
        <v>0</v>
      </c>
      <c r="N160">
        <v>0.14000000000000001</v>
      </c>
      <c r="O160">
        <v>0.1</v>
      </c>
      <c r="P160">
        <v>0</v>
      </c>
      <c r="Q160">
        <v>0.14000000000000001</v>
      </c>
      <c r="R160">
        <v>0.1</v>
      </c>
      <c r="S160">
        <v>-4.5</v>
      </c>
      <c r="T160">
        <v>0.8</v>
      </c>
      <c r="U160">
        <v>2.5</v>
      </c>
      <c r="V160" t="s">
        <v>2</v>
      </c>
    </row>
    <row r="161" spans="1:22" ht="15.5" x14ac:dyDescent="0.35">
      <c r="A161">
        <v>155</v>
      </c>
      <c r="B161" t="s">
        <v>450</v>
      </c>
      <c r="C161" t="s">
        <v>168</v>
      </c>
      <c r="D161" t="s">
        <v>952</v>
      </c>
      <c r="E161" t="s">
        <v>953</v>
      </c>
      <c r="F161">
        <v>51</v>
      </c>
      <c r="G161">
        <v>384.22</v>
      </c>
      <c r="H161">
        <v>51.15</v>
      </c>
      <c r="I161">
        <v>51</v>
      </c>
      <c r="J161">
        <v>51.04</v>
      </c>
      <c r="K161" t="s">
        <v>78</v>
      </c>
      <c r="L161">
        <v>51.15</v>
      </c>
      <c r="M161">
        <v>0</v>
      </c>
      <c r="N161">
        <v>0.14000000000000001</v>
      </c>
      <c r="O161">
        <v>0.1</v>
      </c>
      <c r="P161">
        <v>0</v>
      </c>
      <c r="Q161">
        <v>0.14000000000000001</v>
      </c>
      <c r="R161">
        <v>0.1</v>
      </c>
      <c r="S161">
        <v>-4.3</v>
      </c>
      <c r="T161">
        <v>0.7</v>
      </c>
      <c r="U161">
        <v>2.4</v>
      </c>
      <c r="V161" t="s">
        <v>2</v>
      </c>
    </row>
    <row r="162" spans="1:22" ht="15.5" x14ac:dyDescent="0.35">
      <c r="A162">
        <v>156</v>
      </c>
      <c r="B162" t="s">
        <v>452</v>
      </c>
      <c r="C162" t="s">
        <v>168</v>
      </c>
      <c r="D162" t="s">
        <v>952</v>
      </c>
      <c r="E162" t="s">
        <v>953</v>
      </c>
      <c r="F162">
        <v>52.5</v>
      </c>
      <c r="G162">
        <v>384.15</v>
      </c>
      <c r="H162">
        <v>52.64</v>
      </c>
      <c r="I162">
        <v>52.5</v>
      </c>
      <c r="J162">
        <v>52.55</v>
      </c>
      <c r="K162" t="s">
        <v>78</v>
      </c>
      <c r="L162">
        <v>52.64</v>
      </c>
      <c r="M162">
        <v>0</v>
      </c>
      <c r="N162">
        <v>0.13</v>
      </c>
      <c r="O162">
        <v>0.09</v>
      </c>
      <c r="P162">
        <v>0</v>
      </c>
      <c r="Q162">
        <v>0.13</v>
      </c>
      <c r="R162">
        <v>0.09</v>
      </c>
      <c r="S162">
        <v>-4.0999999999999996</v>
      </c>
      <c r="T162">
        <v>0.8</v>
      </c>
      <c r="U162">
        <v>2.4</v>
      </c>
      <c r="V162" t="s">
        <v>2</v>
      </c>
    </row>
    <row r="163" spans="1:22" ht="15.5" x14ac:dyDescent="0.35">
      <c r="A163">
        <v>157</v>
      </c>
      <c r="B163" t="s">
        <v>454</v>
      </c>
      <c r="C163" t="s">
        <v>168</v>
      </c>
      <c r="D163" t="s">
        <v>952</v>
      </c>
      <c r="E163" t="s">
        <v>953</v>
      </c>
      <c r="F163">
        <v>57</v>
      </c>
      <c r="G163">
        <v>386.03</v>
      </c>
      <c r="H163">
        <v>57.28</v>
      </c>
      <c r="I163">
        <v>57.01</v>
      </c>
      <c r="J163">
        <v>57</v>
      </c>
      <c r="K163" t="s">
        <v>78</v>
      </c>
      <c r="L163">
        <v>57.28</v>
      </c>
      <c r="M163">
        <v>0</v>
      </c>
      <c r="N163">
        <v>0.27</v>
      </c>
      <c r="O163">
        <v>0.28000000000000003</v>
      </c>
      <c r="P163">
        <v>0</v>
      </c>
      <c r="Q163">
        <v>0.27</v>
      </c>
      <c r="R163">
        <v>0.28000000000000003</v>
      </c>
      <c r="S163">
        <v>-5.7</v>
      </c>
      <c r="T163">
        <v>-1.2</v>
      </c>
      <c r="U163">
        <v>0.3</v>
      </c>
      <c r="V163" t="s">
        <v>2</v>
      </c>
    </row>
    <row r="164" spans="1:22" ht="15.5" x14ac:dyDescent="0.35">
      <c r="A164">
        <v>158</v>
      </c>
      <c r="B164" t="s">
        <v>457</v>
      </c>
      <c r="C164" t="s">
        <v>168</v>
      </c>
      <c r="D164" t="s">
        <v>952</v>
      </c>
      <c r="E164" t="s">
        <v>953</v>
      </c>
      <c r="F164">
        <v>58.35</v>
      </c>
      <c r="G164">
        <v>384.4</v>
      </c>
      <c r="H164">
        <v>58.49</v>
      </c>
      <c r="I164">
        <v>58.35</v>
      </c>
      <c r="J164">
        <v>58.38</v>
      </c>
      <c r="K164" t="s">
        <v>78</v>
      </c>
      <c r="L164">
        <v>58.49</v>
      </c>
      <c r="M164">
        <v>0</v>
      </c>
      <c r="N164">
        <v>0.14000000000000001</v>
      </c>
      <c r="O164">
        <v>0.11</v>
      </c>
      <c r="P164">
        <v>0</v>
      </c>
      <c r="Q164">
        <v>0.14000000000000001</v>
      </c>
      <c r="R164">
        <v>0.11</v>
      </c>
      <c r="S164">
        <v>-4</v>
      </c>
      <c r="T164">
        <v>0.4</v>
      </c>
      <c r="U164">
        <v>1.9</v>
      </c>
      <c r="V164" t="s">
        <v>2</v>
      </c>
    </row>
    <row r="165" spans="1:22" ht="15.5" x14ac:dyDescent="0.35">
      <c r="A165">
        <v>159</v>
      </c>
      <c r="B165" t="s">
        <v>459</v>
      </c>
      <c r="C165" t="s">
        <v>168</v>
      </c>
      <c r="D165" t="s">
        <v>952</v>
      </c>
      <c r="E165" t="s">
        <v>953</v>
      </c>
      <c r="F165">
        <v>58.5</v>
      </c>
      <c r="G165">
        <v>388.67</v>
      </c>
      <c r="H165">
        <v>59.09</v>
      </c>
      <c r="I165">
        <v>58.62</v>
      </c>
      <c r="J165">
        <v>58.55</v>
      </c>
      <c r="K165" t="s">
        <v>78</v>
      </c>
      <c r="L165">
        <v>59.09</v>
      </c>
      <c r="M165">
        <v>0</v>
      </c>
      <c r="N165">
        <v>0.46</v>
      </c>
      <c r="O165">
        <v>0.54</v>
      </c>
      <c r="P165">
        <v>0</v>
      </c>
      <c r="Q165">
        <v>0.46</v>
      </c>
      <c r="R165">
        <v>0.54</v>
      </c>
      <c r="S165">
        <v>-8.1</v>
      </c>
      <c r="T165">
        <v>-3.7</v>
      </c>
      <c r="U165">
        <v>-2.2999999999999998</v>
      </c>
      <c r="V165" t="s">
        <v>2</v>
      </c>
    </row>
    <row r="166" spans="1:22" ht="15.5" x14ac:dyDescent="0.35">
      <c r="A166">
        <v>160</v>
      </c>
      <c r="B166" t="s">
        <v>461</v>
      </c>
      <c r="C166" t="s">
        <v>168</v>
      </c>
      <c r="D166" t="s">
        <v>952</v>
      </c>
      <c r="E166" t="s">
        <v>953</v>
      </c>
      <c r="F166">
        <v>39.5</v>
      </c>
      <c r="G166">
        <v>384.1</v>
      </c>
      <c r="H166">
        <v>39.68</v>
      </c>
      <c r="I166">
        <v>39.51</v>
      </c>
      <c r="J166">
        <v>39.56</v>
      </c>
      <c r="K166" t="s">
        <v>78</v>
      </c>
      <c r="L166">
        <v>39.68</v>
      </c>
      <c r="M166">
        <v>0</v>
      </c>
      <c r="N166">
        <v>0.17</v>
      </c>
      <c r="O166">
        <v>0.11</v>
      </c>
      <c r="P166">
        <v>0</v>
      </c>
      <c r="Q166">
        <v>0.17</v>
      </c>
      <c r="R166">
        <v>0.11</v>
      </c>
      <c r="S166">
        <v>-5.4</v>
      </c>
      <c r="T166">
        <v>1.1000000000000001</v>
      </c>
      <c r="U166">
        <v>3.3</v>
      </c>
      <c r="V166" t="s">
        <v>2</v>
      </c>
    </row>
    <row r="167" spans="1:22" ht="15.5" x14ac:dyDescent="0.35">
      <c r="A167">
        <v>161</v>
      </c>
      <c r="B167" t="s">
        <v>463</v>
      </c>
      <c r="C167" t="s">
        <v>170</v>
      </c>
      <c r="D167" t="s">
        <v>952</v>
      </c>
      <c r="E167" t="s">
        <v>953</v>
      </c>
      <c r="F167">
        <v>12.16</v>
      </c>
      <c r="G167">
        <v>384.49</v>
      </c>
      <c r="H167">
        <v>12.84</v>
      </c>
      <c r="I167">
        <v>12.17</v>
      </c>
      <c r="J167">
        <v>12.3</v>
      </c>
      <c r="K167" t="s">
        <v>78</v>
      </c>
      <c r="L167">
        <v>12.84</v>
      </c>
      <c r="M167">
        <v>0</v>
      </c>
      <c r="N167">
        <v>0.68</v>
      </c>
      <c r="O167">
        <v>0.54</v>
      </c>
      <c r="P167">
        <v>0</v>
      </c>
      <c r="Q167">
        <v>0.68</v>
      </c>
      <c r="R167">
        <v>0.55000000000000004</v>
      </c>
      <c r="S167">
        <v>-18.8</v>
      </c>
      <c r="T167">
        <v>1.7</v>
      </c>
      <c r="U167">
        <v>8.6999999999999993</v>
      </c>
      <c r="V167" t="s">
        <v>2</v>
      </c>
    </row>
    <row r="168" spans="1:22" ht="15.5" x14ac:dyDescent="0.35">
      <c r="A168">
        <v>162</v>
      </c>
      <c r="B168" t="s">
        <v>465</v>
      </c>
      <c r="C168" t="s">
        <v>170</v>
      </c>
      <c r="D168" t="s">
        <v>952</v>
      </c>
      <c r="E168" t="s">
        <v>953</v>
      </c>
      <c r="F168">
        <v>7.45</v>
      </c>
      <c r="G168">
        <v>384.43</v>
      </c>
      <c r="H168">
        <v>8.49</v>
      </c>
      <c r="I168">
        <v>7.46</v>
      </c>
      <c r="J168">
        <v>7.69</v>
      </c>
      <c r="K168" t="s">
        <v>78</v>
      </c>
      <c r="L168">
        <v>8.49</v>
      </c>
      <c r="M168">
        <v>0</v>
      </c>
      <c r="N168">
        <v>1.03</v>
      </c>
      <c r="O168">
        <v>0.8</v>
      </c>
      <c r="P168">
        <v>0</v>
      </c>
      <c r="Q168">
        <v>1.03</v>
      </c>
      <c r="R168">
        <v>0.82</v>
      </c>
      <c r="S168">
        <v>-28.7</v>
      </c>
      <c r="T168">
        <v>3.2</v>
      </c>
      <c r="U168">
        <v>14.4</v>
      </c>
      <c r="V168" t="s">
        <v>954</v>
      </c>
    </row>
    <row r="169" spans="1:22" ht="15.5" x14ac:dyDescent="0.35">
      <c r="A169">
        <v>163</v>
      </c>
      <c r="B169" t="s">
        <v>467</v>
      </c>
      <c r="C169" t="s">
        <v>170</v>
      </c>
      <c r="D169" t="s">
        <v>952</v>
      </c>
      <c r="E169" t="s">
        <v>953</v>
      </c>
      <c r="F169">
        <v>10.28</v>
      </c>
      <c r="G169">
        <v>384.57</v>
      </c>
      <c r="H169">
        <v>11.11</v>
      </c>
      <c r="I169">
        <v>10.28</v>
      </c>
      <c r="J169">
        <v>10.43</v>
      </c>
      <c r="K169" t="s">
        <v>78</v>
      </c>
      <c r="L169">
        <v>11.11</v>
      </c>
      <c r="M169">
        <v>0</v>
      </c>
      <c r="N169">
        <v>0.83</v>
      </c>
      <c r="O169">
        <v>0.68</v>
      </c>
      <c r="P169">
        <v>0</v>
      </c>
      <c r="Q169">
        <v>0.83</v>
      </c>
      <c r="R169">
        <v>0.69</v>
      </c>
      <c r="S169">
        <v>-22.3</v>
      </c>
      <c r="T169">
        <v>1.6</v>
      </c>
      <c r="U169">
        <v>9.8000000000000007</v>
      </c>
      <c r="V169" t="s">
        <v>2</v>
      </c>
    </row>
    <row r="170" spans="1:22" ht="15.5" x14ac:dyDescent="0.35">
      <c r="A170">
        <v>164</v>
      </c>
      <c r="B170" t="s">
        <v>469</v>
      </c>
      <c r="C170" t="s">
        <v>170</v>
      </c>
      <c r="D170" t="s">
        <v>952</v>
      </c>
      <c r="E170" t="s">
        <v>953</v>
      </c>
      <c r="F170">
        <v>2.06</v>
      </c>
      <c r="G170">
        <v>384.97</v>
      </c>
      <c r="H170">
        <v>5.0599999999999996</v>
      </c>
      <c r="I170">
        <v>2.06</v>
      </c>
      <c r="J170">
        <v>2.48</v>
      </c>
      <c r="K170" t="s">
        <v>78</v>
      </c>
      <c r="L170">
        <v>5.0599999999999996</v>
      </c>
      <c r="M170">
        <v>0</v>
      </c>
      <c r="N170">
        <v>2.99</v>
      </c>
      <c r="O170">
        <v>2.58</v>
      </c>
      <c r="P170">
        <v>0</v>
      </c>
      <c r="Q170">
        <v>3</v>
      </c>
      <c r="R170">
        <v>2.8</v>
      </c>
      <c r="S170">
        <v>-66</v>
      </c>
      <c r="T170">
        <v>-3.3</v>
      </c>
      <c r="U170">
        <v>33.799999999999997</v>
      </c>
      <c r="V170" t="s">
        <v>988</v>
      </c>
    </row>
    <row r="171" spans="1:22" ht="15.5" x14ac:dyDescent="0.35">
      <c r="A171">
        <v>165</v>
      </c>
      <c r="B171" t="s">
        <v>471</v>
      </c>
      <c r="C171" t="s">
        <v>170</v>
      </c>
      <c r="D171" t="s">
        <v>952</v>
      </c>
      <c r="E171" t="s">
        <v>953</v>
      </c>
      <c r="F171">
        <v>5.95</v>
      </c>
      <c r="G171">
        <v>384.48</v>
      </c>
      <c r="H171">
        <v>7.24</v>
      </c>
      <c r="I171">
        <v>5.96</v>
      </c>
      <c r="J171">
        <v>6.24</v>
      </c>
      <c r="K171" t="s">
        <v>78</v>
      </c>
      <c r="L171">
        <v>7.24</v>
      </c>
      <c r="M171">
        <v>0</v>
      </c>
      <c r="N171">
        <v>1.28</v>
      </c>
      <c r="O171">
        <v>1.01</v>
      </c>
      <c r="P171">
        <v>0</v>
      </c>
      <c r="Q171">
        <v>1.28</v>
      </c>
      <c r="R171">
        <v>1.05</v>
      </c>
      <c r="S171">
        <v>-34.799999999999997</v>
      </c>
      <c r="T171">
        <v>3.5</v>
      </c>
      <c r="U171">
        <v>17.399999999999999</v>
      </c>
      <c r="V171" t="s">
        <v>954</v>
      </c>
    </row>
    <row r="172" spans="1:22" ht="15.5" x14ac:dyDescent="0.35">
      <c r="A172">
        <v>166</v>
      </c>
      <c r="B172" t="s">
        <v>473</v>
      </c>
      <c r="C172" t="s">
        <v>170</v>
      </c>
      <c r="D172" t="s">
        <v>952</v>
      </c>
      <c r="E172" t="s">
        <v>953</v>
      </c>
      <c r="F172">
        <v>24.04</v>
      </c>
      <c r="G172">
        <v>384.32</v>
      </c>
      <c r="H172">
        <v>24.37</v>
      </c>
      <c r="I172">
        <v>24.05</v>
      </c>
      <c r="J172">
        <v>24.13</v>
      </c>
      <c r="K172" t="s">
        <v>78</v>
      </c>
      <c r="L172">
        <v>24.37</v>
      </c>
      <c r="M172">
        <v>0</v>
      </c>
      <c r="N172">
        <v>0.32</v>
      </c>
      <c r="O172">
        <v>0.24</v>
      </c>
      <c r="P172">
        <v>0</v>
      </c>
      <c r="Q172">
        <v>0.32</v>
      </c>
      <c r="R172">
        <v>0.24</v>
      </c>
      <c r="S172">
        <v>-9.4</v>
      </c>
      <c r="T172">
        <v>1.3</v>
      </c>
      <c r="U172">
        <v>4.8</v>
      </c>
      <c r="V172" t="s">
        <v>2</v>
      </c>
    </row>
    <row r="173" spans="1:22" ht="15.5" x14ac:dyDescent="0.35">
      <c r="A173">
        <v>167</v>
      </c>
      <c r="B173" t="s">
        <v>475</v>
      </c>
      <c r="C173" t="s">
        <v>170</v>
      </c>
      <c r="D173" t="s">
        <v>952</v>
      </c>
      <c r="E173" t="s">
        <v>953</v>
      </c>
      <c r="F173">
        <v>17.21</v>
      </c>
      <c r="G173">
        <v>384.67</v>
      </c>
      <c r="H173">
        <v>17.739999999999998</v>
      </c>
      <c r="I173">
        <v>17.21</v>
      </c>
      <c r="J173">
        <v>17.29</v>
      </c>
      <c r="K173" t="s">
        <v>78</v>
      </c>
      <c r="L173">
        <v>17.739999999999998</v>
      </c>
      <c r="M173">
        <v>0</v>
      </c>
      <c r="N173">
        <v>0.53</v>
      </c>
      <c r="O173">
        <v>0.45</v>
      </c>
      <c r="P173">
        <v>0</v>
      </c>
      <c r="Q173">
        <v>0.53</v>
      </c>
      <c r="R173">
        <v>0.45</v>
      </c>
      <c r="S173">
        <v>-14.1</v>
      </c>
      <c r="T173">
        <v>0.6</v>
      </c>
      <c r="U173">
        <v>5.6</v>
      </c>
      <c r="V173" t="s">
        <v>2</v>
      </c>
    </row>
    <row r="174" spans="1:22" ht="15.5" x14ac:dyDescent="0.35">
      <c r="A174">
        <v>168</v>
      </c>
      <c r="B174" t="s">
        <v>477</v>
      </c>
      <c r="C174" t="s">
        <v>170</v>
      </c>
      <c r="D174" t="s">
        <v>952</v>
      </c>
      <c r="E174" t="s">
        <v>953</v>
      </c>
      <c r="F174">
        <v>10.119999999999999</v>
      </c>
      <c r="G174">
        <v>384.86</v>
      </c>
      <c r="H174">
        <v>11.08</v>
      </c>
      <c r="I174">
        <v>10.119999999999999</v>
      </c>
      <c r="J174">
        <v>10.23</v>
      </c>
      <c r="K174" t="s">
        <v>78</v>
      </c>
      <c r="L174">
        <v>11.08</v>
      </c>
      <c r="M174">
        <v>0</v>
      </c>
      <c r="N174">
        <v>0.96</v>
      </c>
      <c r="O174">
        <v>0.85</v>
      </c>
      <c r="P174">
        <v>0</v>
      </c>
      <c r="Q174">
        <v>0.96</v>
      </c>
      <c r="R174">
        <v>0.86</v>
      </c>
      <c r="S174">
        <v>-24</v>
      </c>
      <c r="T174">
        <v>0</v>
      </c>
      <c r="U174">
        <v>8.4</v>
      </c>
      <c r="V174" t="s">
        <v>2</v>
      </c>
    </row>
    <row r="175" spans="1:22" ht="15.5" x14ac:dyDescent="0.35">
      <c r="A175">
        <v>169</v>
      </c>
      <c r="B175" t="s">
        <v>479</v>
      </c>
      <c r="C175" t="s">
        <v>170</v>
      </c>
      <c r="D175" t="s">
        <v>952</v>
      </c>
      <c r="E175" t="s">
        <v>953</v>
      </c>
      <c r="F175">
        <v>7.54</v>
      </c>
      <c r="G175">
        <v>384.6</v>
      </c>
      <c r="H175">
        <v>8.65</v>
      </c>
      <c r="I175">
        <v>7.54</v>
      </c>
      <c r="J175">
        <v>7.74</v>
      </c>
      <c r="K175" t="s">
        <v>78</v>
      </c>
      <c r="L175">
        <v>8.65</v>
      </c>
      <c r="M175">
        <v>0</v>
      </c>
      <c r="N175">
        <v>1.1100000000000001</v>
      </c>
      <c r="O175">
        <v>0.91</v>
      </c>
      <c r="P175">
        <v>0</v>
      </c>
      <c r="Q175">
        <v>1.1100000000000001</v>
      </c>
      <c r="R175">
        <v>0.93</v>
      </c>
      <c r="S175">
        <v>-29.4</v>
      </c>
      <c r="T175">
        <v>1.9</v>
      </c>
      <c r="U175">
        <v>13.1</v>
      </c>
      <c r="V175" t="s">
        <v>954</v>
      </c>
    </row>
    <row r="176" spans="1:22" ht="15.5" x14ac:dyDescent="0.35">
      <c r="A176">
        <v>170</v>
      </c>
      <c r="B176" t="s">
        <v>481</v>
      </c>
      <c r="C176" t="s">
        <v>170</v>
      </c>
      <c r="D176" t="s">
        <v>952</v>
      </c>
      <c r="E176" t="s">
        <v>953</v>
      </c>
      <c r="F176">
        <v>7.7</v>
      </c>
      <c r="G176">
        <v>384.48</v>
      </c>
      <c r="H176">
        <v>8.74</v>
      </c>
      <c r="I176">
        <v>7.71</v>
      </c>
      <c r="J176">
        <v>7.92</v>
      </c>
      <c r="K176" t="s">
        <v>78</v>
      </c>
      <c r="L176">
        <v>8.74</v>
      </c>
      <c r="M176">
        <v>0</v>
      </c>
      <c r="N176">
        <v>1.03</v>
      </c>
      <c r="O176">
        <v>0.81</v>
      </c>
      <c r="P176">
        <v>0</v>
      </c>
      <c r="Q176">
        <v>1.03</v>
      </c>
      <c r="R176">
        <v>0.83</v>
      </c>
      <c r="S176">
        <v>-28.2</v>
      </c>
      <c r="T176">
        <v>2.8</v>
      </c>
      <c r="U176">
        <v>13.7</v>
      </c>
      <c r="V176" t="s">
        <v>954</v>
      </c>
    </row>
    <row r="177" spans="1:22" ht="15.5" x14ac:dyDescent="0.35">
      <c r="A177">
        <v>171</v>
      </c>
      <c r="B177" t="s">
        <v>483</v>
      </c>
      <c r="C177" t="s">
        <v>170</v>
      </c>
      <c r="D177" t="s">
        <v>952</v>
      </c>
      <c r="E177" t="s">
        <v>953</v>
      </c>
      <c r="F177">
        <v>11.02</v>
      </c>
      <c r="G177">
        <v>384.34</v>
      </c>
      <c r="H177">
        <v>11.72</v>
      </c>
      <c r="I177">
        <v>11.03</v>
      </c>
      <c r="J177">
        <v>11.2</v>
      </c>
      <c r="K177" t="s">
        <v>78</v>
      </c>
      <c r="L177">
        <v>11.72</v>
      </c>
      <c r="M177">
        <v>0</v>
      </c>
      <c r="N177">
        <v>0.69</v>
      </c>
      <c r="O177">
        <v>0.52</v>
      </c>
      <c r="P177">
        <v>0</v>
      </c>
      <c r="Q177">
        <v>0.69</v>
      </c>
      <c r="R177">
        <v>0.52</v>
      </c>
      <c r="S177">
        <v>-19.899999999999999</v>
      </c>
      <c r="T177">
        <v>2.7</v>
      </c>
      <c r="U177">
        <v>10.4</v>
      </c>
      <c r="V177" t="s">
        <v>2</v>
      </c>
    </row>
    <row r="178" spans="1:22" ht="15.5" x14ac:dyDescent="0.35">
      <c r="A178">
        <v>172</v>
      </c>
      <c r="B178" t="s">
        <v>485</v>
      </c>
      <c r="C178" t="s">
        <v>170</v>
      </c>
      <c r="D178" t="s">
        <v>952</v>
      </c>
      <c r="E178" t="s">
        <v>953</v>
      </c>
      <c r="F178">
        <v>10.86</v>
      </c>
      <c r="G178">
        <v>384.62</v>
      </c>
      <c r="H178">
        <v>11.67</v>
      </c>
      <c r="I178">
        <v>10.86</v>
      </c>
      <c r="J178">
        <v>11</v>
      </c>
      <c r="K178" t="s">
        <v>78</v>
      </c>
      <c r="L178">
        <v>11.67</v>
      </c>
      <c r="M178">
        <v>0</v>
      </c>
      <c r="N178">
        <v>0.81</v>
      </c>
      <c r="O178">
        <v>0.67</v>
      </c>
      <c r="P178">
        <v>0</v>
      </c>
      <c r="Q178">
        <v>0.81</v>
      </c>
      <c r="R178">
        <v>0.68</v>
      </c>
      <c r="S178">
        <v>-21.5</v>
      </c>
      <c r="T178">
        <v>1.2</v>
      </c>
      <c r="U178">
        <v>9</v>
      </c>
      <c r="V178" t="s">
        <v>2</v>
      </c>
    </row>
    <row r="179" spans="1:22" ht="15.5" x14ac:dyDescent="0.35">
      <c r="A179">
        <v>173</v>
      </c>
      <c r="B179" t="s">
        <v>487</v>
      </c>
      <c r="C179" t="s">
        <v>170</v>
      </c>
      <c r="D179" t="s">
        <v>952</v>
      </c>
      <c r="E179" t="s">
        <v>953</v>
      </c>
      <c r="F179">
        <v>13.83</v>
      </c>
      <c r="G179">
        <v>384.54</v>
      </c>
      <c r="H179">
        <v>14.45</v>
      </c>
      <c r="I179">
        <v>13.83</v>
      </c>
      <c r="J179">
        <v>13.95</v>
      </c>
      <c r="K179" t="s">
        <v>78</v>
      </c>
      <c r="L179">
        <v>14.45</v>
      </c>
      <c r="M179">
        <v>0</v>
      </c>
      <c r="N179">
        <v>0.62</v>
      </c>
      <c r="O179">
        <v>0.5</v>
      </c>
      <c r="P179">
        <v>0</v>
      </c>
      <c r="Q179">
        <v>0.62</v>
      </c>
      <c r="R179">
        <v>0.51</v>
      </c>
      <c r="S179">
        <v>-16.8</v>
      </c>
      <c r="T179">
        <v>1.3</v>
      </c>
      <c r="U179">
        <v>7.5</v>
      </c>
      <c r="V179" t="s">
        <v>2</v>
      </c>
    </row>
    <row r="180" spans="1:22" ht="15.5" x14ac:dyDescent="0.35">
      <c r="A180">
        <v>174</v>
      </c>
      <c r="B180" t="s">
        <v>489</v>
      </c>
      <c r="C180" t="s">
        <v>170</v>
      </c>
      <c r="D180" t="s">
        <v>952</v>
      </c>
      <c r="E180" t="s">
        <v>953</v>
      </c>
      <c r="F180">
        <v>15.5</v>
      </c>
      <c r="G180">
        <v>384.62</v>
      </c>
      <c r="H180">
        <v>16.079999999999998</v>
      </c>
      <c r="I180">
        <v>15.5</v>
      </c>
      <c r="J180">
        <v>15.6</v>
      </c>
      <c r="K180" t="s">
        <v>78</v>
      </c>
      <c r="L180">
        <v>16.079999999999998</v>
      </c>
      <c r="M180">
        <v>0</v>
      </c>
      <c r="N180">
        <v>0.57999999999999996</v>
      </c>
      <c r="O180">
        <v>0.48</v>
      </c>
      <c r="P180">
        <v>0</v>
      </c>
      <c r="Q180">
        <v>0.57999999999999996</v>
      </c>
      <c r="R180">
        <v>0.49</v>
      </c>
      <c r="S180">
        <v>-15.4</v>
      </c>
      <c r="T180">
        <v>0.8</v>
      </c>
      <c r="U180">
        <v>6.4</v>
      </c>
      <c r="V180" t="s">
        <v>2</v>
      </c>
    </row>
    <row r="181" spans="1:22" ht="15.5" x14ac:dyDescent="0.35">
      <c r="A181">
        <v>175</v>
      </c>
      <c r="B181" t="s">
        <v>491</v>
      </c>
      <c r="C181" t="s">
        <v>170</v>
      </c>
      <c r="D181" t="s">
        <v>952</v>
      </c>
      <c r="E181" t="s">
        <v>953</v>
      </c>
      <c r="F181">
        <v>20.54</v>
      </c>
      <c r="G181">
        <v>384.61</v>
      </c>
      <c r="H181">
        <v>20.98</v>
      </c>
      <c r="I181">
        <v>20.54</v>
      </c>
      <c r="J181">
        <v>20.61</v>
      </c>
      <c r="K181" t="s">
        <v>78</v>
      </c>
      <c r="L181">
        <v>20.98</v>
      </c>
      <c r="M181">
        <v>0</v>
      </c>
      <c r="N181">
        <v>0.44</v>
      </c>
      <c r="O181">
        <v>0.36</v>
      </c>
      <c r="P181">
        <v>0</v>
      </c>
      <c r="Q181">
        <v>0.44</v>
      </c>
      <c r="R181">
        <v>0.37</v>
      </c>
      <c r="S181">
        <v>-11.7</v>
      </c>
      <c r="T181">
        <v>0.7</v>
      </c>
      <c r="U181">
        <v>4.8</v>
      </c>
      <c r="V181" t="s">
        <v>2</v>
      </c>
    </row>
    <row r="182" spans="1:22" ht="15.5" x14ac:dyDescent="0.35">
      <c r="A182">
        <v>176</v>
      </c>
      <c r="B182" t="s">
        <v>493</v>
      </c>
      <c r="C182" t="s">
        <v>170</v>
      </c>
      <c r="D182" t="s">
        <v>952</v>
      </c>
      <c r="E182" t="s">
        <v>953</v>
      </c>
      <c r="F182">
        <v>13.91</v>
      </c>
      <c r="G182">
        <v>384.49</v>
      </c>
      <c r="H182">
        <v>14.51</v>
      </c>
      <c r="I182">
        <v>13.91</v>
      </c>
      <c r="J182">
        <v>14.03</v>
      </c>
      <c r="K182" t="s">
        <v>78</v>
      </c>
      <c r="L182">
        <v>14.51</v>
      </c>
      <c r="M182">
        <v>0</v>
      </c>
      <c r="N182">
        <v>0.6</v>
      </c>
      <c r="O182">
        <v>0.48</v>
      </c>
      <c r="P182">
        <v>0</v>
      </c>
      <c r="Q182">
        <v>0.6</v>
      </c>
      <c r="R182">
        <v>0.49</v>
      </c>
      <c r="S182">
        <v>-16.600000000000001</v>
      </c>
      <c r="T182">
        <v>1.5</v>
      </c>
      <c r="U182">
        <v>7.6</v>
      </c>
      <c r="V182" t="s">
        <v>2</v>
      </c>
    </row>
    <row r="183" spans="1:22" ht="15.5" x14ac:dyDescent="0.35">
      <c r="A183">
        <v>177</v>
      </c>
      <c r="B183" t="s">
        <v>832</v>
      </c>
      <c r="C183" t="s">
        <v>170</v>
      </c>
      <c r="D183" t="s">
        <v>955</v>
      </c>
      <c r="E183" t="s">
        <v>987</v>
      </c>
      <c r="F183">
        <v>21.45</v>
      </c>
      <c r="G183">
        <v>378.85</v>
      </c>
      <c r="H183">
        <v>21.5</v>
      </c>
      <c r="I183">
        <v>22.27</v>
      </c>
      <c r="J183">
        <v>22.72</v>
      </c>
      <c r="K183" t="s">
        <v>81</v>
      </c>
      <c r="L183">
        <v>22.72</v>
      </c>
      <c r="M183">
        <v>1.22</v>
      </c>
      <c r="N183">
        <v>0.45</v>
      </c>
      <c r="O183">
        <v>0</v>
      </c>
      <c r="P183">
        <v>1.22</v>
      </c>
      <c r="Q183">
        <v>0.47</v>
      </c>
      <c r="R183">
        <v>0</v>
      </c>
      <c r="S183">
        <v>4</v>
      </c>
      <c r="T183">
        <v>15.6</v>
      </c>
      <c r="U183">
        <v>19.3</v>
      </c>
      <c r="V183" t="s">
        <v>957</v>
      </c>
    </row>
    <row r="184" spans="1:22" ht="15.5" x14ac:dyDescent="0.35">
      <c r="A184">
        <v>178</v>
      </c>
      <c r="B184" t="s">
        <v>495</v>
      </c>
      <c r="C184" t="s">
        <v>170</v>
      </c>
      <c r="D184" t="s">
        <v>952</v>
      </c>
      <c r="E184" t="s">
        <v>953</v>
      </c>
      <c r="F184">
        <v>27.5</v>
      </c>
      <c r="G184">
        <v>384.11</v>
      </c>
      <c r="H184">
        <v>27.76</v>
      </c>
      <c r="I184">
        <v>27.51</v>
      </c>
      <c r="J184">
        <v>27.59</v>
      </c>
      <c r="K184" t="s">
        <v>78</v>
      </c>
      <c r="L184">
        <v>27.76</v>
      </c>
      <c r="M184">
        <v>0</v>
      </c>
      <c r="N184">
        <v>0.25</v>
      </c>
      <c r="O184">
        <v>0.16</v>
      </c>
      <c r="P184">
        <v>0</v>
      </c>
      <c r="Q184">
        <v>0.25</v>
      </c>
      <c r="R184">
        <v>0.17</v>
      </c>
      <c r="S184">
        <v>-7.8</v>
      </c>
      <c r="T184">
        <v>1.5</v>
      </c>
      <c r="U184">
        <v>4.7</v>
      </c>
      <c r="V184" t="s">
        <v>2</v>
      </c>
    </row>
    <row r="185" spans="1:22" ht="15.5" x14ac:dyDescent="0.35">
      <c r="A185">
        <v>179</v>
      </c>
      <c r="B185" t="s">
        <v>497</v>
      </c>
      <c r="C185" t="s">
        <v>170</v>
      </c>
      <c r="D185" t="s">
        <v>952</v>
      </c>
      <c r="E185" t="s">
        <v>953</v>
      </c>
      <c r="F185">
        <v>36.5</v>
      </c>
      <c r="G185">
        <v>384.18</v>
      </c>
      <c r="H185">
        <v>36.700000000000003</v>
      </c>
      <c r="I185">
        <v>36.51</v>
      </c>
      <c r="J185">
        <v>36.56</v>
      </c>
      <c r="K185" t="s">
        <v>78</v>
      </c>
      <c r="L185">
        <v>36.700000000000003</v>
      </c>
      <c r="M185">
        <v>0</v>
      </c>
      <c r="N185">
        <v>0.19</v>
      </c>
      <c r="O185">
        <v>0.14000000000000001</v>
      </c>
      <c r="P185">
        <v>0</v>
      </c>
      <c r="Q185">
        <v>0.19</v>
      </c>
      <c r="R185">
        <v>0.14000000000000001</v>
      </c>
      <c r="S185">
        <v>-6</v>
      </c>
      <c r="T185">
        <v>1.1000000000000001</v>
      </c>
      <c r="U185">
        <v>3.4</v>
      </c>
      <c r="V185" t="s">
        <v>2</v>
      </c>
    </row>
    <row r="186" spans="1:22" ht="15.5" x14ac:dyDescent="0.35">
      <c r="A186">
        <v>180</v>
      </c>
      <c r="B186" t="s">
        <v>499</v>
      </c>
      <c r="C186" t="s">
        <v>170</v>
      </c>
      <c r="D186" t="s">
        <v>952</v>
      </c>
      <c r="E186" t="s">
        <v>953</v>
      </c>
      <c r="F186">
        <v>42</v>
      </c>
      <c r="G186">
        <v>384.12</v>
      </c>
      <c r="H186">
        <v>42.17</v>
      </c>
      <c r="I186">
        <v>42.01</v>
      </c>
      <c r="J186">
        <v>42.06</v>
      </c>
      <c r="K186" t="s">
        <v>78</v>
      </c>
      <c r="L186">
        <v>42.17</v>
      </c>
      <c r="M186">
        <v>0</v>
      </c>
      <c r="N186">
        <v>0.16</v>
      </c>
      <c r="O186">
        <v>0.11</v>
      </c>
      <c r="P186">
        <v>0</v>
      </c>
      <c r="Q186">
        <v>0.16</v>
      </c>
      <c r="R186">
        <v>0.11</v>
      </c>
      <c r="S186">
        <v>-5.0999999999999996</v>
      </c>
      <c r="T186">
        <v>1</v>
      </c>
      <c r="U186">
        <v>3</v>
      </c>
      <c r="V186" t="s">
        <v>2</v>
      </c>
    </row>
    <row r="187" spans="1:22" ht="15.5" x14ac:dyDescent="0.35">
      <c r="A187">
        <v>181</v>
      </c>
      <c r="B187" t="s">
        <v>501</v>
      </c>
      <c r="C187" t="s">
        <v>170</v>
      </c>
      <c r="D187" t="s">
        <v>952</v>
      </c>
      <c r="E187" t="s">
        <v>953</v>
      </c>
      <c r="F187">
        <v>9</v>
      </c>
      <c r="G187">
        <v>384.14</v>
      </c>
      <c r="H187">
        <v>9.76</v>
      </c>
      <c r="I187">
        <v>9.0299999999999994</v>
      </c>
      <c r="J187">
        <v>9.27</v>
      </c>
      <c r="K187" t="s">
        <v>78</v>
      </c>
      <c r="L187">
        <v>9.76</v>
      </c>
      <c r="M187">
        <v>0</v>
      </c>
      <c r="N187">
        <v>0.74</v>
      </c>
      <c r="O187">
        <v>0.5</v>
      </c>
      <c r="P187">
        <v>0</v>
      </c>
      <c r="Q187">
        <v>0.74</v>
      </c>
      <c r="R187">
        <v>0.51</v>
      </c>
      <c r="S187">
        <v>-22.8</v>
      </c>
      <c r="T187">
        <v>4.5</v>
      </c>
      <c r="U187">
        <v>13.8</v>
      </c>
      <c r="V187" t="s">
        <v>954</v>
      </c>
    </row>
    <row r="188" spans="1:22" ht="15.5" x14ac:dyDescent="0.35">
      <c r="A188">
        <v>182</v>
      </c>
      <c r="B188" t="s">
        <v>503</v>
      </c>
      <c r="C188" t="s">
        <v>170</v>
      </c>
      <c r="D188" t="s">
        <v>952</v>
      </c>
      <c r="E188" t="s">
        <v>953</v>
      </c>
      <c r="F188">
        <v>18.5</v>
      </c>
      <c r="G188">
        <v>384.11</v>
      </c>
      <c r="H188">
        <v>18.88</v>
      </c>
      <c r="I188">
        <v>18.510000000000002</v>
      </c>
      <c r="J188">
        <v>18.64</v>
      </c>
      <c r="K188" t="s">
        <v>78</v>
      </c>
      <c r="L188">
        <v>18.88</v>
      </c>
      <c r="M188">
        <v>0</v>
      </c>
      <c r="N188">
        <v>0.36</v>
      </c>
      <c r="O188">
        <v>0.24</v>
      </c>
      <c r="P188">
        <v>0</v>
      </c>
      <c r="Q188">
        <v>0.36</v>
      </c>
      <c r="R188">
        <v>0.24</v>
      </c>
      <c r="S188">
        <v>-11.5</v>
      </c>
      <c r="T188">
        <v>2.2999999999999998</v>
      </c>
      <c r="U188">
        <v>6.9</v>
      </c>
      <c r="V188" t="s">
        <v>2</v>
      </c>
    </row>
    <row r="189" spans="1:22" ht="15.5" x14ac:dyDescent="0.35">
      <c r="A189">
        <v>183</v>
      </c>
      <c r="B189" t="s">
        <v>505</v>
      </c>
      <c r="C189" t="s">
        <v>170</v>
      </c>
      <c r="D189" t="s">
        <v>952</v>
      </c>
      <c r="E189" t="s">
        <v>953</v>
      </c>
      <c r="F189">
        <v>8.99</v>
      </c>
      <c r="G189">
        <v>384.11</v>
      </c>
      <c r="H189">
        <v>9.74</v>
      </c>
      <c r="I189">
        <v>9.02</v>
      </c>
      <c r="J189">
        <v>9.27</v>
      </c>
      <c r="K189" t="s">
        <v>78</v>
      </c>
      <c r="L189">
        <v>9.74</v>
      </c>
      <c r="M189">
        <v>0</v>
      </c>
      <c r="N189">
        <v>0.72</v>
      </c>
      <c r="O189">
        <v>0.48</v>
      </c>
      <c r="P189">
        <v>0</v>
      </c>
      <c r="Q189">
        <v>0.73</v>
      </c>
      <c r="R189">
        <v>0.49</v>
      </c>
      <c r="S189">
        <v>-22.7</v>
      </c>
      <c r="T189">
        <v>4.7</v>
      </c>
      <c r="U189">
        <v>14</v>
      </c>
      <c r="V189" t="s">
        <v>954</v>
      </c>
    </row>
    <row r="190" spans="1:22" ht="15.5" x14ac:dyDescent="0.35">
      <c r="A190">
        <v>184</v>
      </c>
      <c r="B190" t="s">
        <v>507</v>
      </c>
      <c r="C190" t="s">
        <v>170</v>
      </c>
      <c r="D190" t="s">
        <v>952</v>
      </c>
      <c r="E190" t="s">
        <v>953</v>
      </c>
      <c r="F190">
        <v>29</v>
      </c>
      <c r="G190">
        <v>384.11</v>
      </c>
      <c r="H190">
        <v>29.24</v>
      </c>
      <c r="I190">
        <v>29.01</v>
      </c>
      <c r="J190">
        <v>29.09</v>
      </c>
      <c r="K190" t="s">
        <v>78</v>
      </c>
      <c r="L190">
        <v>29.24</v>
      </c>
      <c r="M190">
        <v>0</v>
      </c>
      <c r="N190">
        <v>0.23</v>
      </c>
      <c r="O190">
        <v>0.16</v>
      </c>
      <c r="P190">
        <v>0</v>
      </c>
      <c r="Q190">
        <v>0.23</v>
      </c>
      <c r="R190">
        <v>0.16</v>
      </c>
      <c r="S190">
        <v>-7.4</v>
      </c>
      <c r="T190">
        <v>1.5</v>
      </c>
      <c r="U190">
        <v>4.4000000000000004</v>
      </c>
      <c r="V190" t="s">
        <v>2</v>
      </c>
    </row>
    <row r="191" spans="1:22" ht="15.5" x14ac:dyDescent="0.35">
      <c r="A191">
        <v>185</v>
      </c>
      <c r="B191" t="s">
        <v>509</v>
      </c>
      <c r="C191" t="s">
        <v>170</v>
      </c>
      <c r="D191" t="s">
        <v>952</v>
      </c>
      <c r="E191" t="s">
        <v>953</v>
      </c>
      <c r="F191">
        <v>16</v>
      </c>
      <c r="G191">
        <v>384.11</v>
      </c>
      <c r="H191">
        <v>16.440000000000001</v>
      </c>
      <c r="I191">
        <v>16.02</v>
      </c>
      <c r="J191">
        <v>16.16</v>
      </c>
      <c r="K191" t="s">
        <v>78</v>
      </c>
      <c r="L191">
        <v>16.440000000000001</v>
      </c>
      <c r="M191">
        <v>0</v>
      </c>
      <c r="N191">
        <v>0.42</v>
      </c>
      <c r="O191">
        <v>0.28000000000000003</v>
      </c>
      <c r="P191">
        <v>0</v>
      </c>
      <c r="Q191">
        <v>0.42</v>
      </c>
      <c r="R191">
        <v>0.28000000000000003</v>
      </c>
      <c r="S191">
        <v>-13.2</v>
      </c>
      <c r="T191">
        <v>2.7</v>
      </c>
      <c r="U191">
        <v>8</v>
      </c>
      <c r="V191" t="s">
        <v>2</v>
      </c>
    </row>
    <row r="192" spans="1:22" ht="15.5" x14ac:dyDescent="0.35">
      <c r="A192">
        <v>186</v>
      </c>
      <c r="B192" t="s">
        <v>511</v>
      </c>
      <c r="C192" t="s">
        <v>170</v>
      </c>
      <c r="D192" t="s">
        <v>952</v>
      </c>
      <c r="E192" t="s">
        <v>953</v>
      </c>
      <c r="F192">
        <v>53.5</v>
      </c>
      <c r="G192">
        <v>384.15</v>
      </c>
      <c r="H192">
        <v>53.64</v>
      </c>
      <c r="I192">
        <v>53.5</v>
      </c>
      <c r="J192">
        <v>53.55</v>
      </c>
      <c r="K192" t="s">
        <v>78</v>
      </c>
      <c r="L192">
        <v>53.64</v>
      </c>
      <c r="M192">
        <v>0</v>
      </c>
      <c r="N192">
        <v>0.13</v>
      </c>
      <c r="O192">
        <v>0.09</v>
      </c>
      <c r="P192">
        <v>0</v>
      </c>
      <c r="Q192">
        <v>0.13</v>
      </c>
      <c r="R192">
        <v>0.09</v>
      </c>
      <c r="S192">
        <v>-4.0999999999999996</v>
      </c>
      <c r="T192">
        <v>0.7</v>
      </c>
      <c r="U192">
        <v>2.4</v>
      </c>
      <c r="V192" t="s">
        <v>2</v>
      </c>
    </row>
    <row r="193" spans="1:22" ht="15.5" x14ac:dyDescent="0.35">
      <c r="A193">
        <v>187</v>
      </c>
      <c r="B193" t="s">
        <v>822</v>
      </c>
      <c r="C193" t="s">
        <v>170</v>
      </c>
      <c r="D193" t="s">
        <v>955</v>
      </c>
      <c r="E193" t="s">
        <v>985</v>
      </c>
      <c r="F193">
        <v>21.3</v>
      </c>
      <c r="G193">
        <v>378.85</v>
      </c>
      <c r="H193">
        <v>21.35</v>
      </c>
      <c r="I193">
        <v>22.13</v>
      </c>
      <c r="J193">
        <v>22.58</v>
      </c>
      <c r="K193" t="s">
        <v>81</v>
      </c>
      <c r="L193">
        <v>22.58</v>
      </c>
      <c r="M193">
        <v>1.23</v>
      </c>
      <c r="N193">
        <v>0.45</v>
      </c>
      <c r="O193">
        <v>0</v>
      </c>
      <c r="P193">
        <v>1.23</v>
      </c>
      <c r="Q193">
        <v>0.47</v>
      </c>
      <c r="R193">
        <v>0</v>
      </c>
      <c r="S193">
        <v>4</v>
      </c>
      <c r="T193">
        <v>15.7</v>
      </c>
      <c r="U193">
        <v>19.399999999999999</v>
      </c>
      <c r="V193" t="s">
        <v>957</v>
      </c>
    </row>
    <row r="194" spans="1:22" ht="15.5" x14ac:dyDescent="0.35">
      <c r="A194">
        <v>188</v>
      </c>
      <c r="B194" t="s">
        <v>513</v>
      </c>
      <c r="C194" t="s">
        <v>170</v>
      </c>
      <c r="D194" t="s">
        <v>952</v>
      </c>
      <c r="E194" t="s">
        <v>953</v>
      </c>
      <c r="F194">
        <v>6</v>
      </c>
      <c r="G194">
        <v>384.1</v>
      </c>
      <c r="H194">
        <v>7.08</v>
      </c>
      <c r="I194">
        <v>6.05</v>
      </c>
      <c r="J194">
        <v>6.41</v>
      </c>
      <c r="K194" t="s">
        <v>78</v>
      </c>
      <c r="L194">
        <v>7.08</v>
      </c>
      <c r="M194">
        <v>0</v>
      </c>
      <c r="N194">
        <v>1.03</v>
      </c>
      <c r="O194">
        <v>0.67</v>
      </c>
      <c r="P194">
        <v>0</v>
      </c>
      <c r="Q194">
        <v>1.04</v>
      </c>
      <c r="R194">
        <v>0.71</v>
      </c>
      <c r="S194">
        <v>-32</v>
      </c>
      <c r="T194">
        <v>7.1</v>
      </c>
      <c r="U194">
        <v>20.5</v>
      </c>
      <c r="V194" t="s">
        <v>954</v>
      </c>
    </row>
    <row r="195" spans="1:22" ht="15.5" x14ac:dyDescent="0.35">
      <c r="A195">
        <v>189</v>
      </c>
      <c r="B195" t="s">
        <v>516</v>
      </c>
      <c r="C195" t="s">
        <v>170</v>
      </c>
      <c r="D195" t="s">
        <v>952</v>
      </c>
      <c r="E195" t="s">
        <v>953</v>
      </c>
      <c r="F195">
        <v>3</v>
      </c>
      <c r="G195">
        <v>384.24</v>
      </c>
      <c r="H195">
        <v>4.91</v>
      </c>
      <c r="I195">
        <v>3.06</v>
      </c>
      <c r="J195">
        <v>3.67</v>
      </c>
      <c r="K195" t="s">
        <v>78</v>
      </c>
      <c r="L195">
        <v>4.91</v>
      </c>
      <c r="M195">
        <v>0</v>
      </c>
      <c r="N195">
        <v>1.85</v>
      </c>
      <c r="O195">
        <v>1.24</v>
      </c>
      <c r="P195">
        <v>0</v>
      </c>
      <c r="Q195">
        <v>1.87</v>
      </c>
      <c r="R195">
        <v>1.43</v>
      </c>
      <c r="S195">
        <v>-52.3</v>
      </c>
      <c r="T195">
        <v>11.6</v>
      </c>
      <c r="U195">
        <v>35.200000000000003</v>
      </c>
      <c r="V195" t="s">
        <v>989</v>
      </c>
    </row>
    <row r="196" spans="1:22" ht="15.5" x14ac:dyDescent="0.35">
      <c r="A196">
        <v>190</v>
      </c>
      <c r="B196" t="s">
        <v>518</v>
      </c>
      <c r="C196" t="s">
        <v>170</v>
      </c>
      <c r="D196" t="s">
        <v>952</v>
      </c>
      <c r="E196" t="s">
        <v>953</v>
      </c>
      <c r="F196">
        <v>15</v>
      </c>
      <c r="G196">
        <v>384.11</v>
      </c>
      <c r="H196">
        <v>15.46</v>
      </c>
      <c r="I196">
        <v>15.02</v>
      </c>
      <c r="J196">
        <v>15.17</v>
      </c>
      <c r="K196" t="s">
        <v>78</v>
      </c>
      <c r="L196">
        <v>15.46</v>
      </c>
      <c r="M196">
        <v>0</v>
      </c>
      <c r="N196">
        <v>0.44</v>
      </c>
      <c r="O196">
        <v>0.3</v>
      </c>
      <c r="P196">
        <v>0</v>
      </c>
      <c r="Q196">
        <v>0.45</v>
      </c>
      <c r="R196">
        <v>0.3</v>
      </c>
      <c r="S196">
        <v>-14.1</v>
      </c>
      <c r="T196">
        <v>2.8</v>
      </c>
      <c r="U196">
        <v>8.5</v>
      </c>
      <c r="V196" t="s">
        <v>2</v>
      </c>
    </row>
    <row r="197" spans="1:22" ht="15.5" x14ac:dyDescent="0.35">
      <c r="A197">
        <v>191</v>
      </c>
      <c r="B197" t="s">
        <v>827</v>
      </c>
      <c r="C197" t="s">
        <v>170</v>
      </c>
      <c r="D197" t="s">
        <v>955</v>
      </c>
      <c r="E197" t="s">
        <v>986</v>
      </c>
      <c r="F197">
        <v>19.28</v>
      </c>
      <c r="G197">
        <v>378.85</v>
      </c>
      <c r="H197">
        <v>19.34</v>
      </c>
      <c r="I197">
        <v>20.190000000000001</v>
      </c>
      <c r="J197">
        <v>20.69</v>
      </c>
      <c r="K197" t="s">
        <v>81</v>
      </c>
      <c r="L197">
        <v>20.69</v>
      </c>
      <c r="M197">
        <v>1.35</v>
      </c>
      <c r="N197">
        <v>0.5</v>
      </c>
      <c r="O197">
        <v>0</v>
      </c>
      <c r="P197">
        <v>1.35</v>
      </c>
      <c r="Q197">
        <v>0.52</v>
      </c>
      <c r="R197">
        <v>0</v>
      </c>
      <c r="S197">
        <v>4.4000000000000004</v>
      </c>
      <c r="T197">
        <v>17.3</v>
      </c>
      <c r="U197">
        <v>21.3</v>
      </c>
      <c r="V197" t="s">
        <v>957</v>
      </c>
    </row>
    <row r="198" spans="1:22" ht="15.5" x14ac:dyDescent="0.35">
      <c r="A198">
        <v>192</v>
      </c>
      <c r="B198" t="s">
        <v>520</v>
      </c>
      <c r="C198" t="s">
        <v>171</v>
      </c>
      <c r="D198" t="s">
        <v>952</v>
      </c>
      <c r="E198" t="s">
        <v>953</v>
      </c>
      <c r="F198">
        <v>37.869999999999997</v>
      </c>
      <c r="G198">
        <v>384.48</v>
      </c>
      <c r="H198">
        <v>38.090000000000003</v>
      </c>
      <c r="I198">
        <v>37.869999999999997</v>
      </c>
      <c r="J198">
        <v>37.92</v>
      </c>
      <c r="K198" t="s">
        <v>78</v>
      </c>
      <c r="L198">
        <v>38.090000000000003</v>
      </c>
      <c r="M198">
        <v>0</v>
      </c>
      <c r="N198">
        <v>0.22</v>
      </c>
      <c r="O198">
        <v>0.18</v>
      </c>
      <c r="P198">
        <v>0</v>
      </c>
      <c r="Q198">
        <v>0.22</v>
      </c>
      <c r="R198">
        <v>0.18</v>
      </c>
      <c r="S198">
        <v>-6.2</v>
      </c>
      <c r="T198">
        <v>0.6</v>
      </c>
      <c r="U198">
        <v>2.8</v>
      </c>
      <c r="V198" t="s">
        <v>2</v>
      </c>
    </row>
    <row r="199" spans="1:22" ht="15.5" x14ac:dyDescent="0.35">
      <c r="A199">
        <v>193</v>
      </c>
      <c r="B199" t="s">
        <v>522</v>
      </c>
      <c r="C199" t="s">
        <v>171</v>
      </c>
      <c r="D199" t="s">
        <v>952</v>
      </c>
      <c r="E199" t="s">
        <v>953</v>
      </c>
      <c r="F199">
        <v>34.9</v>
      </c>
      <c r="G199">
        <v>384.46</v>
      </c>
      <c r="H199">
        <v>35.14</v>
      </c>
      <c r="I199">
        <v>34.9</v>
      </c>
      <c r="J199">
        <v>34.950000000000003</v>
      </c>
      <c r="K199" t="s">
        <v>78</v>
      </c>
      <c r="L199">
        <v>35.14</v>
      </c>
      <c r="M199">
        <v>0</v>
      </c>
      <c r="N199">
        <v>0.24</v>
      </c>
      <c r="O199">
        <v>0.19</v>
      </c>
      <c r="P199">
        <v>0</v>
      </c>
      <c r="Q199">
        <v>0.24</v>
      </c>
      <c r="R199">
        <v>0.19</v>
      </c>
      <c r="S199">
        <v>-6.7</v>
      </c>
      <c r="T199">
        <v>0.6</v>
      </c>
      <c r="U199">
        <v>3.1</v>
      </c>
      <c r="V199" t="s">
        <v>2</v>
      </c>
    </row>
    <row r="200" spans="1:22" ht="15.5" x14ac:dyDescent="0.35">
      <c r="A200">
        <v>194</v>
      </c>
      <c r="B200" t="s">
        <v>524</v>
      </c>
      <c r="C200" t="s">
        <v>171</v>
      </c>
      <c r="D200" t="s">
        <v>952</v>
      </c>
      <c r="E200" t="s">
        <v>953</v>
      </c>
      <c r="F200">
        <v>33.99</v>
      </c>
      <c r="G200">
        <v>384.58</v>
      </c>
      <c r="H200">
        <v>34.25</v>
      </c>
      <c r="I200">
        <v>33.99</v>
      </c>
      <c r="J200">
        <v>34.04</v>
      </c>
      <c r="K200" t="s">
        <v>78</v>
      </c>
      <c r="L200">
        <v>34.25</v>
      </c>
      <c r="M200">
        <v>0</v>
      </c>
      <c r="N200">
        <v>0.26</v>
      </c>
      <c r="O200">
        <v>0.22</v>
      </c>
      <c r="P200">
        <v>0</v>
      </c>
      <c r="Q200">
        <v>0.26</v>
      </c>
      <c r="R200">
        <v>0.22</v>
      </c>
      <c r="S200">
        <v>-7.1</v>
      </c>
      <c r="T200">
        <v>0.5</v>
      </c>
      <c r="U200">
        <v>3</v>
      </c>
      <c r="V200" t="s">
        <v>2</v>
      </c>
    </row>
    <row r="201" spans="1:22" ht="15.5" x14ac:dyDescent="0.35">
      <c r="A201">
        <v>195</v>
      </c>
      <c r="B201" t="s">
        <v>526</v>
      </c>
      <c r="C201" t="s">
        <v>171</v>
      </c>
      <c r="D201" t="s">
        <v>952</v>
      </c>
      <c r="E201" t="s">
        <v>953</v>
      </c>
      <c r="F201">
        <v>26.77</v>
      </c>
      <c r="G201">
        <v>384.54</v>
      </c>
      <c r="H201">
        <v>27.1</v>
      </c>
      <c r="I201">
        <v>26.77</v>
      </c>
      <c r="J201">
        <v>26.83</v>
      </c>
      <c r="K201" t="s">
        <v>78</v>
      </c>
      <c r="L201">
        <v>27.1</v>
      </c>
      <c r="M201">
        <v>0</v>
      </c>
      <c r="N201">
        <v>0.32</v>
      </c>
      <c r="O201">
        <v>0.26</v>
      </c>
      <c r="P201">
        <v>0</v>
      </c>
      <c r="Q201">
        <v>0.32</v>
      </c>
      <c r="R201">
        <v>0.26</v>
      </c>
      <c r="S201">
        <v>-8.9</v>
      </c>
      <c r="T201">
        <v>0.7</v>
      </c>
      <c r="U201">
        <v>3.9</v>
      </c>
      <c r="V201" t="s">
        <v>2</v>
      </c>
    </row>
    <row r="202" spans="1:22" ht="15.5" x14ac:dyDescent="0.35">
      <c r="A202">
        <v>196</v>
      </c>
      <c r="B202" t="s">
        <v>528</v>
      </c>
      <c r="C202" t="s">
        <v>171</v>
      </c>
      <c r="D202" t="s">
        <v>952</v>
      </c>
      <c r="E202" t="s">
        <v>953</v>
      </c>
      <c r="F202">
        <v>26.33</v>
      </c>
      <c r="G202">
        <v>384.56</v>
      </c>
      <c r="H202">
        <v>26.66</v>
      </c>
      <c r="I202">
        <v>26.33</v>
      </c>
      <c r="J202">
        <v>26.39</v>
      </c>
      <c r="K202" t="s">
        <v>78</v>
      </c>
      <c r="L202">
        <v>26.66</v>
      </c>
      <c r="M202">
        <v>0</v>
      </c>
      <c r="N202">
        <v>0.33</v>
      </c>
      <c r="O202">
        <v>0.27</v>
      </c>
      <c r="P202">
        <v>0</v>
      </c>
      <c r="Q202">
        <v>0.33</v>
      </c>
      <c r="R202">
        <v>0.27</v>
      </c>
      <c r="S202">
        <v>-9.1</v>
      </c>
      <c r="T202">
        <v>0.6</v>
      </c>
      <c r="U202">
        <v>3.9</v>
      </c>
      <c r="V202" t="s">
        <v>2</v>
      </c>
    </row>
    <row r="203" spans="1:22" ht="15.5" x14ac:dyDescent="0.35">
      <c r="A203">
        <v>197</v>
      </c>
      <c r="B203" t="s">
        <v>530</v>
      </c>
      <c r="C203" t="s">
        <v>171</v>
      </c>
      <c r="D203" t="s">
        <v>952</v>
      </c>
      <c r="E203" t="s">
        <v>953</v>
      </c>
      <c r="F203">
        <v>25.48</v>
      </c>
      <c r="G203">
        <v>384.61</v>
      </c>
      <c r="H203">
        <v>25.83</v>
      </c>
      <c r="I203">
        <v>25.48</v>
      </c>
      <c r="J203">
        <v>25.54</v>
      </c>
      <c r="K203" t="s">
        <v>78</v>
      </c>
      <c r="L203">
        <v>25.83</v>
      </c>
      <c r="M203">
        <v>0</v>
      </c>
      <c r="N203">
        <v>0.35</v>
      </c>
      <c r="O203">
        <v>0.28999999999999998</v>
      </c>
      <c r="P203">
        <v>0</v>
      </c>
      <c r="Q203">
        <v>0.35</v>
      </c>
      <c r="R203">
        <v>0.3</v>
      </c>
      <c r="S203">
        <v>-9.5</v>
      </c>
      <c r="T203">
        <v>0.5</v>
      </c>
      <c r="U203">
        <v>3.9</v>
      </c>
      <c r="V203" t="s">
        <v>2</v>
      </c>
    </row>
    <row r="204" spans="1:22" ht="15.5" x14ac:dyDescent="0.35">
      <c r="A204">
        <v>198</v>
      </c>
      <c r="B204" t="s">
        <v>532</v>
      </c>
      <c r="C204" t="s">
        <v>171</v>
      </c>
      <c r="D204" t="s">
        <v>952</v>
      </c>
      <c r="E204" t="s">
        <v>953</v>
      </c>
      <c r="F204">
        <v>25.43</v>
      </c>
      <c r="G204">
        <v>384.56</v>
      </c>
      <c r="H204">
        <v>25.78</v>
      </c>
      <c r="I204">
        <v>25.43</v>
      </c>
      <c r="J204">
        <v>25.49</v>
      </c>
      <c r="K204" t="s">
        <v>78</v>
      </c>
      <c r="L204">
        <v>25.78</v>
      </c>
      <c r="M204">
        <v>0</v>
      </c>
      <c r="N204">
        <v>0.35</v>
      </c>
      <c r="O204">
        <v>0.28000000000000003</v>
      </c>
      <c r="P204">
        <v>0</v>
      </c>
      <c r="Q204">
        <v>0.35</v>
      </c>
      <c r="R204">
        <v>0.28000000000000003</v>
      </c>
      <c r="S204">
        <v>-9.4</v>
      </c>
      <c r="T204">
        <v>0.6</v>
      </c>
      <c r="U204">
        <v>4</v>
      </c>
      <c r="V204" t="s">
        <v>2</v>
      </c>
    </row>
    <row r="205" spans="1:22" ht="15.5" x14ac:dyDescent="0.35">
      <c r="A205">
        <v>199</v>
      </c>
      <c r="B205" t="s">
        <v>534</v>
      </c>
      <c r="C205" t="s">
        <v>171</v>
      </c>
      <c r="D205" t="s">
        <v>952</v>
      </c>
      <c r="E205" t="s">
        <v>953</v>
      </c>
      <c r="F205">
        <v>27.13</v>
      </c>
      <c r="G205">
        <v>384.79</v>
      </c>
      <c r="H205">
        <v>27.49</v>
      </c>
      <c r="I205">
        <v>27.13</v>
      </c>
      <c r="J205">
        <v>27.17</v>
      </c>
      <c r="K205" t="s">
        <v>78</v>
      </c>
      <c r="L205">
        <v>27.49</v>
      </c>
      <c r="M205">
        <v>0</v>
      </c>
      <c r="N205">
        <v>0.36</v>
      </c>
      <c r="O205">
        <v>0.32</v>
      </c>
      <c r="P205">
        <v>0</v>
      </c>
      <c r="Q205">
        <v>0.36</v>
      </c>
      <c r="R205">
        <v>0.32</v>
      </c>
      <c r="S205">
        <v>-9.3000000000000007</v>
      </c>
      <c r="T205">
        <v>0.1</v>
      </c>
      <c r="U205">
        <v>3.3</v>
      </c>
      <c r="V205" t="s">
        <v>2</v>
      </c>
    </row>
    <row r="206" spans="1:22" ht="15.5" x14ac:dyDescent="0.35">
      <c r="A206">
        <v>200</v>
      </c>
      <c r="B206" t="s">
        <v>536</v>
      </c>
      <c r="C206" t="s">
        <v>171</v>
      </c>
      <c r="D206" t="s">
        <v>952</v>
      </c>
      <c r="E206" t="s">
        <v>953</v>
      </c>
      <c r="F206">
        <v>13.16</v>
      </c>
      <c r="G206">
        <v>384.54</v>
      </c>
      <c r="H206">
        <v>13.81</v>
      </c>
      <c r="I206">
        <v>13.16</v>
      </c>
      <c r="J206">
        <v>13.28</v>
      </c>
      <c r="K206" t="s">
        <v>78</v>
      </c>
      <c r="L206">
        <v>13.81</v>
      </c>
      <c r="M206">
        <v>0</v>
      </c>
      <c r="N206">
        <v>0.65</v>
      </c>
      <c r="O206">
        <v>0.53</v>
      </c>
      <c r="P206">
        <v>0</v>
      </c>
      <c r="Q206">
        <v>0.65</v>
      </c>
      <c r="R206">
        <v>0.53</v>
      </c>
      <c r="S206">
        <v>-17.7</v>
      </c>
      <c r="T206">
        <v>1.4</v>
      </c>
      <c r="U206">
        <v>7.8</v>
      </c>
      <c r="V206" t="s">
        <v>2</v>
      </c>
    </row>
    <row r="207" spans="1:22" ht="15.5" x14ac:dyDescent="0.35">
      <c r="A207">
        <v>201</v>
      </c>
      <c r="B207" t="s">
        <v>538</v>
      </c>
      <c r="C207" t="s">
        <v>171</v>
      </c>
      <c r="D207" t="s">
        <v>952</v>
      </c>
      <c r="E207" t="s">
        <v>953</v>
      </c>
      <c r="F207">
        <v>36.67</v>
      </c>
      <c r="G207">
        <v>384.72</v>
      </c>
      <c r="H207">
        <v>36.93</v>
      </c>
      <c r="I207">
        <v>36.67</v>
      </c>
      <c r="J207">
        <v>36.71</v>
      </c>
      <c r="K207" t="s">
        <v>78</v>
      </c>
      <c r="L207">
        <v>36.93</v>
      </c>
      <c r="M207">
        <v>0</v>
      </c>
      <c r="N207">
        <v>0.26</v>
      </c>
      <c r="O207">
        <v>0.22</v>
      </c>
      <c r="P207">
        <v>0</v>
      </c>
      <c r="Q207">
        <v>0.26</v>
      </c>
      <c r="R207">
        <v>0.22</v>
      </c>
      <c r="S207">
        <v>-6.8</v>
      </c>
      <c r="T207">
        <v>0.2</v>
      </c>
      <c r="U207">
        <v>2.6</v>
      </c>
      <c r="V207" t="s">
        <v>2</v>
      </c>
    </row>
    <row r="208" spans="1:22" ht="15.5" x14ac:dyDescent="0.35">
      <c r="A208">
        <v>202</v>
      </c>
      <c r="B208" t="s">
        <v>540</v>
      </c>
      <c r="C208" t="s">
        <v>171</v>
      </c>
      <c r="D208" t="s">
        <v>952</v>
      </c>
      <c r="E208" t="s">
        <v>953</v>
      </c>
      <c r="F208">
        <v>27.27</v>
      </c>
      <c r="G208">
        <v>384.44</v>
      </c>
      <c r="H208">
        <v>27.57</v>
      </c>
      <c r="I208">
        <v>27.27</v>
      </c>
      <c r="J208">
        <v>27.34</v>
      </c>
      <c r="K208" t="s">
        <v>78</v>
      </c>
      <c r="L208">
        <v>27.57</v>
      </c>
      <c r="M208">
        <v>0</v>
      </c>
      <c r="N208">
        <v>0.3</v>
      </c>
      <c r="O208">
        <v>0.24</v>
      </c>
      <c r="P208">
        <v>0</v>
      </c>
      <c r="Q208">
        <v>0.3</v>
      </c>
      <c r="R208">
        <v>0.24</v>
      </c>
      <c r="S208">
        <v>-8.5</v>
      </c>
      <c r="T208">
        <v>0.9</v>
      </c>
      <c r="U208">
        <v>4</v>
      </c>
      <c r="V208" t="s">
        <v>2</v>
      </c>
    </row>
    <row r="209" spans="1:22" ht="15.5" x14ac:dyDescent="0.35">
      <c r="A209">
        <v>203</v>
      </c>
      <c r="B209" t="s">
        <v>542</v>
      </c>
      <c r="C209" t="s">
        <v>171</v>
      </c>
      <c r="D209" t="s">
        <v>952</v>
      </c>
      <c r="E209" t="s">
        <v>953</v>
      </c>
      <c r="F209">
        <v>25.72</v>
      </c>
      <c r="G209">
        <v>384.41</v>
      </c>
      <c r="H209">
        <v>26.04</v>
      </c>
      <c r="I209">
        <v>25.72</v>
      </c>
      <c r="J209">
        <v>25.79</v>
      </c>
      <c r="K209" t="s">
        <v>78</v>
      </c>
      <c r="L209">
        <v>26.04</v>
      </c>
      <c r="M209">
        <v>0</v>
      </c>
      <c r="N209">
        <v>0.32</v>
      </c>
      <c r="O209">
        <v>0.25</v>
      </c>
      <c r="P209">
        <v>0</v>
      </c>
      <c r="Q209">
        <v>0.32</v>
      </c>
      <c r="R209">
        <v>0.25</v>
      </c>
      <c r="S209">
        <v>-9</v>
      </c>
      <c r="T209">
        <v>1</v>
      </c>
      <c r="U209">
        <v>4.3</v>
      </c>
      <c r="V209" t="s">
        <v>2</v>
      </c>
    </row>
    <row r="210" spans="1:22" ht="15.5" x14ac:dyDescent="0.35">
      <c r="A210">
        <v>204</v>
      </c>
      <c r="B210" t="s">
        <v>544</v>
      </c>
      <c r="C210" t="s">
        <v>171</v>
      </c>
      <c r="D210" t="s">
        <v>952</v>
      </c>
      <c r="E210" t="s">
        <v>953</v>
      </c>
      <c r="F210">
        <v>25.7</v>
      </c>
      <c r="G210">
        <v>384.33</v>
      </c>
      <c r="H210">
        <v>26.01</v>
      </c>
      <c r="I210">
        <v>25.71</v>
      </c>
      <c r="J210">
        <v>25.78</v>
      </c>
      <c r="K210" t="s">
        <v>78</v>
      </c>
      <c r="L210">
        <v>26.01</v>
      </c>
      <c r="M210">
        <v>0</v>
      </c>
      <c r="N210">
        <v>0.3</v>
      </c>
      <c r="O210">
        <v>0.23</v>
      </c>
      <c r="P210">
        <v>0</v>
      </c>
      <c r="Q210">
        <v>0.3</v>
      </c>
      <c r="R210">
        <v>0.23</v>
      </c>
      <c r="S210">
        <v>-8.8000000000000007</v>
      </c>
      <c r="T210">
        <v>1.2</v>
      </c>
      <c r="U210">
        <v>4.5</v>
      </c>
      <c r="V210" t="s">
        <v>2</v>
      </c>
    </row>
    <row r="211" spans="1:22" ht="15.5" x14ac:dyDescent="0.35">
      <c r="A211">
        <v>205</v>
      </c>
      <c r="B211" t="s">
        <v>546</v>
      </c>
      <c r="C211" t="s">
        <v>171</v>
      </c>
      <c r="D211" t="s">
        <v>952</v>
      </c>
      <c r="E211" t="s">
        <v>953</v>
      </c>
      <c r="F211">
        <v>25.27</v>
      </c>
      <c r="G211">
        <v>384.47</v>
      </c>
      <c r="H211">
        <v>25.6</v>
      </c>
      <c r="I211">
        <v>25.27</v>
      </c>
      <c r="J211">
        <v>25.34</v>
      </c>
      <c r="K211" t="s">
        <v>78</v>
      </c>
      <c r="L211">
        <v>25.6</v>
      </c>
      <c r="M211">
        <v>0</v>
      </c>
      <c r="N211">
        <v>0.33</v>
      </c>
      <c r="O211">
        <v>0.26</v>
      </c>
      <c r="P211">
        <v>0</v>
      </c>
      <c r="Q211">
        <v>0.33</v>
      </c>
      <c r="R211">
        <v>0.26</v>
      </c>
      <c r="S211">
        <v>-9.3000000000000007</v>
      </c>
      <c r="T211">
        <v>0.9</v>
      </c>
      <c r="U211">
        <v>4.3</v>
      </c>
      <c r="V211" t="s">
        <v>2</v>
      </c>
    </row>
    <row r="212" spans="1:22" ht="15.5" x14ac:dyDescent="0.35">
      <c r="A212">
        <v>206</v>
      </c>
      <c r="B212" t="s">
        <v>548</v>
      </c>
      <c r="C212" t="s">
        <v>171</v>
      </c>
      <c r="D212" t="s">
        <v>952</v>
      </c>
      <c r="E212" t="s">
        <v>953</v>
      </c>
      <c r="F212">
        <v>22</v>
      </c>
      <c r="G212">
        <v>384.36</v>
      </c>
      <c r="H212">
        <v>22.36</v>
      </c>
      <c r="I212">
        <v>22.01</v>
      </c>
      <c r="J212">
        <v>22.09</v>
      </c>
      <c r="K212" t="s">
        <v>78</v>
      </c>
      <c r="L212">
        <v>22.36</v>
      </c>
      <c r="M212">
        <v>0</v>
      </c>
      <c r="N212">
        <v>0.36</v>
      </c>
      <c r="O212">
        <v>0.27</v>
      </c>
      <c r="P212">
        <v>0</v>
      </c>
      <c r="Q212">
        <v>0.36</v>
      </c>
      <c r="R212">
        <v>0.27</v>
      </c>
      <c r="S212">
        <v>-10.3</v>
      </c>
      <c r="T212">
        <v>1.3</v>
      </c>
      <c r="U212">
        <v>5.2</v>
      </c>
      <c r="V212" t="s">
        <v>2</v>
      </c>
    </row>
    <row r="213" spans="1:22" ht="15.5" x14ac:dyDescent="0.35">
      <c r="A213">
        <v>207</v>
      </c>
      <c r="B213" t="s">
        <v>550</v>
      </c>
      <c r="C213" t="s">
        <v>171</v>
      </c>
      <c r="D213" t="s">
        <v>952</v>
      </c>
      <c r="E213" t="s">
        <v>953</v>
      </c>
      <c r="F213">
        <v>20.5</v>
      </c>
      <c r="G213">
        <v>384.32</v>
      </c>
      <c r="H213">
        <v>20.88</v>
      </c>
      <c r="I213">
        <v>20.51</v>
      </c>
      <c r="J213">
        <v>20.6</v>
      </c>
      <c r="K213" t="s">
        <v>78</v>
      </c>
      <c r="L213">
        <v>20.88</v>
      </c>
      <c r="M213">
        <v>0</v>
      </c>
      <c r="N213">
        <v>0.37</v>
      </c>
      <c r="O213">
        <v>0.28000000000000003</v>
      </c>
      <c r="P213">
        <v>0</v>
      </c>
      <c r="Q213">
        <v>0.38</v>
      </c>
      <c r="R213">
        <v>0.28000000000000003</v>
      </c>
      <c r="S213">
        <v>-11</v>
      </c>
      <c r="T213">
        <v>1.5</v>
      </c>
      <c r="U213">
        <v>5.6</v>
      </c>
      <c r="V213" t="s">
        <v>2</v>
      </c>
    </row>
    <row r="214" spans="1:22" ht="15.5" x14ac:dyDescent="0.35">
      <c r="A214">
        <v>208</v>
      </c>
      <c r="B214" t="s">
        <v>552</v>
      </c>
      <c r="C214" t="s">
        <v>171</v>
      </c>
      <c r="D214" t="s">
        <v>952</v>
      </c>
      <c r="E214" t="s">
        <v>953</v>
      </c>
      <c r="F214">
        <v>19.46</v>
      </c>
      <c r="G214">
        <v>384.71</v>
      </c>
      <c r="H214">
        <v>19.940000000000001</v>
      </c>
      <c r="I214">
        <v>19.46</v>
      </c>
      <c r="J214">
        <v>19.53</v>
      </c>
      <c r="K214" t="s">
        <v>78</v>
      </c>
      <c r="L214">
        <v>19.940000000000001</v>
      </c>
      <c r="M214">
        <v>0</v>
      </c>
      <c r="N214">
        <v>0.48</v>
      </c>
      <c r="O214">
        <v>0.41</v>
      </c>
      <c r="P214">
        <v>0</v>
      </c>
      <c r="Q214">
        <v>0.48</v>
      </c>
      <c r="R214">
        <v>0.41</v>
      </c>
      <c r="S214">
        <v>-12.6</v>
      </c>
      <c r="T214">
        <v>0.4</v>
      </c>
      <c r="U214">
        <v>4.8</v>
      </c>
      <c r="V214" t="s">
        <v>2</v>
      </c>
    </row>
    <row r="215" spans="1:22" ht="15.5" x14ac:dyDescent="0.35">
      <c r="A215">
        <v>209</v>
      </c>
      <c r="B215" t="s">
        <v>554</v>
      </c>
      <c r="C215" t="s">
        <v>171</v>
      </c>
      <c r="D215" t="s">
        <v>952</v>
      </c>
      <c r="E215" t="s">
        <v>953</v>
      </c>
      <c r="F215">
        <v>15.79</v>
      </c>
      <c r="G215">
        <v>384.29</v>
      </c>
      <c r="H215">
        <v>16.27</v>
      </c>
      <c r="I215">
        <v>15.8</v>
      </c>
      <c r="J215">
        <v>15.92</v>
      </c>
      <c r="K215" t="s">
        <v>78</v>
      </c>
      <c r="L215">
        <v>16.27</v>
      </c>
      <c r="M215">
        <v>0</v>
      </c>
      <c r="N215">
        <v>0.47</v>
      </c>
      <c r="O215">
        <v>0.35</v>
      </c>
      <c r="P215">
        <v>0</v>
      </c>
      <c r="Q215">
        <v>0.48</v>
      </c>
      <c r="R215">
        <v>0.35</v>
      </c>
      <c r="S215">
        <v>-14</v>
      </c>
      <c r="T215">
        <v>2</v>
      </c>
      <c r="U215">
        <v>7.4</v>
      </c>
      <c r="V215" t="s">
        <v>2</v>
      </c>
    </row>
    <row r="216" spans="1:22" ht="15.5" x14ac:dyDescent="0.35">
      <c r="A216">
        <v>210</v>
      </c>
      <c r="B216" t="s">
        <v>813</v>
      </c>
      <c r="C216" t="s">
        <v>171</v>
      </c>
      <c r="D216" t="s">
        <v>955</v>
      </c>
      <c r="E216" t="s">
        <v>982</v>
      </c>
      <c r="F216">
        <v>14.32</v>
      </c>
      <c r="G216">
        <v>378.85</v>
      </c>
      <c r="H216">
        <v>14.4</v>
      </c>
      <c r="I216">
        <v>15.53</v>
      </c>
      <c r="J216">
        <v>16.170000000000002</v>
      </c>
      <c r="K216" t="s">
        <v>81</v>
      </c>
      <c r="L216">
        <v>16.170000000000002</v>
      </c>
      <c r="M216">
        <v>1.77</v>
      </c>
      <c r="N216">
        <v>0.64</v>
      </c>
      <c r="O216">
        <v>0</v>
      </c>
      <c r="P216">
        <v>1.78</v>
      </c>
      <c r="Q216">
        <v>0.69</v>
      </c>
      <c r="R216">
        <v>0</v>
      </c>
      <c r="S216">
        <v>6</v>
      </c>
      <c r="T216">
        <v>22.7</v>
      </c>
      <c r="U216">
        <v>27.6</v>
      </c>
      <c r="V216" t="s">
        <v>957</v>
      </c>
    </row>
    <row r="217" spans="1:22" ht="15.5" x14ac:dyDescent="0.35">
      <c r="A217">
        <v>211</v>
      </c>
      <c r="B217" t="s">
        <v>835</v>
      </c>
      <c r="C217" t="s">
        <v>171</v>
      </c>
      <c r="D217" t="s">
        <v>955</v>
      </c>
      <c r="E217" t="s">
        <v>990</v>
      </c>
      <c r="F217">
        <v>11.52</v>
      </c>
      <c r="G217">
        <v>378.85</v>
      </c>
      <c r="H217">
        <v>11.62</v>
      </c>
      <c r="I217">
        <v>12.99</v>
      </c>
      <c r="J217">
        <v>13.75</v>
      </c>
      <c r="K217" t="s">
        <v>81</v>
      </c>
      <c r="L217">
        <v>13.75</v>
      </c>
      <c r="M217">
        <v>2.13</v>
      </c>
      <c r="N217">
        <v>0.76</v>
      </c>
      <c r="O217">
        <v>0</v>
      </c>
      <c r="P217">
        <v>2.14</v>
      </c>
      <c r="Q217">
        <v>0.85</v>
      </c>
      <c r="R217">
        <v>0</v>
      </c>
      <c r="S217">
        <v>7.4</v>
      </c>
      <c r="T217">
        <v>27.5</v>
      </c>
      <c r="U217">
        <v>33.1</v>
      </c>
      <c r="V217" t="s">
        <v>957</v>
      </c>
    </row>
    <row r="218" spans="1:22" ht="15.5" x14ac:dyDescent="0.35">
      <c r="A218">
        <v>212</v>
      </c>
      <c r="B218" t="s">
        <v>556</v>
      </c>
      <c r="C218" t="s">
        <v>171</v>
      </c>
      <c r="D218" t="s">
        <v>952</v>
      </c>
      <c r="E218" t="s">
        <v>953</v>
      </c>
      <c r="F218">
        <v>45.5</v>
      </c>
      <c r="G218">
        <v>384.11</v>
      </c>
      <c r="H218">
        <v>45.65</v>
      </c>
      <c r="I218">
        <v>45.51</v>
      </c>
      <c r="J218">
        <v>45.56</v>
      </c>
      <c r="K218" t="s">
        <v>78</v>
      </c>
      <c r="L218">
        <v>45.65</v>
      </c>
      <c r="M218">
        <v>0</v>
      </c>
      <c r="N218">
        <v>0.15</v>
      </c>
      <c r="O218">
        <v>0.1</v>
      </c>
      <c r="P218">
        <v>0</v>
      </c>
      <c r="Q218">
        <v>0.15</v>
      </c>
      <c r="R218">
        <v>0.1</v>
      </c>
      <c r="S218">
        <v>-4.7</v>
      </c>
      <c r="T218">
        <v>0.9</v>
      </c>
      <c r="U218">
        <v>2.8</v>
      </c>
      <c r="V218" t="s">
        <v>2</v>
      </c>
    </row>
    <row r="219" spans="1:22" ht="15.5" x14ac:dyDescent="0.35">
      <c r="A219">
        <v>213</v>
      </c>
      <c r="B219" t="s">
        <v>819</v>
      </c>
      <c r="C219" t="s">
        <v>171</v>
      </c>
      <c r="D219" t="s">
        <v>955</v>
      </c>
      <c r="E219" t="s">
        <v>984</v>
      </c>
      <c r="F219">
        <v>14.3</v>
      </c>
      <c r="G219">
        <v>378.85</v>
      </c>
      <c r="H219">
        <v>14.38</v>
      </c>
      <c r="I219">
        <v>15.51</v>
      </c>
      <c r="J219">
        <v>16.149999999999999</v>
      </c>
      <c r="K219" t="s">
        <v>81</v>
      </c>
      <c r="L219">
        <v>16.149999999999999</v>
      </c>
      <c r="M219">
        <v>1.77</v>
      </c>
      <c r="N219">
        <v>0.64</v>
      </c>
      <c r="O219">
        <v>0</v>
      </c>
      <c r="P219">
        <v>1.78</v>
      </c>
      <c r="Q219">
        <v>0.69</v>
      </c>
      <c r="R219">
        <v>0</v>
      </c>
      <c r="S219">
        <v>6</v>
      </c>
      <c r="T219">
        <v>22.8</v>
      </c>
      <c r="U219">
        <v>27.7</v>
      </c>
      <c r="V219" t="s">
        <v>957</v>
      </c>
    </row>
    <row r="220" spans="1:22" ht="15.5" x14ac:dyDescent="0.35">
      <c r="A220">
        <v>214</v>
      </c>
      <c r="B220" t="s">
        <v>807</v>
      </c>
      <c r="C220" t="s">
        <v>171</v>
      </c>
      <c r="D220" t="s">
        <v>955</v>
      </c>
      <c r="E220" t="s">
        <v>980</v>
      </c>
      <c r="F220">
        <v>14.34</v>
      </c>
      <c r="G220">
        <v>378.85</v>
      </c>
      <c r="H220">
        <v>14.42</v>
      </c>
      <c r="I220">
        <v>15.54</v>
      </c>
      <c r="J220">
        <v>16.18</v>
      </c>
      <c r="K220" t="s">
        <v>81</v>
      </c>
      <c r="L220">
        <v>16.18</v>
      </c>
      <c r="M220">
        <v>1.76</v>
      </c>
      <c r="N220">
        <v>0.64</v>
      </c>
      <c r="O220">
        <v>0</v>
      </c>
      <c r="P220">
        <v>1.77</v>
      </c>
      <c r="Q220">
        <v>0.69</v>
      </c>
      <c r="R220">
        <v>0</v>
      </c>
      <c r="S220">
        <v>6</v>
      </c>
      <c r="T220">
        <v>22.7</v>
      </c>
      <c r="U220">
        <v>27.6</v>
      </c>
      <c r="V220" t="s">
        <v>957</v>
      </c>
    </row>
    <row r="221" spans="1:22" ht="15.5" x14ac:dyDescent="0.35">
      <c r="A221">
        <v>215</v>
      </c>
      <c r="B221" t="s">
        <v>838</v>
      </c>
      <c r="C221" t="s">
        <v>171</v>
      </c>
      <c r="D221" t="s">
        <v>955</v>
      </c>
      <c r="E221" t="s">
        <v>991</v>
      </c>
      <c r="F221">
        <v>13.97</v>
      </c>
      <c r="G221">
        <v>378.85</v>
      </c>
      <c r="H221">
        <v>14.05</v>
      </c>
      <c r="I221">
        <v>15.2</v>
      </c>
      <c r="J221">
        <v>15.86</v>
      </c>
      <c r="K221" t="s">
        <v>81</v>
      </c>
      <c r="L221">
        <v>15.86</v>
      </c>
      <c r="M221">
        <v>1.81</v>
      </c>
      <c r="N221">
        <v>0.65</v>
      </c>
      <c r="O221">
        <v>0</v>
      </c>
      <c r="P221">
        <v>1.81</v>
      </c>
      <c r="Q221">
        <v>0.71</v>
      </c>
      <c r="R221">
        <v>0</v>
      </c>
      <c r="S221">
        <v>6.1</v>
      </c>
      <c r="T221">
        <v>23.2</v>
      </c>
      <c r="U221">
        <v>28.2</v>
      </c>
      <c r="V221" t="s">
        <v>957</v>
      </c>
    </row>
    <row r="222" spans="1:22" ht="15.5" x14ac:dyDescent="0.35">
      <c r="A222">
        <v>216</v>
      </c>
      <c r="B222" t="s">
        <v>841</v>
      </c>
      <c r="C222" t="s">
        <v>171</v>
      </c>
      <c r="D222" t="s">
        <v>955</v>
      </c>
      <c r="E222" t="s">
        <v>992</v>
      </c>
      <c r="F222">
        <v>11.75</v>
      </c>
      <c r="G222">
        <v>378.85</v>
      </c>
      <c r="H222">
        <v>11.85</v>
      </c>
      <c r="I222">
        <v>13.19</v>
      </c>
      <c r="J222">
        <v>13.94</v>
      </c>
      <c r="K222" t="s">
        <v>81</v>
      </c>
      <c r="L222">
        <v>13.94</v>
      </c>
      <c r="M222">
        <v>2.09</v>
      </c>
      <c r="N222">
        <v>0.75</v>
      </c>
      <c r="O222">
        <v>0</v>
      </c>
      <c r="P222">
        <v>2.11</v>
      </c>
      <c r="Q222">
        <v>0.83</v>
      </c>
      <c r="R222">
        <v>0</v>
      </c>
      <c r="S222">
        <v>7.3</v>
      </c>
      <c r="T222">
        <v>27.1</v>
      </c>
      <c r="U222">
        <v>32.6</v>
      </c>
      <c r="V222" t="s">
        <v>957</v>
      </c>
    </row>
    <row r="223" spans="1:22" ht="15.5" x14ac:dyDescent="0.35">
      <c r="A223">
        <v>217</v>
      </c>
      <c r="B223" t="s">
        <v>558</v>
      </c>
      <c r="C223" t="s">
        <v>171</v>
      </c>
      <c r="D223" t="s">
        <v>952</v>
      </c>
      <c r="E223" t="s">
        <v>953</v>
      </c>
      <c r="F223">
        <v>51.5</v>
      </c>
      <c r="G223">
        <v>384.11</v>
      </c>
      <c r="H223">
        <v>51.64</v>
      </c>
      <c r="I223">
        <v>51.51</v>
      </c>
      <c r="J223">
        <v>51.55</v>
      </c>
      <c r="K223" t="s">
        <v>78</v>
      </c>
      <c r="L223">
        <v>51.64</v>
      </c>
      <c r="M223">
        <v>0</v>
      </c>
      <c r="N223">
        <v>0.13</v>
      </c>
      <c r="O223">
        <v>0.09</v>
      </c>
      <c r="P223">
        <v>0</v>
      </c>
      <c r="Q223">
        <v>0.13</v>
      </c>
      <c r="R223">
        <v>0.09</v>
      </c>
      <c r="S223">
        <v>-4.2</v>
      </c>
      <c r="T223">
        <v>0.8</v>
      </c>
      <c r="U223">
        <v>2.5</v>
      </c>
      <c r="V223" t="s">
        <v>2</v>
      </c>
    </row>
    <row r="224" spans="1:22" ht="15.5" x14ac:dyDescent="0.35">
      <c r="A224">
        <v>218</v>
      </c>
      <c r="B224" t="s">
        <v>560</v>
      </c>
      <c r="C224" t="s">
        <v>171</v>
      </c>
      <c r="D224" t="s">
        <v>952</v>
      </c>
      <c r="E224" t="s">
        <v>953</v>
      </c>
      <c r="F224">
        <v>36</v>
      </c>
      <c r="G224">
        <v>384.12</v>
      </c>
      <c r="H224">
        <v>36.200000000000003</v>
      </c>
      <c r="I224">
        <v>36.01</v>
      </c>
      <c r="J224">
        <v>36.07</v>
      </c>
      <c r="K224" t="s">
        <v>78</v>
      </c>
      <c r="L224">
        <v>36.200000000000003</v>
      </c>
      <c r="M224">
        <v>0</v>
      </c>
      <c r="N224">
        <v>0.19</v>
      </c>
      <c r="O224">
        <v>0.13</v>
      </c>
      <c r="P224">
        <v>0</v>
      </c>
      <c r="Q224">
        <v>0.19</v>
      </c>
      <c r="R224">
        <v>0.13</v>
      </c>
      <c r="S224">
        <v>-6</v>
      </c>
      <c r="T224">
        <v>1.2</v>
      </c>
      <c r="U224">
        <v>3.5</v>
      </c>
      <c r="V224" t="s">
        <v>2</v>
      </c>
    </row>
    <row r="225" spans="1:22" ht="15.5" x14ac:dyDescent="0.35">
      <c r="A225">
        <v>219</v>
      </c>
      <c r="B225" t="s">
        <v>562</v>
      </c>
      <c r="C225" t="s">
        <v>171</v>
      </c>
      <c r="D225" t="s">
        <v>952</v>
      </c>
      <c r="E225" t="s">
        <v>953</v>
      </c>
      <c r="F225">
        <v>37.5</v>
      </c>
      <c r="G225">
        <v>384.12</v>
      </c>
      <c r="H225">
        <v>37.69</v>
      </c>
      <c r="I225">
        <v>37.51</v>
      </c>
      <c r="J225">
        <v>37.57</v>
      </c>
      <c r="K225" t="s">
        <v>78</v>
      </c>
      <c r="L225">
        <v>37.69</v>
      </c>
      <c r="M225">
        <v>0</v>
      </c>
      <c r="N225">
        <v>0.18</v>
      </c>
      <c r="O225">
        <v>0.12</v>
      </c>
      <c r="P225">
        <v>0</v>
      </c>
      <c r="Q225">
        <v>0.18</v>
      </c>
      <c r="R225">
        <v>0.12</v>
      </c>
      <c r="S225">
        <v>-5.7</v>
      </c>
      <c r="T225">
        <v>1.1000000000000001</v>
      </c>
      <c r="U225">
        <v>3.4</v>
      </c>
      <c r="V225" t="s">
        <v>2</v>
      </c>
    </row>
    <row r="226" spans="1:22" ht="15.5" x14ac:dyDescent="0.35">
      <c r="A226">
        <v>220</v>
      </c>
      <c r="B226" t="s">
        <v>564</v>
      </c>
      <c r="C226" t="s">
        <v>171</v>
      </c>
      <c r="D226" t="s">
        <v>952</v>
      </c>
      <c r="E226" t="s">
        <v>953</v>
      </c>
      <c r="F226">
        <v>27</v>
      </c>
      <c r="G226">
        <v>384.12</v>
      </c>
      <c r="H226">
        <v>27.26</v>
      </c>
      <c r="I226">
        <v>27.01</v>
      </c>
      <c r="J226">
        <v>27.09</v>
      </c>
      <c r="K226" t="s">
        <v>78</v>
      </c>
      <c r="L226">
        <v>27.26</v>
      </c>
      <c r="M226">
        <v>0</v>
      </c>
      <c r="N226">
        <v>0.25</v>
      </c>
      <c r="O226">
        <v>0.17</v>
      </c>
      <c r="P226">
        <v>0</v>
      </c>
      <c r="Q226">
        <v>0.25</v>
      </c>
      <c r="R226">
        <v>0.17</v>
      </c>
      <c r="S226">
        <v>-8</v>
      </c>
      <c r="T226">
        <v>1.5</v>
      </c>
      <c r="U226">
        <v>4.7</v>
      </c>
      <c r="V226" t="s">
        <v>2</v>
      </c>
    </row>
    <row r="227" spans="1:22" ht="15.5" x14ac:dyDescent="0.35">
      <c r="A227">
        <v>221</v>
      </c>
      <c r="B227" t="s">
        <v>566</v>
      </c>
      <c r="C227" t="s">
        <v>171</v>
      </c>
      <c r="D227" t="s">
        <v>952</v>
      </c>
      <c r="E227" t="s">
        <v>953</v>
      </c>
      <c r="F227">
        <v>37.5</v>
      </c>
      <c r="G227">
        <v>384.2</v>
      </c>
      <c r="H227">
        <v>37.700000000000003</v>
      </c>
      <c r="I227">
        <v>37.51</v>
      </c>
      <c r="J227">
        <v>37.56</v>
      </c>
      <c r="K227" t="s">
        <v>78</v>
      </c>
      <c r="L227">
        <v>37.700000000000003</v>
      </c>
      <c r="M227">
        <v>0</v>
      </c>
      <c r="N227">
        <v>0.19</v>
      </c>
      <c r="O227">
        <v>0.14000000000000001</v>
      </c>
      <c r="P227">
        <v>0</v>
      </c>
      <c r="Q227">
        <v>0.19</v>
      </c>
      <c r="R227">
        <v>0.14000000000000001</v>
      </c>
      <c r="S227">
        <v>-5.9</v>
      </c>
      <c r="T227">
        <v>1</v>
      </c>
      <c r="U227">
        <v>3.3</v>
      </c>
      <c r="V227" t="s">
        <v>2</v>
      </c>
    </row>
    <row r="228" spans="1:22" ht="15.5" x14ac:dyDescent="0.35">
      <c r="A228">
        <v>222</v>
      </c>
      <c r="B228" t="s">
        <v>816</v>
      </c>
      <c r="C228" t="s">
        <v>171</v>
      </c>
      <c r="D228" t="s">
        <v>955</v>
      </c>
      <c r="E228" t="s">
        <v>983</v>
      </c>
      <c r="F228">
        <v>14.34</v>
      </c>
      <c r="G228">
        <v>378.85</v>
      </c>
      <c r="H228">
        <v>14.42</v>
      </c>
      <c r="I228">
        <v>15.54</v>
      </c>
      <c r="J228">
        <v>16.18</v>
      </c>
      <c r="K228" t="s">
        <v>81</v>
      </c>
      <c r="L228">
        <v>16.18</v>
      </c>
      <c r="M228">
        <v>1.76</v>
      </c>
      <c r="N228">
        <v>0.64</v>
      </c>
      <c r="O228">
        <v>0</v>
      </c>
      <c r="P228">
        <v>1.77</v>
      </c>
      <c r="Q228">
        <v>0.69</v>
      </c>
      <c r="R228">
        <v>0</v>
      </c>
      <c r="S228">
        <v>6</v>
      </c>
      <c r="T228">
        <v>22.7</v>
      </c>
      <c r="U228">
        <v>27.6</v>
      </c>
      <c r="V228" t="s">
        <v>957</v>
      </c>
    </row>
    <row r="229" spans="1:22" ht="15.5" x14ac:dyDescent="0.35">
      <c r="A229">
        <v>223</v>
      </c>
      <c r="B229" t="s">
        <v>810</v>
      </c>
      <c r="C229" t="s">
        <v>171</v>
      </c>
      <c r="D229" t="s">
        <v>955</v>
      </c>
      <c r="E229" t="s">
        <v>981</v>
      </c>
      <c r="F229">
        <v>14.37</v>
      </c>
      <c r="G229">
        <v>378.85</v>
      </c>
      <c r="H229">
        <v>14.45</v>
      </c>
      <c r="I229">
        <v>15.57</v>
      </c>
      <c r="J229">
        <v>16.21</v>
      </c>
      <c r="K229" t="s">
        <v>81</v>
      </c>
      <c r="L229">
        <v>16.21</v>
      </c>
      <c r="M229">
        <v>1.76</v>
      </c>
      <c r="N229">
        <v>0.64</v>
      </c>
      <c r="O229">
        <v>0</v>
      </c>
      <c r="P229">
        <v>1.77</v>
      </c>
      <c r="Q229">
        <v>0.69</v>
      </c>
      <c r="R229">
        <v>0</v>
      </c>
      <c r="S229">
        <v>6</v>
      </c>
      <c r="T229">
        <v>22.7</v>
      </c>
      <c r="U229">
        <v>27.6</v>
      </c>
      <c r="V229" t="s">
        <v>957</v>
      </c>
    </row>
    <row r="230" spans="1:22" ht="15.5" x14ac:dyDescent="0.35">
      <c r="A230">
        <v>224</v>
      </c>
      <c r="B230" t="s">
        <v>844</v>
      </c>
      <c r="C230" t="s">
        <v>171</v>
      </c>
      <c r="D230" t="s">
        <v>955</v>
      </c>
      <c r="E230" t="s">
        <v>993</v>
      </c>
      <c r="F230">
        <v>11.3</v>
      </c>
      <c r="G230">
        <v>378.85</v>
      </c>
      <c r="H230">
        <v>11.4</v>
      </c>
      <c r="I230">
        <v>12.79</v>
      </c>
      <c r="J230">
        <v>13.56</v>
      </c>
      <c r="K230" t="s">
        <v>81</v>
      </c>
      <c r="L230">
        <v>13.56</v>
      </c>
      <c r="M230">
        <v>2.16</v>
      </c>
      <c r="N230">
        <v>0.77</v>
      </c>
      <c r="O230">
        <v>0</v>
      </c>
      <c r="P230">
        <v>2.1800000000000002</v>
      </c>
      <c r="Q230">
        <v>0.86</v>
      </c>
      <c r="R230">
        <v>0</v>
      </c>
      <c r="S230">
        <v>7.6</v>
      </c>
      <c r="T230">
        <v>28</v>
      </c>
      <c r="U230">
        <v>33.6</v>
      </c>
      <c r="V230" t="s">
        <v>957</v>
      </c>
    </row>
    <row r="231" spans="1:22" ht="15.5" x14ac:dyDescent="0.35">
      <c r="A231">
        <v>225</v>
      </c>
      <c r="B231" t="s">
        <v>568</v>
      </c>
      <c r="C231" t="s">
        <v>172</v>
      </c>
      <c r="D231" t="s">
        <v>952</v>
      </c>
      <c r="E231" t="s">
        <v>953</v>
      </c>
      <c r="F231">
        <v>24.41</v>
      </c>
      <c r="G231">
        <v>384.77</v>
      </c>
      <c r="H231">
        <v>24.81</v>
      </c>
      <c r="I231">
        <v>24.41</v>
      </c>
      <c r="J231">
        <v>24.46</v>
      </c>
      <c r="K231" t="s">
        <v>78</v>
      </c>
      <c r="L231">
        <v>24.81</v>
      </c>
      <c r="M231">
        <v>0</v>
      </c>
      <c r="N231">
        <v>0.4</v>
      </c>
      <c r="O231">
        <v>0.35</v>
      </c>
      <c r="P231">
        <v>0</v>
      </c>
      <c r="Q231">
        <v>0.4</v>
      </c>
      <c r="R231">
        <v>0.35</v>
      </c>
      <c r="S231">
        <v>-10.3</v>
      </c>
      <c r="T231">
        <v>0.2</v>
      </c>
      <c r="U231">
        <v>3.7</v>
      </c>
      <c r="V231" t="s">
        <v>2</v>
      </c>
    </row>
    <row r="232" spans="1:22" ht="15.5" x14ac:dyDescent="0.35">
      <c r="A232">
        <v>226</v>
      </c>
      <c r="B232" t="s">
        <v>570</v>
      </c>
      <c r="C232" t="s">
        <v>172</v>
      </c>
      <c r="D232" t="s">
        <v>952</v>
      </c>
      <c r="E232" t="s">
        <v>953</v>
      </c>
      <c r="F232">
        <v>23.48</v>
      </c>
      <c r="G232">
        <v>384.29</v>
      </c>
      <c r="H232">
        <v>23.81</v>
      </c>
      <c r="I232">
        <v>23.49</v>
      </c>
      <c r="J232">
        <v>23.57</v>
      </c>
      <c r="K232" t="s">
        <v>78</v>
      </c>
      <c r="L232">
        <v>23.81</v>
      </c>
      <c r="M232">
        <v>0</v>
      </c>
      <c r="N232">
        <v>0.32</v>
      </c>
      <c r="O232">
        <v>0.24</v>
      </c>
      <c r="P232">
        <v>0</v>
      </c>
      <c r="Q232">
        <v>0.32</v>
      </c>
      <c r="R232">
        <v>0.24</v>
      </c>
      <c r="S232">
        <v>-9.5</v>
      </c>
      <c r="T232">
        <v>1.4</v>
      </c>
      <c r="U232">
        <v>5</v>
      </c>
      <c r="V232" t="s">
        <v>2</v>
      </c>
    </row>
    <row r="233" spans="1:22" ht="15.5" x14ac:dyDescent="0.35">
      <c r="A233">
        <v>227</v>
      </c>
      <c r="B233" t="s">
        <v>572</v>
      </c>
      <c r="C233" t="s">
        <v>172</v>
      </c>
      <c r="D233" t="s">
        <v>952</v>
      </c>
      <c r="E233" t="s">
        <v>953</v>
      </c>
      <c r="F233">
        <v>24.82</v>
      </c>
      <c r="G233">
        <v>384.38</v>
      </c>
      <c r="H233">
        <v>25.14</v>
      </c>
      <c r="I233">
        <v>24.82</v>
      </c>
      <c r="J233">
        <v>24.9</v>
      </c>
      <c r="K233" t="s">
        <v>78</v>
      </c>
      <c r="L233">
        <v>25.14</v>
      </c>
      <c r="M233">
        <v>0</v>
      </c>
      <c r="N233">
        <v>0.32</v>
      </c>
      <c r="O233">
        <v>0.25</v>
      </c>
      <c r="P233">
        <v>0</v>
      </c>
      <c r="Q233">
        <v>0.32</v>
      </c>
      <c r="R233">
        <v>0.25</v>
      </c>
      <c r="S233">
        <v>-9.1999999999999993</v>
      </c>
      <c r="T233">
        <v>1.1000000000000001</v>
      </c>
      <c r="U233">
        <v>4.5</v>
      </c>
      <c r="V233" t="s">
        <v>2</v>
      </c>
    </row>
    <row r="234" spans="1:22" ht="15.5" x14ac:dyDescent="0.35">
      <c r="A234">
        <v>228</v>
      </c>
      <c r="B234" t="s">
        <v>574</v>
      </c>
      <c r="C234" t="s">
        <v>172</v>
      </c>
      <c r="D234" t="s">
        <v>952</v>
      </c>
      <c r="E234" t="s">
        <v>953</v>
      </c>
      <c r="F234">
        <v>28.45</v>
      </c>
      <c r="G234">
        <v>384.55</v>
      </c>
      <c r="H234">
        <v>28.76</v>
      </c>
      <c r="I234">
        <v>28.45</v>
      </c>
      <c r="J234">
        <v>28.51</v>
      </c>
      <c r="K234" t="s">
        <v>78</v>
      </c>
      <c r="L234">
        <v>28.76</v>
      </c>
      <c r="M234">
        <v>0</v>
      </c>
      <c r="N234">
        <v>0.31</v>
      </c>
      <c r="O234">
        <v>0.25</v>
      </c>
      <c r="P234">
        <v>0</v>
      </c>
      <c r="Q234">
        <v>0.31</v>
      </c>
      <c r="R234">
        <v>0.25</v>
      </c>
      <c r="S234">
        <v>-8.4</v>
      </c>
      <c r="T234">
        <v>0.6</v>
      </c>
      <c r="U234">
        <v>3.6</v>
      </c>
      <c r="V234" t="s">
        <v>2</v>
      </c>
    </row>
    <row r="235" spans="1:22" ht="15.5" x14ac:dyDescent="0.35">
      <c r="A235">
        <v>229</v>
      </c>
      <c r="B235" t="s">
        <v>576</v>
      </c>
      <c r="C235" t="s">
        <v>172</v>
      </c>
      <c r="D235" t="s">
        <v>952</v>
      </c>
      <c r="E235" t="s">
        <v>953</v>
      </c>
      <c r="F235">
        <v>18.21</v>
      </c>
      <c r="G235">
        <v>384.41</v>
      </c>
      <c r="H235">
        <v>18.66</v>
      </c>
      <c r="I235">
        <v>18.22</v>
      </c>
      <c r="J235">
        <v>18.309999999999999</v>
      </c>
      <c r="K235" t="s">
        <v>78</v>
      </c>
      <c r="L235">
        <v>18.66</v>
      </c>
      <c r="M235">
        <v>0</v>
      </c>
      <c r="N235">
        <v>0.44</v>
      </c>
      <c r="O235">
        <v>0.34</v>
      </c>
      <c r="P235">
        <v>0</v>
      </c>
      <c r="Q235">
        <v>0.44</v>
      </c>
      <c r="R235">
        <v>0.34</v>
      </c>
      <c r="S235">
        <v>-12.6</v>
      </c>
      <c r="T235">
        <v>1.4</v>
      </c>
      <c r="U235">
        <v>6.1</v>
      </c>
      <c r="V235" t="s">
        <v>2</v>
      </c>
    </row>
    <row r="236" spans="1:22" ht="15.5" x14ac:dyDescent="0.35">
      <c r="A236">
        <v>230</v>
      </c>
      <c r="B236" t="s">
        <v>578</v>
      </c>
      <c r="C236" t="s">
        <v>172</v>
      </c>
      <c r="D236" t="s">
        <v>952</v>
      </c>
      <c r="E236" t="s">
        <v>953</v>
      </c>
      <c r="F236">
        <v>18.89</v>
      </c>
      <c r="G236">
        <v>384.41</v>
      </c>
      <c r="H236">
        <v>19.32</v>
      </c>
      <c r="I236">
        <v>18.899999999999999</v>
      </c>
      <c r="J236">
        <v>18.989999999999998</v>
      </c>
      <c r="K236" t="s">
        <v>78</v>
      </c>
      <c r="L236">
        <v>19.32</v>
      </c>
      <c r="M236">
        <v>0</v>
      </c>
      <c r="N236">
        <v>0.43</v>
      </c>
      <c r="O236">
        <v>0.33</v>
      </c>
      <c r="P236">
        <v>0</v>
      </c>
      <c r="Q236">
        <v>0.43</v>
      </c>
      <c r="R236">
        <v>0.33</v>
      </c>
      <c r="S236">
        <v>-12.1</v>
      </c>
      <c r="T236">
        <v>1.3</v>
      </c>
      <c r="U236">
        <v>5.9</v>
      </c>
      <c r="V236" t="s">
        <v>2</v>
      </c>
    </row>
    <row r="237" spans="1:22" ht="15.5" x14ac:dyDescent="0.35">
      <c r="A237">
        <v>231</v>
      </c>
      <c r="B237" t="s">
        <v>580</v>
      </c>
      <c r="C237" t="s">
        <v>172</v>
      </c>
      <c r="D237" t="s">
        <v>952</v>
      </c>
      <c r="E237" t="s">
        <v>953</v>
      </c>
      <c r="F237">
        <v>23.29</v>
      </c>
      <c r="G237">
        <v>384.72</v>
      </c>
      <c r="H237">
        <v>23.7</v>
      </c>
      <c r="I237">
        <v>23.29</v>
      </c>
      <c r="J237">
        <v>23.35</v>
      </c>
      <c r="K237" t="s">
        <v>78</v>
      </c>
      <c r="L237">
        <v>23.7</v>
      </c>
      <c r="M237">
        <v>0</v>
      </c>
      <c r="N237">
        <v>0.41</v>
      </c>
      <c r="O237">
        <v>0.35</v>
      </c>
      <c r="P237">
        <v>0</v>
      </c>
      <c r="Q237">
        <v>0.41</v>
      </c>
      <c r="R237">
        <v>0.35</v>
      </c>
      <c r="S237">
        <v>-10.6</v>
      </c>
      <c r="T237">
        <v>0.3</v>
      </c>
      <c r="U237">
        <v>4</v>
      </c>
      <c r="V237" t="s">
        <v>2</v>
      </c>
    </row>
    <row r="238" spans="1:22" ht="15.5" x14ac:dyDescent="0.35">
      <c r="A238">
        <v>232</v>
      </c>
      <c r="B238" t="s">
        <v>582</v>
      </c>
      <c r="C238" t="s">
        <v>172</v>
      </c>
      <c r="D238" t="s">
        <v>952</v>
      </c>
      <c r="E238" t="s">
        <v>953</v>
      </c>
      <c r="F238">
        <v>24.2</v>
      </c>
      <c r="G238">
        <v>384.7</v>
      </c>
      <c r="H238">
        <v>24.59</v>
      </c>
      <c r="I238">
        <v>24.2</v>
      </c>
      <c r="J238">
        <v>24.26</v>
      </c>
      <c r="K238" t="s">
        <v>78</v>
      </c>
      <c r="L238">
        <v>24.59</v>
      </c>
      <c r="M238">
        <v>0</v>
      </c>
      <c r="N238">
        <v>0.39</v>
      </c>
      <c r="O238">
        <v>0.33</v>
      </c>
      <c r="P238">
        <v>0</v>
      </c>
      <c r="Q238">
        <v>0.39</v>
      </c>
      <c r="R238">
        <v>0.33</v>
      </c>
      <c r="S238">
        <v>-10.199999999999999</v>
      </c>
      <c r="T238">
        <v>0.4</v>
      </c>
      <c r="U238">
        <v>3.9</v>
      </c>
      <c r="V238" t="s">
        <v>2</v>
      </c>
    </row>
    <row r="239" spans="1:22" ht="15.5" x14ac:dyDescent="0.35">
      <c r="A239">
        <v>233</v>
      </c>
      <c r="B239" t="s">
        <v>584</v>
      </c>
      <c r="C239" t="s">
        <v>172</v>
      </c>
      <c r="D239" t="s">
        <v>952</v>
      </c>
      <c r="E239" t="s">
        <v>953</v>
      </c>
      <c r="F239">
        <v>24.9</v>
      </c>
      <c r="G239">
        <v>384.65</v>
      </c>
      <c r="H239">
        <v>25.27</v>
      </c>
      <c r="I239">
        <v>24.9</v>
      </c>
      <c r="J239">
        <v>24.96</v>
      </c>
      <c r="K239" t="s">
        <v>78</v>
      </c>
      <c r="L239">
        <v>25.27</v>
      </c>
      <c r="M239">
        <v>0</v>
      </c>
      <c r="N239">
        <v>0.37</v>
      </c>
      <c r="O239">
        <v>0.31</v>
      </c>
      <c r="P239">
        <v>0</v>
      </c>
      <c r="Q239">
        <v>0.37</v>
      </c>
      <c r="R239">
        <v>0.31</v>
      </c>
      <c r="S239">
        <v>-9.8000000000000007</v>
      </c>
      <c r="T239">
        <v>0.5</v>
      </c>
      <c r="U239">
        <v>3.9</v>
      </c>
      <c r="V239" t="s">
        <v>2</v>
      </c>
    </row>
    <row r="240" spans="1:22" ht="15.5" x14ac:dyDescent="0.35">
      <c r="A240">
        <v>234</v>
      </c>
      <c r="B240" t="s">
        <v>586</v>
      </c>
      <c r="C240" t="s">
        <v>172</v>
      </c>
      <c r="D240" t="s">
        <v>952</v>
      </c>
      <c r="E240" t="s">
        <v>953</v>
      </c>
      <c r="F240">
        <v>23.84</v>
      </c>
      <c r="G240">
        <v>383.97</v>
      </c>
      <c r="H240">
        <v>24.11</v>
      </c>
      <c r="I240">
        <v>23.86</v>
      </c>
      <c r="J240">
        <v>23.96</v>
      </c>
      <c r="K240" t="s">
        <v>78</v>
      </c>
      <c r="L240">
        <v>24.11</v>
      </c>
      <c r="M240">
        <v>0</v>
      </c>
      <c r="N240">
        <v>0.26</v>
      </c>
      <c r="O240">
        <v>0.15</v>
      </c>
      <c r="P240">
        <v>0</v>
      </c>
      <c r="Q240">
        <v>0.26</v>
      </c>
      <c r="R240">
        <v>0.16</v>
      </c>
      <c r="S240">
        <v>-8.6</v>
      </c>
      <c r="T240">
        <v>2.1</v>
      </c>
      <c r="U240">
        <v>5.7</v>
      </c>
      <c r="V240" t="s">
        <v>2</v>
      </c>
    </row>
    <row r="241" spans="1:22" ht="15.5" x14ac:dyDescent="0.35">
      <c r="A241">
        <v>235</v>
      </c>
      <c r="B241" t="s">
        <v>588</v>
      </c>
      <c r="C241" t="s">
        <v>172</v>
      </c>
      <c r="D241" t="s">
        <v>952</v>
      </c>
      <c r="E241" t="s">
        <v>953</v>
      </c>
      <c r="F241">
        <v>23.4</v>
      </c>
      <c r="G241">
        <v>383.88</v>
      </c>
      <c r="H241">
        <v>23.66</v>
      </c>
      <c r="I241">
        <v>23.42</v>
      </c>
      <c r="J241">
        <v>23.53</v>
      </c>
      <c r="K241" t="s">
        <v>78</v>
      </c>
      <c r="L241">
        <v>23.66</v>
      </c>
      <c r="M241">
        <v>0</v>
      </c>
      <c r="N241">
        <v>0.24</v>
      </c>
      <c r="O241">
        <v>0.13</v>
      </c>
      <c r="P241">
        <v>0</v>
      </c>
      <c r="Q241">
        <v>0.24</v>
      </c>
      <c r="R241">
        <v>0.13</v>
      </c>
      <c r="S241">
        <v>-8.6</v>
      </c>
      <c r="T241">
        <v>2.4</v>
      </c>
      <c r="U241">
        <v>6</v>
      </c>
      <c r="V241" t="s">
        <v>2</v>
      </c>
    </row>
    <row r="242" spans="1:22" ht="15.5" x14ac:dyDescent="0.35">
      <c r="A242">
        <v>236</v>
      </c>
      <c r="B242" t="s">
        <v>590</v>
      </c>
      <c r="C242" t="s">
        <v>172</v>
      </c>
      <c r="D242" t="s">
        <v>952</v>
      </c>
      <c r="E242" t="s">
        <v>953</v>
      </c>
      <c r="F242">
        <v>21.15</v>
      </c>
      <c r="G242">
        <v>384.57</v>
      </c>
      <c r="H242">
        <v>21.57</v>
      </c>
      <c r="I242">
        <v>21.15</v>
      </c>
      <c r="J242">
        <v>21.22</v>
      </c>
      <c r="K242" t="s">
        <v>78</v>
      </c>
      <c r="L242">
        <v>21.57</v>
      </c>
      <c r="M242">
        <v>0</v>
      </c>
      <c r="N242">
        <v>0.42</v>
      </c>
      <c r="O242">
        <v>0.34</v>
      </c>
      <c r="P242">
        <v>0</v>
      </c>
      <c r="Q242">
        <v>0.42</v>
      </c>
      <c r="R242">
        <v>0.34</v>
      </c>
      <c r="S242">
        <v>-11.3</v>
      </c>
      <c r="T242">
        <v>0.7</v>
      </c>
      <c r="U242">
        <v>4.8</v>
      </c>
      <c r="V242" t="s">
        <v>2</v>
      </c>
    </row>
    <row r="243" spans="1:22" ht="15.5" x14ac:dyDescent="0.35">
      <c r="A243">
        <v>237</v>
      </c>
      <c r="B243" t="s">
        <v>592</v>
      </c>
      <c r="C243" t="s">
        <v>172</v>
      </c>
      <c r="D243" t="s">
        <v>952</v>
      </c>
      <c r="E243" t="s">
        <v>953</v>
      </c>
      <c r="F243">
        <v>16.850000000000001</v>
      </c>
      <c r="G243">
        <v>384.5</v>
      </c>
      <c r="H243">
        <v>17.350000000000001</v>
      </c>
      <c r="I243">
        <v>16.850000000000001</v>
      </c>
      <c r="J243">
        <v>16.95</v>
      </c>
      <c r="K243" t="s">
        <v>78</v>
      </c>
      <c r="L243">
        <v>17.350000000000001</v>
      </c>
      <c r="M243">
        <v>0</v>
      </c>
      <c r="N243">
        <v>0.5</v>
      </c>
      <c r="O243">
        <v>0.4</v>
      </c>
      <c r="P243">
        <v>0</v>
      </c>
      <c r="Q243">
        <v>0.5</v>
      </c>
      <c r="R243">
        <v>0.4</v>
      </c>
      <c r="S243">
        <v>-13.8</v>
      </c>
      <c r="T243">
        <v>1.2</v>
      </c>
      <c r="U243">
        <v>6.3</v>
      </c>
      <c r="V243" t="s">
        <v>2</v>
      </c>
    </row>
    <row r="244" spans="1:22" ht="15.5" x14ac:dyDescent="0.35">
      <c r="A244">
        <v>238</v>
      </c>
      <c r="B244" t="s">
        <v>594</v>
      </c>
      <c r="C244" t="s">
        <v>172</v>
      </c>
      <c r="D244" t="s">
        <v>952</v>
      </c>
      <c r="E244" t="s">
        <v>953</v>
      </c>
      <c r="F244">
        <v>25.64</v>
      </c>
      <c r="G244">
        <v>384.33</v>
      </c>
      <c r="H244">
        <v>25.95</v>
      </c>
      <c r="I244">
        <v>25.65</v>
      </c>
      <c r="J244">
        <v>25.72</v>
      </c>
      <c r="K244" t="s">
        <v>78</v>
      </c>
      <c r="L244">
        <v>25.95</v>
      </c>
      <c r="M244">
        <v>0</v>
      </c>
      <c r="N244">
        <v>0.3</v>
      </c>
      <c r="O244">
        <v>0.23</v>
      </c>
      <c r="P244">
        <v>0</v>
      </c>
      <c r="Q244">
        <v>0.3</v>
      </c>
      <c r="R244">
        <v>0.23</v>
      </c>
      <c r="S244">
        <v>-8.8000000000000007</v>
      </c>
      <c r="T244">
        <v>1.2</v>
      </c>
      <c r="U244">
        <v>4.5</v>
      </c>
      <c r="V244" t="s">
        <v>2</v>
      </c>
    </row>
    <row r="245" spans="1:22" ht="15.5" x14ac:dyDescent="0.35">
      <c r="A245">
        <v>239</v>
      </c>
      <c r="B245" t="s">
        <v>596</v>
      </c>
      <c r="C245" t="s">
        <v>172</v>
      </c>
      <c r="D245" t="s">
        <v>952</v>
      </c>
      <c r="E245" t="s">
        <v>953</v>
      </c>
      <c r="F245">
        <v>23.79</v>
      </c>
      <c r="G245">
        <v>384.98</v>
      </c>
      <c r="H245">
        <v>24.24</v>
      </c>
      <c r="I245">
        <v>23.79</v>
      </c>
      <c r="J245">
        <v>23.83</v>
      </c>
      <c r="K245" t="s">
        <v>78</v>
      </c>
      <c r="L245">
        <v>24.24</v>
      </c>
      <c r="M245">
        <v>0</v>
      </c>
      <c r="N245">
        <v>0.45</v>
      </c>
      <c r="O245">
        <v>0.41</v>
      </c>
      <c r="P245">
        <v>0</v>
      </c>
      <c r="Q245">
        <v>0.45</v>
      </c>
      <c r="R245">
        <v>0.41</v>
      </c>
      <c r="S245">
        <v>-11</v>
      </c>
      <c r="T245">
        <v>-0.3</v>
      </c>
      <c r="U245">
        <v>3.3</v>
      </c>
      <c r="V245" t="s">
        <v>2</v>
      </c>
    </row>
    <row r="246" spans="1:22" ht="15.5" x14ac:dyDescent="0.35">
      <c r="A246">
        <v>240</v>
      </c>
      <c r="B246" t="s">
        <v>598</v>
      </c>
      <c r="C246" t="s">
        <v>172</v>
      </c>
      <c r="D246" t="s">
        <v>952</v>
      </c>
      <c r="E246" t="s">
        <v>953</v>
      </c>
      <c r="F246">
        <v>26.62</v>
      </c>
      <c r="G246">
        <v>384.52</v>
      </c>
      <c r="H246">
        <v>26.94</v>
      </c>
      <c r="I246">
        <v>26.62</v>
      </c>
      <c r="J246">
        <v>26.68</v>
      </c>
      <c r="K246" t="s">
        <v>78</v>
      </c>
      <c r="L246">
        <v>26.94</v>
      </c>
      <c r="M246">
        <v>0</v>
      </c>
      <c r="N246">
        <v>0.32</v>
      </c>
      <c r="O246">
        <v>0.26</v>
      </c>
      <c r="P246">
        <v>0</v>
      </c>
      <c r="Q246">
        <v>0.32</v>
      </c>
      <c r="R246">
        <v>0.26</v>
      </c>
      <c r="S246">
        <v>-8.9</v>
      </c>
      <c r="T246">
        <v>0.7</v>
      </c>
      <c r="U246">
        <v>3.9</v>
      </c>
      <c r="V246" t="s">
        <v>2</v>
      </c>
    </row>
    <row r="247" spans="1:22" ht="15.5" x14ac:dyDescent="0.35">
      <c r="A247">
        <v>241</v>
      </c>
      <c r="B247" t="s">
        <v>600</v>
      </c>
      <c r="C247" t="s">
        <v>172</v>
      </c>
      <c r="D247" t="s">
        <v>952</v>
      </c>
      <c r="E247" t="s">
        <v>953</v>
      </c>
      <c r="F247">
        <v>25.87</v>
      </c>
      <c r="G247">
        <v>384.47</v>
      </c>
      <c r="H247">
        <v>26.2</v>
      </c>
      <c r="I247">
        <v>25.87</v>
      </c>
      <c r="J247">
        <v>25.94</v>
      </c>
      <c r="K247" t="s">
        <v>78</v>
      </c>
      <c r="L247">
        <v>26.2</v>
      </c>
      <c r="M247">
        <v>0</v>
      </c>
      <c r="N247">
        <v>0.32</v>
      </c>
      <c r="O247">
        <v>0.26</v>
      </c>
      <c r="P247">
        <v>0</v>
      </c>
      <c r="Q247">
        <v>0.32</v>
      </c>
      <c r="R247">
        <v>0.26</v>
      </c>
      <c r="S247">
        <v>-9.1</v>
      </c>
      <c r="T247">
        <v>0.8</v>
      </c>
      <c r="U247">
        <v>4.0999999999999996</v>
      </c>
      <c r="V247" t="s">
        <v>2</v>
      </c>
    </row>
    <row r="248" spans="1:22" ht="15.5" x14ac:dyDescent="0.35">
      <c r="A248">
        <v>242</v>
      </c>
      <c r="B248" t="s">
        <v>602</v>
      </c>
      <c r="C248" t="s">
        <v>172</v>
      </c>
      <c r="D248" t="s">
        <v>952</v>
      </c>
      <c r="E248" t="s">
        <v>953</v>
      </c>
      <c r="F248">
        <v>15.1</v>
      </c>
      <c r="G248">
        <v>384.28</v>
      </c>
      <c r="H248">
        <v>15.6</v>
      </c>
      <c r="I248">
        <v>15.11</v>
      </c>
      <c r="J248">
        <v>15.24</v>
      </c>
      <c r="K248" t="s">
        <v>78</v>
      </c>
      <c r="L248">
        <v>15.6</v>
      </c>
      <c r="M248">
        <v>0</v>
      </c>
      <c r="N248">
        <v>0.49</v>
      </c>
      <c r="O248">
        <v>0.36</v>
      </c>
      <c r="P248">
        <v>0</v>
      </c>
      <c r="Q248">
        <v>0.49</v>
      </c>
      <c r="R248">
        <v>0.36</v>
      </c>
      <c r="S248">
        <v>-14.6</v>
      </c>
      <c r="T248">
        <v>2.2000000000000002</v>
      </c>
      <c r="U248">
        <v>7.8</v>
      </c>
      <c r="V248" t="s">
        <v>2</v>
      </c>
    </row>
    <row r="249" spans="1:22" ht="15.5" x14ac:dyDescent="0.35">
      <c r="A249">
        <v>243</v>
      </c>
      <c r="B249" t="s">
        <v>604</v>
      </c>
      <c r="C249" t="s">
        <v>172</v>
      </c>
      <c r="D249" t="s">
        <v>952</v>
      </c>
      <c r="E249" t="s">
        <v>953</v>
      </c>
      <c r="F249">
        <v>14.89</v>
      </c>
      <c r="G249">
        <v>384.42</v>
      </c>
      <c r="H249">
        <v>15.44</v>
      </c>
      <c r="I249">
        <v>14.9</v>
      </c>
      <c r="J249">
        <v>15.01</v>
      </c>
      <c r="K249" t="s">
        <v>78</v>
      </c>
      <c r="L249">
        <v>15.44</v>
      </c>
      <c r="M249">
        <v>0</v>
      </c>
      <c r="N249">
        <v>0.54</v>
      </c>
      <c r="O249">
        <v>0.42</v>
      </c>
      <c r="P249">
        <v>0</v>
      </c>
      <c r="Q249">
        <v>0.54</v>
      </c>
      <c r="R249">
        <v>0.43</v>
      </c>
      <c r="S249">
        <v>-15.3</v>
      </c>
      <c r="T249">
        <v>1.6</v>
      </c>
      <c r="U249">
        <v>7.4</v>
      </c>
      <c r="V249" t="s">
        <v>2</v>
      </c>
    </row>
    <row r="250" spans="1:22" ht="15.5" x14ac:dyDescent="0.35">
      <c r="A250">
        <v>244</v>
      </c>
      <c r="B250" t="s">
        <v>606</v>
      </c>
      <c r="C250" t="s">
        <v>172</v>
      </c>
      <c r="D250" t="s">
        <v>952</v>
      </c>
      <c r="E250" t="s">
        <v>953</v>
      </c>
      <c r="F250">
        <v>18.989999999999998</v>
      </c>
      <c r="G250">
        <v>384.59</v>
      </c>
      <c r="H250">
        <v>19.46</v>
      </c>
      <c r="I250">
        <v>18.989999999999998</v>
      </c>
      <c r="J250">
        <v>19.07</v>
      </c>
      <c r="K250" t="s">
        <v>78</v>
      </c>
      <c r="L250">
        <v>19.46</v>
      </c>
      <c r="M250">
        <v>0</v>
      </c>
      <c r="N250">
        <v>0.47</v>
      </c>
      <c r="O250">
        <v>0.39</v>
      </c>
      <c r="P250">
        <v>0</v>
      </c>
      <c r="Q250">
        <v>0.47</v>
      </c>
      <c r="R250">
        <v>0.39</v>
      </c>
      <c r="S250">
        <v>-12.6</v>
      </c>
      <c r="T250">
        <v>0.8</v>
      </c>
      <c r="U250">
        <v>5.3</v>
      </c>
      <c r="V250" t="s">
        <v>2</v>
      </c>
    </row>
    <row r="251" spans="1:22" ht="15.5" x14ac:dyDescent="0.35">
      <c r="A251">
        <v>245</v>
      </c>
      <c r="B251" t="s">
        <v>608</v>
      </c>
      <c r="C251" t="s">
        <v>172</v>
      </c>
      <c r="D251" t="s">
        <v>952</v>
      </c>
      <c r="E251" t="s">
        <v>953</v>
      </c>
      <c r="F251">
        <v>23.5</v>
      </c>
      <c r="G251">
        <v>384.18</v>
      </c>
      <c r="H251">
        <v>23.81</v>
      </c>
      <c r="I251">
        <v>23.51</v>
      </c>
      <c r="J251">
        <v>23.6</v>
      </c>
      <c r="K251" t="s">
        <v>78</v>
      </c>
      <c r="L251">
        <v>23.81</v>
      </c>
      <c r="M251">
        <v>0</v>
      </c>
      <c r="N251">
        <v>0.3</v>
      </c>
      <c r="O251">
        <v>0.21</v>
      </c>
      <c r="P251">
        <v>0</v>
      </c>
      <c r="Q251">
        <v>0.3</v>
      </c>
      <c r="R251">
        <v>0.21</v>
      </c>
      <c r="S251">
        <v>-9.3000000000000007</v>
      </c>
      <c r="T251">
        <v>1.6</v>
      </c>
      <c r="U251">
        <v>5.3</v>
      </c>
      <c r="V251" t="s">
        <v>2</v>
      </c>
    </row>
    <row r="252" spans="1:22" ht="15.5" x14ac:dyDescent="0.35">
      <c r="A252">
        <v>246</v>
      </c>
      <c r="B252" t="s">
        <v>610</v>
      </c>
      <c r="C252" t="s">
        <v>172</v>
      </c>
      <c r="D252" t="s">
        <v>952</v>
      </c>
      <c r="E252" t="s">
        <v>953</v>
      </c>
      <c r="F252">
        <v>25</v>
      </c>
      <c r="G252">
        <v>384.11</v>
      </c>
      <c r="H252">
        <v>25.28</v>
      </c>
      <c r="I252">
        <v>25.01</v>
      </c>
      <c r="J252">
        <v>25.1</v>
      </c>
      <c r="K252" t="s">
        <v>78</v>
      </c>
      <c r="L252">
        <v>25.28</v>
      </c>
      <c r="M252">
        <v>0</v>
      </c>
      <c r="N252">
        <v>0.27</v>
      </c>
      <c r="O252">
        <v>0.18</v>
      </c>
      <c r="P252">
        <v>0</v>
      </c>
      <c r="Q252">
        <v>0.27</v>
      </c>
      <c r="R252">
        <v>0.18</v>
      </c>
      <c r="S252">
        <v>-8.5</v>
      </c>
      <c r="T252">
        <v>1.7</v>
      </c>
      <c r="U252">
        <v>5.0999999999999996</v>
      </c>
      <c r="V252" t="s">
        <v>2</v>
      </c>
    </row>
    <row r="253" spans="1:22" ht="15.5" x14ac:dyDescent="0.35">
      <c r="A253">
        <v>247</v>
      </c>
      <c r="B253" t="s">
        <v>612</v>
      </c>
      <c r="C253" t="s">
        <v>172</v>
      </c>
      <c r="D253" t="s">
        <v>952</v>
      </c>
      <c r="E253" t="s">
        <v>953</v>
      </c>
      <c r="F253">
        <v>23.5</v>
      </c>
      <c r="G253">
        <v>384.17</v>
      </c>
      <c r="H253">
        <v>23.81</v>
      </c>
      <c r="I253">
        <v>23.51</v>
      </c>
      <c r="J253">
        <v>23.6</v>
      </c>
      <c r="K253" t="s">
        <v>78</v>
      </c>
      <c r="L253">
        <v>23.81</v>
      </c>
      <c r="M253">
        <v>0</v>
      </c>
      <c r="N253">
        <v>0.3</v>
      </c>
      <c r="O253">
        <v>0.21</v>
      </c>
      <c r="P253">
        <v>0</v>
      </c>
      <c r="Q253">
        <v>0.3</v>
      </c>
      <c r="R253">
        <v>0.21</v>
      </c>
      <c r="S253">
        <v>-9.1999999999999993</v>
      </c>
      <c r="T253">
        <v>1.7</v>
      </c>
      <c r="U253">
        <v>5.3</v>
      </c>
      <c r="V253" t="s">
        <v>2</v>
      </c>
    </row>
    <row r="254" spans="1:22" ht="15.5" x14ac:dyDescent="0.35">
      <c r="A254">
        <v>248</v>
      </c>
      <c r="B254" t="s">
        <v>614</v>
      </c>
      <c r="C254" t="s">
        <v>172</v>
      </c>
      <c r="D254" t="s">
        <v>952</v>
      </c>
      <c r="E254" t="s">
        <v>953</v>
      </c>
      <c r="F254">
        <v>21.5</v>
      </c>
      <c r="G254">
        <v>384.2</v>
      </c>
      <c r="H254">
        <v>21.84</v>
      </c>
      <c r="I254">
        <v>21.51</v>
      </c>
      <c r="J254">
        <v>21.61</v>
      </c>
      <c r="K254" t="s">
        <v>78</v>
      </c>
      <c r="L254">
        <v>21.84</v>
      </c>
      <c r="M254">
        <v>0</v>
      </c>
      <c r="N254">
        <v>0.33</v>
      </c>
      <c r="O254">
        <v>0.24</v>
      </c>
      <c r="P254">
        <v>0</v>
      </c>
      <c r="Q254">
        <v>0.33</v>
      </c>
      <c r="R254">
        <v>0.24</v>
      </c>
      <c r="S254">
        <v>-10.199999999999999</v>
      </c>
      <c r="T254">
        <v>1.7</v>
      </c>
      <c r="U254">
        <v>5.7</v>
      </c>
      <c r="V254" t="s">
        <v>2</v>
      </c>
    </row>
    <row r="255" spans="1:22" ht="15.5" x14ac:dyDescent="0.35">
      <c r="A255">
        <v>249</v>
      </c>
      <c r="B255" t="s">
        <v>616</v>
      </c>
      <c r="C255" t="s">
        <v>172</v>
      </c>
      <c r="D255" t="s">
        <v>952</v>
      </c>
      <c r="E255" t="s">
        <v>953</v>
      </c>
      <c r="F255">
        <v>18.5</v>
      </c>
      <c r="G255">
        <v>384.12</v>
      </c>
      <c r="H255">
        <v>18.88</v>
      </c>
      <c r="I255">
        <v>18.510000000000002</v>
      </c>
      <c r="J255">
        <v>18.63</v>
      </c>
      <c r="K255" t="s">
        <v>78</v>
      </c>
      <c r="L255">
        <v>18.88</v>
      </c>
      <c r="M255">
        <v>0</v>
      </c>
      <c r="N255">
        <v>0.37</v>
      </c>
      <c r="O255">
        <v>0.25</v>
      </c>
      <c r="P255">
        <v>0</v>
      </c>
      <c r="Q255">
        <v>0.37</v>
      </c>
      <c r="R255">
        <v>0.25</v>
      </c>
      <c r="S255">
        <v>-11.5</v>
      </c>
      <c r="T255">
        <v>2.2000000000000002</v>
      </c>
      <c r="U255">
        <v>6.9</v>
      </c>
      <c r="V255" t="s">
        <v>2</v>
      </c>
    </row>
    <row r="256" spans="1:22" ht="15.5" x14ac:dyDescent="0.35">
      <c r="A256">
        <v>250</v>
      </c>
      <c r="B256" t="s">
        <v>618</v>
      </c>
      <c r="C256" t="s">
        <v>172</v>
      </c>
      <c r="D256" t="s">
        <v>952</v>
      </c>
      <c r="E256" t="s">
        <v>953</v>
      </c>
      <c r="F256">
        <v>20</v>
      </c>
      <c r="G256">
        <v>384.14</v>
      </c>
      <c r="H256">
        <v>20.36</v>
      </c>
      <c r="I256">
        <v>20.010000000000002</v>
      </c>
      <c r="J256">
        <v>20.12</v>
      </c>
      <c r="K256" t="s">
        <v>78</v>
      </c>
      <c r="L256">
        <v>20.36</v>
      </c>
      <c r="M256">
        <v>0</v>
      </c>
      <c r="N256">
        <v>0.34</v>
      </c>
      <c r="O256">
        <v>0.23</v>
      </c>
      <c r="P256">
        <v>0</v>
      </c>
      <c r="Q256">
        <v>0.34</v>
      </c>
      <c r="R256">
        <v>0.24</v>
      </c>
      <c r="S256">
        <v>-10.7</v>
      </c>
      <c r="T256">
        <v>2</v>
      </c>
      <c r="U256">
        <v>6.3</v>
      </c>
      <c r="V256" t="s">
        <v>2</v>
      </c>
    </row>
    <row r="257" spans="1:22" ht="15.5" x14ac:dyDescent="0.35">
      <c r="A257">
        <v>251</v>
      </c>
      <c r="B257" t="s">
        <v>620</v>
      </c>
      <c r="C257" t="s">
        <v>172</v>
      </c>
      <c r="D257" t="s">
        <v>952</v>
      </c>
      <c r="E257" t="s">
        <v>953</v>
      </c>
      <c r="F257">
        <v>25</v>
      </c>
      <c r="G257">
        <v>384.16</v>
      </c>
      <c r="H257">
        <v>25.29</v>
      </c>
      <c r="I257">
        <v>25.01</v>
      </c>
      <c r="J257">
        <v>25.1</v>
      </c>
      <c r="K257" t="s">
        <v>78</v>
      </c>
      <c r="L257">
        <v>25.29</v>
      </c>
      <c r="M257">
        <v>0</v>
      </c>
      <c r="N257">
        <v>0.28000000000000003</v>
      </c>
      <c r="O257">
        <v>0.19</v>
      </c>
      <c r="P257">
        <v>0</v>
      </c>
      <c r="Q257">
        <v>0.28000000000000003</v>
      </c>
      <c r="R257">
        <v>0.19</v>
      </c>
      <c r="S257">
        <v>-8.6999999999999993</v>
      </c>
      <c r="T257">
        <v>1.6</v>
      </c>
      <c r="U257">
        <v>5</v>
      </c>
      <c r="V257" t="s">
        <v>2</v>
      </c>
    </row>
    <row r="258" spans="1:22" ht="15.5" x14ac:dyDescent="0.35">
      <c r="A258">
        <v>252</v>
      </c>
      <c r="B258" t="s">
        <v>622</v>
      </c>
      <c r="C258" t="s">
        <v>172</v>
      </c>
      <c r="D258" t="s">
        <v>952</v>
      </c>
      <c r="E258" t="s">
        <v>953</v>
      </c>
      <c r="F258">
        <v>35.5</v>
      </c>
      <c r="G258">
        <v>384.11</v>
      </c>
      <c r="H258">
        <v>35.700000000000003</v>
      </c>
      <c r="I258">
        <v>35.51</v>
      </c>
      <c r="J258">
        <v>35.57</v>
      </c>
      <c r="K258" t="s">
        <v>78</v>
      </c>
      <c r="L258">
        <v>35.700000000000003</v>
      </c>
      <c r="M258">
        <v>0</v>
      </c>
      <c r="N258">
        <v>0.19</v>
      </c>
      <c r="O258">
        <v>0.13</v>
      </c>
      <c r="P258">
        <v>0</v>
      </c>
      <c r="Q258">
        <v>0.19</v>
      </c>
      <c r="R258">
        <v>0.13</v>
      </c>
      <c r="S258">
        <v>-6</v>
      </c>
      <c r="T258">
        <v>1.2</v>
      </c>
      <c r="U258">
        <v>3.6</v>
      </c>
      <c r="V258" t="s">
        <v>2</v>
      </c>
    </row>
    <row r="259" spans="1:22" ht="15.5" x14ac:dyDescent="0.35">
      <c r="A259">
        <v>253</v>
      </c>
      <c r="B259" t="s">
        <v>842</v>
      </c>
      <c r="C259" t="s">
        <v>172</v>
      </c>
      <c r="D259" t="s">
        <v>955</v>
      </c>
      <c r="E259" t="s">
        <v>992</v>
      </c>
      <c r="F259">
        <v>11.75</v>
      </c>
      <c r="G259">
        <v>378.85</v>
      </c>
      <c r="H259">
        <v>11.85</v>
      </c>
      <c r="I259">
        <v>13.19</v>
      </c>
      <c r="J259">
        <v>13.94</v>
      </c>
      <c r="K259" t="s">
        <v>81</v>
      </c>
      <c r="L259">
        <v>13.94</v>
      </c>
      <c r="M259">
        <v>2.09</v>
      </c>
      <c r="N259">
        <v>0.75</v>
      </c>
      <c r="O259">
        <v>0</v>
      </c>
      <c r="P259">
        <v>2.11</v>
      </c>
      <c r="Q259">
        <v>0.83</v>
      </c>
      <c r="R259">
        <v>0</v>
      </c>
      <c r="S259">
        <v>7.3</v>
      </c>
      <c r="T259">
        <v>27.1</v>
      </c>
      <c r="U259">
        <v>32.6</v>
      </c>
      <c r="V259" t="s">
        <v>957</v>
      </c>
    </row>
    <row r="260" spans="1:22" ht="15.5" x14ac:dyDescent="0.35">
      <c r="A260">
        <v>254</v>
      </c>
      <c r="B260" t="s">
        <v>845</v>
      </c>
      <c r="C260" t="s">
        <v>172</v>
      </c>
      <c r="D260" t="s">
        <v>955</v>
      </c>
      <c r="E260" t="s">
        <v>993</v>
      </c>
      <c r="F260">
        <v>11.3</v>
      </c>
      <c r="G260">
        <v>378.85</v>
      </c>
      <c r="H260">
        <v>11.4</v>
      </c>
      <c r="I260">
        <v>12.79</v>
      </c>
      <c r="J260">
        <v>13.56</v>
      </c>
      <c r="K260" t="s">
        <v>81</v>
      </c>
      <c r="L260">
        <v>13.56</v>
      </c>
      <c r="M260">
        <v>2.16</v>
      </c>
      <c r="N260">
        <v>0.77</v>
      </c>
      <c r="O260">
        <v>0</v>
      </c>
      <c r="P260">
        <v>2.1800000000000002</v>
      </c>
      <c r="Q260">
        <v>0.86</v>
      </c>
      <c r="R260">
        <v>0</v>
      </c>
      <c r="S260">
        <v>7.6</v>
      </c>
      <c r="T260">
        <v>28</v>
      </c>
      <c r="U260">
        <v>33.6</v>
      </c>
      <c r="V260" t="s">
        <v>957</v>
      </c>
    </row>
    <row r="261" spans="1:22" ht="15.5" x14ac:dyDescent="0.35">
      <c r="A261">
        <v>255</v>
      </c>
      <c r="B261" t="s">
        <v>836</v>
      </c>
      <c r="C261" t="s">
        <v>172</v>
      </c>
      <c r="D261" t="s">
        <v>955</v>
      </c>
      <c r="E261" t="s">
        <v>990</v>
      </c>
      <c r="F261">
        <v>11.52</v>
      </c>
      <c r="G261">
        <v>378.85</v>
      </c>
      <c r="H261">
        <v>11.62</v>
      </c>
      <c r="I261">
        <v>12.99</v>
      </c>
      <c r="J261">
        <v>13.75</v>
      </c>
      <c r="K261" t="s">
        <v>81</v>
      </c>
      <c r="L261">
        <v>13.75</v>
      </c>
      <c r="M261">
        <v>2.13</v>
      </c>
      <c r="N261">
        <v>0.76</v>
      </c>
      <c r="O261">
        <v>0</v>
      </c>
      <c r="P261">
        <v>2.14</v>
      </c>
      <c r="Q261">
        <v>0.85</v>
      </c>
      <c r="R261">
        <v>0</v>
      </c>
      <c r="S261">
        <v>7.4</v>
      </c>
      <c r="T261">
        <v>27.5</v>
      </c>
      <c r="U261">
        <v>33.1</v>
      </c>
      <c r="V261" t="s">
        <v>957</v>
      </c>
    </row>
    <row r="262" spans="1:22" ht="15.5" x14ac:dyDescent="0.35">
      <c r="A262">
        <v>256</v>
      </c>
      <c r="B262" t="s">
        <v>839</v>
      </c>
      <c r="C262" t="s">
        <v>172</v>
      </c>
      <c r="D262" t="s">
        <v>955</v>
      </c>
      <c r="E262" t="s">
        <v>991</v>
      </c>
      <c r="F262">
        <v>13.98</v>
      </c>
      <c r="G262">
        <v>378.85</v>
      </c>
      <c r="H262">
        <v>14.06</v>
      </c>
      <c r="I262">
        <v>15.21</v>
      </c>
      <c r="J262">
        <v>15.86</v>
      </c>
      <c r="K262" t="s">
        <v>81</v>
      </c>
      <c r="L262">
        <v>15.86</v>
      </c>
      <c r="M262">
        <v>1.8</v>
      </c>
      <c r="N262">
        <v>0.65</v>
      </c>
      <c r="O262">
        <v>0</v>
      </c>
      <c r="P262">
        <v>1.81</v>
      </c>
      <c r="Q262">
        <v>0.71</v>
      </c>
      <c r="R262">
        <v>0</v>
      </c>
      <c r="S262">
        <v>6.1</v>
      </c>
      <c r="T262">
        <v>23.2</v>
      </c>
      <c r="U262">
        <v>28.2</v>
      </c>
      <c r="V262" t="s">
        <v>957</v>
      </c>
    </row>
    <row r="263" spans="1:22" ht="15.5" x14ac:dyDescent="0.35">
      <c r="A263">
        <v>257</v>
      </c>
      <c r="B263" t="s">
        <v>624</v>
      </c>
      <c r="C263" t="s">
        <v>172</v>
      </c>
      <c r="D263" t="s">
        <v>952</v>
      </c>
      <c r="E263" t="s">
        <v>953</v>
      </c>
      <c r="F263">
        <v>49.73</v>
      </c>
      <c r="G263">
        <v>384.27</v>
      </c>
      <c r="H263">
        <v>49.88</v>
      </c>
      <c r="I263">
        <v>49.73</v>
      </c>
      <c r="J263">
        <v>49.77</v>
      </c>
      <c r="K263" t="s">
        <v>78</v>
      </c>
      <c r="L263">
        <v>49.88</v>
      </c>
      <c r="M263">
        <v>0</v>
      </c>
      <c r="N263">
        <v>0.15</v>
      </c>
      <c r="O263">
        <v>0.11</v>
      </c>
      <c r="P263">
        <v>0</v>
      </c>
      <c r="Q263">
        <v>0.15</v>
      </c>
      <c r="R263">
        <v>0.11</v>
      </c>
      <c r="S263">
        <v>-4.5</v>
      </c>
      <c r="T263">
        <v>0.7</v>
      </c>
      <c r="U263">
        <v>2.4</v>
      </c>
      <c r="V263" t="s">
        <v>2</v>
      </c>
    </row>
    <row r="264" spans="1:22" ht="15.5" x14ac:dyDescent="0.35">
      <c r="A264">
        <v>258</v>
      </c>
      <c r="B264" t="s">
        <v>626</v>
      </c>
      <c r="C264" t="s">
        <v>172</v>
      </c>
      <c r="D264" t="s">
        <v>952</v>
      </c>
      <c r="E264" t="s">
        <v>953</v>
      </c>
      <c r="F264">
        <v>44.22</v>
      </c>
      <c r="G264">
        <v>384.13</v>
      </c>
      <c r="H264">
        <v>44.38</v>
      </c>
      <c r="I264">
        <v>44.23</v>
      </c>
      <c r="J264">
        <v>44.28</v>
      </c>
      <c r="K264" t="s">
        <v>78</v>
      </c>
      <c r="L264">
        <v>44.38</v>
      </c>
      <c r="M264">
        <v>0</v>
      </c>
      <c r="N264">
        <v>0.16</v>
      </c>
      <c r="O264">
        <v>0.11</v>
      </c>
      <c r="P264">
        <v>0</v>
      </c>
      <c r="Q264">
        <v>0.16</v>
      </c>
      <c r="R264">
        <v>0.11</v>
      </c>
      <c r="S264">
        <v>-4.9000000000000004</v>
      </c>
      <c r="T264">
        <v>0.9</v>
      </c>
      <c r="U264">
        <v>2.9</v>
      </c>
      <c r="V264" t="s">
        <v>2</v>
      </c>
    </row>
    <row r="265" spans="1:22" ht="15.5" x14ac:dyDescent="0.35">
      <c r="A265">
        <v>259</v>
      </c>
      <c r="B265" t="s">
        <v>628</v>
      </c>
      <c r="C265" t="s">
        <v>172</v>
      </c>
      <c r="D265" t="s">
        <v>952</v>
      </c>
      <c r="E265" t="s">
        <v>953</v>
      </c>
      <c r="F265">
        <v>45.44</v>
      </c>
      <c r="G265">
        <v>384.55</v>
      </c>
      <c r="H265">
        <v>45.63</v>
      </c>
      <c r="I265">
        <v>45.44</v>
      </c>
      <c r="J265">
        <v>45.48</v>
      </c>
      <c r="K265" t="s">
        <v>78</v>
      </c>
      <c r="L265">
        <v>45.63</v>
      </c>
      <c r="M265">
        <v>0</v>
      </c>
      <c r="N265">
        <v>0.19</v>
      </c>
      <c r="O265">
        <v>0.16</v>
      </c>
      <c r="P265">
        <v>0</v>
      </c>
      <c r="Q265">
        <v>0.19</v>
      </c>
      <c r="R265">
        <v>0.16</v>
      </c>
      <c r="S265">
        <v>-5.3</v>
      </c>
      <c r="T265">
        <v>0.4</v>
      </c>
      <c r="U265">
        <v>2.2999999999999998</v>
      </c>
      <c r="V265" t="s">
        <v>2</v>
      </c>
    </row>
    <row r="266" spans="1:22" ht="15.5" x14ac:dyDescent="0.35">
      <c r="A266">
        <v>260</v>
      </c>
      <c r="B266" t="s">
        <v>630</v>
      </c>
      <c r="C266" t="s">
        <v>172</v>
      </c>
      <c r="D266" t="s">
        <v>952</v>
      </c>
      <c r="E266" t="s">
        <v>953</v>
      </c>
      <c r="F266">
        <v>46.26</v>
      </c>
      <c r="G266">
        <v>384.13</v>
      </c>
      <c r="H266">
        <v>46.41</v>
      </c>
      <c r="I266">
        <v>46.27</v>
      </c>
      <c r="J266">
        <v>46.31</v>
      </c>
      <c r="K266" t="s">
        <v>78</v>
      </c>
      <c r="L266">
        <v>46.41</v>
      </c>
      <c r="M266">
        <v>0</v>
      </c>
      <c r="N266">
        <v>0.15</v>
      </c>
      <c r="O266">
        <v>0.1</v>
      </c>
      <c r="P266">
        <v>0</v>
      </c>
      <c r="Q266">
        <v>0.15</v>
      </c>
      <c r="R266">
        <v>0.1</v>
      </c>
      <c r="S266">
        <v>-4.7</v>
      </c>
      <c r="T266">
        <v>0.9</v>
      </c>
      <c r="U266">
        <v>2.7</v>
      </c>
      <c r="V266" t="s">
        <v>2</v>
      </c>
    </row>
    <row r="267" spans="1:22" ht="15.5" x14ac:dyDescent="0.35">
      <c r="A267">
        <v>261</v>
      </c>
      <c r="B267" t="s">
        <v>632</v>
      </c>
      <c r="C267" t="s">
        <v>172</v>
      </c>
      <c r="D267" t="s">
        <v>952</v>
      </c>
      <c r="E267" t="s">
        <v>953</v>
      </c>
      <c r="F267">
        <v>51.53</v>
      </c>
      <c r="G267">
        <v>384.43</v>
      </c>
      <c r="H267">
        <v>51.69</v>
      </c>
      <c r="I267">
        <v>51.53</v>
      </c>
      <c r="J267">
        <v>51.57</v>
      </c>
      <c r="K267" t="s">
        <v>78</v>
      </c>
      <c r="L267">
        <v>51.69</v>
      </c>
      <c r="M267">
        <v>0</v>
      </c>
      <c r="N267">
        <v>0.16</v>
      </c>
      <c r="O267">
        <v>0.13</v>
      </c>
      <c r="P267">
        <v>0</v>
      </c>
      <c r="Q267">
        <v>0.16</v>
      </c>
      <c r="R267">
        <v>0.13</v>
      </c>
      <c r="S267">
        <v>-4.5</v>
      </c>
      <c r="T267">
        <v>0.5</v>
      </c>
      <c r="U267">
        <v>2.1</v>
      </c>
      <c r="V267" t="s">
        <v>2</v>
      </c>
    </row>
    <row r="268" spans="1:22" ht="15.5" x14ac:dyDescent="0.35">
      <c r="A268">
        <v>262</v>
      </c>
      <c r="B268" t="s">
        <v>634</v>
      </c>
      <c r="C268" t="s">
        <v>172</v>
      </c>
      <c r="D268" t="s">
        <v>952</v>
      </c>
      <c r="E268" t="s">
        <v>953</v>
      </c>
      <c r="F268">
        <v>49.57</v>
      </c>
      <c r="G268">
        <v>384.58</v>
      </c>
      <c r="H268">
        <v>49.75</v>
      </c>
      <c r="I268">
        <v>49.57</v>
      </c>
      <c r="J268">
        <v>49.6</v>
      </c>
      <c r="K268" t="s">
        <v>78</v>
      </c>
      <c r="L268">
        <v>49.75</v>
      </c>
      <c r="M268">
        <v>0</v>
      </c>
      <c r="N268">
        <v>0.18</v>
      </c>
      <c r="O268">
        <v>0.15</v>
      </c>
      <c r="P268">
        <v>0</v>
      </c>
      <c r="Q268">
        <v>0.18</v>
      </c>
      <c r="R268">
        <v>0.15</v>
      </c>
      <c r="S268">
        <v>-4.9000000000000004</v>
      </c>
      <c r="T268">
        <v>0.3</v>
      </c>
      <c r="U268">
        <v>2</v>
      </c>
      <c r="V268" t="s">
        <v>2</v>
      </c>
    </row>
    <row r="269" spans="1:22" ht="15.5" x14ac:dyDescent="0.35">
      <c r="A269">
        <v>263</v>
      </c>
      <c r="B269" t="s">
        <v>636</v>
      </c>
      <c r="C269" t="s">
        <v>172</v>
      </c>
      <c r="D269" t="s">
        <v>952</v>
      </c>
      <c r="E269" t="s">
        <v>953</v>
      </c>
      <c r="F269">
        <v>36.200000000000003</v>
      </c>
      <c r="G269">
        <v>384.16</v>
      </c>
      <c r="H269">
        <v>36.4</v>
      </c>
      <c r="I269">
        <v>36.21</v>
      </c>
      <c r="J269">
        <v>36.270000000000003</v>
      </c>
      <c r="K269" t="s">
        <v>78</v>
      </c>
      <c r="L269">
        <v>36.4</v>
      </c>
      <c r="M269">
        <v>0</v>
      </c>
      <c r="N269">
        <v>0.19</v>
      </c>
      <c r="O269">
        <v>0.13</v>
      </c>
      <c r="P269">
        <v>0</v>
      </c>
      <c r="Q269">
        <v>0.19</v>
      </c>
      <c r="R269">
        <v>0.13</v>
      </c>
      <c r="S269">
        <v>-6</v>
      </c>
      <c r="T269">
        <v>1.1000000000000001</v>
      </c>
      <c r="U269">
        <v>3.5</v>
      </c>
      <c r="V269" t="s">
        <v>2</v>
      </c>
    </row>
    <row r="270" spans="1:22" ht="15.5" x14ac:dyDescent="0.35">
      <c r="A270">
        <v>264</v>
      </c>
      <c r="B270" t="s">
        <v>638</v>
      </c>
      <c r="C270" t="s">
        <v>172</v>
      </c>
      <c r="D270" t="s">
        <v>952</v>
      </c>
      <c r="E270" t="s">
        <v>953</v>
      </c>
      <c r="F270">
        <v>32.99</v>
      </c>
      <c r="G270">
        <v>384.16</v>
      </c>
      <c r="H270">
        <v>33.21</v>
      </c>
      <c r="I270">
        <v>33</v>
      </c>
      <c r="J270">
        <v>33.06</v>
      </c>
      <c r="K270" t="s">
        <v>78</v>
      </c>
      <c r="L270">
        <v>33.21</v>
      </c>
      <c r="M270">
        <v>0</v>
      </c>
      <c r="N270">
        <v>0.21</v>
      </c>
      <c r="O270">
        <v>0.15</v>
      </c>
      <c r="P270">
        <v>0</v>
      </c>
      <c r="Q270">
        <v>0.21</v>
      </c>
      <c r="R270">
        <v>0.15</v>
      </c>
      <c r="S270">
        <v>-6.6</v>
      </c>
      <c r="T270">
        <v>1.2</v>
      </c>
      <c r="U270">
        <v>3.8</v>
      </c>
      <c r="V270" t="s">
        <v>2</v>
      </c>
    </row>
    <row r="271" spans="1:22" ht="15.5" x14ac:dyDescent="0.35">
      <c r="A271">
        <v>265</v>
      </c>
      <c r="B271" t="s">
        <v>640</v>
      </c>
      <c r="C271" t="s">
        <v>172</v>
      </c>
      <c r="D271" t="s">
        <v>952</v>
      </c>
      <c r="E271" t="s">
        <v>953</v>
      </c>
      <c r="F271">
        <v>44.51</v>
      </c>
      <c r="G271">
        <v>384.13</v>
      </c>
      <c r="H271">
        <v>44.67</v>
      </c>
      <c r="I271">
        <v>44.52</v>
      </c>
      <c r="J271">
        <v>44.57</v>
      </c>
      <c r="K271" t="s">
        <v>78</v>
      </c>
      <c r="L271">
        <v>44.67</v>
      </c>
      <c r="M271">
        <v>0</v>
      </c>
      <c r="N271">
        <v>0.15</v>
      </c>
      <c r="O271">
        <v>0.1</v>
      </c>
      <c r="P271">
        <v>0</v>
      </c>
      <c r="Q271">
        <v>0.15</v>
      </c>
      <c r="R271">
        <v>0.1</v>
      </c>
      <c r="S271">
        <v>-4.8</v>
      </c>
      <c r="T271">
        <v>0.9</v>
      </c>
      <c r="U271">
        <v>2.9</v>
      </c>
      <c r="V271" t="s">
        <v>2</v>
      </c>
    </row>
    <row r="272" spans="1:22" ht="15.5" x14ac:dyDescent="0.35">
      <c r="A272">
        <v>266</v>
      </c>
      <c r="B272" t="s">
        <v>642</v>
      </c>
      <c r="C272" t="s">
        <v>172</v>
      </c>
      <c r="D272" t="s">
        <v>952</v>
      </c>
      <c r="E272" t="s">
        <v>953</v>
      </c>
      <c r="F272">
        <v>55.5</v>
      </c>
      <c r="G272">
        <v>384.21</v>
      </c>
      <c r="H272">
        <v>55.63</v>
      </c>
      <c r="I272">
        <v>55.5</v>
      </c>
      <c r="J272">
        <v>55.54</v>
      </c>
      <c r="K272" t="s">
        <v>78</v>
      </c>
      <c r="L272">
        <v>55.63</v>
      </c>
      <c r="M272">
        <v>0</v>
      </c>
      <c r="N272">
        <v>0.13</v>
      </c>
      <c r="O272">
        <v>0.09</v>
      </c>
      <c r="P272">
        <v>0</v>
      </c>
      <c r="Q272">
        <v>0.13</v>
      </c>
      <c r="R272">
        <v>0.09</v>
      </c>
      <c r="S272">
        <v>-4</v>
      </c>
      <c r="T272">
        <v>0.7</v>
      </c>
      <c r="U272">
        <v>2.2000000000000002</v>
      </c>
      <c r="V272" t="s">
        <v>2</v>
      </c>
    </row>
    <row r="273" spans="1:22" ht="15.5" x14ac:dyDescent="0.35">
      <c r="A273">
        <v>267</v>
      </c>
      <c r="B273" t="s">
        <v>644</v>
      </c>
      <c r="C273" t="s">
        <v>172</v>
      </c>
      <c r="D273" t="s">
        <v>952</v>
      </c>
      <c r="E273" t="s">
        <v>953</v>
      </c>
      <c r="F273">
        <v>14</v>
      </c>
      <c r="G273">
        <v>384.11</v>
      </c>
      <c r="H273">
        <v>14.5</v>
      </c>
      <c r="I273">
        <v>14.02</v>
      </c>
      <c r="J273">
        <v>14.18</v>
      </c>
      <c r="K273" t="s">
        <v>78</v>
      </c>
      <c r="L273">
        <v>14.5</v>
      </c>
      <c r="M273">
        <v>0</v>
      </c>
      <c r="N273">
        <v>0.48</v>
      </c>
      <c r="O273">
        <v>0.32</v>
      </c>
      <c r="P273">
        <v>0</v>
      </c>
      <c r="Q273">
        <v>0.48</v>
      </c>
      <c r="R273">
        <v>0.32</v>
      </c>
      <c r="S273">
        <v>-15</v>
      </c>
      <c r="T273">
        <v>3</v>
      </c>
      <c r="U273">
        <v>9.1</v>
      </c>
      <c r="V273" t="s">
        <v>2</v>
      </c>
    </row>
    <row r="274" spans="1:22" ht="15.5" x14ac:dyDescent="0.35">
      <c r="A274">
        <v>268</v>
      </c>
      <c r="B274" t="s">
        <v>646</v>
      </c>
      <c r="C274" t="s">
        <v>172</v>
      </c>
      <c r="D274" t="s">
        <v>952</v>
      </c>
      <c r="E274" t="s">
        <v>953</v>
      </c>
      <c r="F274">
        <v>20.5</v>
      </c>
      <c r="G274">
        <v>384.18</v>
      </c>
      <c r="H274">
        <v>20.85</v>
      </c>
      <c r="I274">
        <v>20.51</v>
      </c>
      <c r="J274">
        <v>20.61</v>
      </c>
      <c r="K274" t="s">
        <v>78</v>
      </c>
      <c r="L274">
        <v>20.85</v>
      </c>
      <c r="M274">
        <v>0</v>
      </c>
      <c r="N274">
        <v>0.34</v>
      </c>
      <c r="O274">
        <v>0.24</v>
      </c>
      <c r="P274">
        <v>0</v>
      </c>
      <c r="Q274">
        <v>0.34</v>
      </c>
      <c r="R274">
        <v>0.24</v>
      </c>
      <c r="S274">
        <v>-10.6</v>
      </c>
      <c r="T274">
        <v>1.9</v>
      </c>
      <c r="U274">
        <v>6</v>
      </c>
      <c r="V274" t="s">
        <v>2</v>
      </c>
    </row>
    <row r="275" spans="1:22" ht="15.5" x14ac:dyDescent="0.35">
      <c r="A275">
        <v>269</v>
      </c>
      <c r="B275" t="s">
        <v>648</v>
      </c>
      <c r="C275" t="s">
        <v>172</v>
      </c>
      <c r="D275" t="s">
        <v>952</v>
      </c>
      <c r="E275" t="s">
        <v>953</v>
      </c>
      <c r="F275">
        <v>34</v>
      </c>
      <c r="G275">
        <v>385.18</v>
      </c>
      <c r="H275">
        <v>34.340000000000003</v>
      </c>
      <c r="I275">
        <v>34</v>
      </c>
      <c r="J275">
        <v>34.020000000000003</v>
      </c>
      <c r="K275" t="s">
        <v>78</v>
      </c>
      <c r="L275">
        <v>34.340000000000003</v>
      </c>
      <c r="M275">
        <v>0</v>
      </c>
      <c r="N275">
        <v>0.34</v>
      </c>
      <c r="O275">
        <v>0.32</v>
      </c>
      <c r="P275">
        <v>0</v>
      </c>
      <c r="Q275">
        <v>0.34</v>
      </c>
      <c r="R275">
        <v>0.32</v>
      </c>
      <c r="S275">
        <v>-8.1</v>
      </c>
      <c r="T275">
        <v>-0.6</v>
      </c>
      <c r="U275">
        <v>2</v>
      </c>
      <c r="V275" t="s">
        <v>2</v>
      </c>
    </row>
    <row r="276" spans="1:22" ht="15.5" x14ac:dyDescent="0.35">
      <c r="A276">
        <v>270</v>
      </c>
      <c r="B276" t="s">
        <v>650</v>
      </c>
      <c r="C276" t="s">
        <v>172</v>
      </c>
      <c r="D276" t="s">
        <v>952</v>
      </c>
      <c r="E276" t="s">
        <v>953</v>
      </c>
      <c r="F276">
        <v>31.13</v>
      </c>
      <c r="G276">
        <v>384.39</v>
      </c>
      <c r="H276">
        <v>31.39</v>
      </c>
      <c r="I276">
        <v>31.13</v>
      </c>
      <c r="J276">
        <v>31.19</v>
      </c>
      <c r="K276" t="s">
        <v>78</v>
      </c>
      <c r="L276">
        <v>31.39</v>
      </c>
      <c r="M276">
        <v>0</v>
      </c>
      <c r="N276">
        <v>0.26</v>
      </c>
      <c r="O276">
        <v>0.2</v>
      </c>
      <c r="P276">
        <v>0</v>
      </c>
      <c r="Q276">
        <v>0.26</v>
      </c>
      <c r="R276">
        <v>0.2</v>
      </c>
      <c r="S276">
        <v>-7.4</v>
      </c>
      <c r="T276">
        <v>0.9</v>
      </c>
      <c r="U276">
        <v>3.6</v>
      </c>
      <c r="V276" t="s">
        <v>2</v>
      </c>
    </row>
    <row r="277" spans="1:22" ht="15.5" x14ac:dyDescent="0.35">
      <c r="A277">
        <v>271</v>
      </c>
      <c r="B277" t="s">
        <v>652</v>
      </c>
      <c r="C277" t="s">
        <v>172</v>
      </c>
      <c r="D277" t="s">
        <v>952</v>
      </c>
      <c r="E277" t="s">
        <v>953</v>
      </c>
      <c r="F277">
        <v>23</v>
      </c>
      <c r="G277">
        <v>384.11</v>
      </c>
      <c r="H277">
        <v>23.31</v>
      </c>
      <c r="I277">
        <v>23.01</v>
      </c>
      <c r="J277">
        <v>23.11</v>
      </c>
      <c r="K277" t="s">
        <v>78</v>
      </c>
      <c r="L277">
        <v>23.31</v>
      </c>
      <c r="M277">
        <v>0</v>
      </c>
      <c r="N277">
        <v>0.28999999999999998</v>
      </c>
      <c r="O277">
        <v>0.2</v>
      </c>
      <c r="P277">
        <v>0</v>
      </c>
      <c r="Q277">
        <v>0.28999999999999998</v>
      </c>
      <c r="R277">
        <v>0.2</v>
      </c>
      <c r="S277">
        <v>-9.3000000000000007</v>
      </c>
      <c r="T277">
        <v>1.8</v>
      </c>
      <c r="U277">
        <v>5.6</v>
      </c>
      <c r="V277" t="s">
        <v>2</v>
      </c>
    </row>
    <row r="278" spans="1:22" ht="15.5" x14ac:dyDescent="0.35">
      <c r="A278">
        <v>272</v>
      </c>
      <c r="B278" t="s">
        <v>847</v>
      </c>
      <c r="C278" t="s">
        <v>172</v>
      </c>
      <c r="D278" t="s">
        <v>955</v>
      </c>
      <c r="E278" t="s">
        <v>994</v>
      </c>
      <c r="F278">
        <v>11.49</v>
      </c>
      <c r="G278">
        <v>378.85</v>
      </c>
      <c r="H278">
        <v>11.59</v>
      </c>
      <c r="I278">
        <v>12.96</v>
      </c>
      <c r="J278">
        <v>13.72</v>
      </c>
      <c r="K278" t="s">
        <v>81</v>
      </c>
      <c r="L278">
        <v>13.72</v>
      </c>
      <c r="M278">
        <v>2.13</v>
      </c>
      <c r="N278">
        <v>0.76</v>
      </c>
      <c r="O278">
        <v>0</v>
      </c>
      <c r="P278">
        <v>2.15</v>
      </c>
      <c r="Q278">
        <v>0.85</v>
      </c>
      <c r="R278">
        <v>0</v>
      </c>
      <c r="S278">
        <v>7.4</v>
      </c>
      <c r="T278">
        <v>27.6</v>
      </c>
      <c r="U278">
        <v>33.1</v>
      </c>
      <c r="V278" t="s">
        <v>957</v>
      </c>
    </row>
    <row r="279" spans="1:22" ht="15.5" x14ac:dyDescent="0.35">
      <c r="A279">
        <v>273</v>
      </c>
      <c r="B279" t="s">
        <v>654</v>
      </c>
      <c r="C279" t="s">
        <v>172</v>
      </c>
      <c r="D279" t="s">
        <v>952</v>
      </c>
      <c r="E279" t="s">
        <v>953</v>
      </c>
      <c r="F279">
        <v>43.5</v>
      </c>
      <c r="G279">
        <v>384.16</v>
      </c>
      <c r="H279">
        <v>43.67</v>
      </c>
      <c r="I279">
        <v>43.51</v>
      </c>
      <c r="J279">
        <v>43.56</v>
      </c>
      <c r="K279" t="s">
        <v>78</v>
      </c>
      <c r="L279">
        <v>43.67</v>
      </c>
      <c r="M279">
        <v>0</v>
      </c>
      <c r="N279">
        <v>0.16</v>
      </c>
      <c r="O279">
        <v>0.11</v>
      </c>
      <c r="P279">
        <v>0</v>
      </c>
      <c r="Q279">
        <v>0.16</v>
      </c>
      <c r="R279">
        <v>0.11</v>
      </c>
      <c r="S279">
        <v>-5</v>
      </c>
      <c r="T279">
        <v>0.9</v>
      </c>
      <c r="U279">
        <v>2.9</v>
      </c>
      <c r="V279" t="s">
        <v>2</v>
      </c>
    </row>
    <row r="280" spans="1:22" ht="15.5" x14ac:dyDescent="0.35">
      <c r="A280">
        <v>274</v>
      </c>
      <c r="B280" t="s">
        <v>656</v>
      </c>
      <c r="C280" t="s">
        <v>172</v>
      </c>
      <c r="D280" t="s">
        <v>952</v>
      </c>
      <c r="E280" t="s">
        <v>953</v>
      </c>
      <c r="F280">
        <v>33</v>
      </c>
      <c r="G280">
        <v>384.12</v>
      </c>
      <c r="H280">
        <v>33.21</v>
      </c>
      <c r="I280">
        <v>33.01</v>
      </c>
      <c r="J280">
        <v>33.08</v>
      </c>
      <c r="K280" t="s">
        <v>78</v>
      </c>
      <c r="L280">
        <v>33.21</v>
      </c>
      <c r="M280">
        <v>0</v>
      </c>
      <c r="N280">
        <v>0.21</v>
      </c>
      <c r="O280">
        <v>0.14000000000000001</v>
      </c>
      <c r="P280">
        <v>0</v>
      </c>
      <c r="Q280">
        <v>0.21</v>
      </c>
      <c r="R280">
        <v>0.14000000000000001</v>
      </c>
      <c r="S280">
        <v>-6.5</v>
      </c>
      <c r="T280">
        <v>1.3</v>
      </c>
      <c r="U280">
        <v>3.9</v>
      </c>
      <c r="V280" t="s">
        <v>2</v>
      </c>
    </row>
    <row r="281" spans="1:22" ht="15.5" x14ac:dyDescent="0.35">
      <c r="A281">
        <v>275</v>
      </c>
      <c r="B281" t="s">
        <v>658</v>
      </c>
      <c r="C281" t="s">
        <v>172</v>
      </c>
      <c r="D281" t="s">
        <v>952</v>
      </c>
      <c r="E281" t="s">
        <v>953</v>
      </c>
      <c r="F281">
        <v>22.5</v>
      </c>
      <c r="G281">
        <v>384.12</v>
      </c>
      <c r="H281">
        <v>22.81</v>
      </c>
      <c r="I281">
        <v>22.51</v>
      </c>
      <c r="J281">
        <v>22.61</v>
      </c>
      <c r="K281" t="s">
        <v>78</v>
      </c>
      <c r="L281">
        <v>22.81</v>
      </c>
      <c r="M281">
        <v>0</v>
      </c>
      <c r="N281">
        <v>0.3</v>
      </c>
      <c r="O281">
        <v>0.2</v>
      </c>
      <c r="P281">
        <v>0</v>
      </c>
      <c r="Q281">
        <v>0.3</v>
      </c>
      <c r="R281">
        <v>0.2</v>
      </c>
      <c r="S281">
        <v>-9.5</v>
      </c>
      <c r="T281">
        <v>1.9</v>
      </c>
      <c r="U281">
        <v>5.7</v>
      </c>
      <c r="V281" t="s">
        <v>2</v>
      </c>
    </row>
    <row r="282" spans="1:22" ht="15.5" x14ac:dyDescent="0.35">
      <c r="A282">
        <v>276</v>
      </c>
      <c r="B282" t="s">
        <v>660</v>
      </c>
      <c r="C282" t="s">
        <v>173</v>
      </c>
      <c r="D282" t="s">
        <v>952</v>
      </c>
      <c r="E282" t="s">
        <v>953</v>
      </c>
      <c r="F282">
        <v>14.83</v>
      </c>
      <c r="G282">
        <v>384.58</v>
      </c>
      <c r="H282">
        <v>15.42</v>
      </c>
      <c r="I282">
        <v>14.83</v>
      </c>
      <c r="J282">
        <v>14.94</v>
      </c>
      <c r="K282" t="s">
        <v>78</v>
      </c>
      <c r="L282">
        <v>15.42</v>
      </c>
      <c r="M282">
        <v>0</v>
      </c>
      <c r="N282">
        <v>0.59</v>
      </c>
      <c r="O282">
        <v>0.49</v>
      </c>
      <c r="P282">
        <v>0</v>
      </c>
      <c r="Q282">
        <v>0.59</v>
      </c>
      <c r="R282">
        <v>0.49</v>
      </c>
      <c r="S282">
        <v>-15.9</v>
      </c>
      <c r="T282">
        <v>1</v>
      </c>
      <c r="U282">
        <v>6.8</v>
      </c>
      <c r="V282" t="s">
        <v>2</v>
      </c>
    </row>
    <row r="283" spans="1:22" ht="15.5" x14ac:dyDescent="0.35">
      <c r="A283">
        <v>277</v>
      </c>
      <c r="B283" t="s">
        <v>662</v>
      </c>
      <c r="C283" t="s">
        <v>173</v>
      </c>
      <c r="D283" t="s">
        <v>952</v>
      </c>
      <c r="E283" t="s">
        <v>953</v>
      </c>
      <c r="F283">
        <v>18.23</v>
      </c>
      <c r="G283">
        <v>384.7</v>
      </c>
      <c r="H283">
        <v>18.739999999999998</v>
      </c>
      <c r="I283">
        <v>18.23</v>
      </c>
      <c r="J283">
        <v>18.3</v>
      </c>
      <c r="K283" t="s">
        <v>78</v>
      </c>
      <c r="L283">
        <v>18.739999999999998</v>
      </c>
      <c r="M283">
        <v>0</v>
      </c>
      <c r="N283">
        <v>0.51</v>
      </c>
      <c r="O283">
        <v>0.44</v>
      </c>
      <c r="P283">
        <v>0</v>
      </c>
      <c r="Q283">
        <v>0.51</v>
      </c>
      <c r="R283">
        <v>0.44</v>
      </c>
      <c r="S283">
        <v>-13.4</v>
      </c>
      <c r="T283">
        <v>0.5</v>
      </c>
      <c r="U283">
        <v>5.2</v>
      </c>
      <c r="V283" t="s">
        <v>2</v>
      </c>
    </row>
    <row r="284" spans="1:22" ht="15.5" x14ac:dyDescent="0.35">
      <c r="A284">
        <v>278</v>
      </c>
      <c r="B284" t="s">
        <v>664</v>
      </c>
      <c r="C284" t="s">
        <v>173</v>
      </c>
      <c r="D284" t="s">
        <v>952</v>
      </c>
      <c r="E284" t="s">
        <v>953</v>
      </c>
      <c r="F284">
        <v>20.170000000000002</v>
      </c>
      <c r="G284">
        <v>384.87</v>
      </c>
      <c r="H284">
        <v>20.67</v>
      </c>
      <c r="I284">
        <v>20.170000000000002</v>
      </c>
      <c r="J284">
        <v>20.22</v>
      </c>
      <c r="K284" t="s">
        <v>78</v>
      </c>
      <c r="L284">
        <v>20.67</v>
      </c>
      <c r="M284">
        <v>0</v>
      </c>
      <c r="N284">
        <v>0.5</v>
      </c>
      <c r="O284">
        <v>0.44</v>
      </c>
      <c r="P284">
        <v>0</v>
      </c>
      <c r="Q284">
        <v>0.5</v>
      </c>
      <c r="R284">
        <v>0.45</v>
      </c>
      <c r="S284">
        <v>-12.6</v>
      </c>
      <c r="T284">
        <v>0</v>
      </c>
      <c r="U284">
        <v>4.2</v>
      </c>
      <c r="V284" t="s">
        <v>2</v>
      </c>
    </row>
    <row r="285" spans="1:22" ht="15.5" x14ac:dyDescent="0.35">
      <c r="A285">
        <v>279</v>
      </c>
      <c r="B285" t="s">
        <v>666</v>
      </c>
      <c r="C285" t="s">
        <v>173</v>
      </c>
      <c r="D285" t="s">
        <v>952</v>
      </c>
      <c r="E285" t="s">
        <v>953</v>
      </c>
      <c r="F285">
        <v>16.46</v>
      </c>
      <c r="G285">
        <v>384.5</v>
      </c>
      <c r="H285">
        <v>16.98</v>
      </c>
      <c r="I285">
        <v>16.46</v>
      </c>
      <c r="J285">
        <v>16.559999999999999</v>
      </c>
      <c r="K285" t="s">
        <v>78</v>
      </c>
      <c r="L285">
        <v>16.98</v>
      </c>
      <c r="M285">
        <v>0</v>
      </c>
      <c r="N285">
        <v>0.51</v>
      </c>
      <c r="O285">
        <v>0.41</v>
      </c>
      <c r="P285">
        <v>0</v>
      </c>
      <c r="Q285">
        <v>0.51</v>
      </c>
      <c r="R285">
        <v>0.41</v>
      </c>
      <c r="S285">
        <v>-14.2</v>
      </c>
      <c r="T285">
        <v>1.2</v>
      </c>
      <c r="U285">
        <v>6.4</v>
      </c>
      <c r="V285" t="s">
        <v>2</v>
      </c>
    </row>
    <row r="286" spans="1:22" ht="15.5" x14ac:dyDescent="0.35">
      <c r="A286">
        <v>280</v>
      </c>
      <c r="B286" t="s">
        <v>668</v>
      </c>
      <c r="C286" t="s">
        <v>173</v>
      </c>
      <c r="D286" t="s">
        <v>952</v>
      </c>
      <c r="E286" t="s">
        <v>953</v>
      </c>
      <c r="F286">
        <v>14.99</v>
      </c>
      <c r="G286">
        <v>384.64</v>
      </c>
      <c r="H286">
        <v>15.59</v>
      </c>
      <c r="I286">
        <v>14.99</v>
      </c>
      <c r="J286">
        <v>15.09</v>
      </c>
      <c r="K286" t="s">
        <v>78</v>
      </c>
      <c r="L286">
        <v>15.59</v>
      </c>
      <c r="M286">
        <v>0</v>
      </c>
      <c r="N286">
        <v>0.6</v>
      </c>
      <c r="O286">
        <v>0.51</v>
      </c>
      <c r="P286">
        <v>0</v>
      </c>
      <c r="Q286">
        <v>0.6</v>
      </c>
      <c r="R286">
        <v>0.51</v>
      </c>
      <c r="S286">
        <v>-16</v>
      </c>
      <c r="T286">
        <v>0.8</v>
      </c>
      <c r="U286">
        <v>6.5</v>
      </c>
      <c r="V286" t="s">
        <v>2</v>
      </c>
    </row>
    <row r="287" spans="1:22" ht="15.5" x14ac:dyDescent="0.35">
      <c r="A287">
        <v>281</v>
      </c>
      <c r="B287" t="s">
        <v>670</v>
      </c>
      <c r="C287" t="s">
        <v>173</v>
      </c>
      <c r="D287" t="s">
        <v>952</v>
      </c>
      <c r="E287" t="s">
        <v>953</v>
      </c>
      <c r="F287">
        <v>15.49</v>
      </c>
      <c r="G287">
        <v>384.59</v>
      </c>
      <c r="H287">
        <v>16.059999999999999</v>
      </c>
      <c r="I287">
        <v>15.49</v>
      </c>
      <c r="J287">
        <v>15.59</v>
      </c>
      <c r="K287" t="s">
        <v>78</v>
      </c>
      <c r="L287">
        <v>16.059999999999999</v>
      </c>
      <c r="M287">
        <v>0</v>
      </c>
      <c r="N287">
        <v>0.56999999999999995</v>
      </c>
      <c r="O287">
        <v>0.47</v>
      </c>
      <c r="P287">
        <v>0</v>
      </c>
      <c r="Q287">
        <v>0.56999999999999995</v>
      </c>
      <c r="R287">
        <v>0.47</v>
      </c>
      <c r="S287">
        <v>-15.3</v>
      </c>
      <c r="T287">
        <v>1</v>
      </c>
      <c r="U287">
        <v>6.5</v>
      </c>
      <c r="V287" t="s">
        <v>2</v>
      </c>
    </row>
    <row r="288" spans="1:22" ht="15.5" x14ac:dyDescent="0.35">
      <c r="A288">
        <v>282</v>
      </c>
      <c r="B288" t="s">
        <v>672</v>
      </c>
      <c r="C288" t="s">
        <v>173</v>
      </c>
      <c r="D288" t="s">
        <v>952</v>
      </c>
      <c r="E288" t="s">
        <v>953</v>
      </c>
      <c r="F288">
        <v>15.2</v>
      </c>
      <c r="G288">
        <v>384.7</v>
      </c>
      <c r="H288">
        <v>15.81</v>
      </c>
      <c r="I288">
        <v>15.2</v>
      </c>
      <c r="J288">
        <v>15.29</v>
      </c>
      <c r="K288" t="s">
        <v>78</v>
      </c>
      <c r="L288">
        <v>15.81</v>
      </c>
      <c r="M288">
        <v>0</v>
      </c>
      <c r="N288">
        <v>0.61</v>
      </c>
      <c r="O288">
        <v>0.52</v>
      </c>
      <c r="P288">
        <v>0</v>
      </c>
      <c r="Q288">
        <v>0.61</v>
      </c>
      <c r="R288">
        <v>0.52</v>
      </c>
      <c r="S288">
        <v>-16</v>
      </c>
      <c r="T288">
        <v>0.6</v>
      </c>
      <c r="U288">
        <v>6.2</v>
      </c>
      <c r="V288" t="s">
        <v>2</v>
      </c>
    </row>
    <row r="289" spans="1:22" ht="15.5" x14ac:dyDescent="0.35">
      <c r="A289">
        <v>283</v>
      </c>
      <c r="B289" t="s">
        <v>674</v>
      </c>
      <c r="C289" t="s">
        <v>173</v>
      </c>
      <c r="D289" t="s">
        <v>952</v>
      </c>
      <c r="E289" t="s">
        <v>953</v>
      </c>
      <c r="F289">
        <v>12.8</v>
      </c>
      <c r="G289">
        <v>384.39</v>
      </c>
      <c r="H289">
        <v>13.42</v>
      </c>
      <c r="I289">
        <v>12.81</v>
      </c>
      <c r="J289">
        <v>12.95</v>
      </c>
      <c r="K289" t="s">
        <v>78</v>
      </c>
      <c r="L289">
        <v>13.42</v>
      </c>
      <c r="M289">
        <v>0</v>
      </c>
      <c r="N289">
        <v>0.61</v>
      </c>
      <c r="O289">
        <v>0.47</v>
      </c>
      <c r="P289">
        <v>0</v>
      </c>
      <c r="Q289">
        <v>0.61</v>
      </c>
      <c r="R289">
        <v>0.48</v>
      </c>
      <c r="S289">
        <v>-17.5</v>
      </c>
      <c r="T289">
        <v>2.1</v>
      </c>
      <c r="U289">
        <v>8.6999999999999993</v>
      </c>
      <c r="V289" t="s">
        <v>2</v>
      </c>
    </row>
    <row r="290" spans="1:22" ht="15.5" x14ac:dyDescent="0.35">
      <c r="A290">
        <v>284</v>
      </c>
      <c r="B290" t="s">
        <v>676</v>
      </c>
      <c r="C290" t="s">
        <v>173</v>
      </c>
      <c r="D290" t="s">
        <v>952</v>
      </c>
      <c r="E290" t="s">
        <v>953</v>
      </c>
      <c r="F290">
        <v>18.75</v>
      </c>
      <c r="G290">
        <v>384.26</v>
      </c>
      <c r="H290">
        <v>19.149999999999999</v>
      </c>
      <c r="I290">
        <v>18.760000000000002</v>
      </c>
      <c r="J290">
        <v>18.87</v>
      </c>
      <c r="K290" t="s">
        <v>78</v>
      </c>
      <c r="L290">
        <v>19.149999999999999</v>
      </c>
      <c r="M290">
        <v>0</v>
      </c>
      <c r="N290">
        <v>0.39</v>
      </c>
      <c r="O290">
        <v>0.28999999999999998</v>
      </c>
      <c r="P290">
        <v>0</v>
      </c>
      <c r="Q290">
        <v>0.39</v>
      </c>
      <c r="R290">
        <v>0.28999999999999998</v>
      </c>
      <c r="S290">
        <v>-11.8</v>
      </c>
      <c r="T290">
        <v>1.8</v>
      </c>
      <c r="U290">
        <v>6.4</v>
      </c>
      <c r="V290" t="s">
        <v>2</v>
      </c>
    </row>
    <row r="291" spans="1:22" ht="15.5" x14ac:dyDescent="0.35">
      <c r="A291">
        <v>285</v>
      </c>
      <c r="B291" t="s">
        <v>678</v>
      </c>
      <c r="C291" t="s">
        <v>173</v>
      </c>
      <c r="D291" t="s">
        <v>952</v>
      </c>
      <c r="E291" t="s">
        <v>953</v>
      </c>
      <c r="F291">
        <v>19.350000000000001</v>
      </c>
      <c r="G291">
        <v>384.44</v>
      </c>
      <c r="H291">
        <v>19.78</v>
      </c>
      <c r="I291">
        <v>19.350000000000001</v>
      </c>
      <c r="J291">
        <v>19.440000000000001</v>
      </c>
      <c r="K291" t="s">
        <v>78</v>
      </c>
      <c r="L291">
        <v>19.78</v>
      </c>
      <c r="M291">
        <v>0</v>
      </c>
      <c r="N291">
        <v>0.42</v>
      </c>
      <c r="O291">
        <v>0.33</v>
      </c>
      <c r="P291">
        <v>0</v>
      </c>
      <c r="Q291">
        <v>0.42</v>
      </c>
      <c r="R291">
        <v>0.33</v>
      </c>
      <c r="S291">
        <v>-11.9</v>
      </c>
      <c r="T291">
        <v>1.2</v>
      </c>
      <c r="U291">
        <v>5.6</v>
      </c>
      <c r="V291" t="s">
        <v>2</v>
      </c>
    </row>
    <row r="292" spans="1:22" ht="15.5" x14ac:dyDescent="0.35">
      <c r="A292">
        <v>286</v>
      </c>
      <c r="B292" t="s">
        <v>680</v>
      </c>
      <c r="C292" t="s">
        <v>173</v>
      </c>
      <c r="D292" t="s">
        <v>952</v>
      </c>
      <c r="E292" t="s">
        <v>953</v>
      </c>
      <c r="F292">
        <v>24.56</v>
      </c>
      <c r="G292">
        <v>384.84</v>
      </c>
      <c r="H292">
        <v>24.97</v>
      </c>
      <c r="I292">
        <v>24.56</v>
      </c>
      <c r="J292">
        <v>24.61</v>
      </c>
      <c r="K292" t="s">
        <v>78</v>
      </c>
      <c r="L292">
        <v>24.97</v>
      </c>
      <c r="M292">
        <v>0</v>
      </c>
      <c r="N292">
        <v>0.41</v>
      </c>
      <c r="O292">
        <v>0.36</v>
      </c>
      <c r="P292">
        <v>0</v>
      </c>
      <c r="Q292">
        <v>0.41</v>
      </c>
      <c r="R292">
        <v>0.36</v>
      </c>
      <c r="S292">
        <v>-10.4</v>
      </c>
      <c r="T292">
        <v>0</v>
      </c>
      <c r="U292">
        <v>3.5</v>
      </c>
      <c r="V292" t="s">
        <v>2</v>
      </c>
    </row>
    <row r="293" spans="1:22" ht="15.5" x14ac:dyDescent="0.35">
      <c r="A293">
        <v>287</v>
      </c>
      <c r="B293" t="s">
        <v>682</v>
      </c>
      <c r="C293" t="s">
        <v>173</v>
      </c>
      <c r="D293" t="s">
        <v>952</v>
      </c>
      <c r="E293" t="s">
        <v>953</v>
      </c>
      <c r="F293">
        <v>22.78</v>
      </c>
      <c r="G293">
        <v>384.77</v>
      </c>
      <c r="H293">
        <v>23.2</v>
      </c>
      <c r="I293">
        <v>22.78</v>
      </c>
      <c r="J293">
        <v>22.83</v>
      </c>
      <c r="K293" t="s">
        <v>78</v>
      </c>
      <c r="L293">
        <v>23.2</v>
      </c>
      <c r="M293">
        <v>0</v>
      </c>
      <c r="N293">
        <v>0.42</v>
      </c>
      <c r="O293">
        <v>0.37</v>
      </c>
      <c r="P293">
        <v>0</v>
      </c>
      <c r="Q293">
        <v>0.42</v>
      </c>
      <c r="R293">
        <v>0.37</v>
      </c>
      <c r="S293">
        <v>-11</v>
      </c>
      <c r="T293">
        <v>0.2</v>
      </c>
      <c r="U293">
        <v>4</v>
      </c>
      <c r="V293" t="s">
        <v>2</v>
      </c>
    </row>
    <row r="294" spans="1:22" ht="15.5" x14ac:dyDescent="0.35">
      <c r="A294">
        <v>288</v>
      </c>
      <c r="B294" t="s">
        <v>684</v>
      </c>
      <c r="C294" t="s">
        <v>173</v>
      </c>
      <c r="D294" t="s">
        <v>952</v>
      </c>
      <c r="E294" t="s">
        <v>953</v>
      </c>
      <c r="F294">
        <v>21.94</v>
      </c>
      <c r="G294">
        <v>384.33</v>
      </c>
      <c r="H294">
        <v>22.3</v>
      </c>
      <c r="I294">
        <v>21.95</v>
      </c>
      <c r="J294">
        <v>22.03</v>
      </c>
      <c r="K294" t="s">
        <v>78</v>
      </c>
      <c r="L294">
        <v>22.3</v>
      </c>
      <c r="M294">
        <v>0</v>
      </c>
      <c r="N294">
        <v>0.35</v>
      </c>
      <c r="O294">
        <v>0.26</v>
      </c>
      <c r="P294">
        <v>0</v>
      </c>
      <c r="Q294">
        <v>0.35</v>
      </c>
      <c r="R294">
        <v>0.27</v>
      </c>
      <c r="S294">
        <v>-10.3</v>
      </c>
      <c r="T294">
        <v>1.4</v>
      </c>
      <c r="U294">
        <v>5.3</v>
      </c>
      <c r="V294" t="s">
        <v>2</v>
      </c>
    </row>
    <row r="295" spans="1:22" ht="15.5" x14ac:dyDescent="0.35">
      <c r="A295">
        <v>289</v>
      </c>
      <c r="B295" t="s">
        <v>686</v>
      </c>
      <c r="C295" t="s">
        <v>173</v>
      </c>
      <c r="D295" t="s">
        <v>952</v>
      </c>
      <c r="E295" t="s">
        <v>953</v>
      </c>
      <c r="F295">
        <v>24.95</v>
      </c>
      <c r="G295">
        <v>384.61</v>
      </c>
      <c r="H295">
        <v>25.31</v>
      </c>
      <c r="I295">
        <v>24.95</v>
      </c>
      <c r="J295">
        <v>25.01</v>
      </c>
      <c r="K295" t="s">
        <v>78</v>
      </c>
      <c r="L295">
        <v>25.31</v>
      </c>
      <c r="M295">
        <v>0</v>
      </c>
      <c r="N295">
        <v>0.36</v>
      </c>
      <c r="O295">
        <v>0.3</v>
      </c>
      <c r="P295">
        <v>0</v>
      </c>
      <c r="Q295">
        <v>0.36</v>
      </c>
      <c r="R295">
        <v>0.3</v>
      </c>
      <c r="S295">
        <v>-9.6999999999999993</v>
      </c>
      <c r="T295">
        <v>0.6</v>
      </c>
      <c r="U295">
        <v>4</v>
      </c>
      <c r="V295" t="s">
        <v>2</v>
      </c>
    </row>
    <row r="296" spans="1:22" ht="15.5" x14ac:dyDescent="0.35">
      <c r="A296">
        <v>290</v>
      </c>
      <c r="B296" t="s">
        <v>688</v>
      </c>
      <c r="C296" t="s">
        <v>173</v>
      </c>
      <c r="D296" t="s">
        <v>952</v>
      </c>
      <c r="E296" t="s">
        <v>953</v>
      </c>
      <c r="F296">
        <v>37</v>
      </c>
      <c r="G296">
        <v>384.12</v>
      </c>
      <c r="H296">
        <v>37.19</v>
      </c>
      <c r="I296">
        <v>37.01</v>
      </c>
      <c r="J296">
        <v>37.07</v>
      </c>
      <c r="K296" t="s">
        <v>78</v>
      </c>
      <c r="L296">
        <v>37.19</v>
      </c>
      <c r="M296">
        <v>0</v>
      </c>
      <c r="N296">
        <v>0.18</v>
      </c>
      <c r="O296">
        <v>0.12</v>
      </c>
      <c r="P296">
        <v>0</v>
      </c>
      <c r="Q296">
        <v>0.18</v>
      </c>
      <c r="R296">
        <v>0.12</v>
      </c>
      <c r="S296">
        <v>-5.8</v>
      </c>
      <c r="T296">
        <v>1.1000000000000001</v>
      </c>
      <c r="U296">
        <v>3.5</v>
      </c>
      <c r="V296" t="s">
        <v>2</v>
      </c>
    </row>
    <row r="297" spans="1:22" ht="15.5" x14ac:dyDescent="0.35">
      <c r="A297">
        <v>291</v>
      </c>
      <c r="B297" t="s">
        <v>848</v>
      </c>
      <c r="C297" t="s">
        <v>173</v>
      </c>
      <c r="D297" t="s">
        <v>955</v>
      </c>
      <c r="E297" t="s">
        <v>994</v>
      </c>
      <c r="F297">
        <v>11.49</v>
      </c>
      <c r="G297">
        <v>378.85</v>
      </c>
      <c r="H297">
        <v>11.59</v>
      </c>
      <c r="I297">
        <v>12.96</v>
      </c>
      <c r="J297">
        <v>13.72</v>
      </c>
      <c r="K297" t="s">
        <v>81</v>
      </c>
      <c r="L297">
        <v>13.72</v>
      </c>
      <c r="M297">
        <v>2.13</v>
      </c>
      <c r="N297">
        <v>0.76</v>
      </c>
      <c r="O297">
        <v>0</v>
      </c>
      <c r="P297">
        <v>2.15</v>
      </c>
      <c r="Q297">
        <v>0.85</v>
      </c>
      <c r="R297">
        <v>0</v>
      </c>
      <c r="S297">
        <v>7.4</v>
      </c>
      <c r="T297">
        <v>27.6</v>
      </c>
      <c r="U297">
        <v>33.1</v>
      </c>
      <c r="V297" t="s">
        <v>957</v>
      </c>
    </row>
    <row r="298" spans="1:22" ht="15.5" x14ac:dyDescent="0.35">
      <c r="A298">
        <v>292</v>
      </c>
      <c r="B298" t="s">
        <v>690</v>
      </c>
      <c r="C298" t="s">
        <v>173</v>
      </c>
      <c r="D298" t="s">
        <v>952</v>
      </c>
      <c r="E298" t="s">
        <v>953</v>
      </c>
      <c r="F298">
        <v>19</v>
      </c>
      <c r="G298">
        <v>384.16</v>
      </c>
      <c r="H298">
        <v>19.38</v>
      </c>
      <c r="I298">
        <v>19.010000000000002</v>
      </c>
      <c r="J298">
        <v>19.13</v>
      </c>
      <c r="K298" t="s">
        <v>78</v>
      </c>
      <c r="L298">
        <v>19.38</v>
      </c>
      <c r="M298">
        <v>0</v>
      </c>
      <c r="N298">
        <v>0.37</v>
      </c>
      <c r="O298">
        <v>0.25</v>
      </c>
      <c r="P298">
        <v>0</v>
      </c>
      <c r="Q298">
        <v>0.37</v>
      </c>
      <c r="R298">
        <v>0.26</v>
      </c>
      <c r="S298">
        <v>-11.4</v>
      </c>
      <c r="T298">
        <v>2.1</v>
      </c>
      <c r="U298">
        <v>6.6</v>
      </c>
      <c r="V298" t="s">
        <v>2</v>
      </c>
    </row>
    <row r="299" spans="1:22" ht="15.5" x14ac:dyDescent="0.35">
      <c r="A299">
        <v>293</v>
      </c>
      <c r="B299" t="s">
        <v>692</v>
      </c>
      <c r="C299" t="s">
        <v>173</v>
      </c>
      <c r="D299" t="s">
        <v>952</v>
      </c>
      <c r="E299" t="s">
        <v>953</v>
      </c>
      <c r="F299">
        <v>11.5</v>
      </c>
      <c r="G299">
        <v>384.1</v>
      </c>
      <c r="H299">
        <v>12.1</v>
      </c>
      <c r="I299">
        <v>11.52</v>
      </c>
      <c r="J299">
        <v>11.72</v>
      </c>
      <c r="K299" t="s">
        <v>78</v>
      </c>
      <c r="L299">
        <v>12.1</v>
      </c>
      <c r="M299">
        <v>0</v>
      </c>
      <c r="N299">
        <v>0.56999999999999995</v>
      </c>
      <c r="O299">
        <v>0.38</v>
      </c>
      <c r="P299">
        <v>0</v>
      </c>
      <c r="Q299">
        <v>0.56999999999999995</v>
      </c>
      <c r="R299">
        <v>0.39</v>
      </c>
      <c r="S299">
        <v>-18.100000000000001</v>
      </c>
      <c r="T299">
        <v>3.7</v>
      </c>
      <c r="U299">
        <v>11.1</v>
      </c>
      <c r="V299" t="s">
        <v>2</v>
      </c>
    </row>
    <row r="300" spans="1:22" ht="15.5" x14ac:dyDescent="0.35">
      <c r="A300">
        <v>294</v>
      </c>
      <c r="B300" t="s">
        <v>694</v>
      </c>
      <c r="C300" t="s">
        <v>173</v>
      </c>
      <c r="D300" t="s">
        <v>952</v>
      </c>
      <c r="E300" t="s">
        <v>953</v>
      </c>
      <c r="F300">
        <v>20.5</v>
      </c>
      <c r="G300">
        <v>384.1</v>
      </c>
      <c r="H300">
        <v>20.84</v>
      </c>
      <c r="I300">
        <v>20.51</v>
      </c>
      <c r="J300">
        <v>20.62</v>
      </c>
      <c r="K300" t="s">
        <v>78</v>
      </c>
      <c r="L300">
        <v>20.84</v>
      </c>
      <c r="M300">
        <v>0</v>
      </c>
      <c r="N300">
        <v>0.33</v>
      </c>
      <c r="O300">
        <v>0.22</v>
      </c>
      <c r="P300">
        <v>0</v>
      </c>
      <c r="Q300">
        <v>0.33</v>
      </c>
      <c r="R300">
        <v>0.22</v>
      </c>
      <c r="S300">
        <v>-10.4</v>
      </c>
      <c r="T300">
        <v>2.1</v>
      </c>
      <c r="U300">
        <v>6.3</v>
      </c>
      <c r="V300" t="s">
        <v>2</v>
      </c>
    </row>
    <row r="301" spans="1:22" ht="15.5" x14ac:dyDescent="0.35">
      <c r="A301">
        <v>295</v>
      </c>
      <c r="B301" t="s">
        <v>696</v>
      </c>
      <c r="C301" t="s">
        <v>173</v>
      </c>
      <c r="D301" t="s">
        <v>952</v>
      </c>
      <c r="E301" t="s">
        <v>953</v>
      </c>
      <c r="F301">
        <v>14.5</v>
      </c>
      <c r="G301">
        <v>384.12</v>
      </c>
      <c r="H301">
        <v>14.98</v>
      </c>
      <c r="I301">
        <v>14.52</v>
      </c>
      <c r="J301">
        <v>14.67</v>
      </c>
      <c r="K301" t="s">
        <v>78</v>
      </c>
      <c r="L301">
        <v>14.98</v>
      </c>
      <c r="M301">
        <v>0</v>
      </c>
      <c r="N301">
        <v>0.46</v>
      </c>
      <c r="O301">
        <v>0.31</v>
      </c>
      <c r="P301">
        <v>0</v>
      </c>
      <c r="Q301">
        <v>0.46</v>
      </c>
      <c r="R301">
        <v>0.31</v>
      </c>
      <c r="S301">
        <v>-14.6</v>
      </c>
      <c r="T301">
        <v>2.9</v>
      </c>
      <c r="U301">
        <v>8.6999999999999993</v>
      </c>
      <c r="V301" t="s">
        <v>2</v>
      </c>
    </row>
    <row r="302" spans="1:22" ht="15.5" x14ac:dyDescent="0.35">
      <c r="A302" t="s">
        <v>2</v>
      </c>
    </row>
    <row r="303" spans="1:22" ht="15.5" x14ac:dyDescent="0.35">
      <c r="A303" t="s">
        <v>995</v>
      </c>
    </row>
    <row r="304" spans="1:22" ht="15.5" x14ac:dyDescent="0.35">
      <c r="A304" t="s">
        <v>996</v>
      </c>
      <c r="B304">
        <v>6509</v>
      </c>
      <c r="C304" t="s">
        <v>79</v>
      </c>
    </row>
    <row r="305" spans="1:3" ht="15.5" x14ac:dyDescent="0.35">
      <c r="A305" t="s">
        <v>997</v>
      </c>
      <c r="B305">
        <v>1129</v>
      </c>
      <c r="C305" t="s">
        <v>79</v>
      </c>
    </row>
    <row r="306" spans="1:3" ht="15.5" x14ac:dyDescent="0.35">
      <c r="A306" t="s">
        <v>998</v>
      </c>
      <c r="B306">
        <v>231</v>
      </c>
      <c r="C306" t="s">
        <v>84</v>
      </c>
    </row>
    <row r="307" spans="1:3" ht="15.5" x14ac:dyDescent="0.35">
      <c r="A307" t="s">
        <v>999</v>
      </c>
      <c r="B307">
        <v>0</v>
      </c>
      <c r="C307" t="s">
        <v>84</v>
      </c>
    </row>
    <row r="308" spans="1:3" ht="15.5" x14ac:dyDescent="0.35">
      <c r="A308" t="s">
        <v>1000</v>
      </c>
      <c r="B308">
        <v>64</v>
      </c>
      <c r="C308" t="s">
        <v>84</v>
      </c>
    </row>
    <row r="309" spans="1:3" ht="15.5" x14ac:dyDescent="0.35">
      <c r="A309" t="s">
        <v>1001</v>
      </c>
      <c r="B309">
        <v>2.59</v>
      </c>
      <c r="C309" t="s">
        <v>79</v>
      </c>
    </row>
    <row r="310" spans="1:3" ht="15.5" x14ac:dyDescent="0.35">
      <c r="A310" t="s">
        <v>1002</v>
      </c>
      <c r="B310">
        <v>2.99</v>
      </c>
      <c r="C310" t="s">
        <v>79</v>
      </c>
    </row>
    <row r="311" spans="1:3" ht="15.5" x14ac:dyDescent="0.35">
      <c r="A311" t="s">
        <v>1003</v>
      </c>
      <c r="B311">
        <v>13</v>
      </c>
      <c r="C311" t="s">
        <v>84</v>
      </c>
    </row>
    <row r="312" spans="1:3" ht="15.5" x14ac:dyDescent="0.35">
      <c r="A312" t="s">
        <v>1004</v>
      </c>
    </row>
    <row r="313" spans="1:3" ht="15.5" x14ac:dyDescent="0.35">
      <c r="A313" t="s">
        <v>1005</v>
      </c>
    </row>
  </sheetData>
  <pageMargins left="0.7" right="0.7" top="0.75" bottom="0.75" header="0.3" footer="0.3"/>
  <ignoredErrors>
    <ignoredError sqref="A1:V31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1"/>
  <sheetViews>
    <sheetView workbookViewId="0"/>
  </sheetViews>
  <sheetFormatPr defaultRowHeight="14.5" x14ac:dyDescent="0.35"/>
  <cols>
    <col min="1" max="1" width="12.83203125" customWidth="1"/>
    <col min="2" max="2" width="52.83203125" customWidth="1"/>
    <col min="3" max="3" width="14.83203125" customWidth="1"/>
    <col min="4" max="4" width="10.83203125" customWidth="1"/>
    <col min="5" max="5" width="11.83203125" customWidth="1"/>
    <col min="6" max="6" width="70.83203125" customWidth="1"/>
  </cols>
  <sheetData>
    <row r="1" spans="1:6" ht="15.5" x14ac:dyDescent="0.35">
      <c r="A1" t="s">
        <v>1006</v>
      </c>
    </row>
    <row r="2" spans="1:6" ht="15.5" x14ac:dyDescent="0.35">
      <c r="A2" t="s">
        <v>1007</v>
      </c>
    </row>
    <row r="3" spans="1:6" ht="15.5" x14ac:dyDescent="0.35">
      <c r="A3" t="s">
        <v>54</v>
      </c>
    </row>
    <row r="4" spans="1:6" ht="15.5" x14ac:dyDescent="0.35">
      <c r="A4" t="s">
        <v>55</v>
      </c>
      <c r="B4" t="s">
        <v>56</v>
      </c>
      <c r="C4" t="s">
        <v>57</v>
      </c>
      <c r="D4" t="s">
        <v>58</v>
      </c>
      <c r="E4" t="s">
        <v>1008</v>
      </c>
      <c r="F4" t="s">
        <v>1009</v>
      </c>
    </row>
    <row r="5" spans="1:6" s="4" customFormat="1" ht="15.5" x14ac:dyDescent="0.35">
      <c r="A5" s="4" t="s">
        <v>60</v>
      </c>
      <c r="B5" s="4" t="s">
        <v>61</v>
      </c>
      <c r="C5" s="5">
        <v>20</v>
      </c>
      <c r="D5" s="4" t="s">
        <v>62</v>
      </c>
      <c r="E5" s="4" t="s">
        <v>1010</v>
      </c>
      <c r="F5" s="4" t="s">
        <v>2</v>
      </c>
    </row>
    <row r="6" spans="1:6" ht="15.5" x14ac:dyDescent="0.35">
      <c r="A6" t="s">
        <v>60</v>
      </c>
      <c r="B6" t="s">
        <v>64</v>
      </c>
      <c r="C6" s="3">
        <v>1.25</v>
      </c>
      <c r="D6" t="s">
        <v>65</v>
      </c>
      <c r="E6" t="s">
        <v>1010</v>
      </c>
      <c r="F6" t="s">
        <v>2</v>
      </c>
    </row>
    <row r="7" spans="1:6" ht="15.5" x14ac:dyDescent="0.35">
      <c r="A7" t="s">
        <v>60</v>
      </c>
      <c r="B7" t="s">
        <v>1011</v>
      </c>
      <c r="C7">
        <f>0.5*CT_ThongSo!$C$6*CT_ThongSo!$C$5^2</f>
        <v>250</v>
      </c>
      <c r="D7" t="s">
        <v>67</v>
      </c>
      <c r="E7" t="s">
        <v>1012</v>
      </c>
      <c r="F7" t="s">
        <v>1013</v>
      </c>
    </row>
    <row r="8" spans="1:6" ht="15.5" x14ac:dyDescent="0.35">
      <c r="A8" t="s">
        <v>60</v>
      </c>
      <c r="B8" t="s">
        <v>68</v>
      </c>
      <c r="C8" s="3">
        <v>2.7010000000000001</v>
      </c>
      <c r="D8" t="s">
        <v>69</v>
      </c>
      <c r="E8" t="s">
        <v>1010</v>
      </c>
      <c r="F8" t="s">
        <v>2</v>
      </c>
    </row>
    <row r="9" spans="1:6" ht="15.5" x14ac:dyDescent="0.35">
      <c r="A9" t="s">
        <v>60</v>
      </c>
      <c r="B9" t="s">
        <v>70</v>
      </c>
      <c r="C9" s="3">
        <v>12</v>
      </c>
      <c r="D9" t="s">
        <v>71</v>
      </c>
      <c r="E9" t="s">
        <v>1010</v>
      </c>
      <c r="F9" t="s">
        <v>2</v>
      </c>
    </row>
    <row r="10" spans="1:6" ht="15.5" x14ac:dyDescent="0.35">
      <c r="A10" t="s">
        <v>60</v>
      </c>
      <c r="B10" t="s">
        <v>1014</v>
      </c>
      <c r="C10" s="3">
        <v>1.1499999999999999</v>
      </c>
      <c r="D10" t="s">
        <v>2</v>
      </c>
      <c r="E10" t="s">
        <v>1010</v>
      </c>
      <c r="F10" t="s">
        <v>2</v>
      </c>
    </row>
    <row r="11" spans="1:6" ht="15.5" x14ac:dyDescent="0.35">
      <c r="A11" t="s">
        <v>60</v>
      </c>
      <c r="B11" t="s">
        <v>73</v>
      </c>
      <c r="C11" s="3">
        <v>0.55000000000000004</v>
      </c>
      <c r="D11" t="s">
        <v>2</v>
      </c>
      <c r="E11" t="s">
        <v>1010</v>
      </c>
      <c r="F11" t="s">
        <v>74</v>
      </c>
    </row>
    <row r="12" spans="1:6" ht="15.5" x14ac:dyDescent="0.35">
      <c r="A12" t="s">
        <v>60</v>
      </c>
      <c r="B12" t="s">
        <v>1015</v>
      </c>
      <c r="C12" s="3">
        <v>1.1000000000000001</v>
      </c>
      <c r="D12" t="s">
        <v>2</v>
      </c>
      <c r="E12" t="s">
        <v>1010</v>
      </c>
      <c r="F12" t="s">
        <v>2</v>
      </c>
    </row>
    <row r="13" spans="1:6" ht="15.5" x14ac:dyDescent="0.35">
      <c r="A13" t="s">
        <v>60</v>
      </c>
      <c r="B13" t="s">
        <v>1016</v>
      </c>
      <c r="C13" s="3">
        <v>0.35</v>
      </c>
      <c r="D13" t="s">
        <v>79</v>
      </c>
      <c r="E13" t="s">
        <v>1010</v>
      </c>
      <c r="F13" t="s">
        <v>2</v>
      </c>
    </row>
    <row r="14" spans="1:6" ht="15.5" x14ac:dyDescent="0.35">
      <c r="A14" t="s">
        <v>60</v>
      </c>
      <c r="B14" t="s">
        <v>75</v>
      </c>
      <c r="C14" s="3">
        <v>1.05</v>
      </c>
      <c r="D14" t="s">
        <v>2</v>
      </c>
      <c r="E14" t="s">
        <v>1010</v>
      </c>
      <c r="F14" t="s">
        <v>2</v>
      </c>
    </row>
    <row r="15" spans="1:6" ht="15.5" x14ac:dyDescent="0.35">
      <c r="A15" t="s">
        <v>82</v>
      </c>
      <c r="B15" t="s">
        <v>83</v>
      </c>
      <c r="C15" s="3">
        <v>6</v>
      </c>
      <c r="D15" t="s">
        <v>84</v>
      </c>
      <c r="E15" t="s">
        <v>1010</v>
      </c>
      <c r="F15" t="s">
        <v>74</v>
      </c>
    </row>
    <row r="16" spans="1:6" ht="15.5" x14ac:dyDescent="0.35">
      <c r="A16" t="s">
        <v>82</v>
      </c>
      <c r="B16" t="s">
        <v>86</v>
      </c>
      <c r="C16" s="3">
        <v>30</v>
      </c>
      <c r="D16" t="s">
        <v>71</v>
      </c>
      <c r="E16" t="s">
        <v>1010</v>
      </c>
      <c r="F16" t="s">
        <v>74</v>
      </c>
    </row>
    <row r="17" spans="1:6" ht="15.5" x14ac:dyDescent="0.35">
      <c r="A17" t="s">
        <v>82</v>
      </c>
      <c r="B17" t="s">
        <v>87</v>
      </c>
      <c r="C17" s="3">
        <v>5</v>
      </c>
      <c r="D17" t="s">
        <v>88</v>
      </c>
      <c r="E17" t="s">
        <v>1010</v>
      </c>
      <c r="F17" t="s">
        <v>2</v>
      </c>
    </row>
    <row r="18" spans="1:6" ht="15.5" x14ac:dyDescent="0.35">
      <c r="A18" t="s">
        <v>82</v>
      </c>
      <c r="B18" t="s">
        <v>1017</v>
      </c>
      <c r="C18" s="3">
        <v>3</v>
      </c>
      <c r="D18" t="s">
        <v>2</v>
      </c>
      <c r="E18" t="s">
        <v>1010</v>
      </c>
      <c r="F18" t="s">
        <v>2</v>
      </c>
    </row>
    <row r="19" spans="1:6" ht="15.5" x14ac:dyDescent="0.35">
      <c r="A19" t="s">
        <v>77</v>
      </c>
      <c r="B19" t="s">
        <v>78</v>
      </c>
      <c r="C19" s="3">
        <v>380</v>
      </c>
      <c r="D19" t="s">
        <v>79</v>
      </c>
      <c r="E19" t="s">
        <v>1010</v>
      </c>
      <c r="F19" t="s">
        <v>2</v>
      </c>
    </row>
    <row r="20" spans="1:6" ht="15.5" x14ac:dyDescent="0.35">
      <c r="A20" t="s">
        <v>77</v>
      </c>
      <c r="B20" t="s">
        <v>81</v>
      </c>
      <c r="C20" s="3">
        <v>386</v>
      </c>
      <c r="D20" t="s">
        <v>79</v>
      </c>
      <c r="E20" t="s">
        <v>1010</v>
      </c>
      <c r="F20" t="s">
        <v>2</v>
      </c>
    </row>
    <row r="21" spans="1:6" ht="15.5" x14ac:dyDescent="0.35">
      <c r="A21" t="s">
        <v>91</v>
      </c>
      <c r="B21" t="s">
        <v>1018</v>
      </c>
      <c r="C21" s="3">
        <v>0.35</v>
      </c>
      <c r="D21" t="s">
        <v>79</v>
      </c>
      <c r="E21" t="s">
        <v>1010</v>
      </c>
      <c r="F21" t="s">
        <v>2</v>
      </c>
    </row>
    <row r="22" spans="1:6" ht="15.5" x14ac:dyDescent="0.35">
      <c r="A22" t="s">
        <v>91</v>
      </c>
      <c r="B22" t="s">
        <v>1019</v>
      </c>
      <c r="C22" s="3">
        <v>6.5</v>
      </c>
      <c r="D22" t="s">
        <v>79</v>
      </c>
      <c r="E22" t="s">
        <v>1010</v>
      </c>
      <c r="F22" t="s">
        <v>2</v>
      </c>
    </row>
    <row r="23" spans="1:6" ht="15.5" x14ac:dyDescent="0.35">
      <c r="A23" t="s">
        <v>91</v>
      </c>
      <c r="B23" t="s">
        <v>1020</v>
      </c>
      <c r="C23" s="3">
        <v>0.1</v>
      </c>
      <c r="D23" t="s">
        <v>79</v>
      </c>
      <c r="E23" t="s">
        <v>1010</v>
      </c>
      <c r="F23" t="s">
        <v>2</v>
      </c>
    </row>
    <row r="24" spans="1:6" ht="15.5" x14ac:dyDescent="0.35">
      <c r="A24" t="s">
        <v>91</v>
      </c>
      <c r="B24" t="s">
        <v>96</v>
      </c>
      <c r="C24" s="3">
        <v>0.1</v>
      </c>
      <c r="D24" t="s">
        <v>79</v>
      </c>
      <c r="E24" t="s">
        <v>1010</v>
      </c>
      <c r="F24" t="s">
        <v>2</v>
      </c>
    </row>
    <row r="25" spans="1:6" ht="15.5" x14ac:dyDescent="0.35">
      <c r="A25" t="s">
        <v>91</v>
      </c>
      <c r="B25" t="s">
        <v>98</v>
      </c>
      <c r="C25" s="3">
        <v>40</v>
      </c>
      <c r="D25" t="s">
        <v>99</v>
      </c>
      <c r="E25" t="s">
        <v>1010</v>
      </c>
      <c r="F25" t="s">
        <v>74</v>
      </c>
    </row>
    <row r="26" spans="1:6" ht="15.5" x14ac:dyDescent="0.35">
      <c r="A26" t="s">
        <v>91</v>
      </c>
      <c r="B26" t="s">
        <v>1021</v>
      </c>
      <c r="C26" s="3">
        <v>2.5</v>
      </c>
      <c r="D26" t="s">
        <v>2</v>
      </c>
      <c r="E26" t="s">
        <v>1010</v>
      </c>
      <c r="F26" t="s">
        <v>2</v>
      </c>
    </row>
    <row r="27" spans="1:6" ht="15.5" x14ac:dyDescent="0.35">
      <c r="A27" t="s">
        <v>91</v>
      </c>
      <c r="B27" t="s">
        <v>1022</v>
      </c>
      <c r="C27" s="3">
        <v>1.2</v>
      </c>
      <c r="D27" t="s">
        <v>2</v>
      </c>
      <c r="E27" t="s">
        <v>1010</v>
      </c>
      <c r="F27" t="s">
        <v>2</v>
      </c>
    </row>
    <row r="28" spans="1:6" ht="15.5" x14ac:dyDescent="0.35">
      <c r="A28" t="s">
        <v>91</v>
      </c>
      <c r="B28" t="s">
        <v>1023</v>
      </c>
      <c r="C28" s="3">
        <v>0.05</v>
      </c>
      <c r="D28" t="s">
        <v>79</v>
      </c>
      <c r="E28" t="s">
        <v>1010</v>
      </c>
      <c r="F28" t="s">
        <v>2</v>
      </c>
    </row>
    <row r="29" spans="1:6" ht="15.5" x14ac:dyDescent="0.35">
      <c r="A29" t="s">
        <v>91</v>
      </c>
      <c r="B29" t="s">
        <v>1024</v>
      </c>
      <c r="C29">
        <f>9*CT_ThongSo!$C$25*CT_ThongSo!$C$21</f>
        <v>125.99999999999999</v>
      </c>
      <c r="D29" t="s">
        <v>1025</v>
      </c>
      <c r="E29" t="s">
        <v>1012</v>
      </c>
      <c r="F29" t="s">
        <v>1026</v>
      </c>
    </row>
    <row r="30" spans="1:6" ht="15.5" x14ac:dyDescent="0.35">
      <c r="A30" t="s">
        <v>91</v>
      </c>
      <c r="B30" t="s">
        <v>1027</v>
      </c>
      <c r="C30">
        <f>MAX(0.1,CT_ThongSo!$C$22-1.5*CT_ThongSo!$C$21)</f>
        <v>5.9749999999999996</v>
      </c>
      <c r="D30" t="s">
        <v>79</v>
      </c>
      <c r="E30" t="s">
        <v>1012</v>
      </c>
      <c r="F30" t="s">
        <v>1028</v>
      </c>
    </row>
    <row r="31" spans="1:6" ht="15.5" x14ac:dyDescent="0.35">
      <c r="A31" t="s">
        <v>91</v>
      </c>
      <c r="B31" t="s">
        <v>1029</v>
      </c>
      <c r="C31">
        <f>(-(CT_ThongSo!$C$24+1.5*CT_ThongSo!$C$21+CT_ThongSo!$C$30)+SQRT((CT_ThongSo!$C$24+1.5*CT_ThongSo!$C$21+CT_ThongSo!$C$30)^2+CT_ThongSo!$C$30^2))*CT_ThongSo!$C$29</f>
        <v>290.15829950127835</v>
      </c>
      <c r="D31" t="s">
        <v>88</v>
      </c>
      <c r="E31" t="s">
        <v>1012</v>
      </c>
      <c r="F31" t="s">
        <v>1030</v>
      </c>
    </row>
    <row r="32" spans="1:6" ht="15.5" x14ac:dyDescent="0.35">
      <c r="A32" t="s">
        <v>91</v>
      </c>
      <c r="B32" t="s">
        <v>1031</v>
      </c>
      <c r="C32">
        <f>CT_ThongSo!$C$31/CT_ThongSo!$C$26</f>
        <v>116.06331980051134</v>
      </c>
      <c r="D32" t="s">
        <v>88</v>
      </c>
      <c r="E32" t="s">
        <v>1012</v>
      </c>
      <c r="F32" t="s">
        <v>1032</v>
      </c>
    </row>
    <row r="33" spans="1:6" ht="15.5" x14ac:dyDescent="0.35">
      <c r="A33" t="s">
        <v>106</v>
      </c>
      <c r="B33" t="s">
        <v>114</v>
      </c>
      <c r="C33" s="3">
        <v>0.15</v>
      </c>
      <c r="D33" t="s">
        <v>79</v>
      </c>
      <c r="E33" t="s">
        <v>1010</v>
      </c>
      <c r="F33" t="s">
        <v>2</v>
      </c>
    </row>
    <row r="34" spans="1:6" ht="15.5" x14ac:dyDescent="0.35">
      <c r="A34" t="s">
        <v>106</v>
      </c>
      <c r="B34" t="s">
        <v>1033</v>
      </c>
      <c r="C34" s="3">
        <v>25</v>
      </c>
      <c r="D34" t="s">
        <v>111</v>
      </c>
      <c r="E34" t="s">
        <v>1010</v>
      </c>
      <c r="F34" t="s">
        <v>2</v>
      </c>
    </row>
    <row r="35" spans="1:6" ht="15.5" x14ac:dyDescent="0.35">
      <c r="A35" t="s">
        <v>106</v>
      </c>
      <c r="B35" t="s">
        <v>1034</v>
      </c>
      <c r="C35" s="3">
        <v>10</v>
      </c>
      <c r="D35" t="s">
        <v>111</v>
      </c>
      <c r="E35" t="s">
        <v>1010</v>
      </c>
      <c r="F35" t="s">
        <v>1035</v>
      </c>
    </row>
    <row r="36" spans="1:6" ht="15.5" x14ac:dyDescent="0.35">
      <c r="A36" t="s">
        <v>106</v>
      </c>
      <c r="B36" t="s">
        <v>1036</v>
      </c>
      <c r="C36" s="3">
        <v>0.9</v>
      </c>
      <c r="D36" t="s">
        <v>2</v>
      </c>
      <c r="E36" t="s">
        <v>1010</v>
      </c>
      <c r="F36" t="s">
        <v>74</v>
      </c>
    </row>
    <row r="37" spans="1:6" ht="15.5" x14ac:dyDescent="0.35">
      <c r="A37" t="s">
        <v>106</v>
      </c>
      <c r="B37" t="s">
        <v>118</v>
      </c>
      <c r="C37" s="3">
        <v>20</v>
      </c>
      <c r="D37" t="s">
        <v>99</v>
      </c>
      <c r="E37" t="s">
        <v>1010</v>
      </c>
      <c r="F37" t="s">
        <v>1037</v>
      </c>
    </row>
    <row r="38" spans="1:6" ht="15.5" x14ac:dyDescent="0.35">
      <c r="A38" t="s">
        <v>106</v>
      </c>
      <c r="B38" t="s">
        <v>119</v>
      </c>
      <c r="C38" s="3">
        <v>6</v>
      </c>
      <c r="D38" t="s">
        <v>111</v>
      </c>
      <c r="E38" t="s">
        <v>1010</v>
      </c>
      <c r="F38" t="s">
        <v>74</v>
      </c>
    </row>
    <row r="39" spans="1:6" ht="15.5" x14ac:dyDescent="0.35">
      <c r="A39" t="s">
        <v>106</v>
      </c>
      <c r="B39" t="s">
        <v>1038</v>
      </c>
      <c r="C39" s="3">
        <v>0.5</v>
      </c>
      <c r="D39" t="s">
        <v>2</v>
      </c>
      <c r="E39" t="s">
        <v>1010</v>
      </c>
      <c r="F39" t="s">
        <v>74</v>
      </c>
    </row>
    <row r="40" spans="1:6" ht="15.5" x14ac:dyDescent="0.35">
      <c r="A40" t="s">
        <v>106</v>
      </c>
      <c r="B40" t="s">
        <v>1039</v>
      </c>
      <c r="C40" s="3">
        <v>0.15</v>
      </c>
      <c r="D40" t="s">
        <v>79</v>
      </c>
      <c r="E40" t="s">
        <v>1010</v>
      </c>
      <c r="F40" t="s">
        <v>2</v>
      </c>
    </row>
    <row r="41" spans="1:6" ht="15.5" x14ac:dyDescent="0.35">
      <c r="A41" t="s">
        <v>106</v>
      </c>
      <c r="B41" t="s">
        <v>1040</v>
      </c>
      <c r="C41" s="3">
        <v>0.15</v>
      </c>
      <c r="D41" t="s">
        <v>79</v>
      </c>
      <c r="E41" t="s">
        <v>1010</v>
      </c>
      <c r="F41" t="s">
        <v>2</v>
      </c>
    </row>
    <row r="42" spans="1:6" ht="15.5" x14ac:dyDescent="0.35">
      <c r="A42" t="s">
        <v>106</v>
      </c>
      <c r="B42" t="s">
        <v>1041</v>
      </c>
      <c r="C42" s="3">
        <v>1.5</v>
      </c>
      <c r="D42" t="s">
        <v>2</v>
      </c>
      <c r="E42" t="s">
        <v>1010</v>
      </c>
      <c r="F42" t="s">
        <v>2</v>
      </c>
    </row>
    <row r="43" spans="1:6" ht="15.5" x14ac:dyDescent="0.35">
      <c r="A43" t="s">
        <v>106</v>
      </c>
      <c r="B43" t="s">
        <v>1042</v>
      </c>
      <c r="C43" s="3">
        <v>1.5</v>
      </c>
      <c r="D43" t="s">
        <v>2</v>
      </c>
      <c r="E43" t="s">
        <v>1010</v>
      </c>
      <c r="F43" t="s">
        <v>2</v>
      </c>
    </row>
    <row r="44" spans="1:6" ht="15.5" x14ac:dyDescent="0.35">
      <c r="A44" t="s">
        <v>106</v>
      </c>
      <c r="B44" t="s">
        <v>1043</v>
      </c>
      <c r="C44" s="3">
        <v>2.5</v>
      </c>
      <c r="D44" t="s">
        <v>2</v>
      </c>
      <c r="E44" t="s">
        <v>1010</v>
      </c>
      <c r="F44" t="s">
        <v>2</v>
      </c>
    </row>
    <row r="45" spans="1:6" ht="15.5" x14ac:dyDescent="0.35">
      <c r="A45" t="s">
        <v>123</v>
      </c>
      <c r="B45" t="s">
        <v>124</v>
      </c>
      <c r="C45" s="3">
        <v>4</v>
      </c>
      <c r="D45" t="s">
        <v>125</v>
      </c>
      <c r="E45" t="s">
        <v>1010</v>
      </c>
      <c r="F45" t="s">
        <v>2</v>
      </c>
    </row>
    <row r="46" spans="1:6" ht="15.5" x14ac:dyDescent="0.35">
      <c r="A46" t="s">
        <v>123</v>
      </c>
      <c r="B46" t="s">
        <v>1044</v>
      </c>
      <c r="C46" s="3">
        <v>8.8999999999999996E-2</v>
      </c>
      <c r="D46" t="s">
        <v>79</v>
      </c>
      <c r="E46" t="s">
        <v>1010</v>
      </c>
      <c r="F46" t="s">
        <v>2</v>
      </c>
    </row>
    <row r="47" spans="1:6" ht="15.5" x14ac:dyDescent="0.35">
      <c r="A47" t="s">
        <v>123</v>
      </c>
      <c r="B47" t="s">
        <v>1045</v>
      </c>
      <c r="C47" s="3">
        <v>5.0000000000000001E-3</v>
      </c>
      <c r="D47" t="s">
        <v>79</v>
      </c>
      <c r="E47" t="s">
        <v>1010</v>
      </c>
      <c r="F47" t="s">
        <v>2</v>
      </c>
    </row>
    <row r="48" spans="1:6" ht="15.5" x14ac:dyDescent="0.35">
      <c r="A48" t="s">
        <v>123</v>
      </c>
      <c r="B48" t="s">
        <v>129</v>
      </c>
      <c r="C48" s="3">
        <v>0.105</v>
      </c>
      <c r="D48" t="s">
        <v>79</v>
      </c>
      <c r="E48" t="s">
        <v>1010</v>
      </c>
      <c r="F48" t="s">
        <v>2</v>
      </c>
    </row>
    <row r="49" spans="1:6" ht="15.5" x14ac:dyDescent="0.35">
      <c r="A49" t="s">
        <v>123</v>
      </c>
      <c r="B49" t="s">
        <v>130</v>
      </c>
      <c r="C49" s="3">
        <v>3</v>
      </c>
      <c r="D49" t="s">
        <v>79</v>
      </c>
      <c r="E49" t="s">
        <v>1010</v>
      </c>
      <c r="F49" t="s">
        <v>2</v>
      </c>
    </row>
    <row r="50" spans="1:6" ht="15.5" x14ac:dyDescent="0.35">
      <c r="A50" t="s">
        <v>123</v>
      </c>
      <c r="B50" t="s">
        <v>1046</v>
      </c>
      <c r="C50" s="3">
        <v>0.8</v>
      </c>
      <c r="D50" t="s">
        <v>2</v>
      </c>
      <c r="E50" t="s">
        <v>1010</v>
      </c>
      <c r="F50" t="s">
        <v>74</v>
      </c>
    </row>
    <row r="51" spans="1:6" ht="15.5" x14ac:dyDescent="0.35">
      <c r="A51" t="s">
        <v>123</v>
      </c>
      <c r="B51" t="s">
        <v>132</v>
      </c>
      <c r="C51" s="3">
        <v>235000</v>
      </c>
      <c r="D51" t="s">
        <v>99</v>
      </c>
      <c r="E51" t="s">
        <v>1010</v>
      </c>
      <c r="F51" t="s">
        <v>2</v>
      </c>
    </row>
    <row r="52" spans="1:6" ht="15.5" x14ac:dyDescent="0.35">
      <c r="A52" t="s">
        <v>123</v>
      </c>
      <c r="B52" t="s">
        <v>133</v>
      </c>
      <c r="C52" s="3">
        <v>2</v>
      </c>
      <c r="D52" t="s">
        <v>2</v>
      </c>
      <c r="E52" t="s">
        <v>1010</v>
      </c>
      <c r="F52" t="s">
        <v>2</v>
      </c>
    </row>
    <row r="53" spans="1:6" ht="15.5" x14ac:dyDescent="0.35">
      <c r="A53" t="s">
        <v>123</v>
      </c>
      <c r="B53" t="s">
        <v>856</v>
      </c>
      <c r="C53">
        <f>CT_ThongSo!$C$50*CT_ThongSo!$C$37*PI()*CT_ThongSo!$C$48*CT_ThongSo!$C$49</f>
        <v>15.833626974092557</v>
      </c>
      <c r="D53" t="s">
        <v>88</v>
      </c>
      <c r="E53" t="s">
        <v>1012</v>
      </c>
      <c r="F53" t="s">
        <v>1047</v>
      </c>
    </row>
    <row r="54" spans="1:6" ht="15.5" x14ac:dyDescent="0.35">
      <c r="A54" t="s">
        <v>123</v>
      </c>
      <c r="B54" t="s">
        <v>860</v>
      </c>
      <c r="C54">
        <f>PI()/4*(CT_ThongSo!$C$46^2-(CT_ThongSo!$C$46-2*CT_ThongSo!$C$47)^2)*CT_ThongSo!$C$51</f>
        <v>310.07519490931242</v>
      </c>
      <c r="D54" t="s">
        <v>88</v>
      </c>
      <c r="E54" t="s">
        <v>1012</v>
      </c>
      <c r="F54" t="s">
        <v>2</v>
      </c>
    </row>
    <row r="55" spans="1:6" ht="15.5" x14ac:dyDescent="0.35">
      <c r="A55" t="s">
        <v>123</v>
      </c>
      <c r="B55" t="s">
        <v>862</v>
      </c>
      <c r="C55">
        <f>MIN(CT_ThongSo!$C$53,CT_ThongSo!$C$54)</f>
        <v>15.833626974092557</v>
      </c>
      <c r="D55" t="s">
        <v>88</v>
      </c>
      <c r="E55" t="s">
        <v>1012</v>
      </c>
      <c r="F55" t="s">
        <v>1048</v>
      </c>
    </row>
    <row r="56" spans="1:6" ht="15.5" x14ac:dyDescent="0.35">
      <c r="A56" t="s">
        <v>123</v>
      </c>
      <c r="B56" t="s">
        <v>864</v>
      </c>
      <c r="C56">
        <f>CT_ThongSo!$C$55/CT_ThongSo!$C$52</f>
        <v>7.9168134870462783</v>
      </c>
      <c r="D56" t="s">
        <v>88</v>
      </c>
      <c r="E56" t="s">
        <v>1012</v>
      </c>
      <c r="F56" t="s">
        <v>2</v>
      </c>
    </row>
    <row r="57" spans="1:6" ht="15.5" x14ac:dyDescent="0.35">
      <c r="A57" t="s">
        <v>123</v>
      </c>
      <c r="B57" t="s">
        <v>1049</v>
      </c>
      <c r="C57">
        <f>CT_ThongSo!$C$49-1.5*CT_ThongSo!$C$48</f>
        <v>2.8424999999999998</v>
      </c>
      <c r="D57" t="s">
        <v>79</v>
      </c>
      <c r="E57" t="s">
        <v>1012</v>
      </c>
      <c r="F57" t="s">
        <v>2</v>
      </c>
    </row>
    <row r="58" spans="1:6" ht="15.5" x14ac:dyDescent="0.35">
      <c r="A58" t="s">
        <v>123</v>
      </c>
      <c r="B58" t="s">
        <v>866</v>
      </c>
      <c r="C58">
        <f>(-(1.5*CT_ThongSo!$C$48+0.5*CT_ThongSo!$C$57)+SQRT((1.5*CT_ThongSo!$C$48+0.5*CT_ThongSo!$C$57)^2-4*(0.02778/(CT_ThongSo!$C$37*CT_ThongSo!$C$48))*(-2.25*CT_ThongSo!$C$48*CT_ThongSo!$C$37*CT_ThongSo!$C$57^2)))/(2*(0.02778/(CT_ThongSo!$C$37*CT_ThongSo!$C$48)))</f>
        <v>20.619377356350089</v>
      </c>
      <c r="D58" t="s">
        <v>88</v>
      </c>
      <c r="E58" t="s">
        <v>1012</v>
      </c>
      <c r="F58" t="s">
        <v>2</v>
      </c>
    </row>
    <row r="59" spans="1:6" ht="15.5" x14ac:dyDescent="0.35">
      <c r="A59" t="s">
        <v>123</v>
      </c>
      <c r="B59" t="s">
        <v>1050</v>
      </c>
      <c r="C59">
        <f>(CT_ThongSo!$C$46^3-(CT_ThongSo!$C$46-2*CT_ThongSo!$C$47)^3)/6*CT_ThongSo!$C$51</f>
        <v>8.3005916666666639</v>
      </c>
      <c r="D59" t="s">
        <v>1051</v>
      </c>
      <c r="E59" t="s">
        <v>1012</v>
      </c>
      <c r="F59" t="s">
        <v>2</v>
      </c>
    </row>
    <row r="60" spans="1:6" ht="15.5" x14ac:dyDescent="0.35">
      <c r="A60" t="s">
        <v>123</v>
      </c>
      <c r="B60" t="s">
        <v>868</v>
      </c>
      <c r="C60">
        <f>(-1.5*CT_ThongSo!$C$48+SQRT((1.5*CT_ThongSo!$C$48)^2+4*CT_ThongSo!$C$59/(18*CT_ThongSo!$C$37*CT_ThongSo!$C$48)))/(2/(18*CT_ThongSo!$C$37*CT_ThongSo!$C$48))</f>
        <v>14.984970562421069</v>
      </c>
      <c r="D60" t="s">
        <v>88</v>
      </c>
      <c r="E60" t="s">
        <v>1012</v>
      </c>
      <c r="F60" t="s">
        <v>2</v>
      </c>
    </row>
    <row r="61" spans="1:6" ht="15.5" x14ac:dyDescent="0.35">
      <c r="A61" t="s">
        <v>123</v>
      </c>
      <c r="B61" t="s">
        <v>870</v>
      </c>
      <c r="C61">
        <f>MIN(CT_ThongSo!$C$58,CT_ThongSo!$C$60)</f>
        <v>14.984970562421069</v>
      </c>
      <c r="D61" t="s">
        <v>88</v>
      </c>
      <c r="E61" t="s">
        <v>1012</v>
      </c>
      <c r="F61" t="s">
        <v>2</v>
      </c>
    </row>
  </sheetData>
  <pageMargins left="0.7" right="0.7" top="0.75" bottom="0.75" header="0.3" footer="0.3"/>
  <pageSetup orientation="portrait" r:id="rId1"/>
  <ignoredErrors>
    <ignoredError sqref="A1:F6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4"/>
  <sheetViews>
    <sheetView workbookViewId="0"/>
  </sheetViews>
  <sheetFormatPr defaultRowHeight="14.5" x14ac:dyDescent="0.35"/>
  <cols>
    <col min="1" max="1" width="8.83203125" customWidth="1"/>
    <col min="2" max="3" width="16.83203125" customWidth="1"/>
    <col min="4" max="4" width="17.83203125" customWidth="1"/>
    <col min="5" max="6" width="22.83203125" customWidth="1"/>
    <col min="7" max="7" width="14.83203125" customWidth="1"/>
    <col min="8" max="10" width="11.83203125" customWidth="1"/>
    <col min="11" max="11" width="13.83203125" customWidth="1"/>
    <col min="12" max="12" width="15.83203125" customWidth="1"/>
    <col min="13" max="13" width="11.83203125" customWidth="1"/>
    <col min="14" max="14" width="10.83203125" customWidth="1"/>
    <col min="15" max="15" width="12.83203125" customWidth="1"/>
    <col min="16" max="16" width="10.83203125" customWidth="1"/>
  </cols>
  <sheetData>
    <row r="1" spans="1:16" ht="15.5" x14ac:dyDescent="0.35">
      <c r="A1" t="s">
        <v>1052</v>
      </c>
    </row>
    <row r="2" spans="1:16" ht="15.5" x14ac:dyDescent="0.35">
      <c r="A2" t="s">
        <v>1053</v>
      </c>
    </row>
    <row r="3" spans="1:16" ht="15.5" x14ac:dyDescent="0.35">
      <c r="A3" t="s">
        <v>54</v>
      </c>
    </row>
    <row r="4" spans="1:16" ht="15.5" x14ac:dyDescent="0.35">
      <c r="A4" t="s">
        <v>2</v>
      </c>
    </row>
    <row r="5" spans="1:16" s="4" customFormat="1" ht="15.5" x14ac:dyDescent="0.35">
      <c r="A5" s="4" t="s">
        <v>136</v>
      </c>
      <c r="B5" s="4" t="s">
        <v>1054</v>
      </c>
      <c r="C5" s="4" t="s">
        <v>1055</v>
      </c>
      <c r="D5" s="4" t="s">
        <v>1056</v>
      </c>
      <c r="E5" s="4" t="s">
        <v>1057</v>
      </c>
      <c r="F5" s="4" t="s">
        <v>1058</v>
      </c>
      <c r="G5" s="4" t="s">
        <v>143</v>
      </c>
      <c r="H5" s="4" t="s">
        <v>145</v>
      </c>
      <c r="I5" s="4" t="s">
        <v>146</v>
      </c>
      <c r="J5" s="4" t="s">
        <v>148</v>
      </c>
      <c r="K5" s="4" t="s">
        <v>150</v>
      </c>
      <c r="L5" s="4" t="s">
        <v>151</v>
      </c>
      <c r="M5" s="4" t="s">
        <v>153</v>
      </c>
      <c r="N5" s="4" t="s">
        <v>157</v>
      </c>
      <c r="O5" s="4" t="s">
        <v>196</v>
      </c>
      <c r="P5" s="4" t="s">
        <v>155</v>
      </c>
    </row>
    <row r="6" spans="1:16" ht="15.5" x14ac:dyDescent="0.35">
      <c r="A6" t="s">
        <v>160</v>
      </c>
      <c r="B6" s="3">
        <v>808</v>
      </c>
      <c r="C6" s="3">
        <v>94.4</v>
      </c>
      <c r="D6" s="3">
        <v>46.1</v>
      </c>
      <c r="E6" s="3">
        <v>0.30599999999999999</v>
      </c>
      <c r="F6" s="3">
        <v>235</v>
      </c>
      <c r="G6">
        <f>B6*CT_ThongSo!$C$8*SIN(RADIANS(CT_ThongSo!$C$9))</f>
        <v>453.7481373342045</v>
      </c>
      <c r="H6">
        <f>CT_ThongSo!$C$7*CT_ThongSo!$C$10*G6*CT_ThongSo!$C$11/1000</f>
        <v>71.748924215971101</v>
      </c>
      <c r="I6">
        <f>CT_ThongSo!$C$7*CT_ThongSo!$C$12*(C6+D6)/2*MAX(0.05,CT_ThongSo!$C$13)/1000</f>
        <v>6.7615625000000001</v>
      </c>
      <c r="J6">
        <f>(H6+I6)*CT_ThongSo!$C$14</f>
        <v>82.436011051769654</v>
      </c>
      <c r="K6">
        <f>IF(E6&gt;0,J6*E6+CT_ThongSo!$C$17,0)</f>
        <v>30.225419381841515</v>
      </c>
      <c r="L6">
        <f>J6/(CT_ThongSo!$C$15*COS(RADIANS(CT_ThongSo!$C$16)))+CT_ThongSo!$C$17</f>
        <v>20.864817723886055</v>
      </c>
      <c r="M6">
        <f t="shared" ref="M6:M14" si="0">MAX(K6,L6)</f>
        <v>30.225419381841515</v>
      </c>
      <c r="N6">
        <f t="shared" ref="N6:N14" si="1">F6/M6</f>
        <v>7.7749127987676703</v>
      </c>
      <c r="O6" t="str">
        <f>IF(N6&gt;=CT_ThongSo!$C$18,"ĐẠT","KHÔNG ĐẠT")</f>
        <v>ĐẠT</v>
      </c>
      <c r="P6" t="s">
        <v>162</v>
      </c>
    </row>
    <row r="7" spans="1:16" ht="15.5" x14ac:dyDescent="0.35">
      <c r="A7" t="s">
        <v>164</v>
      </c>
      <c r="B7" s="3">
        <v>788</v>
      </c>
      <c r="C7" s="3">
        <v>91.8</v>
      </c>
      <c r="D7" s="3">
        <v>52.1</v>
      </c>
      <c r="E7" s="3">
        <v>0.28199999999999997</v>
      </c>
      <c r="F7" s="3">
        <v>235</v>
      </c>
      <c r="G7">
        <f>B7*CT_ThongSo!$C$8*SIN(RADIANS(CT_ThongSo!$C$9))</f>
        <v>442.51674779622914</v>
      </c>
      <c r="H7">
        <f>CT_ThongSo!$C$7*CT_ThongSo!$C$10*G7*CT_ThongSo!$C$11/1000</f>
        <v>69.972960745278726</v>
      </c>
      <c r="I7">
        <f>CT_ThongSo!$C$7*CT_ThongSo!$C$12*(C7+D7)/2*MAX(0.05,CT_ThongSo!$C$13)/1000</f>
        <v>6.9251874999999998</v>
      </c>
      <c r="J7">
        <f>(H7+I7)*CT_ThongSo!$C$14</f>
        <v>80.743055657542655</v>
      </c>
      <c r="K7">
        <f>IF(E7&gt;0,J7*E7+CT_ThongSo!$C$17,0)</f>
        <v>27.769541695427026</v>
      </c>
      <c r="L7">
        <f>J7/(CT_ThongSo!$C$15*COS(RADIANS(CT_ThongSo!$C$16)))+CT_ThongSo!$C$17</f>
        <v>20.539008306358397</v>
      </c>
      <c r="M7">
        <f t="shared" si="0"/>
        <v>27.769541695427026</v>
      </c>
      <c r="N7">
        <f t="shared" si="1"/>
        <v>8.4625091251937672</v>
      </c>
      <c r="O7" t="str">
        <f>IF(N7&gt;=CT_ThongSo!$C$18,"ĐẠT","KHÔNG ĐẠT")</f>
        <v>ĐẠT</v>
      </c>
      <c r="P7" t="s">
        <v>162</v>
      </c>
    </row>
    <row r="8" spans="1:16" ht="15.5" x14ac:dyDescent="0.35">
      <c r="A8" t="s">
        <v>165</v>
      </c>
      <c r="B8" s="3">
        <v>1068</v>
      </c>
      <c r="C8" s="3">
        <v>92</v>
      </c>
      <c r="D8" s="3">
        <v>64.099999999999994</v>
      </c>
      <c r="E8" s="3">
        <v>0.313</v>
      </c>
      <c r="F8" s="3">
        <v>235</v>
      </c>
      <c r="G8">
        <f>B8*CT_ThongSo!$C$8*SIN(RADIANS(CT_ThongSo!$C$9))</f>
        <v>599.75620132788424</v>
      </c>
      <c r="H8">
        <f>CT_ThongSo!$C$7*CT_ThongSo!$C$10*G8*CT_ThongSo!$C$11/1000</f>
        <v>94.836449334971704</v>
      </c>
      <c r="I8">
        <f>CT_ThongSo!$C$7*CT_ThongSo!$C$12*(C8+D8)/2*MAX(0.05,CT_ThongSo!$C$13)/1000</f>
        <v>7.5123124999999993</v>
      </c>
      <c r="J8">
        <f>(H8+I8)*CT_ThongSo!$C$14</f>
        <v>107.46619992672029</v>
      </c>
      <c r="K8">
        <f>IF(E8&gt;0,J8*E8+CT_ThongSo!$C$17,0)</f>
        <v>38.636920577063449</v>
      </c>
      <c r="L8">
        <f>J8/(CT_ThongSo!$C$15*COS(RADIANS(CT_ThongSo!$C$16)))+CT_ThongSo!$C$17</f>
        <v>25.681879818826033</v>
      </c>
      <c r="M8">
        <f t="shared" si="0"/>
        <v>38.636920577063449</v>
      </c>
      <c r="N8">
        <f t="shared" si="1"/>
        <v>6.0822652657133904</v>
      </c>
      <c r="O8" t="str">
        <f>IF(N8&gt;=CT_ThongSo!$C$18,"ĐẠT","KHÔNG ĐẠT")</f>
        <v>ĐẠT</v>
      </c>
      <c r="P8" t="s">
        <v>162</v>
      </c>
    </row>
    <row r="9" spans="1:16" ht="15.5" x14ac:dyDescent="0.35">
      <c r="A9" t="s">
        <v>166</v>
      </c>
      <c r="B9" s="3">
        <v>3657</v>
      </c>
      <c r="C9" s="3">
        <v>164.6</v>
      </c>
      <c r="D9" s="3">
        <v>148</v>
      </c>
      <c r="E9" s="3">
        <v>0.155</v>
      </c>
      <c r="F9" s="3">
        <v>235</v>
      </c>
      <c r="G9">
        <f>B9*CT_ThongSo!$C$8*SIN(RADIANS(CT_ThongSo!$C$9))</f>
        <v>2053.6595770187946</v>
      </c>
      <c r="H9">
        <f>CT_ThongSo!$C$7*CT_ThongSo!$C$10*G9*CT_ThongSo!$C$11/1000</f>
        <v>324.73492061609693</v>
      </c>
      <c r="I9">
        <f>CT_ThongSo!$C$7*CT_ThongSo!$C$12*(C9+D9)/2*MAX(0.05,CT_ThongSo!$C$13)/1000</f>
        <v>15.043874999999998</v>
      </c>
      <c r="J9">
        <f>(H9+I9)*CT_ThongSo!$C$14</f>
        <v>356.7677353969018</v>
      </c>
      <c r="K9">
        <f>IF(E9&gt;0,J9*E9+CT_ThongSo!$C$17,0)</f>
        <v>60.298998986519777</v>
      </c>
      <c r="L9">
        <f>J9/(CT_ThongSo!$C$15*COS(RADIANS(CT_ThongSo!$C$16)))+CT_ThongSo!$C$17</f>
        <v>73.65998268985814</v>
      </c>
      <c r="M9">
        <f t="shared" si="0"/>
        <v>73.65998268985814</v>
      </c>
      <c r="N9">
        <f t="shared" si="1"/>
        <v>3.1903347166053018</v>
      </c>
      <c r="O9" t="str">
        <f>IF(N9&gt;=CT_ThongSo!$C$18,"ĐẠT","KHÔNG ĐẠT")</f>
        <v>ĐẠT</v>
      </c>
      <c r="P9" t="s">
        <v>162</v>
      </c>
    </row>
    <row r="10" spans="1:16" ht="15.5" x14ac:dyDescent="0.35">
      <c r="A10" t="s">
        <v>168</v>
      </c>
      <c r="B10" s="3">
        <v>4410</v>
      </c>
      <c r="C10" s="3">
        <v>182.2</v>
      </c>
      <c r="D10" s="3">
        <v>148</v>
      </c>
      <c r="E10" s="3">
        <v>0.14399999999999999</v>
      </c>
      <c r="F10" s="3">
        <v>305</v>
      </c>
      <c r="G10">
        <f>B10*CT_ThongSo!$C$8*SIN(RADIANS(CT_ThongSo!$C$9))</f>
        <v>2476.5213931235667</v>
      </c>
      <c r="H10">
        <f>CT_ThongSo!$C$7*CT_ThongSo!$C$10*G10*CT_ThongSo!$C$11/1000</f>
        <v>391.59994528766401</v>
      </c>
      <c r="I10">
        <f>CT_ThongSo!$C$7*CT_ThongSo!$C$12*(C10+D10)/2*MAX(0.05,CT_ThongSo!$C$13)/1000</f>
        <v>15.890874999999998</v>
      </c>
      <c r="J10">
        <f>(H10+I10)*CT_ThongSo!$C$14</f>
        <v>427.86536130204723</v>
      </c>
      <c r="K10">
        <f>IF(E10&gt;0,J10*E10+CT_ThongSo!$C$17,0)</f>
        <v>66.612612027494805</v>
      </c>
      <c r="L10">
        <f>J10/(CT_ThongSo!$C$15*COS(RADIANS(CT_ThongSo!$C$16)))+CT_ThongSo!$C$17</f>
        <v>87.342727174884487</v>
      </c>
      <c r="M10">
        <f t="shared" si="0"/>
        <v>87.342727174884487</v>
      </c>
      <c r="N10">
        <f t="shared" si="1"/>
        <v>3.4919908029583846</v>
      </c>
      <c r="O10" t="str">
        <f>IF(N10&gt;=CT_ThongSo!$C$18,"ĐẠT","KHÔNG ĐẠT")</f>
        <v>ĐẠT</v>
      </c>
      <c r="P10" t="s">
        <v>169</v>
      </c>
    </row>
    <row r="11" spans="1:16" ht="15.5" x14ac:dyDescent="0.35">
      <c r="A11" t="s">
        <v>170</v>
      </c>
      <c r="B11" s="3">
        <v>1860</v>
      </c>
      <c r="C11" s="3">
        <v>112.1</v>
      </c>
      <c r="D11" s="3">
        <v>109.4</v>
      </c>
      <c r="E11" s="3">
        <v>0.19400000000000001</v>
      </c>
      <c r="F11" s="3">
        <v>235</v>
      </c>
      <c r="G11">
        <f>B11*CT_ThongSo!$C$8*SIN(RADIANS(CT_ThongSo!$C$9))</f>
        <v>1044.5192270317084</v>
      </c>
      <c r="H11">
        <f>CT_ThongSo!$C$7*CT_ThongSo!$C$10*G11*CT_ThongSo!$C$11/1000</f>
        <v>165.16460277438892</v>
      </c>
      <c r="I11">
        <f>CT_ThongSo!$C$7*CT_ThongSo!$C$12*(C11+D11)/2*MAX(0.05,CT_ThongSo!$C$13)/1000</f>
        <v>10.6596875</v>
      </c>
      <c r="J11">
        <f>(H11+I11)*CT_ThongSo!$C$14</f>
        <v>184.61550478810838</v>
      </c>
      <c r="K11">
        <f>IF(E11&gt;0,J11*E11+CT_ThongSo!$C$17,0)</f>
        <v>40.81540792889303</v>
      </c>
      <c r="L11">
        <f>J11/(CT_ThongSo!$C$15*COS(RADIANS(CT_ThongSo!$C$16)))+CT_ThongSo!$C$17</f>
        <v>40.529270461997669</v>
      </c>
      <c r="M11">
        <f t="shared" si="0"/>
        <v>40.81540792889303</v>
      </c>
      <c r="N11">
        <f t="shared" si="1"/>
        <v>5.7576295797265482</v>
      </c>
      <c r="O11" t="str">
        <f>IF(N11&gt;=CT_ThongSo!$C$18,"ĐẠT","KHÔNG ĐẠT")</f>
        <v>ĐẠT</v>
      </c>
      <c r="P11" t="s">
        <v>162</v>
      </c>
    </row>
    <row r="12" spans="1:16" ht="15.5" x14ac:dyDescent="0.35">
      <c r="A12" t="s">
        <v>171</v>
      </c>
      <c r="B12" s="3">
        <v>2133</v>
      </c>
      <c r="C12" s="3">
        <v>144</v>
      </c>
      <c r="D12" s="3">
        <v>93.2</v>
      </c>
      <c r="E12" s="3">
        <v>0.16400000000000001</v>
      </c>
      <c r="F12" s="3">
        <v>235</v>
      </c>
      <c r="G12">
        <f>B12*CT_ThongSo!$C$8*SIN(RADIANS(CT_ThongSo!$C$9))</f>
        <v>1197.827694225072</v>
      </c>
      <c r="H12">
        <f>CT_ThongSo!$C$7*CT_ThongSo!$C$10*G12*CT_ThongSo!$C$11/1000</f>
        <v>189.4065041493395</v>
      </c>
      <c r="I12">
        <f>CT_ThongSo!$C$7*CT_ThongSo!$C$12*(C12+D12)/2*MAX(0.05,CT_ThongSo!$C$13)/1000</f>
        <v>11.41525</v>
      </c>
      <c r="J12">
        <f>(H12+I12)*CT_ThongSo!$C$14</f>
        <v>210.86284185680645</v>
      </c>
      <c r="K12">
        <f>IF(E12&gt;0,J12*E12+CT_ThongSo!$C$17,0)</f>
        <v>39.581506064516262</v>
      </c>
      <c r="L12">
        <f>J12/(CT_ThongSo!$C$15*COS(RADIANS(CT_ThongSo!$C$16)))+CT_ThongSo!$C$17</f>
        <v>45.580572836038897</v>
      </c>
      <c r="M12">
        <f t="shared" si="0"/>
        <v>45.580572836038897</v>
      </c>
      <c r="N12">
        <f t="shared" si="1"/>
        <v>5.1557052792060141</v>
      </c>
      <c r="O12" t="str">
        <f>IF(N12&gt;=CT_ThongSo!$C$18,"ĐẠT","KHÔNG ĐẠT")</f>
        <v>ĐẠT</v>
      </c>
      <c r="P12" t="s">
        <v>162</v>
      </c>
    </row>
    <row r="13" spans="1:16" ht="15.5" x14ac:dyDescent="0.35">
      <c r="A13" t="s">
        <v>172</v>
      </c>
      <c r="B13" s="3">
        <v>2861</v>
      </c>
      <c r="C13" s="3">
        <v>180</v>
      </c>
      <c r="D13" s="3">
        <v>106.9</v>
      </c>
      <c r="E13" s="3">
        <v>0.106</v>
      </c>
      <c r="F13" s="3">
        <v>235</v>
      </c>
      <c r="G13">
        <f>B13*CT_ThongSo!$C$8*SIN(RADIANS(CT_ThongSo!$C$9))</f>
        <v>1606.6502734073754</v>
      </c>
      <c r="H13">
        <f>CT_ThongSo!$C$7*CT_ThongSo!$C$10*G13*CT_ThongSo!$C$11/1000</f>
        <v>254.05157448254124</v>
      </c>
      <c r="I13">
        <f>CT_ThongSo!$C$7*CT_ThongSo!$C$12*(C13+D13)/2*MAX(0.05,CT_ThongSo!$C$13)/1000</f>
        <v>13.807062500000001</v>
      </c>
      <c r="J13">
        <f>(H13+I13)*CT_ThongSo!$C$14</f>
        <v>281.25156883166835</v>
      </c>
      <c r="K13">
        <f>IF(E13&gt;0,J13*E13+CT_ThongSo!$C$17,0)</f>
        <v>34.812666296156848</v>
      </c>
      <c r="L13">
        <f>J13/(CT_ThongSo!$C$15*COS(RADIANS(CT_ThongSo!$C$16)))+CT_ThongSo!$C$17</f>
        <v>59.12688965832276</v>
      </c>
      <c r="M13">
        <f t="shared" si="0"/>
        <v>59.12688965832276</v>
      </c>
      <c r="N13">
        <f t="shared" si="1"/>
        <v>3.9745029944581427</v>
      </c>
      <c r="O13" t="str">
        <f>IF(N13&gt;=CT_ThongSo!$C$18,"ĐẠT","KHÔNG ĐẠT")</f>
        <v>ĐẠT</v>
      </c>
      <c r="P13" t="s">
        <v>162</v>
      </c>
    </row>
    <row r="14" spans="1:16" ht="15.5" x14ac:dyDescent="0.35">
      <c r="A14" t="s">
        <v>173</v>
      </c>
      <c r="B14" s="3">
        <v>769</v>
      </c>
      <c r="C14" s="3">
        <v>110</v>
      </c>
      <c r="D14" s="3">
        <v>36.6</v>
      </c>
      <c r="E14" s="3">
        <v>0.32700000000000001</v>
      </c>
      <c r="F14" s="3">
        <v>235</v>
      </c>
      <c r="G14">
        <f>B14*CT_ThongSo!$C$8*SIN(RADIANS(CT_ThongSo!$C$9))</f>
        <v>431.84692773515258</v>
      </c>
      <c r="H14">
        <f>CT_ThongSo!$C$7*CT_ThongSo!$C$10*G14*CT_ThongSo!$C$11/1000</f>
        <v>68.285795448121007</v>
      </c>
      <c r="I14">
        <f>CT_ThongSo!$C$7*CT_ThongSo!$C$12*(C14+D14)/2*MAX(0.05,CT_ThongSo!$C$13)/1000</f>
        <v>7.0551250000000003</v>
      </c>
      <c r="J14">
        <f>(H14+I14)*CT_ThongSo!$C$14</f>
        <v>79.10796647052706</v>
      </c>
      <c r="K14">
        <f>IF(E14&gt;0,J14*E14+CT_ThongSo!$C$17,0)</f>
        <v>30.868305035862349</v>
      </c>
      <c r="L14">
        <f>J14/(CT_ThongSo!$C$15*COS(RADIANS(CT_ThongSo!$C$16)))+CT_ThongSo!$C$17</f>
        <v>20.224335245600898</v>
      </c>
      <c r="M14">
        <f t="shared" si="0"/>
        <v>30.868305035862349</v>
      </c>
      <c r="N14">
        <f t="shared" si="1"/>
        <v>7.6129868396395723</v>
      </c>
      <c r="O14" t="str">
        <f>IF(N14&gt;=CT_ThongSo!$C$18,"ĐẠT","KHÔNG ĐẠT")</f>
        <v>ĐẠT</v>
      </c>
      <c r="P14" t="s">
        <v>162</v>
      </c>
    </row>
  </sheetData>
  <pageMargins left="0.7" right="0.7" top="0.75" bottom="0.75" header="0.3" footer="0.3"/>
  <ignoredErrors>
    <ignoredError sqref="A1:P1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5"/>
  <sheetViews>
    <sheetView workbookViewId="0"/>
  </sheetViews>
  <sheetFormatPr defaultRowHeight="14.5" x14ac:dyDescent="0.35"/>
  <cols>
    <col min="1" max="1" width="8.83203125" customWidth="1"/>
    <col min="2" max="2" width="14.83203125" customWidth="1"/>
    <col min="3" max="3" width="24.83203125" customWidth="1"/>
    <col min="4" max="4" width="26.83203125" customWidth="1"/>
    <col min="5" max="5" width="20.83203125" customWidth="1"/>
    <col min="6" max="6" width="11.83203125" customWidth="1"/>
    <col min="7" max="7" width="15.83203125" customWidth="1"/>
    <col min="8" max="8" width="11.83203125" customWidth="1"/>
    <col min="9" max="9" width="12.83203125" customWidth="1"/>
    <col min="10" max="11" width="15.83203125" customWidth="1"/>
    <col min="12" max="12" width="11.83203125" customWidth="1"/>
    <col min="13" max="13" width="10.83203125" customWidth="1"/>
    <col min="14" max="14" width="12.83203125" customWidth="1"/>
    <col min="15" max="15" width="16.83203125" customWidth="1"/>
    <col min="16" max="16" width="12.83203125" customWidth="1"/>
  </cols>
  <sheetData>
    <row r="1" spans="1:16" ht="15.5" x14ac:dyDescent="0.35">
      <c r="A1" t="s">
        <v>1059</v>
      </c>
    </row>
    <row r="2" spans="1:16" ht="15.5" x14ac:dyDescent="0.35">
      <c r="A2" t="s">
        <v>1060</v>
      </c>
    </row>
    <row r="3" spans="1:16" ht="15.5" x14ac:dyDescent="0.35">
      <c r="A3" t="s">
        <v>1061</v>
      </c>
    </row>
    <row r="4" spans="1:16" ht="15.5" x14ac:dyDescent="0.35">
      <c r="A4" t="s">
        <v>2</v>
      </c>
    </row>
    <row r="5" spans="1:16" s="4" customFormat="1" ht="15.5" x14ac:dyDescent="0.35">
      <c r="A5" s="4" t="s">
        <v>136</v>
      </c>
      <c r="B5" s="4" t="s">
        <v>1062</v>
      </c>
      <c r="C5" s="4" t="s">
        <v>1063</v>
      </c>
      <c r="D5" s="4" t="s">
        <v>1064</v>
      </c>
      <c r="E5" s="4" t="s">
        <v>1065</v>
      </c>
      <c r="F5" s="4" t="s">
        <v>153</v>
      </c>
      <c r="G5" s="4" t="s">
        <v>184</v>
      </c>
      <c r="H5" s="4" t="s">
        <v>185</v>
      </c>
      <c r="I5" s="4" t="s">
        <v>186</v>
      </c>
      <c r="J5" s="4" t="s">
        <v>187</v>
      </c>
      <c r="K5" s="4" t="s">
        <v>1066</v>
      </c>
      <c r="L5" s="4" t="s">
        <v>188</v>
      </c>
      <c r="M5" s="4" t="s">
        <v>189</v>
      </c>
      <c r="N5" s="4" t="s">
        <v>196</v>
      </c>
      <c r="O5" s="4" t="s">
        <v>1067</v>
      </c>
      <c r="P5" s="4" t="s">
        <v>214</v>
      </c>
    </row>
    <row r="6" spans="1:16" ht="15.5" x14ac:dyDescent="0.35">
      <c r="A6" t="s">
        <v>160</v>
      </c>
      <c r="B6" s="3">
        <v>17</v>
      </c>
      <c r="C6" s="3">
        <v>4</v>
      </c>
      <c r="D6" s="3">
        <v>25</v>
      </c>
      <c r="E6" s="3">
        <v>350</v>
      </c>
      <c r="F6">
        <f>VLOOKUP(A6,CT_LucDay!$A$6:$M$14,13,FALSE)</f>
        <v>30.225419381841515</v>
      </c>
      <c r="G6">
        <f>CT_ThongSo!$C$32</f>
        <v>116.06331980051134</v>
      </c>
      <c r="H6">
        <f t="shared" ref="H6:H14" si="0">F6/G6</f>
        <v>0.26042180625018063</v>
      </c>
      <c r="I6">
        <f>F6*(CT_ThongSo!$C$24+1.5*CT_ThongSo!$C$21+0.5*F6/CT_ThongSo!$C$29)</f>
        <v>22.516188608921581</v>
      </c>
      <c r="J6">
        <f>CT_ThongSo!$C$27*I6</f>
        <v>27.019426330705897</v>
      </c>
      <c r="K6">
        <f t="shared" ref="K6:K14" si="1">2/TAN(PI()/C6)</f>
        <v>2</v>
      </c>
      <c r="L6">
        <f>PI()*D6^2/4/1000000*E6*1000*(CT_ThongSo!$C$21/2-CT_ThongSo!$C$28)*K6</f>
        <v>42.951462060797951</v>
      </c>
      <c r="M6">
        <f t="shared" ref="M6:M14" si="2">J6/L6</f>
        <v>0.62906883804001368</v>
      </c>
      <c r="N6" t="str">
        <f t="shared" ref="N6:N14" si="3">IF(AND(H6&lt;=1,M6&lt;=1),"ĐẠT","KHÔNG ĐẠT")</f>
        <v>ĐẠT</v>
      </c>
      <c r="O6">
        <f>B6*(CT_ThongSo!$C$22+CT_ThongSo!$C$23)</f>
        <v>112.19999999999999</v>
      </c>
      <c r="P6">
        <f>O6*PI()*CT_ThongSo!$C$21^2/4</f>
        <v>10.794905056816226</v>
      </c>
    </row>
    <row r="7" spans="1:16" ht="15.5" x14ac:dyDescent="0.35">
      <c r="A7" t="s">
        <v>164</v>
      </c>
      <c r="B7" s="3">
        <v>15</v>
      </c>
      <c r="C7" s="3">
        <v>4</v>
      </c>
      <c r="D7" s="3">
        <v>25</v>
      </c>
      <c r="E7" s="3">
        <v>350</v>
      </c>
      <c r="F7">
        <f>VLOOKUP(A7,CT_LucDay!$A$6:$M$14,13,FALSE)</f>
        <v>27.769541695427026</v>
      </c>
      <c r="G7">
        <f>CT_ThongSo!$C$32</f>
        <v>116.06331980051134</v>
      </c>
      <c r="H7">
        <f t="shared" si="0"/>
        <v>0.23926199718530439</v>
      </c>
      <c r="I7">
        <f>F7*(CT_ThongSo!$C$24+1.5*CT_ThongSo!$C$21+0.5*F7/CT_ThongSo!$C$29)</f>
        <v>20.416072472237367</v>
      </c>
      <c r="J7">
        <f>CT_ThongSo!$C$27*I7</f>
        <v>24.499286966684839</v>
      </c>
      <c r="K7">
        <f t="shared" si="1"/>
        <v>2</v>
      </c>
      <c r="L7">
        <f>PI()*D7^2/4/1000000*E7*1000*(CT_ThongSo!$C$21/2-CT_ThongSo!$C$28)*K7</f>
        <v>42.951462060797951</v>
      </c>
      <c r="M7">
        <f t="shared" si="2"/>
        <v>0.57039471513230466</v>
      </c>
      <c r="N7" t="str">
        <f t="shared" si="3"/>
        <v>ĐẠT</v>
      </c>
      <c r="O7">
        <f>B7*(CT_ThongSo!$C$22+CT_ThongSo!$C$23)</f>
        <v>99</v>
      </c>
      <c r="P7">
        <f>O7*PI()*CT_ThongSo!$C$21^2/4</f>
        <v>9.5249162266025529</v>
      </c>
    </row>
    <row r="8" spans="1:16" ht="15.5" x14ac:dyDescent="0.35">
      <c r="A8" t="s">
        <v>165</v>
      </c>
      <c r="B8" s="3">
        <v>15</v>
      </c>
      <c r="C8" s="3">
        <v>4</v>
      </c>
      <c r="D8" s="3">
        <v>25</v>
      </c>
      <c r="E8" s="3">
        <v>350</v>
      </c>
      <c r="F8">
        <f>VLOOKUP(A8,CT_LucDay!$A$6:$M$14,13,FALSE)</f>
        <v>38.636920577063449</v>
      </c>
      <c r="G8">
        <f>CT_ThongSo!$C$32</f>
        <v>116.06331980051134</v>
      </c>
      <c r="H8">
        <f t="shared" si="0"/>
        <v>0.33289518724324157</v>
      </c>
      <c r="I8">
        <f>F8*(CT_ThongSo!$C$24+1.5*CT_ThongSo!$C$21+0.5*F8/CT_ThongSo!$C$29)</f>
        <v>30.071931041927783</v>
      </c>
      <c r="J8">
        <f>CT_ThongSo!$C$27*I8</f>
        <v>36.086317250313336</v>
      </c>
      <c r="K8">
        <f t="shared" si="1"/>
        <v>2</v>
      </c>
      <c r="L8">
        <f>PI()*D8^2/4/1000000*E8*1000*(CT_ThongSo!$C$21/2-CT_ThongSo!$C$28)*K8</f>
        <v>42.951462060797951</v>
      </c>
      <c r="M8">
        <f t="shared" si="2"/>
        <v>0.84016504954436755</v>
      </c>
      <c r="N8" t="str">
        <f t="shared" si="3"/>
        <v>ĐẠT</v>
      </c>
      <c r="O8">
        <f>B8*(CT_ThongSo!$C$22+CT_ThongSo!$C$23)</f>
        <v>99</v>
      </c>
      <c r="P8">
        <f>O8*PI()*CT_ThongSo!$C$21^2/4</f>
        <v>9.5249162266025529</v>
      </c>
    </row>
    <row r="9" spans="1:16" ht="15.5" x14ac:dyDescent="0.35">
      <c r="A9" t="s">
        <v>166</v>
      </c>
      <c r="B9" s="3">
        <v>31</v>
      </c>
      <c r="C9" s="3">
        <v>6</v>
      </c>
      <c r="D9" s="3">
        <v>28</v>
      </c>
      <c r="E9" s="3">
        <v>350</v>
      </c>
      <c r="F9">
        <f>VLOOKUP(A9,CT_LucDay!$A$6:$M$14,13,FALSE)</f>
        <v>73.65998268985814</v>
      </c>
      <c r="G9">
        <f>CT_ThongSo!$C$32</f>
        <v>116.06331980051134</v>
      </c>
      <c r="H9">
        <f t="shared" si="0"/>
        <v>0.63465341863789781</v>
      </c>
      <c r="I9">
        <f>F9*(CT_ThongSo!$C$24+1.5*CT_ThongSo!$C$21+0.5*F9/CT_ThongSo!$C$29)</f>
        <v>67.568413982233551</v>
      </c>
      <c r="J9">
        <f>CT_ThongSo!$C$27*I9</f>
        <v>81.082096778680253</v>
      </c>
      <c r="K9">
        <f t="shared" si="1"/>
        <v>3.4641016151377548</v>
      </c>
      <c r="L9">
        <f>PI()*D9^2/4/1000000*E9*1000*(CT_ThongSo!$C$21/2-CT_ThongSo!$C$28)*K9</f>
        <v>93.319977289850499</v>
      </c>
      <c r="M9">
        <f t="shared" si="2"/>
        <v>0.86886108562629016</v>
      </c>
      <c r="N9" t="str">
        <f t="shared" si="3"/>
        <v>ĐẠT</v>
      </c>
      <c r="O9">
        <f>B9*(CT_ThongSo!$C$22+CT_ThongSo!$C$23)</f>
        <v>204.6</v>
      </c>
      <c r="P9">
        <f>O9*PI()*CT_ThongSo!$C$21^2/4</f>
        <v>19.684826868311944</v>
      </c>
    </row>
    <row r="10" spans="1:16" ht="15.5" x14ac:dyDescent="0.35">
      <c r="A10" t="s">
        <v>168</v>
      </c>
      <c r="B10" s="3">
        <v>36</v>
      </c>
      <c r="C10" s="3">
        <v>6</v>
      </c>
      <c r="D10" s="3">
        <v>32</v>
      </c>
      <c r="E10" s="3">
        <v>350</v>
      </c>
      <c r="F10">
        <f>VLOOKUP(A10,CT_LucDay!$A$6:$M$14,13,FALSE)</f>
        <v>87.342727174884487</v>
      </c>
      <c r="G10">
        <f>CT_ThongSo!$C$32</f>
        <v>116.06331980051134</v>
      </c>
      <c r="H10">
        <f t="shared" si="0"/>
        <v>0.75254376081098173</v>
      </c>
      <c r="I10">
        <f>F10*(CT_ThongSo!$C$24+1.5*CT_ThongSo!$C$21+0.5*F10/CT_ThongSo!$C$29)</f>
        <v>84.862029842819879</v>
      </c>
      <c r="J10">
        <f>CT_ThongSo!$C$27*I10</f>
        <v>101.83443581138386</v>
      </c>
      <c r="K10">
        <f t="shared" si="1"/>
        <v>3.4641016151377548</v>
      </c>
      <c r="L10">
        <f>PI()*D10^2/4/1000000*E10*1000*(CT_ThongSo!$C$21/2-CT_ThongSo!$C$28)*K10</f>
        <v>121.88731727653942</v>
      </c>
      <c r="M10">
        <f t="shared" si="2"/>
        <v>0.83548016386594726</v>
      </c>
      <c r="N10" t="str">
        <f t="shared" si="3"/>
        <v>ĐẠT</v>
      </c>
      <c r="O10">
        <f>B10*(CT_ThongSo!$C$22+CT_ThongSo!$C$23)</f>
        <v>237.6</v>
      </c>
      <c r="P10">
        <f>O10*PI()*CT_ThongSo!$C$21^2/4</f>
        <v>22.859798943846126</v>
      </c>
    </row>
    <row r="11" spans="1:16" ht="15.5" x14ac:dyDescent="0.35">
      <c r="A11" t="s">
        <v>170</v>
      </c>
      <c r="B11" s="3">
        <v>28</v>
      </c>
      <c r="C11" s="3">
        <v>4</v>
      </c>
      <c r="D11" s="3">
        <v>25</v>
      </c>
      <c r="E11" s="3">
        <v>350</v>
      </c>
      <c r="F11">
        <f>VLOOKUP(A11,CT_LucDay!$A$6:$M$14,13,FALSE)</f>
        <v>40.81540792889303</v>
      </c>
      <c r="G11">
        <f>CT_ThongSo!$C$32</f>
        <v>116.06331980051134</v>
      </c>
      <c r="H11">
        <f t="shared" si="0"/>
        <v>0.35166500492184966</v>
      </c>
      <c r="I11">
        <f>F11*(CT_ThongSo!$C$24+1.5*CT_ThongSo!$C$21+0.5*F11/CT_ThongSo!$C$29)</f>
        <v>32.120334417470616</v>
      </c>
      <c r="J11">
        <f>CT_ThongSo!$C$27*I11</f>
        <v>38.544401300964736</v>
      </c>
      <c r="K11">
        <f t="shared" si="1"/>
        <v>2</v>
      </c>
      <c r="L11">
        <f>PI()*D11^2/4/1000000*E11*1000*(CT_ThongSo!$C$21/2-CT_ThongSo!$C$28)*K11</f>
        <v>42.951462060797951</v>
      </c>
      <c r="M11">
        <f t="shared" si="2"/>
        <v>0.89739439477997274</v>
      </c>
      <c r="N11" t="str">
        <f t="shared" si="3"/>
        <v>ĐẠT</v>
      </c>
      <c r="O11">
        <f>B11*(CT_ThongSo!$C$22+CT_ThongSo!$C$23)</f>
        <v>184.79999999999998</v>
      </c>
      <c r="P11">
        <f>O11*PI()*CT_ThongSo!$C$21^2/4</f>
        <v>17.779843622991432</v>
      </c>
    </row>
    <row r="12" spans="1:16" ht="15.5" x14ac:dyDescent="0.35">
      <c r="A12" t="s">
        <v>171</v>
      </c>
      <c r="B12" s="3">
        <v>24</v>
      </c>
      <c r="C12" s="3">
        <v>4</v>
      </c>
      <c r="D12" s="3">
        <v>28</v>
      </c>
      <c r="E12" s="3">
        <v>350</v>
      </c>
      <c r="F12">
        <f>VLOOKUP(A12,CT_LucDay!$A$6:$M$14,13,FALSE)</f>
        <v>45.580572836038897</v>
      </c>
      <c r="G12">
        <f>CT_ThongSo!$C$32</f>
        <v>116.06331980051134</v>
      </c>
      <c r="H12">
        <f t="shared" si="0"/>
        <v>0.39272160157388575</v>
      </c>
      <c r="I12">
        <f>F12*(CT_ThongSo!$C$24+1.5*CT_ThongSo!$C$21+0.5*F12/CT_ThongSo!$C$29)</f>
        <v>36.732257308482431</v>
      </c>
      <c r="J12">
        <f>CT_ThongSo!$C$27*I12</f>
        <v>44.078708770178913</v>
      </c>
      <c r="K12">
        <f t="shared" si="1"/>
        <v>2</v>
      </c>
      <c r="L12">
        <f>PI()*D12^2/4/1000000*E12*1000*(CT_ThongSo!$C$21/2-CT_ThongSo!$C$28)*K12</f>
        <v>53.878314009064944</v>
      </c>
      <c r="M12">
        <f t="shared" si="2"/>
        <v>0.81811596336816961</v>
      </c>
      <c r="N12" t="str">
        <f t="shared" si="3"/>
        <v>ĐẠT</v>
      </c>
      <c r="O12">
        <f>B12*(CT_ThongSo!$C$22+CT_ThongSo!$C$23)</f>
        <v>158.39999999999998</v>
      </c>
      <c r="P12">
        <f>O12*PI()*CT_ThongSo!$C$21^2/4</f>
        <v>15.239865962564082</v>
      </c>
    </row>
    <row r="13" spans="1:16" ht="15.5" x14ac:dyDescent="0.35">
      <c r="A13" t="s">
        <v>172</v>
      </c>
      <c r="B13" s="3">
        <v>46</v>
      </c>
      <c r="C13" s="3">
        <v>6</v>
      </c>
      <c r="D13" s="3">
        <v>25</v>
      </c>
      <c r="E13" s="3">
        <v>350</v>
      </c>
      <c r="F13">
        <f>VLOOKUP(A13,CT_LucDay!$A$6:$M$14,13,FALSE)</f>
        <v>59.12688965832276</v>
      </c>
      <c r="G13">
        <f>CT_ThongSo!$C$32</f>
        <v>116.06331980051134</v>
      </c>
      <c r="H13">
        <f t="shared" si="0"/>
        <v>0.50943648484249426</v>
      </c>
      <c r="I13">
        <f>F13*(CT_ThongSo!$C$24+1.5*CT_ThongSo!$C$21+0.5*F13/CT_ThongSo!$C$29)</f>
        <v>50.827278578782966</v>
      </c>
      <c r="J13">
        <f>CT_ThongSo!$C$27*I13</f>
        <v>60.992734294539559</v>
      </c>
      <c r="K13">
        <f t="shared" si="1"/>
        <v>3.4641016151377548</v>
      </c>
      <c r="L13">
        <f>PI()*D13^2/4/1000000*E13*1000*(CT_ThongSo!$C$21/2-CT_ThongSo!$C$28)*K13</f>
        <v>74.394114548669094</v>
      </c>
      <c r="M13">
        <f t="shared" si="2"/>
        <v>0.81985967121952541</v>
      </c>
      <c r="N13" t="str">
        <f t="shared" si="3"/>
        <v>ĐẠT</v>
      </c>
      <c r="O13">
        <f>B13*(CT_ThongSo!$C$22+CT_ThongSo!$C$23)</f>
        <v>303.59999999999997</v>
      </c>
      <c r="P13">
        <f>O13*PI()*CT_ThongSo!$C$21^2/4</f>
        <v>29.20974309491449</v>
      </c>
    </row>
    <row r="14" spans="1:16" ht="15.5" x14ac:dyDescent="0.35">
      <c r="A14" t="s">
        <v>173</v>
      </c>
      <c r="B14" s="3">
        <v>19</v>
      </c>
      <c r="C14" s="3">
        <v>4</v>
      </c>
      <c r="D14" s="3">
        <v>25</v>
      </c>
      <c r="E14" s="3">
        <v>350</v>
      </c>
      <c r="F14">
        <f>VLOOKUP(A14,CT_LucDay!$A$6:$M$14,13,FALSE)</f>
        <v>30.868305035862349</v>
      </c>
      <c r="G14">
        <f>CT_ThongSo!$C$32</f>
        <v>116.06331980051134</v>
      </c>
      <c r="H14">
        <f t="shared" si="0"/>
        <v>0.26596090038539766</v>
      </c>
      <c r="I14">
        <f>F14*(CT_ThongSo!$C$24+1.5*CT_ThongSo!$C$21+0.5*F14/CT_ThongSo!$C$29)</f>
        <v>23.073850392600651</v>
      </c>
      <c r="J14">
        <f>CT_ThongSo!$C$27*I14</f>
        <v>27.688620471120782</v>
      </c>
      <c r="K14">
        <f t="shared" si="1"/>
        <v>2</v>
      </c>
      <c r="L14">
        <f>PI()*D14^2/4/1000000*E14*1000*(CT_ThongSo!$C$21/2-CT_ThongSo!$C$28)*K14</f>
        <v>42.951462060797951</v>
      </c>
      <c r="M14">
        <f t="shared" si="2"/>
        <v>0.64464907927761428</v>
      </c>
      <c r="N14" t="str">
        <f t="shared" si="3"/>
        <v>ĐẠT</v>
      </c>
      <c r="O14">
        <f>B14*(CT_ThongSo!$C$22+CT_ThongSo!$C$23)</f>
        <v>125.39999999999999</v>
      </c>
      <c r="P14">
        <f>O14*PI()*CT_ThongSo!$C$21^2/4</f>
        <v>12.0648938870299</v>
      </c>
    </row>
    <row r="15" spans="1:16" ht="15.5" x14ac:dyDescent="0.35">
      <c r="A15" t="s">
        <v>204</v>
      </c>
      <c r="B15">
        <f>SUM(B6:B14)</f>
        <v>231</v>
      </c>
      <c r="C15" t="s">
        <v>2</v>
      </c>
      <c r="D15" t="s">
        <v>2</v>
      </c>
      <c r="E15" t="s">
        <v>2</v>
      </c>
      <c r="F15" t="s">
        <v>2</v>
      </c>
      <c r="G15" t="s">
        <v>2</v>
      </c>
      <c r="H15" t="s">
        <v>2</v>
      </c>
      <c r="I15" t="s">
        <v>2</v>
      </c>
      <c r="J15" t="s">
        <v>2</v>
      </c>
      <c r="K15" t="s">
        <v>2</v>
      </c>
      <c r="L15" t="s">
        <v>2</v>
      </c>
      <c r="M15" t="s">
        <v>2</v>
      </c>
      <c r="N15" t="s">
        <v>2</v>
      </c>
      <c r="O15">
        <f>SUM(O6:O14)</f>
        <v>1524.6</v>
      </c>
      <c r="P15">
        <f>SUM(P6:P14)</f>
        <v>146.68370988967933</v>
      </c>
    </row>
  </sheetData>
  <pageMargins left="0.7" right="0.7" top="0.75" bottom="0.75" header="0.3" footer="0.3"/>
  <ignoredErrors>
    <ignoredError sqref="A1:P1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38"/>
  <sheetViews>
    <sheetView workbookViewId="0"/>
  </sheetViews>
  <sheetFormatPr defaultRowHeight="14.5" x14ac:dyDescent="0.35"/>
  <cols>
    <col min="1" max="1" width="11.83203125" customWidth="1"/>
    <col min="2" max="2" width="10.83203125" customWidth="1"/>
    <col min="3" max="3" width="8.83203125" customWidth="1"/>
    <col min="4" max="4" width="10.83203125" customWidth="1"/>
    <col min="5" max="5" width="15.83203125" customWidth="1"/>
    <col min="6" max="6" width="20.83203125" customWidth="1"/>
    <col min="7" max="7" width="10.83203125" customWidth="1"/>
    <col min="8" max="8" width="8.83203125" customWidth="1"/>
    <col min="9" max="9" width="10.83203125" customWidth="1"/>
    <col min="10" max="10" width="15.83203125" customWidth="1"/>
    <col min="11" max="11" width="20.83203125" customWidth="1"/>
    <col min="12" max="12" width="19.83203125" customWidth="1"/>
    <col min="13" max="14" width="12.83203125" customWidth="1"/>
    <col min="15" max="68" width="16.83203125" customWidth="1"/>
  </cols>
  <sheetData>
    <row r="1" spans="1:68" ht="15.5" x14ac:dyDescent="0.35">
      <c r="A1" t="s">
        <v>1068</v>
      </c>
    </row>
    <row r="2" spans="1:68" ht="15.5" x14ac:dyDescent="0.35">
      <c r="A2" t="s">
        <v>1069</v>
      </c>
    </row>
    <row r="3" spans="1:68" ht="15.5" x14ac:dyDescent="0.35">
      <c r="A3" t="s">
        <v>1070</v>
      </c>
    </row>
    <row r="4" spans="1:68" ht="15.5" x14ac:dyDescent="0.35">
      <c r="A4" t="s">
        <v>2</v>
      </c>
    </row>
    <row r="5" spans="1:68" s="4" customFormat="1" ht="15.5" x14ac:dyDescent="0.35">
      <c r="A5" s="4" t="s">
        <v>699</v>
      </c>
      <c r="B5" s="4" t="s">
        <v>700</v>
      </c>
      <c r="C5" s="4" t="s">
        <v>160</v>
      </c>
      <c r="D5" s="4" t="s">
        <v>701</v>
      </c>
      <c r="E5" s="4" t="s">
        <v>1071</v>
      </c>
      <c r="F5" s="4" t="s">
        <v>1072</v>
      </c>
      <c r="G5" s="4" t="s">
        <v>703</v>
      </c>
      <c r="H5" s="4" t="s">
        <v>164</v>
      </c>
      <c r="I5" s="4" t="s">
        <v>704</v>
      </c>
      <c r="J5" s="4" t="s">
        <v>1073</v>
      </c>
      <c r="K5" s="4" t="s">
        <v>1074</v>
      </c>
      <c r="L5" s="4" t="s">
        <v>1075</v>
      </c>
      <c r="M5" s="4" t="s">
        <v>1076</v>
      </c>
      <c r="N5" s="4" t="s">
        <v>1077</v>
      </c>
      <c r="O5" s="4" t="s">
        <v>716</v>
      </c>
      <c r="P5" s="4" t="s">
        <v>723</v>
      </c>
      <c r="Q5" s="4" t="s">
        <v>1078</v>
      </c>
      <c r="R5" s="4" t="s">
        <v>1079</v>
      </c>
      <c r="S5" s="4" t="s">
        <v>1080</v>
      </c>
      <c r="T5" s="4" t="s">
        <v>1081</v>
      </c>
      <c r="U5" s="4" t="s">
        <v>1082</v>
      </c>
      <c r="V5" s="4" t="s">
        <v>1083</v>
      </c>
      <c r="W5" s="4" t="s">
        <v>1084</v>
      </c>
      <c r="X5" s="4" t="s">
        <v>1085</v>
      </c>
      <c r="Y5" s="4" t="s">
        <v>1086</v>
      </c>
      <c r="Z5" s="4" t="s">
        <v>1087</v>
      </c>
      <c r="AA5" s="4" t="s">
        <v>1088</v>
      </c>
      <c r="AB5" s="4" t="s">
        <v>1089</v>
      </c>
      <c r="AC5" s="4" t="s">
        <v>1090</v>
      </c>
      <c r="AD5" s="4" t="s">
        <v>1091</v>
      </c>
      <c r="AE5" s="4" t="s">
        <v>1092</v>
      </c>
      <c r="AF5" s="4" t="s">
        <v>1093</v>
      </c>
      <c r="AG5" s="4" t="s">
        <v>1094</v>
      </c>
      <c r="AH5" s="4" t="s">
        <v>1095</v>
      </c>
      <c r="AI5" s="4" t="s">
        <v>1096</v>
      </c>
      <c r="AJ5" s="4" t="s">
        <v>1097</v>
      </c>
      <c r="AK5" s="4" t="s">
        <v>1098</v>
      </c>
      <c r="AL5" s="4" t="s">
        <v>1099</v>
      </c>
      <c r="AM5" s="4" t="s">
        <v>1100</v>
      </c>
      <c r="AN5" s="4" t="s">
        <v>1101</v>
      </c>
      <c r="AO5" s="4" t="s">
        <v>1102</v>
      </c>
      <c r="AP5" s="4" t="s">
        <v>1103</v>
      </c>
      <c r="AQ5" s="4" t="s">
        <v>1104</v>
      </c>
      <c r="AR5" s="4" t="s">
        <v>1105</v>
      </c>
      <c r="AS5" s="4" t="s">
        <v>1106</v>
      </c>
      <c r="AT5" s="4" t="s">
        <v>1107</v>
      </c>
      <c r="AU5" s="4" t="s">
        <v>1108</v>
      </c>
      <c r="AV5" s="4" t="s">
        <v>1109</v>
      </c>
      <c r="AW5" s="4" t="s">
        <v>1110</v>
      </c>
      <c r="AX5" s="4" t="s">
        <v>1111</v>
      </c>
      <c r="AY5" s="4" t="s">
        <v>1112</v>
      </c>
      <c r="AZ5" s="4" t="s">
        <v>1113</v>
      </c>
      <c r="BA5" s="4" t="s">
        <v>1114</v>
      </c>
      <c r="BB5" s="4" t="s">
        <v>1115</v>
      </c>
      <c r="BC5" s="4" t="s">
        <v>1116</v>
      </c>
      <c r="BD5" s="4" t="s">
        <v>1117</v>
      </c>
      <c r="BE5" s="4" t="s">
        <v>1118</v>
      </c>
      <c r="BF5" s="4" t="s">
        <v>1119</v>
      </c>
      <c r="BG5" s="4" t="s">
        <v>1120</v>
      </c>
      <c r="BH5" s="4" t="s">
        <v>1121</v>
      </c>
      <c r="BI5" s="4" t="s">
        <v>1122</v>
      </c>
      <c r="BJ5" s="4" t="s">
        <v>1123</v>
      </c>
      <c r="BK5" s="4" t="s">
        <v>1124</v>
      </c>
      <c r="BL5" s="4" t="s">
        <v>1125</v>
      </c>
      <c r="BM5" s="4" t="s">
        <v>731</v>
      </c>
      <c r="BN5" s="4" t="s">
        <v>196</v>
      </c>
      <c r="BO5" s="4" t="s">
        <v>214</v>
      </c>
      <c r="BP5" s="4" t="s">
        <v>1126</v>
      </c>
    </row>
    <row r="6" spans="1:68" ht="15.5" x14ac:dyDescent="0.35">
      <c r="A6" t="s">
        <v>733</v>
      </c>
      <c r="B6" t="s">
        <v>734</v>
      </c>
      <c r="C6" t="s">
        <v>160</v>
      </c>
      <c r="D6">
        <f>VLOOKUP(C6,CT_LucDay!$A$6:$M$14,13,FALSE)</f>
        <v>30.225419381841515</v>
      </c>
      <c r="E6" s="3">
        <v>12.56</v>
      </c>
      <c r="F6" s="3">
        <v>148.30000000000001</v>
      </c>
      <c r="G6" t="s">
        <v>735</v>
      </c>
      <c r="H6" t="s">
        <v>164</v>
      </c>
      <c r="I6">
        <f>VLOOKUP(H6,CT_LucDay!$A$6:$M$14,13,FALSE)</f>
        <v>27.769541695427026</v>
      </c>
      <c r="J6" s="3">
        <v>12.57</v>
      </c>
      <c r="K6" s="3">
        <v>331.6</v>
      </c>
      <c r="L6" s="3">
        <v>378.3</v>
      </c>
      <c r="M6" s="3">
        <v>2.5</v>
      </c>
      <c r="N6" s="3">
        <v>0.4</v>
      </c>
      <c r="O6">
        <f>M6^2*N6*(CT_ThongSo!$C$34-CT_ThongSo!$C$35)</f>
        <v>37.5</v>
      </c>
      <c r="P6">
        <f>CT_ThongSo!$C$36*O6+CT_ThongSo!$C$45*CT_ThongSo!$C$56</f>
        <v>65.417253948185106</v>
      </c>
      <c r="Q6">
        <f>M6*(0.5*CT_ThongSo!$C$38*CT_ThongSo!$C$40^2+2*CT_ThongSo!$C$37*CT_ThongSo!$C$40)</f>
        <v>15.168749999999999</v>
      </c>
      <c r="R6">
        <f>O6*M6/2+CT_ThongSo!$C$45/2*CT_ThongSo!$C$55*M6</f>
        <v>126.04313487046278</v>
      </c>
      <c r="S6">
        <f>MAX(0,CT_ThongSo!$C$19-L6+CT_ThongSo!$C$13-N6-CT_ThongSo!$C$33)</f>
        <v>1.4999999999999889</v>
      </c>
      <c r="T6">
        <f t="shared" ref="T6:T37" si="0">ATAN(S6/MAX(0.1,E6))</f>
        <v>0.11886377694192819</v>
      </c>
      <c r="U6">
        <f t="shared" ref="U6:U37" si="1">ATAN(S6/MAX(0.1,J6))</f>
        <v>0.11877010258424624</v>
      </c>
      <c r="V6">
        <f>MAX(0,CT_ThongSo!$C$20-L6+CT_ThongSo!$C$13-N6-CT_ThongSo!$C$33)</f>
        <v>7.4999999999999876</v>
      </c>
      <c r="W6">
        <f t="shared" ref="W6:W37" si="2">ATAN(V6/MAX(0.1,E6))</f>
        <v>0.5383093041061725</v>
      </c>
      <c r="X6">
        <f t="shared" ref="X6:X37" si="3">ATAN(V6/MAX(0.1,J6))</f>
        <v>0.53795904829363961</v>
      </c>
      <c r="Y6">
        <f>SQRT((D6*COS(T6)*SIN(RADIANS(F6))+MIN(CT_ThongSo!$C$17,I6)*COS(U6)*SIN(RADIANS(K6)))^2+(D6*COS(T6)*COS(RADIANS(F6))+MIN(CT_ThongSo!$C$17,I6)*COS(U6)*COS(RADIANS(K6)))^2)</f>
        <v>25.057236051571092</v>
      </c>
      <c r="Z6">
        <f>D6*SIN(T6)+MIN(CT_ThongSo!$C$17,I6)*SIN(U6)</f>
        <v>4.1767088167906232</v>
      </c>
      <c r="AA6">
        <f t="shared" ref="AA6:AA37" si="4">Z6/P6</f>
        <v>6.3847204899472848E-2</v>
      </c>
      <c r="AB6">
        <f>CT_ThongSo!$C$42*Y6/(IF(O6&gt;Z6,CT_ThongSo!$C$39*CT_ThongSo!$C$37*M6^2,0)+Q6+CT_ThongSo!$C$45*CT_ThongSo!$C$61)</f>
        <v>0.27313587427537911</v>
      </c>
      <c r="AC6">
        <f>CT_ThongSo!$C$43*(Y6*(N6+CT_ThongSo!$C$33)+Z6*M6/2)/R6</f>
        <v>0.2261412238224817</v>
      </c>
      <c r="AD6">
        <f>MAX(MAX(0,Z6-CT_ThongSo!$C$36*O6)/CT_ThongSo!$C$45,MAX(0,(Y6*(N6+CT_ThongSo!$C$33)+Z6*M6/2)-CT_ThongSo!$C$36*O6*M6/2)/(M6-CT_ThongSo!$C$41)/(CT_ThongSo!$C$45/2))/CT_ThongSo!$C$56</f>
        <v>0</v>
      </c>
      <c r="AE6">
        <f>SQRT((MIN(CT_ThongSo!$C$17,D6)*COS(T6)*SIN(RADIANS(F6))+I6*COS(U6)*SIN(RADIANS(K6)))^2+(MIN(CT_ThongSo!$C$17,D6)*COS(T6)*COS(RADIANS(F6))+I6*COS(U6)*COS(RADIANS(K6)))^2)</f>
        <v>22.619226428647114</v>
      </c>
      <c r="AF6">
        <f>MIN(CT_ThongSo!$C$17,D6)*SIN(T6)+I6*SIN(U6)</f>
        <v>3.8833629410236297</v>
      </c>
      <c r="AG6">
        <f t="shared" ref="AG6:AG37" si="5">AF6/P6</f>
        <v>5.9362976992270514E-2</v>
      </c>
      <c r="AH6">
        <f>CT_ThongSo!$C$42*AE6/(IF(O6&gt;AF6,CT_ThongSo!$C$39*CT_ThongSo!$C$37*M6^2,0)+Q6+CT_ThongSo!$C$45*CT_ThongSo!$C$61)</f>
        <v>0.24656040168619961</v>
      </c>
      <c r="AI6">
        <f>CT_ThongSo!$C$43*(AE6*(N6+CT_ThongSo!$C$33)+AF6*M6/2)/R6</f>
        <v>0.20581975642477077</v>
      </c>
      <c r="AJ6">
        <f>MAX(MAX(0,AF6-CT_ThongSo!$C$36*O6)/CT_ThongSo!$C$45,MAX(0,(AE6*(N6+CT_ThongSo!$C$33)+AF6*M6/2)-CT_ThongSo!$C$36*O6*M6/2)/(M6-CT_ThongSo!$C$41)/(CT_ThongSo!$C$45/2))/CT_ThongSo!$C$56</f>
        <v>0</v>
      </c>
      <c r="AK6">
        <f t="shared" ref="AK6:AK37" si="6">SQRT((D6*COS(T6)*SIN(RADIANS(F6))+I6*COS(U6)*SIN(RADIANS(K6)))^2+(D6*COS(T6)*COS(RADIANS(F6))+I6*COS(U6)*COS(RADIANS(K6)))^2)</f>
        <v>2.9477931611544466</v>
      </c>
      <c r="AL6">
        <f t="shared" ref="AL6:AL37" si="7">D6*SIN(T6)+I6*SIN(U6)</f>
        <v>6.8746960454495714</v>
      </c>
      <c r="AM6">
        <f t="shared" ref="AM6:AM37" si="8">AL6/P6</f>
        <v>0.10508995151179529</v>
      </c>
      <c r="AN6">
        <f>CT_ThongSo!$C$42*AK6/(IF(O6&gt;AL6,CT_ThongSo!$C$39*CT_ThongSo!$C$37*M6^2,0)+Q6+CT_ThongSo!$C$45*CT_ThongSo!$C$61)</f>
        <v>3.2132357319769926E-2</v>
      </c>
      <c r="AO6">
        <f>CT_ThongSo!$C$43*(AK6*(N6+CT_ThongSo!$C$33)+AL6*M6/2)/R6</f>
        <v>0.12156143576496328</v>
      </c>
      <c r="AP6">
        <f>MAX(MAX(0,AL6-CT_ThongSo!$C$36*O6)/CT_ThongSo!$C$45,MAX(0,(AK6*(N6+CT_ThongSo!$C$33)+AL6*M6/2)-CT_ThongSo!$C$36*O6*M6/2)/(M6-CT_ThongSo!$C$41)/(CT_ThongSo!$C$45/2))/CT_ThongSo!$C$56</f>
        <v>0</v>
      </c>
      <c r="AQ6">
        <f>SQRT((D6*COS(W6)*SIN(RADIANS(F6))+MIN(CT_ThongSo!$C$17,I6)*COS(X6)*SIN(RADIANS(K6)))^2+(D6*COS(W6)*COS(RADIANS(F6))+MIN(CT_ThongSo!$C$17,I6)*COS(X6)*COS(RADIANS(K6)))^2)</f>
        <v>21.665589606368929</v>
      </c>
      <c r="AR6">
        <f>D6*SIN(W6)+MIN(CT_ThongSo!$C$17,I6)*SIN(X6)</f>
        <v>18.05804505550643</v>
      </c>
      <c r="AS6">
        <f t="shared" ref="AS6:AS37" si="9">AR6/P6</f>
        <v>0.27604407041924478</v>
      </c>
      <c r="AT6">
        <f>CT_ThongSo!$C$42*AQ6/(IF(O6&gt;AR6,CT_ThongSo!$C$39*CT_ThongSo!$C$37*M6^2,0)+Q6+CT_ThongSo!$C$45*CT_ThongSo!$C$61)</f>
        <v>0.23616530357330082</v>
      </c>
      <c r="AU6">
        <f>CT_ThongSo!$C$43*(AQ6*(N6+CT_ThongSo!$C$33)+AR6*M6/2)/R6</f>
        <v>0.41043842615860021</v>
      </c>
      <c r="AV6">
        <f>MAX(MAX(0,AR6-CT_ThongSo!$C$36*O6)/CT_ThongSo!$C$45,MAX(0,(AQ6*(N6+CT_ThongSo!$C$33)+AR6*M6/2)-CT_ThongSo!$C$36*O6*M6/2)/(M6-CT_ThongSo!$C$41)/(CT_ThongSo!$C$45/2))/CT_ThongSo!$C$56</f>
        <v>0</v>
      </c>
      <c r="AW6">
        <f>SQRT((MIN(CT_ThongSo!$C$17,D6)*COS(W6)*SIN(RADIANS(F6))+I6*COS(X6)*SIN(RADIANS(K6)))^2+(MIN(CT_ThongSo!$C$17,D6)*COS(W6)*COS(RADIANS(F6))+I6*COS(X6)*COS(RADIANS(K6)))^2)</f>
        <v>19.563062372895462</v>
      </c>
      <c r="AX6">
        <f>MIN(CT_ThongSo!$C$17,D6)*SIN(W6)+I6*SIN(X6)</f>
        <v>16.792105071054316</v>
      </c>
      <c r="AY6">
        <f t="shared" ref="AY6:AY37" si="10">AX6/P6</f>
        <v>0.25669229534389809</v>
      </c>
      <c r="AZ6">
        <f>CT_ThongSo!$C$42*AW6/(IF(O6&gt;AX6,CT_ThongSo!$C$39*CT_ThongSo!$C$37*M6^2,0)+Q6+CT_ThongSo!$C$45*CT_ThongSo!$C$61)</f>
        <v>0.21324674971043123</v>
      </c>
      <c r="BA6">
        <f>CT_ThongSo!$C$43*(AW6*(N6+CT_ThongSo!$C$33)+AX6*M6/2)/R6</f>
        <v>0.37784464433394604</v>
      </c>
      <c r="BB6">
        <f>MAX(MAX(0,AX6-CT_ThongSo!$C$36*O6)/CT_ThongSo!$C$45,MAX(0,(AW6*(N6+CT_ThongSo!$C$33)+AX6*M6/2)-CT_ThongSo!$C$36*O6*M6/2)/(M6-CT_ThongSo!$C$41)/(CT_ThongSo!$C$45/2))/CT_ThongSo!$C$56</f>
        <v>0</v>
      </c>
      <c r="BC6">
        <f t="shared" ref="BC6:BC37" si="11">SQRT((D6*COS(W6)*SIN(RADIANS(F6))+I6*COS(X6)*SIN(RADIANS(K6)))^2+(D6*COS(W6)*COS(RADIANS(F6))+I6*COS(X6)*COS(RADIANS(K6)))^2)</f>
        <v>2.5450697569788545</v>
      </c>
      <c r="BD6">
        <f t="shared" ref="BD6:BD37" si="12">D6*SIN(W6)+I6*SIN(X6)</f>
        <v>29.724802561354792</v>
      </c>
      <c r="BE6">
        <f t="shared" ref="BE6:BE37" si="13">BD6/P6</f>
        <v>0.45438780699811776</v>
      </c>
      <c r="BF6">
        <f>CT_ThongSo!$C$42*BC6/(IF(O6&gt;BD6,CT_ThongSo!$C$39*CT_ThongSo!$C$37*M6^2,0)+Q6+CT_ThongSo!$C$45*CT_ThongSo!$C$61)</f>
        <v>2.7742479327469961E-2</v>
      </c>
      <c r="BG6">
        <f>CT_ThongSo!$C$43*(BC6*(N6+CT_ThongSo!$C$33)+BD6*M6/2)/R6</f>
        <v>0.45884043912018463</v>
      </c>
      <c r="BH6">
        <f>MAX(MAX(0,BD6-CT_ThongSo!$C$36*O6)/CT_ThongSo!$C$45,MAX(0,(BC6*(N6+CT_ThongSo!$C$33)+BD6*M6/2)-CT_ThongSo!$C$36*O6*M6/2)/(M6-CT_ThongSo!$C$41)/(CT_ThongSo!$C$45/2))/CT_ThongSo!$C$56</f>
        <v>0</v>
      </c>
      <c r="BI6">
        <f t="shared" ref="BI6:BI37" si="14">MAX(AA6,AG6,AM6,AS6,AY6,BE6)</f>
        <v>0.45438780699811776</v>
      </c>
      <c r="BJ6">
        <f t="shared" ref="BJ6:BJ37" si="15">MAX(AB6,AH6,AN6,AT6,AZ6,BF6)</f>
        <v>0.27313587427537911</v>
      </c>
      <c r="BK6">
        <f t="shared" ref="BK6:BK37" si="16">MAX(AC6,AI6,AO6,AU6,BA6,BG6)</f>
        <v>0.45884043912018463</v>
      </c>
      <c r="BL6">
        <f t="shared" ref="BL6:BL37" si="17">MAX(AD6,AJ6,AP6,AV6,BB6,BH6)</f>
        <v>0</v>
      </c>
      <c r="BM6">
        <f>(O6/M6^2)/(5.14*CT_ThongSo!$C$37/CT_ThongSo!$C$44)</f>
        <v>0.14591439688715954</v>
      </c>
      <c r="BN6" t="str">
        <f t="shared" ref="BN6:BN37" si="18">IF(MAX(BI6:BM6)&lt;=1,"ĐẠT","KHÔNG ĐẠT")</f>
        <v>ĐẠT</v>
      </c>
      <c r="BO6">
        <f t="shared" ref="BO6:BO37" si="19">M6^2*N6</f>
        <v>2.5</v>
      </c>
      <c r="BP6">
        <v>2.5</v>
      </c>
    </row>
    <row r="7" spans="1:68" ht="15.5" x14ac:dyDescent="0.35">
      <c r="A7" t="s">
        <v>740</v>
      </c>
      <c r="B7" t="s">
        <v>741</v>
      </c>
      <c r="C7" t="s">
        <v>160</v>
      </c>
      <c r="D7">
        <f>VLOOKUP(C7,CT_LucDay!$A$6:$M$14,13,FALSE)</f>
        <v>30.225419381841515</v>
      </c>
      <c r="E7" s="3">
        <v>11.3</v>
      </c>
      <c r="F7" s="3">
        <v>136.6</v>
      </c>
      <c r="G7" t="s">
        <v>742</v>
      </c>
      <c r="H7" t="s">
        <v>164</v>
      </c>
      <c r="I7">
        <f>VLOOKUP(H7,CT_LucDay!$A$6:$M$14,13,FALSE)</f>
        <v>27.769541695427026</v>
      </c>
      <c r="J7" s="3">
        <v>11.3</v>
      </c>
      <c r="K7" s="3">
        <v>316.7</v>
      </c>
      <c r="L7" s="3">
        <v>378.3</v>
      </c>
      <c r="M7" s="3">
        <v>2.5</v>
      </c>
      <c r="N7" s="3">
        <v>0.4</v>
      </c>
      <c r="O7">
        <f>M7^2*N7*(CT_ThongSo!$C$34-CT_ThongSo!$C$35)</f>
        <v>37.5</v>
      </c>
      <c r="P7">
        <f>CT_ThongSo!$C$36*O7+CT_ThongSo!$C$45*CT_ThongSo!$C$56</f>
        <v>65.417253948185106</v>
      </c>
      <c r="Q7">
        <f>M7*(0.5*CT_ThongSo!$C$38*CT_ThongSo!$C$40^2+2*CT_ThongSo!$C$37*CT_ThongSo!$C$40)</f>
        <v>15.168749999999999</v>
      </c>
      <c r="R7">
        <f>O7*M7/2+CT_ThongSo!$C$45/2*CT_ThongSo!$C$55*M7</f>
        <v>126.04313487046278</v>
      </c>
      <c r="S7">
        <f>MAX(0,CT_ThongSo!$C$19-L7+CT_ThongSo!$C$13-N7-CT_ThongSo!$C$33)</f>
        <v>1.4999999999999889</v>
      </c>
      <c r="T7">
        <f t="shared" si="0"/>
        <v>0.13197182221668538</v>
      </c>
      <c r="U7">
        <f t="shared" si="1"/>
        <v>0.13197182221668538</v>
      </c>
      <c r="V7">
        <f>MAX(0,CT_ThongSo!$C$20-L7+CT_ThongSo!$C$13-N7-CT_ThongSo!$C$33)</f>
        <v>7.4999999999999876</v>
      </c>
      <c r="W7">
        <f t="shared" si="2"/>
        <v>0.58595761662321277</v>
      </c>
      <c r="X7">
        <f t="shared" si="3"/>
        <v>0.58595761662321277</v>
      </c>
      <c r="Y7">
        <f>SQRT((D7*COS(T7)*SIN(RADIANS(F7))+MIN(CT_ThongSo!$C$17,I7)*COS(U7)*SIN(RADIANS(K7)))^2+(D7*COS(T7)*COS(RADIANS(F7))+MIN(CT_ThongSo!$C$17,I7)*COS(U7)*COS(RADIANS(K7)))^2)</f>
        <v>25.006077028556351</v>
      </c>
      <c r="Z7">
        <f>D7*SIN(T7)+MIN(CT_ThongSo!$C$17,I7)*SIN(U7)</f>
        <v>4.6352802863637681</v>
      </c>
      <c r="AA7">
        <f t="shared" si="4"/>
        <v>7.0857151693270767E-2</v>
      </c>
      <c r="AB7">
        <f>CT_ThongSo!$C$42*Y7/(IF(O7&gt;Z7,CT_ThongSo!$C$39*CT_ThongSo!$C$37*M7^2,0)+Q7+CT_ThongSo!$C$45*CT_ThongSo!$C$61)</f>
        <v>0.27257821642159802</v>
      </c>
      <c r="AC7">
        <f>CT_ThongSo!$C$43*(Y7*(N7+CT_ThongSo!$C$33)+Z7*M7/2)/R7</f>
        <v>0.23262801354175333</v>
      </c>
      <c r="AD7">
        <f>MAX(MAX(0,Z7-CT_ThongSo!$C$36*O7)/CT_ThongSo!$C$45,MAX(0,(Y7*(N7+CT_ThongSo!$C$33)+Z7*M7/2)-CT_ThongSo!$C$36*O7*M7/2)/(M7-CT_ThongSo!$C$41)/(CT_ThongSo!$C$45/2))/CT_ThongSo!$C$56</f>
        <v>0</v>
      </c>
      <c r="AE7">
        <f>SQRT((MIN(CT_ThongSo!$C$17,D7)*COS(T7)*SIN(RADIANS(F7))+I7*COS(U7)*SIN(RADIANS(K7)))^2+(MIN(CT_ThongSo!$C$17,D7)*COS(T7)*COS(RADIANS(F7))+I7*COS(U7)*COS(RADIANS(K7)))^2)</f>
        <v>22.571554954469455</v>
      </c>
      <c r="AF7">
        <f>MIN(CT_ThongSo!$C$17,D7)*SIN(T7)+I7*SIN(U7)</f>
        <v>4.3121136179372179</v>
      </c>
      <c r="AG7">
        <f t="shared" si="5"/>
        <v>6.5917068627685038E-2</v>
      </c>
      <c r="AH7">
        <f>CT_ThongSo!$C$42*AE7/(IF(O7&gt;AF7,CT_ThongSo!$C$39*CT_ThongSo!$C$37*M7^2,0)+Q7+CT_ThongSo!$C$45*CT_ThongSo!$C$61)</f>
        <v>0.24604075978512507</v>
      </c>
      <c r="AI7">
        <f>CT_ThongSo!$C$43*(AE7*(N7+CT_ThongSo!$C$33)+AF7*M7/2)/R7</f>
        <v>0.21188576354052666</v>
      </c>
      <c r="AJ7">
        <f>MAX(MAX(0,AF7-CT_ThongSo!$C$36*O7)/CT_ThongSo!$C$45,MAX(0,(AE7*(N7+CT_ThongSo!$C$33)+AF7*M7/2)-CT_ThongSo!$C$36*O7*M7/2)/(M7-CT_ThongSo!$C$41)/(CT_ThongSo!$C$45/2))/CT_ThongSo!$C$56</f>
        <v>0</v>
      </c>
      <c r="AK7">
        <f t="shared" si="6"/>
        <v>2.4350382001169146</v>
      </c>
      <c r="AL7">
        <f t="shared" si="7"/>
        <v>7.6315031732020611</v>
      </c>
      <c r="AM7">
        <f t="shared" si="8"/>
        <v>0.1166588738079212</v>
      </c>
      <c r="AN7">
        <f>CT_ThongSo!$C$42*AK7/(IF(O7&gt;AL7,CT_ThongSo!$C$39*CT_ThongSo!$C$37*M7^2,0)+Q7+CT_ThongSo!$C$45*CT_ThongSo!$C$61)</f>
        <v>2.6543082657401768E-2</v>
      </c>
      <c r="AO7">
        <f>CT_ThongSo!$C$43*(AK7*(N7+CT_ThongSo!$C$33)+AL7*M7/2)/R7</f>
        <v>0.12946341727870109</v>
      </c>
      <c r="AP7">
        <f>MAX(MAX(0,AL7-CT_ThongSo!$C$36*O7)/CT_ThongSo!$C$45,MAX(0,(AK7*(N7+CT_ThongSo!$C$33)+AL7*M7/2)-CT_ThongSo!$C$36*O7*M7/2)/(M7-CT_ThongSo!$C$41)/(CT_ThongSo!$C$45/2))/CT_ThongSo!$C$56</f>
        <v>0</v>
      </c>
      <c r="AQ7">
        <f>SQRT((D7*COS(W7)*SIN(RADIANS(F7))+MIN(CT_ThongSo!$C$17,I7)*COS(X7)*SIN(RADIANS(K7)))^2+(D7*COS(W7)*COS(RADIANS(F7))+MIN(CT_ThongSo!$C$17,I7)*COS(X7)*COS(RADIANS(K7)))^2)</f>
        <v>21.017395888655518</v>
      </c>
      <c r="AR7">
        <f>D7*SIN(W7)+MIN(CT_ThongSo!$C$17,I7)*SIN(X7)</f>
        <v>19.479569050782196</v>
      </c>
      <c r="AS7">
        <f t="shared" si="9"/>
        <v>0.29777417844856852</v>
      </c>
      <c r="AT7">
        <f>CT_ThongSo!$C$42*AQ7/(IF(O7&gt;AR7,CT_ThongSo!$C$39*CT_ThongSo!$C$37*M7^2,0)+Q7+CT_ThongSo!$C$45*CT_ThongSo!$C$61)</f>
        <v>0.22909968159396202</v>
      </c>
      <c r="AU7">
        <f>CT_ThongSo!$C$43*(AQ7*(N7+CT_ThongSo!$C$33)+AR7*M7/2)/R7</f>
        <v>0.42734214468494564</v>
      </c>
      <c r="AV7">
        <f>MAX(MAX(0,AR7-CT_ThongSo!$C$36*O7)/CT_ThongSo!$C$45,MAX(0,(AQ7*(N7+CT_ThongSo!$C$33)+AR7*M7/2)-CT_ThongSo!$C$36*O7*M7/2)/(M7-CT_ThongSo!$C$41)/(CT_ThongSo!$C$45/2))/CT_ThongSo!$C$56</f>
        <v>0</v>
      </c>
      <c r="AW7">
        <f>SQRT((MIN(CT_ThongSo!$C$17,D7)*COS(W7)*SIN(RADIANS(F7))+I7*COS(X7)*SIN(RADIANS(K7)))^2+(MIN(CT_ThongSo!$C$17,D7)*COS(W7)*COS(RADIANS(F7))+I7*COS(X7)*COS(RADIANS(K7)))^2)</f>
        <v>18.9712007108864</v>
      </c>
      <c r="AX7">
        <f>MIN(CT_ThongSo!$C$17,D7)*SIN(W7)+I7*SIN(X7)</f>
        <v>18.121474816212281</v>
      </c>
      <c r="AY7">
        <f t="shared" si="10"/>
        <v>0.27701368862969572</v>
      </c>
      <c r="AZ7">
        <f>CT_ThongSo!$C$42*AW7/(IF(O7&gt;AX7,CT_ThongSo!$C$39*CT_ThongSo!$C$37*M7^2,0)+Q7+CT_ThongSo!$C$45*CT_ThongSo!$C$61)</f>
        <v>0.20679517411884524</v>
      </c>
      <c r="BA7">
        <f>CT_ThongSo!$C$43*(AW7*(N7+CT_ThongSo!$C$33)+AX7*M7/2)/R7</f>
        <v>0.39374620377289171</v>
      </c>
      <c r="BB7">
        <f>MAX(MAX(0,AX7-CT_ThongSo!$C$36*O7)/CT_ThongSo!$C$45,MAX(0,(AW7*(N7+CT_ThongSo!$C$33)+AX7*M7/2)-CT_ThongSo!$C$36*O7*M7/2)/(M7-CT_ThongSo!$C$41)/(CT_ThongSo!$C$45/2))/CT_ThongSo!$C$56</f>
        <v>0</v>
      </c>
      <c r="BC7">
        <f t="shared" si="11"/>
        <v>2.0466289773246809</v>
      </c>
      <c r="BD7">
        <f t="shared" si="12"/>
        <v>32.071068811303931</v>
      </c>
      <c r="BE7">
        <f t="shared" si="13"/>
        <v>0.4902539754528123</v>
      </c>
      <c r="BF7">
        <f>CT_ThongSo!$C$42*BC7/(IF(O7&gt;BD7,CT_ThongSo!$C$39*CT_ThongSo!$C$37*M7^2,0)+Q7+CT_ThongSo!$C$45*CT_ThongSo!$C$61)</f>
        <v>2.2309236098043299E-2</v>
      </c>
      <c r="BG7">
        <f>CT_ThongSo!$C$43*(BC7*(N7+CT_ThongSo!$C$33)+BD7*M7/2)/R7</f>
        <v>0.49048068338686779</v>
      </c>
      <c r="BH7">
        <f>MAX(MAX(0,BD7-CT_ThongSo!$C$36*O7)/CT_ThongSo!$C$45,MAX(0,(BC7*(N7+CT_ThongSo!$C$33)+BD7*M7/2)-CT_ThongSo!$C$36*O7*M7/2)/(M7-CT_ThongSo!$C$41)/(CT_ThongSo!$C$45/2))/CT_ThongSo!$C$56</f>
        <v>0</v>
      </c>
      <c r="BI7">
        <f t="shared" si="14"/>
        <v>0.4902539754528123</v>
      </c>
      <c r="BJ7">
        <f t="shared" si="15"/>
        <v>0.27257821642159802</v>
      </c>
      <c r="BK7">
        <f t="shared" si="16"/>
        <v>0.49048068338686779</v>
      </c>
      <c r="BL7">
        <f t="shared" si="17"/>
        <v>0</v>
      </c>
      <c r="BM7">
        <f>(O7/M7^2)/(5.14*CT_ThongSo!$C$37/CT_ThongSo!$C$44)</f>
        <v>0.14591439688715954</v>
      </c>
      <c r="BN7" t="str">
        <f t="shared" si="18"/>
        <v>ĐẠT</v>
      </c>
      <c r="BO7">
        <f t="shared" si="19"/>
        <v>2.5</v>
      </c>
      <c r="BP7">
        <v>2.5</v>
      </c>
    </row>
    <row r="8" spans="1:68" ht="15.5" x14ac:dyDescent="0.35">
      <c r="A8" t="s">
        <v>743</v>
      </c>
      <c r="B8" t="s">
        <v>744</v>
      </c>
      <c r="C8" t="s">
        <v>164</v>
      </c>
      <c r="D8">
        <f>VLOOKUP(C8,CT_LucDay!$A$6:$M$14,13,FALSE)</f>
        <v>27.769541695427026</v>
      </c>
      <c r="E8" s="3">
        <v>10.08</v>
      </c>
      <c r="F8" s="3">
        <v>152.4</v>
      </c>
      <c r="G8" t="s">
        <v>745</v>
      </c>
      <c r="H8" t="s">
        <v>165</v>
      </c>
      <c r="I8">
        <f>VLOOKUP(H8,CT_LucDay!$A$6:$M$14,13,FALSE)</f>
        <v>38.636920577063449</v>
      </c>
      <c r="J8" s="3">
        <v>10.07</v>
      </c>
      <c r="K8" s="3">
        <v>332.4</v>
      </c>
      <c r="L8" s="3">
        <v>378.3</v>
      </c>
      <c r="M8" s="3">
        <v>2.5</v>
      </c>
      <c r="N8" s="3">
        <v>0.4</v>
      </c>
      <c r="O8">
        <f>M8^2*N8*(CT_ThongSo!$C$34-CT_ThongSo!$C$35)</f>
        <v>37.5</v>
      </c>
      <c r="P8">
        <f>CT_ThongSo!$C$36*O8+CT_ThongSo!$C$45*CT_ThongSo!$C$56</f>
        <v>65.417253948185106</v>
      </c>
      <c r="Q8">
        <f>M8*(0.5*CT_ThongSo!$C$38*CT_ThongSo!$C$40^2+2*CT_ThongSo!$C$37*CT_ThongSo!$C$40)</f>
        <v>15.168749999999999</v>
      </c>
      <c r="R8">
        <f>O8*M8/2+CT_ThongSo!$C$45/2*CT_ThongSo!$C$55*M8</f>
        <v>126.04313487046278</v>
      </c>
      <c r="S8">
        <f>MAX(0,CT_ThongSo!$C$19-L8+CT_ThongSo!$C$13-N8-CT_ThongSo!$C$33)</f>
        <v>1.4999999999999889</v>
      </c>
      <c r="T8">
        <f t="shared" si="0"/>
        <v>0.14772546487529728</v>
      </c>
      <c r="U8">
        <f t="shared" si="1"/>
        <v>0.1478700353842192</v>
      </c>
      <c r="V8">
        <f>MAX(0,CT_ThongSo!$C$20-L8+CT_ThongSo!$C$13-N8-CT_ThongSo!$C$33)</f>
        <v>7.4999999999999876</v>
      </c>
      <c r="W8">
        <f t="shared" si="2"/>
        <v>0.63968068802999678</v>
      </c>
      <c r="X8">
        <f t="shared" si="3"/>
        <v>0.64015610693334735</v>
      </c>
      <c r="Y8">
        <f>SQRT((D8*COS(T8)*SIN(RADIANS(F8))+MIN(CT_ThongSo!$C$17,I8)*COS(U8)*SIN(RADIANS(K8)))^2+(D8*COS(T8)*COS(RADIANS(F8))+MIN(CT_ThongSo!$C$17,I8)*COS(U8)*COS(RADIANS(K8)))^2)</f>
        <v>22.521651908410409</v>
      </c>
      <c r="Z8">
        <f>D8*SIN(T8)+MIN(CT_ThongSo!$C$17,I8)*SIN(U8)</f>
        <v>4.8240229604077456</v>
      </c>
      <c r="AA8">
        <f t="shared" si="4"/>
        <v>7.3742364120461215E-2</v>
      </c>
      <c r="AB8">
        <f>CT_ThongSo!$C$42*Y8/(IF(O8&gt;Z8,CT_ThongSo!$C$39*CT_ThongSo!$C$37*M8^2,0)+Q8+CT_ThongSo!$C$45*CT_ThongSo!$C$61)</f>
        <v>0.24549679268171876</v>
      </c>
      <c r="AC8">
        <f>CT_ThongSo!$C$43*(Y8*(N8+CT_ThongSo!$C$33)+Z8*M8/2)/R8</f>
        <v>0.21917422082205693</v>
      </c>
      <c r="AD8">
        <f>MAX(MAX(0,Z8-CT_ThongSo!$C$36*O8)/CT_ThongSo!$C$45,MAX(0,(Y8*(N8+CT_ThongSo!$C$33)+Z8*M8/2)-CT_ThongSo!$C$36*O8*M8/2)/(M8-CT_ThongSo!$C$41)/(CT_ThongSo!$C$45/2))/CT_ThongSo!$C$56</f>
        <v>0</v>
      </c>
      <c r="AE8">
        <f>SQRT((MIN(CT_ThongSo!$C$17,D8)*COS(T8)*SIN(RADIANS(F8))+I8*COS(U8)*SIN(RADIANS(K8)))^2+(MIN(CT_ThongSo!$C$17,D8)*COS(T8)*COS(RADIANS(F8))+I8*COS(U8)*COS(RADIANS(K8)))^2)</f>
        <v>33.269738879900132</v>
      </c>
      <c r="AF8">
        <f>MIN(CT_ThongSo!$C$17,D8)*SIN(T8)+I8*SIN(U8)</f>
        <v>6.428388799944031</v>
      </c>
      <c r="AG8">
        <f t="shared" si="5"/>
        <v>9.8267481619386685E-2</v>
      </c>
      <c r="AH8">
        <f>CT_ThongSo!$C$42*AE8/(IF(O8&gt;AF8,CT_ThongSo!$C$39*CT_ThongSo!$C$37*M8^2,0)+Q8+CT_ThongSo!$C$45*CT_ThongSo!$C$61)</f>
        <v>0.36265608853157322</v>
      </c>
      <c r="AI8">
        <f>CT_ThongSo!$C$43*(AE8*(N8+CT_ThongSo!$C$33)+AF8*M8/2)/R8</f>
        <v>0.31339083732254397</v>
      </c>
      <c r="AJ8">
        <f>MAX(MAX(0,AF8-CT_ThongSo!$C$36*O8)/CT_ThongSo!$C$45,MAX(0,(AE8*(N8+CT_ThongSo!$C$33)+AF8*M8/2)-CT_ThongSo!$C$36*O8*M8/2)/(M8-CT_ThongSo!$C$41)/(CT_ThongSo!$C$45/2))/CT_ThongSo!$C$56</f>
        <v>0</v>
      </c>
      <c r="AK8">
        <f t="shared" si="6"/>
        <v>10.748193418936699</v>
      </c>
      <c r="AL8">
        <f t="shared" si="7"/>
        <v>9.7798092554445173</v>
      </c>
      <c r="AM8">
        <f t="shared" si="8"/>
        <v>0.14949892673866727</v>
      </c>
      <c r="AN8">
        <f>CT_ThongSo!$C$42*AK8/(IF(O8&gt;AL8,CT_ThongSo!$C$39*CT_ThongSo!$C$37*M8^2,0)+Q8+CT_ThongSo!$C$45*CT_ThongSo!$C$61)</f>
        <v>0.11716045617801016</v>
      </c>
      <c r="AO8">
        <f>CT_ThongSo!$C$43*(AK8*(N8+CT_ThongSo!$C$33)+AL8*M8/2)/R8</f>
        <v>0.21583406309704842</v>
      </c>
      <c r="AP8">
        <f>MAX(MAX(0,AL8-CT_ThongSo!$C$36*O8)/CT_ThongSo!$C$45,MAX(0,(AK8*(N8+CT_ThongSo!$C$33)+AL8*M8/2)-CT_ThongSo!$C$36*O8*M8/2)/(M8-CT_ThongSo!$C$41)/(CT_ThongSo!$C$45/2))/CT_ThongSo!$C$56</f>
        <v>0</v>
      </c>
      <c r="AQ8">
        <f>SQRT((D8*COS(W8)*SIN(RADIANS(F8))+MIN(CT_ThongSo!$C$17,I8)*COS(X8)*SIN(RADIANS(K8)))^2+(D8*COS(W8)*COS(RADIANS(F8))+MIN(CT_ThongSo!$C$17,I8)*COS(X8)*COS(RADIANS(K8)))^2)</f>
        <v>18.269113267674491</v>
      </c>
      <c r="AR8">
        <f>D8*SIN(W8)+MIN(CT_ThongSo!$C$17,I8)*SIN(X8)</f>
        <v>19.56333379683333</v>
      </c>
      <c r="AS8">
        <f t="shared" si="9"/>
        <v>0.29905464714750662</v>
      </c>
      <c r="AT8">
        <f>CT_ThongSo!$C$42*AQ8/(IF(O8&gt;AR8,CT_ThongSo!$C$39*CT_ThongSo!$C$37*M8^2,0)+Q8+CT_ThongSo!$C$45*CT_ThongSo!$C$61)</f>
        <v>0.19914208471885028</v>
      </c>
      <c r="AU8">
        <f>CT_ThongSo!$C$43*(AQ8*(N8+CT_ThongSo!$C$33)+AR8*M8/2)/R8</f>
        <v>0.41059966786832058</v>
      </c>
      <c r="AV8">
        <f>MAX(MAX(0,AR8-CT_ThongSo!$C$36*O8)/CT_ThongSo!$C$45,MAX(0,(AQ8*(N8+CT_ThongSo!$C$33)+AR8*M8/2)-CT_ThongSo!$C$36*O8*M8/2)/(M8-CT_ThongSo!$C$41)/(CT_ThongSo!$C$45/2))/CT_ThongSo!$C$56</f>
        <v>0</v>
      </c>
      <c r="AW8">
        <f>SQRT((MIN(CT_ThongSo!$C$17,D8)*COS(W8)*SIN(RADIANS(F8))+I8*COS(X8)*SIN(RADIANS(K8)))^2+(MIN(CT_ThongSo!$C$17,D8)*COS(W8)*COS(RADIANS(F8))+I8*COS(X8)*COS(RADIANS(K8)))^2)</f>
        <v>26.975475692724345</v>
      </c>
      <c r="AX8">
        <f>MIN(CT_ThongSo!$C$17,D8)*SIN(W8)+I8*SIN(X8)</f>
        <v>26.063326849955413</v>
      </c>
      <c r="AY8">
        <f t="shared" si="10"/>
        <v>0.39841670624999531</v>
      </c>
      <c r="AZ8">
        <f>CT_ThongSo!$C$42*AW8/(IF(O8&gt;AX8,CT_ThongSo!$C$39*CT_ThongSo!$C$37*M8^2,0)+Q8+CT_ThongSo!$C$45*CT_ThongSo!$C$61)</f>
        <v>0.29404560511631245</v>
      </c>
      <c r="BA8">
        <f>CT_ThongSo!$C$43*(AW8*(N8+CT_ThongSo!$C$33)+AX8*M8/2)/R8</f>
        <v>0.56427908876797706</v>
      </c>
      <c r="BB8">
        <f>MAX(MAX(0,AX8-CT_ThongSo!$C$36*O8)/CT_ThongSo!$C$45,MAX(0,(AW8*(N8+CT_ThongSo!$C$33)+AX8*M8/2)-CT_ThongSo!$C$36*O8*M8/2)/(M8-CT_ThongSo!$C$41)/(CT_ThongSo!$C$45/2))/CT_ThongSo!$C$56</f>
        <v>0.14050812725635065</v>
      </c>
      <c r="BC8">
        <f t="shared" si="11"/>
        <v>8.7077818594528029</v>
      </c>
      <c r="BD8">
        <f t="shared" si="12"/>
        <v>39.655360952091954</v>
      </c>
      <c r="BE8">
        <f t="shared" si="13"/>
        <v>0.60619115842896254</v>
      </c>
      <c r="BF8">
        <f>CT_ThongSo!$C$42*BC8/(IF(O8&gt;BD8,CT_ThongSo!$C$39*CT_ThongSo!$C$37*M8^2,0)+Q8+CT_ThongSo!$C$45*CT_ThongSo!$C$61)</f>
        <v>0.17390374978149215</v>
      </c>
      <c r="BG8">
        <f>CT_ThongSo!$C$43*(BC8*(N8+CT_ThongSo!$C$33)+BD8*M8/2)/R8</f>
        <v>0.64690331530566125</v>
      </c>
      <c r="BH8">
        <f>MAX(MAX(0,BD8-CT_ThongSo!$C$36*O8)/CT_ThongSo!$C$45,MAX(0,(BC8*(N8+CT_ThongSo!$C$33)+BD8*M8/2)-CT_ThongSo!$C$36*O8*M8/2)/(M8-CT_ThongSo!$C$41)/(CT_ThongSo!$C$45/2))/CT_ThongSo!$C$56</f>
        <v>0.32709757215432911</v>
      </c>
      <c r="BI8">
        <f t="shared" si="14"/>
        <v>0.60619115842896254</v>
      </c>
      <c r="BJ8">
        <f t="shared" si="15"/>
        <v>0.36265608853157322</v>
      </c>
      <c r="BK8">
        <f t="shared" si="16"/>
        <v>0.64690331530566125</v>
      </c>
      <c r="BL8">
        <f t="shared" si="17"/>
        <v>0.32709757215432911</v>
      </c>
      <c r="BM8">
        <f>(O8/M8^2)/(5.14*CT_ThongSo!$C$37/CT_ThongSo!$C$44)</f>
        <v>0.14591439688715954</v>
      </c>
      <c r="BN8" t="str">
        <f t="shared" si="18"/>
        <v>ĐẠT</v>
      </c>
      <c r="BO8">
        <f t="shared" si="19"/>
        <v>2.5</v>
      </c>
      <c r="BP8">
        <v>2.5</v>
      </c>
    </row>
    <row r="9" spans="1:68" ht="15.5" x14ac:dyDescent="0.35">
      <c r="A9" t="s">
        <v>746</v>
      </c>
      <c r="B9" t="s">
        <v>747</v>
      </c>
      <c r="C9" t="s">
        <v>164</v>
      </c>
      <c r="D9">
        <f>VLOOKUP(C9,CT_LucDay!$A$6:$M$14,13,FALSE)</f>
        <v>27.769541695427026</v>
      </c>
      <c r="E9" s="3">
        <v>9.01</v>
      </c>
      <c r="F9" s="3">
        <v>113.6</v>
      </c>
      <c r="G9" t="s">
        <v>748</v>
      </c>
      <c r="H9" t="s">
        <v>165</v>
      </c>
      <c r="I9">
        <f>VLOOKUP(H9,CT_LucDay!$A$6:$M$14,13,FALSE)</f>
        <v>38.636920577063449</v>
      </c>
      <c r="J9" s="3">
        <v>9.02</v>
      </c>
      <c r="K9" s="3">
        <v>293.7</v>
      </c>
      <c r="L9" s="3">
        <v>378.3</v>
      </c>
      <c r="M9" s="3">
        <v>2.5</v>
      </c>
      <c r="N9" s="3">
        <v>0.4</v>
      </c>
      <c r="O9">
        <f>M9^2*N9*(CT_ThongSo!$C$34-CT_ThongSo!$C$35)</f>
        <v>37.5</v>
      </c>
      <c r="P9">
        <f>CT_ThongSo!$C$36*O9+CT_ThongSo!$C$45*CT_ThongSo!$C$56</f>
        <v>65.417253948185106</v>
      </c>
      <c r="Q9">
        <f>M9*(0.5*CT_ThongSo!$C$38*CT_ThongSo!$C$40^2+2*CT_ThongSo!$C$37*CT_ThongSo!$C$40)</f>
        <v>15.168749999999999</v>
      </c>
      <c r="R9">
        <f>O9*M9/2+CT_ThongSo!$C$45/2*CT_ThongSo!$C$55*M9</f>
        <v>126.04313487046278</v>
      </c>
      <c r="S9">
        <f>MAX(0,CT_ThongSo!$C$19-L9+CT_ThongSo!$C$13-N9-CT_ThongSo!$C$33)</f>
        <v>1.4999999999999889</v>
      </c>
      <c r="T9">
        <f t="shared" si="0"/>
        <v>0.16496869181541726</v>
      </c>
      <c r="U9">
        <f t="shared" si="1"/>
        <v>0.16478909454626892</v>
      </c>
      <c r="V9">
        <f>MAX(0,CT_ThongSo!$C$20-L9+CT_ThongSo!$C$13-N9-CT_ThongSo!$C$33)</f>
        <v>7.4999999999999876</v>
      </c>
      <c r="W9">
        <f t="shared" si="2"/>
        <v>0.69419218625535506</v>
      </c>
      <c r="X9">
        <f t="shared" si="3"/>
        <v>0.69364681188443233</v>
      </c>
      <c r="Y9">
        <f>SQRT((D9*COS(T9)*SIN(RADIANS(F9))+MIN(CT_ThongSo!$C$17,I9)*COS(U9)*SIN(RADIANS(K9)))^2+(D9*COS(T9)*COS(RADIANS(F9))+MIN(CT_ThongSo!$C$17,I9)*COS(U9)*COS(RADIANS(K9)))^2)</f>
        <v>22.460272724121772</v>
      </c>
      <c r="Z9">
        <f>D9*SIN(T9)+MIN(CT_ThongSo!$C$17,I9)*SIN(U9)</f>
        <v>5.3805757775506864</v>
      </c>
      <c r="AA9">
        <f t="shared" si="4"/>
        <v>8.2250101507049908E-2</v>
      </c>
      <c r="AB9">
        <f>CT_ThongSo!$C$42*Y9/(IF(O9&gt;Z9,CT_ThongSo!$C$39*CT_ThongSo!$C$37*M9^2,0)+Q9+CT_ThongSo!$C$45*CT_ThongSo!$C$61)</f>
        <v>0.24482773017504472</v>
      </c>
      <c r="AC9">
        <f>CT_ThongSo!$C$43*(Y9*(N9+CT_ThongSo!$C$33)+Z9*M9/2)/R9</f>
        <v>0.22705167250655611</v>
      </c>
      <c r="AD9">
        <f>MAX(MAX(0,Z9-CT_ThongSo!$C$36*O9)/CT_ThongSo!$C$45,MAX(0,(Y9*(N9+CT_ThongSo!$C$33)+Z9*M9/2)-CT_ThongSo!$C$36*O9*M9/2)/(M9-CT_ThongSo!$C$41)/(CT_ThongSo!$C$45/2))/CT_ThongSo!$C$56</f>
        <v>0</v>
      </c>
      <c r="AE9">
        <f>SQRT((MIN(CT_ThongSo!$C$17,D9)*COS(T9)*SIN(RADIANS(F9))+I9*COS(U9)*SIN(RADIANS(K9)))^2+(MIN(CT_ThongSo!$C$17,D9)*COS(T9)*COS(RADIANS(F9))+I9*COS(U9)*COS(RADIANS(K9)))^2)</f>
        <v>33.181396394832774</v>
      </c>
      <c r="AF9">
        <f>MIN(CT_ThongSo!$C$17,D9)*SIN(T9)+I9*SIN(U9)</f>
        <v>7.1592733016922718</v>
      </c>
      <c r="AG9">
        <f t="shared" si="5"/>
        <v>0.10944013803090696</v>
      </c>
      <c r="AH9">
        <f>CT_ThongSo!$C$42*AE9/(IF(O9&gt;AF9,CT_ThongSo!$C$39*CT_ThongSo!$C$37*M9^2,0)+Q9+CT_ThongSo!$C$45*CT_ThongSo!$C$61)</f>
        <v>0.36169311313217678</v>
      </c>
      <c r="AI9">
        <f>CT_ThongSo!$C$43*(AE9*(N9+CT_ThongSo!$C$33)+AF9*M9/2)/R9</f>
        <v>0.32368513769781526</v>
      </c>
      <c r="AJ9">
        <f>MAX(MAX(0,AF9-CT_ThongSo!$C$36*O9)/CT_ThongSo!$C$45,MAX(0,(AE9*(N9+CT_ThongSo!$C$33)+AF9*M9/2)-CT_ThongSo!$C$36*O9*M9/2)/(M9-CT_ThongSo!$C$41)/(CT_ThongSo!$C$45/2))/CT_ThongSo!$C$56</f>
        <v>0</v>
      </c>
      <c r="AK9">
        <f t="shared" si="6"/>
        <v>10.721125134463326</v>
      </c>
      <c r="AL9">
        <f t="shared" si="7"/>
        <v>10.898520407891969</v>
      </c>
      <c r="AM9">
        <f t="shared" si="8"/>
        <v>0.16660009019217367</v>
      </c>
      <c r="AN9">
        <f>CT_ThongSo!$C$42*AK9/(IF(O9&gt;AL9,CT_ThongSo!$C$39*CT_ThongSo!$C$37*M9^2,0)+Q9+CT_ThongSo!$C$45*CT_ThongSo!$C$61)</f>
        <v>0.11686539891273345</v>
      </c>
      <c r="AO9">
        <f>CT_ThongSo!$C$43*(AK9*(N9+CT_ThongSo!$C$33)+AL9*M9/2)/R9</f>
        <v>0.23229868116832389</v>
      </c>
      <c r="AP9">
        <f>MAX(MAX(0,AL9-CT_ThongSo!$C$36*O9)/CT_ThongSo!$C$45,MAX(0,(AK9*(N9+CT_ThongSo!$C$33)+AL9*M9/2)-CT_ThongSo!$C$36*O9*M9/2)/(M9-CT_ThongSo!$C$41)/(CT_ThongSo!$C$45/2))/CT_ThongSo!$C$56</f>
        <v>0</v>
      </c>
      <c r="AQ9">
        <f>SQRT((D9*COS(W9)*SIN(RADIANS(F9))+MIN(CT_ThongSo!$C$17,I9)*COS(X9)*SIN(RADIANS(K9)))^2+(D9*COS(W9)*COS(RADIANS(F9))+MIN(CT_ThongSo!$C$17,I9)*COS(X9)*COS(RADIANS(K9)))^2)</f>
        <v>17.498267197921354</v>
      </c>
      <c r="AR9">
        <f>D9*SIN(W9)+MIN(CT_ThongSo!$C$17,I9)*SIN(X9)</f>
        <v>20.962702570843511</v>
      </c>
      <c r="AS9">
        <f t="shared" si="9"/>
        <v>0.32044607967566768</v>
      </c>
      <c r="AT9">
        <f>CT_ThongSo!$C$42*AQ9/(IF(O9&gt;AR9,CT_ThongSo!$C$39*CT_ThongSo!$C$37*M9^2,0)+Q9+CT_ThongSo!$C$45*CT_ThongSo!$C$61)</f>
        <v>0.19073949335720003</v>
      </c>
      <c r="AU9">
        <f>CT_ThongSo!$C$43*(AQ9*(N9+CT_ThongSo!$C$33)+AR9*M9/2)/R9</f>
        <v>0.42637100238618802</v>
      </c>
      <c r="AV9">
        <f>MAX(MAX(0,AR9-CT_ThongSo!$C$36*O9)/CT_ThongSo!$C$45,MAX(0,(AQ9*(N9+CT_ThongSo!$C$33)+AR9*M9/2)-CT_ThongSo!$C$36*O9*M9/2)/(M9-CT_ThongSo!$C$41)/(CT_ThongSo!$C$45/2))/CT_ThongSo!$C$56</f>
        <v>0</v>
      </c>
      <c r="AW9">
        <f>SQRT((MIN(CT_ThongSo!$C$17,D9)*COS(W9)*SIN(RADIANS(F9))+I9*COS(X9)*SIN(RADIANS(K9)))^2+(MIN(CT_ThongSo!$C$17,D9)*COS(W9)*COS(RADIANS(F9))+I9*COS(X9)*COS(RADIANS(K9)))^2)</f>
        <v>25.865836887383836</v>
      </c>
      <c r="AX9">
        <f>MIN(CT_ThongSo!$C$17,D9)*SIN(W9)+I9*SIN(X9)</f>
        <v>27.901166488077479</v>
      </c>
      <c r="AY9">
        <f t="shared" si="10"/>
        <v>0.42651081792850998</v>
      </c>
      <c r="AZ9">
        <f>CT_ThongSo!$C$42*AW9/(IF(O9&gt;AX9,CT_ThongSo!$C$39*CT_ThongSo!$C$37*M9^2,0)+Q9+CT_ThongSo!$C$45*CT_ThongSo!$C$61)</f>
        <v>0.28195001066995035</v>
      </c>
      <c r="BA9">
        <f>CT_ThongSo!$C$43*(AW9*(N9+CT_ThongSo!$C$33)+AX9*M9/2)/R9</f>
        <v>0.58435552775589661</v>
      </c>
      <c r="BB9">
        <f>MAX(MAX(0,AX9-CT_ThongSo!$C$36*O9)/CT_ThongSo!$C$45,MAX(0,(AW9*(N9+CT_ThongSo!$C$33)+AX9*M9/2)-CT_ThongSo!$C$36*O9*M9/2)/(M9-CT_ThongSo!$C$41)/(CT_ThongSo!$C$45/2))/CT_ThongSo!$C$56</f>
        <v>0.18584654388377292</v>
      </c>
      <c r="BC9">
        <f t="shared" si="11"/>
        <v>8.3659415621008524</v>
      </c>
      <c r="BD9">
        <f t="shared" si="12"/>
        <v>42.468317465360329</v>
      </c>
      <c r="BE9">
        <f t="shared" si="13"/>
        <v>0.64919138151225531</v>
      </c>
      <c r="BF9">
        <f>CT_ThongSo!$C$42*BC9/(IF(O9&gt;BD9,CT_ThongSo!$C$39*CT_ThongSo!$C$37*M9^2,0)+Q9+CT_ThongSo!$C$45*CT_ThongSo!$C$61)</f>
        <v>0.16707683214673411</v>
      </c>
      <c r="BG9">
        <f>CT_ThongSo!$C$43*(BC9*(N9+CT_ThongSo!$C$33)+BD9*M9/2)/R9</f>
        <v>0.68651098788690512</v>
      </c>
      <c r="BH9">
        <f>MAX(MAX(0,BD9-CT_ThongSo!$C$36*O9)/CT_ThongSo!$C$45,MAX(0,(BC9*(N9+CT_ThongSo!$C$33)+BD9*M9/2)-CT_ThongSo!$C$36*O9*M9/2)/(M9-CT_ThongSo!$C$41)/(CT_ThongSo!$C$45/2))/CT_ThongSo!$C$56</f>
        <v>0.41654317364827442</v>
      </c>
      <c r="BI9">
        <f t="shared" si="14"/>
        <v>0.64919138151225531</v>
      </c>
      <c r="BJ9">
        <f t="shared" si="15"/>
        <v>0.36169311313217678</v>
      </c>
      <c r="BK9">
        <f t="shared" si="16"/>
        <v>0.68651098788690512</v>
      </c>
      <c r="BL9">
        <f t="shared" si="17"/>
        <v>0.41654317364827442</v>
      </c>
      <c r="BM9">
        <f>(O9/M9^2)/(5.14*CT_ThongSo!$C$37/CT_ThongSo!$C$44)</f>
        <v>0.14591439688715954</v>
      </c>
      <c r="BN9" t="str">
        <f t="shared" si="18"/>
        <v>ĐẠT</v>
      </c>
      <c r="BO9">
        <f t="shared" si="19"/>
        <v>2.5</v>
      </c>
      <c r="BP9">
        <v>2.5</v>
      </c>
    </row>
    <row r="10" spans="1:68" ht="15.5" x14ac:dyDescent="0.35">
      <c r="A10" t="s">
        <v>749</v>
      </c>
      <c r="B10" t="s">
        <v>750</v>
      </c>
      <c r="C10" t="s">
        <v>164</v>
      </c>
      <c r="D10">
        <f>VLOOKUP(C10,CT_LucDay!$A$6:$M$14,13,FALSE)</f>
        <v>27.769541695427026</v>
      </c>
      <c r="E10" s="3">
        <v>14.23</v>
      </c>
      <c r="F10" s="3">
        <v>138.9</v>
      </c>
      <c r="G10" t="s">
        <v>751</v>
      </c>
      <c r="H10" t="s">
        <v>165</v>
      </c>
      <c r="I10">
        <f>VLOOKUP(H10,CT_LucDay!$A$6:$M$14,13,FALSE)</f>
        <v>38.636920577063449</v>
      </c>
      <c r="J10" s="3">
        <v>14.23</v>
      </c>
      <c r="K10" s="3">
        <v>318.89999999999998</v>
      </c>
      <c r="L10" s="3">
        <v>378.3</v>
      </c>
      <c r="M10" s="3">
        <v>2.5</v>
      </c>
      <c r="N10" s="3">
        <v>0.4</v>
      </c>
      <c r="O10">
        <f>M10^2*N10*(CT_ThongSo!$C$34-CT_ThongSo!$C$35)</f>
        <v>37.5</v>
      </c>
      <c r="P10">
        <f>CT_ThongSo!$C$36*O10+CT_ThongSo!$C$45*CT_ThongSo!$C$56</f>
        <v>65.417253948185106</v>
      </c>
      <c r="Q10">
        <f>M10*(0.5*CT_ThongSo!$C$38*CT_ThongSo!$C$40^2+2*CT_ThongSo!$C$37*CT_ThongSo!$C$40)</f>
        <v>15.168749999999999</v>
      </c>
      <c r="R10">
        <f>O10*M10/2+CT_ThongSo!$C$45/2*CT_ThongSo!$C$55*M10</f>
        <v>126.04313487046278</v>
      </c>
      <c r="S10">
        <f>MAX(0,CT_ThongSo!$C$19-L10+CT_ThongSo!$C$13-N10-CT_ThongSo!$C$33)</f>
        <v>1.4999999999999889</v>
      </c>
      <c r="T10">
        <f t="shared" si="0"/>
        <v>0.10502326056406468</v>
      </c>
      <c r="U10">
        <f t="shared" si="1"/>
        <v>0.10502326056406468</v>
      </c>
      <c r="V10">
        <f>MAX(0,CT_ThongSo!$C$20-L10+CT_ThongSo!$C$13-N10-CT_ThongSo!$C$33)</f>
        <v>7.4999999999999876</v>
      </c>
      <c r="W10">
        <f t="shared" si="2"/>
        <v>0.48505701806514806</v>
      </c>
      <c r="X10">
        <f t="shared" si="3"/>
        <v>0.48505701806514806</v>
      </c>
      <c r="Y10">
        <f>SQRT((D10*COS(T10)*SIN(RADIANS(F10))+MIN(CT_ThongSo!$C$17,I10)*COS(U10)*SIN(RADIANS(K10)))^2+(D10*COS(T10)*COS(RADIANS(F10))+MIN(CT_ThongSo!$C$17,I10)*COS(U10)*COS(RADIANS(K10)))^2)</f>
        <v>22.644084357897526</v>
      </c>
      <c r="Z10">
        <f>D10*SIN(T10)+MIN(CT_ThongSo!$C$17,I10)*SIN(U10)</f>
        <v>3.4352409280344252</v>
      </c>
      <c r="AA10">
        <f t="shared" si="4"/>
        <v>5.2512765680371859E-2</v>
      </c>
      <c r="AB10">
        <f>CT_ThongSo!$C$42*Y10/(IF(O10&gt;Z10,CT_ThongSo!$C$39*CT_ThongSo!$C$37*M10^2,0)+Q10+CT_ThongSo!$C$45*CT_ThongSo!$C$61)</f>
        <v>0.24683136502088315</v>
      </c>
      <c r="AC10">
        <f>CT_ThongSo!$C$43*(Y10*(N10+CT_ThongSo!$C$33)+Z10*M10/2)/R10</f>
        <v>0.19931626074794859</v>
      </c>
      <c r="AD10">
        <f>MAX(MAX(0,Z10-CT_ThongSo!$C$36*O10)/CT_ThongSo!$C$45,MAX(0,(Y10*(N10+CT_ThongSo!$C$33)+Z10*M10/2)-CT_ThongSo!$C$36*O10*M10/2)/(M10-CT_ThongSo!$C$41)/(CT_ThongSo!$C$45/2))/CT_ThongSo!$C$56</f>
        <v>0</v>
      </c>
      <c r="AE10">
        <f>SQRT((MIN(CT_ThongSo!$C$17,D10)*COS(T10)*SIN(RADIANS(F10))+I10*COS(U10)*SIN(RADIANS(K10)))^2+(MIN(CT_ThongSo!$C$17,D10)*COS(T10)*COS(RADIANS(F10))+I10*COS(U10)*COS(RADIANS(K10)))^2)</f>
        <v>33.451585336032359</v>
      </c>
      <c r="AF10">
        <f>MIN(CT_ThongSo!$C$17,D10)*SIN(T10)+I10*SIN(U10)</f>
        <v>4.5744715300865764</v>
      </c>
      <c r="AG10">
        <f t="shared" si="5"/>
        <v>6.9927599432863197E-2</v>
      </c>
      <c r="AH10">
        <f>CT_ThongSo!$C$42*AE10/(IF(O10&gt;AF10,CT_ThongSo!$C$39*CT_ThongSo!$C$37*M10^2,0)+Q10+CT_ThongSo!$C$45*CT_ThongSo!$C$61)</f>
        <v>0.36463830199986358</v>
      </c>
      <c r="AI10">
        <f>CT_ThongSo!$C$43*(AE10*(N10+CT_ThongSo!$C$33)+AF10*M10/2)/R10</f>
        <v>0.28700247782885219</v>
      </c>
      <c r="AJ10">
        <f>MAX(MAX(0,AF10-CT_ThongSo!$C$36*O10)/CT_ThongSo!$C$45,MAX(0,(AE10*(N10+CT_ThongSo!$C$33)+AF10*M10/2)-CT_ThongSo!$C$36*O10*M10/2)/(M10-CT_ThongSo!$C$41)/(CT_ThongSo!$C$45/2))/CT_ThongSo!$C$56</f>
        <v>0</v>
      </c>
      <c r="AK10">
        <f t="shared" si="6"/>
        <v>10.807500978134826</v>
      </c>
      <c r="AL10">
        <f t="shared" si="7"/>
        <v>6.9614094455360522</v>
      </c>
      <c r="AM10">
        <f t="shared" si="8"/>
        <v>0.10641549477221957</v>
      </c>
      <c r="AN10">
        <f>CT_ThongSo!$C$42*AK10/(IF(O10&gt;AL10,CT_ThongSo!$C$39*CT_ThongSo!$C$37*M10^2,0)+Q10+CT_ThongSo!$C$45*CT_ThongSo!$C$61)</f>
        <v>0.11780693697898036</v>
      </c>
      <c r="AO10">
        <f>CT_ThongSo!$C$43*(AK10*(N10+CT_ThongSo!$C$33)+AL10*M10/2)/R10</f>
        <v>0.17429613314457124</v>
      </c>
      <c r="AP10">
        <f>MAX(MAX(0,AL10-CT_ThongSo!$C$36*O10)/CT_ThongSo!$C$45,MAX(0,(AK10*(N10+CT_ThongSo!$C$33)+AL10*M10/2)-CT_ThongSo!$C$36*O10*M10/2)/(M10-CT_ThongSo!$C$41)/(CT_ThongSo!$C$45/2))/CT_ThongSo!$C$56</f>
        <v>0</v>
      </c>
      <c r="AQ10">
        <f>SQRT((D10*COS(W10)*SIN(RADIANS(F10))+MIN(CT_ThongSo!$C$17,I10)*COS(X10)*SIN(RADIANS(K10)))^2+(D10*COS(W10)*COS(RADIANS(F10))+MIN(CT_ThongSo!$C$17,I10)*COS(X10)*COS(RADIANS(K10)))^2)</f>
        <v>20.143037841126056</v>
      </c>
      <c r="AR10">
        <f>D10*SIN(W10)+MIN(CT_ThongSo!$C$17,I10)*SIN(X10)</f>
        <v>15.279087224970834</v>
      </c>
      <c r="AS10">
        <f t="shared" si="9"/>
        <v>0.23356356775649595</v>
      </c>
      <c r="AT10">
        <f>CT_ThongSo!$C$42*AQ10/(IF(O10&gt;AR10,CT_ThongSo!$C$39*CT_ThongSo!$C$37*M10^2,0)+Q10+CT_ThongSo!$C$45*CT_ThongSo!$C$61)</f>
        <v>0.21956876009686818</v>
      </c>
      <c r="AU10">
        <f>CT_ThongSo!$C$43*(AQ10*(N10+CT_ThongSo!$C$33)+AR10*M10/2)/R10</f>
        <v>0.35913336186274997</v>
      </c>
      <c r="AV10">
        <f>MAX(MAX(0,AR10-CT_ThongSo!$C$36*O10)/CT_ThongSo!$C$45,MAX(0,(AQ10*(N10+CT_ThongSo!$C$33)+AR10*M10/2)-CT_ThongSo!$C$36*O10*M10/2)/(M10-CT_ThongSo!$C$41)/(CT_ThongSo!$C$45/2))/CT_ThongSo!$C$56</f>
        <v>0</v>
      </c>
      <c r="AW10">
        <f>SQRT((MIN(CT_ThongSo!$C$17,D10)*COS(W10)*SIN(RADIANS(F10))+I10*COS(X10)*SIN(RADIANS(K10)))^2+(MIN(CT_ThongSo!$C$17,D10)*COS(W10)*COS(RADIANS(F10))+I10*COS(X10)*COS(RADIANS(K10)))^2)</f>
        <v>29.756846804642446</v>
      </c>
      <c r="AX10">
        <f>MIN(CT_ThongSo!$C$17,D10)*SIN(W10)+I10*SIN(X10)</f>
        <v>20.346098273907785</v>
      </c>
      <c r="AY10">
        <f t="shared" si="10"/>
        <v>0.31102036612578193</v>
      </c>
      <c r="AZ10">
        <f>CT_ThongSo!$C$42*AW10/(IF(O10&gt;AX10,CT_ThongSo!$C$39*CT_ThongSo!$C$37*M10^2,0)+Q10+CT_ThongSo!$C$45*CT_ThongSo!$C$61)</f>
        <v>0.32436388239056918</v>
      </c>
      <c r="BA10">
        <f>CT_ThongSo!$C$43*(AW10*(N10+CT_ThongSo!$C$33)+AX10*M10/2)/R10</f>
        <v>0.49743552428970866</v>
      </c>
      <c r="BB10">
        <f>MAX(MAX(0,AX10-CT_ThongSo!$C$36*O10)/CT_ThongSo!$C$45,MAX(0,(AW10*(N10+CT_ThongSo!$C$33)+AX10*M10/2)-CT_ThongSo!$C$36*O10*M10/2)/(M10-CT_ThongSo!$C$41)/(CT_ThongSo!$C$45/2))/CT_ThongSo!$C$56</f>
        <v>0</v>
      </c>
      <c r="BC10">
        <f t="shared" si="11"/>
        <v>9.6138089635163926</v>
      </c>
      <c r="BD10">
        <f t="shared" si="12"/>
        <v>30.96259748743169</v>
      </c>
      <c r="BE10">
        <f t="shared" si="13"/>
        <v>0.47330934300538147</v>
      </c>
      <c r="BF10">
        <f>CT_ThongSo!$C$42*BC10/(IF(O10&gt;BD10,CT_ThongSo!$C$39*CT_ThongSo!$C$37*M10^2,0)+Q10+CT_ThongSo!$C$45*CT_ThongSo!$C$61)</f>
        <v>0.104795122293701</v>
      </c>
      <c r="BG10">
        <f>CT_ThongSo!$C$43*(BC10*(N10+CT_ThongSo!$C$33)+BD10*M10/2)/R10</f>
        <v>0.52352127509087221</v>
      </c>
      <c r="BH10">
        <f>MAX(MAX(0,BD10-CT_ThongSo!$C$36*O10)/CT_ThongSo!$C$45,MAX(0,(BC10*(N10+CT_ThongSo!$C$33)+BD10*M10/2)-CT_ThongSo!$C$36*O10*M10/2)/(M10-CT_ThongSo!$C$41)/(CT_ThongSo!$C$45/2))/CT_ThongSo!$C$56</f>
        <v>4.846517390056123E-2</v>
      </c>
      <c r="BI10">
        <f t="shared" si="14"/>
        <v>0.47330934300538147</v>
      </c>
      <c r="BJ10">
        <f t="shared" si="15"/>
        <v>0.36463830199986358</v>
      </c>
      <c r="BK10">
        <f t="shared" si="16"/>
        <v>0.52352127509087221</v>
      </c>
      <c r="BL10">
        <f t="shared" si="17"/>
        <v>4.846517390056123E-2</v>
      </c>
      <c r="BM10">
        <f>(O10/M10^2)/(5.14*CT_ThongSo!$C$37/CT_ThongSo!$C$44)</f>
        <v>0.14591439688715954</v>
      </c>
      <c r="BN10" t="str">
        <f t="shared" si="18"/>
        <v>ĐẠT</v>
      </c>
      <c r="BO10">
        <f t="shared" si="19"/>
        <v>2.5</v>
      </c>
      <c r="BP10">
        <v>2.5</v>
      </c>
    </row>
    <row r="11" spans="1:68" ht="15.5" x14ac:dyDescent="0.35">
      <c r="A11" t="s">
        <v>752</v>
      </c>
      <c r="B11" t="s">
        <v>753</v>
      </c>
      <c r="C11" t="s">
        <v>165</v>
      </c>
      <c r="D11">
        <f>VLOOKUP(C11,CT_LucDay!$A$6:$M$14,13,FALSE)</f>
        <v>38.636920577063449</v>
      </c>
      <c r="E11" s="3">
        <v>9.36</v>
      </c>
      <c r="F11" s="3">
        <v>138</v>
      </c>
      <c r="G11" t="s">
        <v>754</v>
      </c>
      <c r="H11" t="s">
        <v>166</v>
      </c>
      <c r="I11">
        <f>VLOOKUP(H11,CT_LucDay!$A$6:$M$14,13,FALSE)</f>
        <v>73.65998268985814</v>
      </c>
      <c r="J11" s="3">
        <v>9.35</v>
      </c>
      <c r="K11" s="3">
        <v>318.10000000000002</v>
      </c>
      <c r="L11" s="3">
        <v>378.3</v>
      </c>
      <c r="M11" s="3">
        <v>3.25</v>
      </c>
      <c r="N11" s="3">
        <v>0.4</v>
      </c>
      <c r="O11">
        <f>M11^2*N11*(CT_ThongSo!$C$34-CT_ThongSo!$C$35)</f>
        <v>63.375000000000007</v>
      </c>
      <c r="P11">
        <f>CT_ThongSo!$C$36*O11+CT_ThongSo!$C$45*CT_ThongSo!$C$56</f>
        <v>88.704753948185129</v>
      </c>
      <c r="Q11">
        <f>M11*(0.5*CT_ThongSo!$C$38*CT_ThongSo!$C$40^2+2*CT_ThongSo!$C$37*CT_ThongSo!$C$40)</f>
        <v>19.719374999999999</v>
      </c>
      <c r="R11">
        <f>O11*M11/2+CT_ThongSo!$C$45/2*CT_ThongSo!$C$55*M11</f>
        <v>205.90295033160163</v>
      </c>
      <c r="S11">
        <f>MAX(0,CT_ThongSo!$C$19-L11+CT_ThongSo!$C$13-N11-CT_ThongSo!$C$33)</f>
        <v>1.4999999999999889</v>
      </c>
      <c r="T11">
        <f t="shared" si="0"/>
        <v>0.15890526218119191</v>
      </c>
      <c r="U11">
        <f t="shared" si="1"/>
        <v>0.15907236330924024</v>
      </c>
      <c r="V11">
        <f>MAX(0,CT_ThongSo!$C$20-L11+CT_ThongSo!$C$13-N11-CT_ThongSo!$C$33)</f>
        <v>7.4999999999999876</v>
      </c>
      <c r="W11">
        <f t="shared" si="2"/>
        <v>0.67552219206460618</v>
      </c>
      <c r="X11">
        <f t="shared" si="3"/>
        <v>0.67604387308234493</v>
      </c>
      <c r="Y11">
        <f>SQRT((D11*COS(T11)*SIN(RADIANS(F11))+MIN(CT_ThongSo!$C$17,I11)*COS(U11)*SIN(RADIANS(K11)))^2+(D11*COS(T11)*COS(RADIANS(F11))+MIN(CT_ThongSo!$C$17,I11)*COS(U11)*COS(RADIANS(K11)))^2)</f>
        <v>33.213273408047051</v>
      </c>
      <c r="Z11">
        <f>D11*SIN(T11)+MIN(CT_ThongSo!$C$17,I11)*SIN(U11)</f>
        <v>6.9058159181898962</v>
      </c>
      <c r="AA11">
        <f t="shared" si="4"/>
        <v>7.7851700284561662E-2</v>
      </c>
      <c r="AB11">
        <f>CT_ThongSo!$C$42*Y11/(IF(O11&gt;Z11,CT_ThongSo!$C$39*CT_ThongSo!$C$37*M11^2,0)+Q11+CT_ThongSo!$C$45*CT_ThongSo!$C$61)</f>
        <v>0.2688836647623794</v>
      </c>
      <c r="AC11">
        <f>CT_ThongSo!$C$43*(Y11*(N11+CT_ThongSo!$C$33)+Z11*M11/2)/R11</f>
        <v>0.21482876661548134</v>
      </c>
      <c r="AD11">
        <f>MAX(MAX(0,Z11-CT_ThongSo!$C$36*O11)/CT_ThongSo!$C$45,MAX(0,(Y11*(N11+CT_ThongSo!$C$33)+Z11*M11/2)-CT_ThongSo!$C$36*O11*M11/2)/(M11-CT_ThongSo!$C$41)/(CT_ThongSo!$C$45/2))/CT_ThongSo!$C$56</f>
        <v>0</v>
      </c>
      <c r="AE11">
        <f>SQRT((MIN(CT_ThongSo!$C$17,D11)*COS(T11)*SIN(RADIANS(F11))+I11*COS(U11)*SIN(RADIANS(K11)))^2+(MIN(CT_ThongSo!$C$17,D11)*COS(T11)*COS(RADIANS(F11))+I11*COS(U11)*COS(RADIANS(K11)))^2)</f>
        <v>67.793002030665917</v>
      </c>
      <c r="AF11">
        <f>MIN(CT_ThongSo!$C$17,D11)*SIN(T11)+I11*SIN(U11)</f>
        <v>12.459101136799131</v>
      </c>
      <c r="AG11">
        <f t="shared" si="5"/>
        <v>0.14045584461095323</v>
      </c>
      <c r="AH11">
        <f>CT_ThongSo!$C$42*AE11/(IF(O11&gt;AF11,CT_ThongSo!$C$39*CT_ThongSo!$C$37*M11^2,0)+Q11+CT_ThongSo!$C$45*CT_ThongSo!$C$61)</f>
        <v>0.54882969851542607</v>
      </c>
      <c r="AI11">
        <f>CT_ThongSo!$C$43*(AE11*(N11+CT_ThongSo!$C$33)+AF11*M11/2)/R11</f>
        <v>0.41912117119869335</v>
      </c>
      <c r="AJ11">
        <f>MAX(MAX(0,AF11-CT_ThongSo!$C$36*O11)/CT_ThongSo!$C$45,MAX(0,(AE11*(N11+CT_ThongSo!$C$33)+AF11*M11/2)-CT_ThongSo!$C$36*O11*M11/2)/(M11-CT_ThongSo!$C$41)/(CT_ThongSo!$C$45/2))/CT_ThongSo!$C$56</f>
        <v>0</v>
      </c>
      <c r="AK11">
        <f t="shared" si="6"/>
        <v>34.57998368062519</v>
      </c>
      <c r="AL11">
        <f t="shared" si="7"/>
        <v>17.781718523650497</v>
      </c>
      <c r="AM11">
        <f t="shared" si="8"/>
        <v>0.20045958905468905</v>
      </c>
      <c r="AN11">
        <f>CT_ThongSo!$C$42*AK11/(IF(O11&gt;AL11,CT_ThongSo!$C$39*CT_ThongSo!$C$37*M11^2,0)+Q11+CT_ThongSo!$C$45*CT_ThongSo!$C$61)</f>
        <v>0.27994809861821746</v>
      </c>
      <c r="AO11">
        <f>CT_ThongSo!$C$43*(AK11*(N11+CT_ThongSo!$C$33)+AL11*M11/2)/R11</f>
        <v>0.34905485969077527</v>
      </c>
      <c r="AP11">
        <f>MAX(MAX(0,AL11-CT_ThongSo!$C$36*O11)/CT_ThongSo!$C$45,MAX(0,(AK11*(N11+CT_ThongSo!$C$33)+AL11*M11/2)-CT_ThongSo!$C$36*O11*M11/2)/(M11-CT_ThongSo!$C$41)/(CT_ThongSo!$C$45/2))/CT_ThongSo!$C$56</f>
        <v>0</v>
      </c>
      <c r="AQ11">
        <f>SQRT((D11*COS(W11)*SIN(RADIANS(F11))+MIN(CT_ThongSo!$C$17,I11)*COS(X11)*SIN(RADIANS(K11)))^2+(D11*COS(W11)*COS(RADIANS(F11))+MIN(CT_ThongSo!$C$17,I11)*COS(X11)*COS(RADIANS(K11)))^2)</f>
        <v>26.251236252214753</v>
      </c>
      <c r="AR11">
        <f>D11*SIN(W11)+MIN(CT_ThongSo!$C$17,I11)*SIN(X11)</f>
        <v>27.288415838239644</v>
      </c>
      <c r="AS11">
        <f t="shared" si="9"/>
        <v>0.30763194331365323</v>
      </c>
      <c r="AT11">
        <f>CT_ThongSo!$C$42*AQ11/(IF(O11&gt;AR11,CT_ThongSo!$C$39*CT_ThongSo!$C$37*M11^2,0)+Q11+CT_ThongSo!$C$45*CT_ThongSo!$C$61)</f>
        <v>0.21252131704453928</v>
      </c>
      <c r="AU11">
        <f>CT_ThongSo!$C$43*(AQ11*(N11+CT_ThongSo!$C$33)+AR11*M11/2)/R11</f>
        <v>0.4282249640997674</v>
      </c>
      <c r="AV11">
        <f>MAX(MAX(0,AR11-CT_ThongSo!$C$36*O11)/CT_ThongSo!$C$45,MAX(0,(AQ11*(N11+CT_ThongSo!$C$33)+AR11*M11/2)-CT_ThongSo!$C$36*O11*M11/2)/(M11-CT_ThongSo!$C$41)/(CT_ThongSo!$C$45/2))/CT_ThongSo!$C$56</f>
        <v>0</v>
      </c>
      <c r="AW11">
        <f>SQRT((MIN(CT_ThongSo!$C$17,D11)*COS(W11)*SIN(RADIANS(F11))+I11*COS(X11)*SIN(RADIANS(K11)))^2+(MIN(CT_ThongSo!$C$17,D11)*COS(W11)*COS(RADIANS(F11))+I11*COS(X11)*COS(RADIANS(K11)))^2)</f>
        <v>53.556883517461841</v>
      </c>
      <c r="AX11">
        <f>MIN(CT_ThongSo!$C$17,D11)*SIN(W11)+I11*SIN(X11)</f>
        <v>49.21645485961578</v>
      </c>
      <c r="AY11">
        <f t="shared" si="10"/>
        <v>0.55483446680168302</v>
      </c>
      <c r="AZ11">
        <f>CT_ThongSo!$C$42*AW11/(IF(O11&gt;AX11,CT_ThongSo!$C$39*CT_ThongSo!$C$37*M11^2,0)+Q11+CT_ThongSo!$C$45*CT_ThongSo!$C$61)</f>
        <v>0.43357879654036097</v>
      </c>
      <c r="BA11">
        <f>CT_ThongSo!$C$43*(AW11*(N11+CT_ThongSo!$C$33)+AX11*M11/2)/R11</f>
        <v>0.79721799691486062</v>
      </c>
      <c r="BB11">
        <f>MAX(MAX(0,AX11-CT_ThongSo!$C$36*O11)/CT_ThongSo!$C$45,MAX(0,(AW11*(N11+CT_ThongSo!$C$33)+AX11*M11/2)-CT_ThongSo!$C$36*O11*M11/2)/(M11-CT_ThongSo!$C$41)/(CT_ThongSo!$C$45/2))/CT_ThongSo!$C$56</f>
        <v>0.34119070289111375</v>
      </c>
      <c r="BC11">
        <f t="shared" si="11"/>
        <v>27.30737592150648</v>
      </c>
      <c r="BD11">
        <f t="shared" si="12"/>
        <v>70.249786470011017</v>
      </c>
      <c r="BE11">
        <f t="shared" si="13"/>
        <v>0.79195063785471786</v>
      </c>
      <c r="BF11">
        <f>CT_ThongSo!$C$42*BC11/(IF(O11&gt;BD11,CT_ThongSo!$C$39*CT_ThongSo!$C$37*M11^2,0)+Q11+CT_ThongSo!$C$45*CT_ThongSo!$C$61)</f>
        <v>0.51420343719589567</v>
      </c>
      <c r="BG11">
        <f>CT_ThongSo!$C$43*(BC11*(N11+CT_ThongSo!$C$33)+BD11*M11/2)/R11</f>
        <v>0.94103770414093169</v>
      </c>
      <c r="BH11">
        <f>MAX(MAX(0,BD11-CT_ThongSo!$C$36*O11)/CT_ThongSo!$C$45,MAX(0,(BC11*(N11+CT_ThongSo!$C$33)+BD11*M11/2)-CT_ThongSo!$C$36*O11*M11/2)/(M11-CT_ThongSo!$C$41)/(CT_ThongSo!$C$45/2))/CT_ThongSo!$C$56</f>
        <v>0.74339583499176676</v>
      </c>
      <c r="BI11">
        <f t="shared" si="14"/>
        <v>0.79195063785471786</v>
      </c>
      <c r="BJ11">
        <f t="shared" si="15"/>
        <v>0.54882969851542607</v>
      </c>
      <c r="BK11">
        <f t="shared" si="16"/>
        <v>0.94103770414093169</v>
      </c>
      <c r="BL11">
        <f t="shared" si="17"/>
        <v>0.74339583499176676</v>
      </c>
      <c r="BM11">
        <f>(O11/M11^2)/(5.14*CT_ThongSo!$C$37/CT_ThongSo!$C$44)</f>
        <v>0.14591439688715957</v>
      </c>
      <c r="BN11" t="str">
        <f t="shared" si="18"/>
        <v>ĐẠT</v>
      </c>
      <c r="BO11">
        <f t="shared" si="19"/>
        <v>4.2250000000000005</v>
      </c>
      <c r="BP11">
        <v>3.25</v>
      </c>
    </row>
    <row r="12" spans="1:68" ht="15.5" x14ac:dyDescent="0.35">
      <c r="A12" t="s">
        <v>756</v>
      </c>
      <c r="B12" t="s">
        <v>757</v>
      </c>
      <c r="C12" t="s">
        <v>165</v>
      </c>
      <c r="D12">
        <f>VLOOKUP(C12,CT_LucDay!$A$6:$M$14,13,FALSE)</f>
        <v>38.636920577063449</v>
      </c>
      <c r="E12" s="3">
        <v>15.33</v>
      </c>
      <c r="F12" s="3">
        <v>139.5</v>
      </c>
      <c r="G12" t="s">
        <v>758</v>
      </c>
      <c r="H12" t="s">
        <v>166</v>
      </c>
      <c r="I12">
        <f>VLOOKUP(H12,CT_LucDay!$A$6:$M$14,13,FALSE)</f>
        <v>73.65998268985814</v>
      </c>
      <c r="J12" s="3">
        <v>15.33</v>
      </c>
      <c r="K12" s="3">
        <v>319.5</v>
      </c>
      <c r="L12" s="3">
        <v>378.3</v>
      </c>
      <c r="M12" s="3">
        <v>2.5</v>
      </c>
      <c r="N12" s="3">
        <v>0.4</v>
      </c>
      <c r="O12">
        <f>M12^2*N12*(CT_ThongSo!$C$34-CT_ThongSo!$C$35)</f>
        <v>37.5</v>
      </c>
      <c r="P12">
        <f>CT_ThongSo!$C$36*O12+CT_ThongSo!$C$45*CT_ThongSo!$C$56</f>
        <v>65.417253948185106</v>
      </c>
      <c r="Q12">
        <f>M12*(0.5*CT_ThongSo!$C$38*CT_ThongSo!$C$40^2+2*CT_ThongSo!$C$37*CT_ThongSo!$C$40)</f>
        <v>15.168749999999999</v>
      </c>
      <c r="R12">
        <f>O12*M12/2+CT_ThongSo!$C$45/2*CT_ThongSo!$C$55*M12</f>
        <v>126.04313487046278</v>
      </c>
      <c r="S12">
        <f>MAX(0,CT_ThongSo!$C$19-L12+CT_ThongSo!$C$13-N12-CT_ThongSo!$C$33)</f>
        <v>1.4999999999999889</v>
      </c>
      <c r="T12">
        <f t="shared" si="0"/>
        <v>9.7536872774710889E-2</v>
      </c>
      <c r="U12">
        <f t="shared" si="1"/>
        <v>9.7536872774710889E-2</v>
      </c>
      <c r="V12">
        <f>MAX(0,CT_ThongSo!$C$20-L12+CT_ThongSo!$C$13-N12-CT_ThongSo!$C$33)</f>
        <v>7.4999999999999876</v>
      </c>
      <c r="W12">
        <f t="shared" si="2"/>
        <v>0.45500002582254134</v>
      </c>
      <c r="X12">
        <f t="shared" si="3"/>
        <v>0.45500002582254134</v>
      </c>
      <c r="Y12">
        <f>SQRT((D12*COS(T12)*SIN(RADIANS(F12))+MIN(CT_ThongSo!$C$17,I12)*COS(U12)*SIN(RADIANS(K12)))^2+(D12*COS(T12)*COS(RADIANS(F12))+MIN(CT_ThongSo!$C$17,I12)*COS(U12)*COS(RADIANS(K12)))^2)</f>
        <v>33.47704594494612</v>
      </c>
      <c r="Z12">
        <f>D12*SIN(T12)+MIN(CT_ThongSo!$C$17,I12)*SIN(U12)</f>
        <v>4.2494634477387567</v>
      </c>
      <c r="AA12">
        <f t="shared" si="4"/>
        <v>6.4959367617366204E-2</v>
      </c>
      <c r="AB12">
        <f>CT_ThongSo!$C$42*Y12/(IF(O12&gt;Z12,CT_ThongSo!$C$39*CT_ThongSo!$C$37*M12^2,0)+Q12+CT_ThongSo!$C$45*CT_ThongSo!$C$61)</f>
        <v>0.36491583483153467</v>
      </c>
      <c r="AC12">
        <f>CT_ThongSo!$C$43*(Y12*(N12+CT_ThongSo!$C$33)+Z12*M12/2)/R12</f>
        <v>0.28233435248705552</v>
      </c>
      <c r="AD12">
        <f>MAX(MAX(0,Z12-CT_ThongSo!$C$36*O12)/CT_ThongSo!$C$45,MAX(0,(Y12*(N12+CT_ThongSo!$C$33)+Z12*M12/2)-CT_ThongSo!$C$36*O12*M12/2)/(M12-CT_ThongSo!$C$41)/(CT_ThongSo!$C$45/2))/CT_ThongSo!$C$56</f>
        <v>0</v>
      </c>
      <c r="AE12">
        <f>SQRT((MIN(CT_ThongSo!$C$17,D12)*COS(T12)*SIN(RADIANS(F12))+I12*COS(U12)*SIN(RADIANS(K12)))^2+(MIN(CT_ThongSo!$C$17,D12)*COS(T12)*COS(RADIANS(F12))+I12*COS(U12)*COS(RADIANS(K12)))^2)</f>
        <v>68.333645162955975</v>
      </c>
      <c r="AF12">
        <f>MIN(CT_ThongSo!$C$17,D12)*SIN(T12)+I12*SIN(U12)</f>
        <v>7.6600895943150382</v>
      </c>
      <c r="AG12">
        <f t="shared" si="5"/>
        <v>0.1170958597617434</v>
      </c>
      <c r="AH12">
        <f>CT_ThongSo!$C$42*AE12/(IF(O12&gt;AF12,CT_ThongSo!$C$39*CT_ThongSo!$C$37*M12^2,0)+Q12+CT_ThongSo!$C$45*CT_ThongSo!$C$61)</f>
        <v>0.74486946108476526</v>
      </c>
      <c r="AI12">
        <f>CT_ThongSo!$C$43*(AE12*(N12+CT_ThongSo!$C$33)+AF12*M12/2)/R12</f>
        <v>0.56121997696644288</v>
      </c>
      <c r="AJ12">
        <f>MAX(MAX(0,AF12-CT_ThongSo!$C$36*O12)/CT_ThongSo!$C$45,MAX(0,(AE12*(N12+CT_ThongSo!$C$33)+AF12*M12/2)-CT_ThongSo!$C$36*O12*M12/2)/(M12-CT_ThongSo!$C$41)/(CT_ThongSo!$C$45/2))/CT_ThongSo!$C$56</f>
        <v>0.1335997663935862</v>
      </c>
      <c r="AK12">
        <f t="shared" si="6"/>
        <v>34.856599218009848</v>
      </c>
      <c r="AL12">
        <f t="shared" si="7"/>
        <v>10.9357300977344</v>
      </c>
      <c r="AM12">
        <f t="shared" si="8"/>
        <v>0.16716889563105536</v>
      </c>
      <c r="AN12">
        <f>CT_ThongSo!$C$42*AK12/(IF(O12&gt;AL12,CT_ThongSo!$C$39*CT_ThongSo!$C$37*M12^2,0)+Q12+CT_ThongSo!$C$45*CT_ThongSo!$C$61)</f>
        <v>0.37995362625323048</v>
      </c>
      <c r="AO12">
        <f>CT_ThongSo!$C$43*(AK12*(N12+CT_ThongSo!$C$33)+AL12*M12/2)/R12</f>
        <v>0.39082801565302938</v>
      </c>
      <c r="AP12">
        <f>MAX(MAX(0,AL12-CT_ThongSo!$C$36*O12)/CT_ThongSo!$C$45,MAX(0,(AK12*(N12+CT_ThongSo!$C$33)+AL12*M12/2)-CT_ThongSo!$C$36*O12*M12/2)/(M12-CT_ThongSo!$C$41)/(CT_ThongSo!$C$45/2))/CT_ThongSo!$C$56</f>
        <v>0</v>
      </c>
      <c r="AQ12">
        <f>SQRT((D12*COS(W12)*SIN(RADIANS(F12))+MIN(CT_ThongSo!$C$17,I12)*COS(X12)*SIN(RADIANS(K12)))^2+(D12*COS(W12)*COS(RADIANS(F12))+MIN(CT_ThongSo!$C$17,I12)*COS(X12)*COS(RADIANS(K12)))^2)</f>
        <v>30.214734480600693</v>
      </c>
      <c r="AR12">
        <f>D12*SIN(W12)+MIN(CT_ThongSo!$C$17,I12)*SIN(X12)</f>
        <v>19.176783096333608</v>
      </c>
      <c r="AS12">
        <f t="shared" si="9"/>
        <v>0.29314564490161754</v>
      </c>
      <c r="AT12">
        <f>CT_ThongSo!$C$42*AQ12/(IF(O12&gt;AR12,CT_ThongSo!$C$39*CT_ThongSo!$C$37*M12^2,0)+Q12+CT_ThongSo!$C$45*CT_ThongSo!$C$61)</f>
        <v>0.32935507736655834</v>
      </c>
      <c r="AU12">
        <f>CT_ThongSo!$C$43*(AQ12*(N12+CT_ThongSo!$C$33)+AR12*M12/2)/R12</f>
        <v>0.48303800373334488</v>
      </c>
      <c r="AV12">
        <f>MAX(MAX(0,AR12-CT_ThongSo!$C$36*O12)/CT_ThongSo!$C$45,MAX(0,(AQ12*(N12+CT_ThongSo!$C$33)+AR12*M12/2)-CT_ThongSo!$C$36*O12*M12/2)/(M12-CT_ThongSo!$C$41)/(CT_ThongSo!$C$45/2))/CT_ThongSo!$C$56</f>
        <v>0</v>
      </c>
      <c r="AW12">
        <f>SQRT((MIN(CT_ThongSo!$C$17,D12)*COS(W12)*SIN(RADIANS(F12))+I12*COS(X12)*SIN(RADIANS(K12)))^2+(MIN(CT_ThongSo!$C$17,D12)*COS(W12)*COS(RADIANS(F12))+I12*COS(X12)*COS(RADIANS(K12)))^2)</f>
        <v>61.674585866558346</v>
      </c>
      <c r="AX12">
        <f>MIN(CT_ThongSo!$C$17,D12)*SIN(W12)+I12*SIN(X12)</f>
        <v>34.568099821361798</v>
      </c>
      <c r="AY12">
        <f t="shared" si="10"/>
        <v>0.52842480744823184</v>
      </c>
      <c r="AZ12">
        <f>CT_ThongSo!$C$42*AW12/(IF(O12&gt;AX12,CT_ThongSo!$C$39*CT_ThongSo!$C$37*M12^2,0)+Q12+CT_ThongSo!$C$45*CT_ThongSo!$C$61)</f>
        <v>0.67228252535770539</v>
      </c>
      <c r="BA12">
        <f>CT_ThongSo!$C$43*(AW12*(N12+CT_ThongSo!$C$33)+AX12*M12/2)/R12</f>
        <v>0.91791370171701925</v>
      </c>
      <c r="BB12">
        <f>MAX(MAX(0,AX12-CT_ThongSo!$C$36*O12)/CT_ThongSo!$C$45,MAX(0,(AW12*(N12+CT_ThongSo!$C$33)+AX12*M12/2)-CT_ThongSo!$C$36*O12*M12/2)/(M12-CT_ThongSo!$C$41)/(CT_ThongSo!$C$45/2))/CT_ThongSo!$C$56</f>
        <v>0.93911755323116797</v>
      </c>
      <c r="BC12">
        <f t="shared" si="11"/>
        <v>31.459851385957656</v>
      </c>
      <c r="BD12">
        <f t="shared" si="12"/>
        <v>49.350259547683052</v>
      </c>
      <c r="BE12">
        <f t="shared" si="13"/>
        <v>0.75439209947228603</v>
      </c>
      <c r="BF12">
        <f>CT_ThongSo!$C$42*BC12/(IF(O12&gt;BD12,CT_ThongSo!$C$39*CT_ThongSo!$C$37*M12^2,0)+Q12+CT_ThongSo!$C$45*CT_ThongSo!$C$61)</f>
        <v>0.62828699798530618</v>
      </c>
      <c r="BG12">
        <f>CT_ThongSo!$C$43*(BC12*(N12+CT_ThongSo!$C$33)+BD12*M12/2)/R12</f>
        <v>0.94004416953840031</v>
      </c>
      <c r="BH12">
        <f>MAX(MAX(0,BD12-CT_ThongSo!$C$36*O12)/CT_ThongSo!$C$45,MAX(0,(BC12*(N12+CT_ThongSo!$C$33)+BD12*M12/2)-CT_ThongSo!$C$36*O12*M12/2)/(M12-CT_ThongSo!$C$41)/(CT_ThongSo!$C$45/2))/CT_ThongSo!$C$56</f>
        <v>0.98909456214441605</v>
      </c>
      <c r="BI12">
        <f t="shared" si="14"/>
        <v>0.75439209947228603</v>
      </c>
      <c r="BJ12">
        <f t="shared" si="15"/>
        <v>0.74486946108476526</v>
      </c>
      <c r="BK12">
        <f t="shared" si="16"/>
        <v>0.94004416953840031</v>
      </c>
      <c r="BL12">
        <f t="shared" si="17"/>
        <v>0.98909456214441605</v>
      </c>
      <c r="BM12">
        <f>(O12/M12^2)/(5.14*CT_ThongSo!$C$37/CT_ThongSo!$C$44)</f>
        <v>0.14591439688715954</v>
      </c>
      <c r="BN12" t="str">
        <f t="shared" si="18"/>
        <v>ĐẠT</v>
      </c>
      <c r="BO12">
        <f t="shared" si="19"/>
        <v>2.5</v>
      </c>
      <c r="BP12">
        <v>2.5</v>
      </c>
    </row>
    <row r="13" spans="1:68" ht="15.5" x14ac:dyDescent="0.35">
      <c r="A13" t="s">
        <v>759</v>
      </c>
      <c r="B13" t="s">
        <v>760</v>
      </c>
      <c r="C13" t="s">
        <v>165</v>
      </c>
      <c r="D13">
        <f>VLOOKUP(C13,CT_LucDay!$A$6:$M$14,13,FALSE)</f>
        <v>38.636920577063449</v>
      </c>
      <c r="E13" s="3">
        <v>12.34</v>
      </c>
      <c r="F13" s="3">
        <v>138.9</v>
      </c>
      <c r="G13" t="s">
        <v>761</v>
      </c>
      <c r="H13" t="s">
        <v>166</v>
      </c>
      <c r="I13">
        <f>VLOOKUP(H13,CT_LucDay!$A$6:$M$14,13,FALSE)</f>
        <v>73.65998268985814</v>
      </c>
      <c r="J13" s="3">
        <v>12.34</v>
      </c>
      <c r="K13" s="3">
        <v>319</v>
      </c>
      <c r="L13" s="3">
        <v>378.3</v>
      </c>
      <c r="M13" s="3">
        <v>2.75</v>
      </c>
      <c r="N13" s="3">
        <v>0.4</v>
      </c>
      <c r="O13">
        <f>M13^2*N13*(CT_ThongSo!$C$34-CT_ThongSo!$C$35)</f>
        <v>45.375000000000007</v>
      </c>
      <c r="P13">
        <f>CT_ThongSo!$C$36*O13+CT_ThongSo!$C$45*CT_ThongSo!$C$56</f>
        <v>72.504753948185112</v>
      </c>
      <c r="Q13">
        <f>M13*(0.5*CT_ThongSo!$C$38*CT_ThongSo!$C$40^2+2*CT_ThongSo!$C$37*CT_ThongSo!$C$40)</f>
        <v>16.685624999999998</v>
      </c>
      <c r="R13">
        <f>O13*M13/2+CT_ThongSo!$C$45/2*CT_ThongSo!$C$55*M13</f>
        <v>149.47557335750906</v>
      </c>
      <c r="S13">
        <f>MAX(0,CT_ThongSo!$C$19-L13+CT_ThongSo!$C$13-N13-CT_ThongSo!$C$33)</f>
        <v>1.4999999999999889</v>
      </c>
      <c r="T13">
        <f t="shared" si="0"/>
        <v>0.12096247114203801</v>
      </c>
      <c r="U13">
        <f t="shared" si="1"/>
        <v>0.12096247114203801</v>
      </c>
      <c r="V13">
        <f>MAX(0,CT_ThongSo!$C$20-L13+CT_ThongSo!$C$13-N13-CT_ThongSo!$C$33)</f>
        <v>7.4999999999999876</v>
      </c>
      <c r="W13">
        <f t="shared" si="2"/>
        <v>0.54612015110670631</v>
      </c>
      <c r="X13">
        <f t="shared" si="3"/>
        <v>0.54612015110670631</v>
      </c>
      <c r="Y13">
        <f>SQRT((D13*COS(T13)*SIN(RADIANS(F13))+MIN(CT_ThongSo!$C$17,I13)*COS(U13)*SIN(RADIANS(K13)))^2+(D13*COS(T13)*COS(RADIANS(F13))+MIN(CT_ThongSo!$C$17,I13)*COS(U13)*COS(RADIANS(K13)))^2)</f>
        <v>33.391142818126404</v>
      </c>
      <c r="Z13">
        <f>D13*SIN(T13)+MIN(CT_ThongSo!$C$17,I13)*SIN(U13)</f>
        <v>5.2655669002548358</v>
      </c>
      <c r="AA13">
        <f t="shared" si="4"/>
        <v>7.2623746906552183E-2</v>
      </c>
      <c r="AB13">
        <f>CT_ThongSo!$C$42*Y13/(IF(O13&gt;Z13,CT_ThongSo!$C$39*CT_ThongSo!$C$37*M13^2,0)+Q13+CT_ThongSo!$C$45*CT_ThongSo!$C$61)</f>
        <v>0.32897568048853554</v>
      </c>
      <c r="AC13">
        <f>CT_ThongSo!$C$43*(Y13*(N13+CT_ThongSo!$C$33)+Z13*M13/2)/R13</f>
        <v>0.25695117733295131</v>
      </c>
      <c r="AD13">
        <f>MAX(MAX(0,Z13-CT_ThongSo!$C$36*O13)/CT_ThongSo!$C$45,MAX(0,(Y13*(N13+CT_ThongSo!$C$33)+Z13*M13/2)-CT_ThongSo!$C$36*O13*M13/2)/(M13-CT_ThongSo!$C$41)/(CT_ThongSo!$C$45/2))/CT_ThongSo!$C$56</f>
        <v>0</v>
      </c>
      <c r="AE13">
        <f>SQRT((MIN(CT_ThongSo!$C$17,D13)*COS(T13)*SIN(RADIANS(F13))+I13*COS(U13)*SIN(RADIANS(K13)))^2+(MIN(CT_ThongSo!$C$17,D13)*COS(T13)*COS(RADIANS(F13))+I13*COS(U13)*COS(RADIANS(K13)))^2)</f>
        <v>68.158289318731761</v>
      </c>
      <c r="AF13">
        <f>MIN(CT_ThongSo!$C$17,D13)*SIN(T13)+I13*SIN(U13)</f>
        <v>9.4917192998270981</v>
      </c>
      <c r="AG13">
        <f t="shared" si="5"/>
        <v>0.13091168210308352</v>
      </c>
      <c r="AH13">
        <f>CT_ThongSo!$C$42*AE13/(IF(O13&gt;AF13,CT_ThongSo!$C$39*CT_ThongSo!$C$37*M13^2,0)+Q13+CT_ThongSo!$C$45*CT_ThongSo!$C$61)</f>
        <v>0.67150800233744146</v>
      </c>
      <c r="AI13">
        <f>CT_ThongSo!$C$43*(AE13*(N13+CT_ThongSo!$C$33)+AF13*M13/2)/R13</f>
        <v>0.50715483500795577</v>
      </c>
      <c r="AJ13">
        <f>MAX(MAX(0,AF13-CT_ThongSo!$C$36*O13)/CT_ThongSo!$C$45,MAX(0,(AE13*(N13+CT_ThongSo!$C$33)+AF13*M13/2)-CT_ThongSo!$C$36*O13*M13/2)/(M13-CT_ThongSo!$C$41)/(CT_ThongSo!$C$45/2))/CT_ThongSo!$C$56</f>
        <v>0</v>
      </c>
      <c r="AK13">
        <f t="shared" si="6"/>
        <v>34.76726993616127</v>
      </c>
      <c r="AL13">
        <f t="shared" si="7"/>
        <v>13.550609186529668</v>
      </c>
      <c r="AM13">
        <f t="shared" si="8"/>
        <v>0.1868926994251093</v>
      </c>
      <c r="AN13">
        <f>CT_ThongSo!$C$42*AK13/(IF(O13&gt;AL13,CT_ThongSo!$C$39*CT_ThongSo!$C$37*M13^2,0)+Q13+CT_ThongSo!$C$45*CT_ThongSo!$C$61)</f>
        <v>0.3425335379587055</v>
      </c>
      <c r="AO13">
        <f>CT_ThongSo!$C$43*(AK13*(N13+CT_ThongSo!$C$33)+AL13*M13/2)/R13</f>
        <v>0.37886544184114052</v>
      </c>
      <c r="AP13">
        <f>MAX(MAX(0,AL13-CT_ThongSo!$C$36*O13)/CT_ThongSo!$C$45,MAX(0,(AK13*(N13+CT_ThongSo!$C$33)+AL13*M13/2)-CT_ThongSo!$C$36*O13*M13/2)/(M13-CT_ThongSo!$C$41)/(CT_ThongSo!$C$45/2))/CT_ThongSo!$C$56</f>
        <v>0</v>
      </c>
      <c r="AQ13">
        <f>SQRT((D13*COS(W13)*SIN(RADIANS(F13))+MIN(CT_ThongSo!$C$17,I13)*COS(X13)*SIN(RADIANS(K13)))^2+(D13*COS(W13)*COS(RADIANS(F13))+MIN(CT_ThongSo!$C$17,I13)*COS(X13)*COS(RADIANS(K13)))^2)</f>
        <v>28.744305015175559</v>
      </c>
      <c r="AR13">
        <f>D13*SIN(W13)+MIN(CT_ThongSo!$C$17,I13)*SIN(X13)</f>
        <v>22.663953414702416</v>
      </c>
      <c r="AS13">
        <f t="shared" si="9"/>
        <v>0.31258575721667869</v>
      </c>
      <c r="AT13">
        <f>CT_ThongSo!$C$42*AQ13/(IF(O13&gt;AR13,CT_ThongSo!$C$39*CT_ThongSo!$C$37*M13^2,0)+Q13+CT_ThongSo!$C$45*CT_ThongSo!$C$61)</f>
        <v>0.28319417978722528</v>
      </c>
      <c r="AU13">
        <f>CT_ThongSo!$C$43*(AQ13*(N13+CT_ThongSo!$C$33)+AR13*M13/2)/R13</f>
        <v>0.47137103389343865</v>
      </c>
      <c r="AV13">
        <f>MAX(MAX(0,AR13-CT_ThongSo!$C$36*O13)/CT_ThongSo!$C$45,MAX(0,(AQ13*(N13+CT_ThongSo!$C$33)+AR13*M13/2)-CT_ThongSo!$C$36*O13*M13/2)/(M13-CT_ThongSo!$C$41)/(CT_ThongSo!$C$45/2))/CT_ThongSo!$C$56</f>
        <v>0</v>
      </c>
      <c r="AW13">
        <f>SQRT((MIN(CT_ThongSo!$C$17,D13)*COS(W13)*SIN(RADIANS(F13))+I13*COS(X13)*SIN(RADIANS(K13)))^2+(MIN(CT_ThongSo!$C$17,D13)*COS(W13)*COS(RADIANS(F13))+I13*COS(X13)*COS(RADIANS(K13)))^2)</f>
        <v>58.673123832906846</v>
      </c>
      <c r="AX13">
        <f>MIN(CT_ThongSo!$C$17,D13)*SIN(W13)+I13*SIN(X13)</f>
        <v>40.854078603825563</v>
      </c>
      <c r="AY13">
        <f t="shared" si="10"/>
        <v>0.56346758493962446</v>
      </c>
      <c r="AZ13">
        <f>CT_ThongSo!$C$42*AW13/(IF(O13&gt;AX13,CT_ThongSo!$C$39*CT_ThongSo!$C$37*M13^2,0)+Q13+CT_ThongSo!$C$45*CT_ThongSo!$C$61)</f>
        <v>0.57805840741816494</v>
      </c>
      <c r="BA13">
        <f>CT_ThongSo!$C$43*(AW13*(N13+CT_ThongSo!$C$33)+AX13*M13/2)/R13</f>
        <v>0.8875487900971728</v>
      </c>
      <c r="BB13">
        <f>MAX(MAX(0,AX13-CT_ThongSo!$C$36*O13)/CT_ThongSo!$C$45,MAX(0,(AW13*(N13+CT_ThongSo!$C$33)+AX13*M13/2)-CT_ThongSo!$C$36*O13*M13/2)/(M13-CT_ThongSo!$C$41)/(CT_ThongSo!$C$45/2))/CT_ThongSo!$C$56</f>
        <v>0.78443112879068377</v>
      </c>
      <c r="BC13">
        <f t="shared" si="11"/>
        <v>29.928925075528088</v>
      </c>
      <c r="BD13">
        <f t="shared" si="12"/>
        <v>58.324275650069865</v>
      </c>
      <c r="BE13">
        <f t="shared" si="13"/>
        <v>0.80442002039963889</v>
      </c>
      <c r="BF13">
        <f>CT_ThongSo!$C$42*BC13/(IF(O13&gt;BD13,CT_ThongSo!$C$39*CT_ThongSo!$C$37*M13^2,0)+Q13+CT_ThongSo!$C$45*CT_ThongSo!$C$61)</f>
        <v>0.58588046232447111</v>
      </c>
      <c r="BG13">
        <f>CT_ThongSo!$C$43*(BC13*(N13+CT_ThongSo!$C$33)+BD13*M13/2)/R13</f>
        <v>0.96995902714358961</v>
      </c>
      <c r="BH13">
        <f>MAX(MAX(0,BD13-CT_ThongSo!$C$36*O13)/CT_ThongSo!$C$45,MAX(0,(BC13*(N13+CT_ThongSo!$C$33)+BD13*M13/2)-CT_ThongSo!$C$36*O13*M13/2)/(M13-CT_ThongSo!$C$41)/(CT_ThongSo!$C$45/2))/CT_ThongSo!$C$56</f>
        <v>0.9839143512208427</v>
      </c>
      <c r="BI13">
        <f t="shared" si="14"/>
        <v>0.80442002039963889</v>
      </c>
      <c r="BJ13">
        <f t="shared" si="15"/>
        <v>0.67150800233744146</v>
      </c>
      <c r="BK13">
        <f t="shared" si="16"/>
        <v>0.96995902714358961</v>
      </c>
      <c r="BL13">
        <f t="shared" si="17"/>
        <v>0.9839143512208427</v>
      </c>
      <c r="BM13">
        <f>(O13/M13^2)/(5.14*CT_ThongSo!$C$37/CT_ThongSo!$C$44)</f>
        <v>0.14591439688715957</v>
      </c>
      <c r="BN13" t="str">
        <f t="shared" si="18"/>
        <v>ĐẠT</v>
      </c>
      <c r="BO13">
        <f t="shared" si="19"/>
        <v>3.0250000000000004</v>
      </c>
      <c r="BP13">
        <v>2.75</v>
      </c>
    </row>
    <row r="14" spans="1:68" ht="15.5" x14ac:dyDescent="0.35">
      <c r="A14" t="s">
        <v>762</v>
      </c>
      <c r="B14" t="s">
        <v>763</v>
      </c>
      <c r="C14" t="s">
        <v>165</v>
      </c>
      <c r="D14">
        <f>VLOOKUP(C14,CT_LucDay!$A$6:$M$14,13,FALSE)</f>
        <v>38.636920577063449</v>
      </c>
      <c r="E14" s="3">
        <v>9.6</v>
      </c>
      <c r="F14" s="3">
        <v>135.9</v>
      </c>
      <c r="G14" t="s">
        <v>764</v>
      </c>
      <c r="H14" t="s">
        <v>166</v>
      </c>
      <c r="I14">
        <f>VLOOKUP(H14,CT_LucDay!$A$6:$M$14,13,FALSE)</f>
        <v>73.65998268985814</v>
      </c>
      <c r="J14" s="3">
        <v>9.59</v>
      </c>
      <c r="K14" s="3">
        <v>315.89999999999998</v>
      </c>
      <c r="L14" s="3">
        <v>378.3</v>
      </c>
      <c r="M14" s="3">
        <v>3.25</v>
      </c>
      <c r="N14" s="3">
        <v>0.4</v>
      </c>
      <c r="O14">
        <f>M14^2*N14*(CT_ThongSo!$C$34-CT_ThongSo!$C$35)</f>
        <v>63.375000000000007</v>
      </c>
      <c r="P14">
        <f>CT_ThongSo!$C$36*O14+CT_ThongSo!$C$45*CT_ThongSo!$C$56</f>
        <v>88.704753948185129</v>
      </c>
      <c r="Q14">
        <f>M14*(0.5*CT_ThongSo!$C$38*CT_ThongSo!$C$40^2+2*CT_ThongSo!$C$37*CT_ThongSo!$C$40)</f>
        <v>19.719374999999999</v>
      </c>
      <c r="R14">
        <f>O14*M14/2+CT_ThongSo!$C$45/2*CT_ThongSo!$C$55*M14</f>
        <v>205.90295033160163</v>
      </c>
      <c r="S14">
        <f>MAX(0,CT_ThongSo!$C$19-L14+CT_ThongSo!$C$13-N14-CT_ThongSo!$C$33)</f>
        <v>1.4999999999999889</v>
      </c>
      <c r="T14">
        <f t="shared" si="0"/>
        <v>0.15499674192393986</v>
      </c>
      <c r="U14">
        <f t="shared" si="1"/>
        <v>0.15515578511873093</v>
      </c>
      <c r="V14">
        <f>MAX(0,CT_ThongSo!$C$20-L14+CT_ThongSo!$C$13-N14-CT_ThongSo!$C$33)</f>
        <v>7.4999999999999876</v>
      </c>
      <c r="W14">
        <f t="shared" si="2"/>
        <v>0.66320299270609251</v>
      </c>
      <c r="X14">
        <f t="shared" si="3"/>
        <v>0.6637086765498772</v>
      </c>
      <c r="Y14">
        <f>SQRT((D14*COS(T14)*SIN(RADIANS(F14))+MIN(CT_ThongSo!$C$17,I14)*COS(U14)*SIN(RADIANS(K14)))^2+(D14*COS(T14)*COS(RADIANS(F14))+MIN(CT_ThongSo!$C$17,I14)*COS(U14)*COS(RADIANS(K14)))^2)</f>
        <v>33.233805133908184</v>
      </c>
      <c r="Z14">
        <f>D14*SIN(T14)+MIN(CT_ThongSo!$C$17,I14)*SIN(U14)</f>
        <v>6.7373173366203671</v>
      </c>
      <c r="AA14">
        <f t="shared" si="4"/>
        <v>7.5952156302195692E-2</v>
      </c>
      <c r="AB14">
        <f>CT_ThongSo!$C$42*Y14/(IF(O14&gt;Z14,CT_ThongSo!$C$39*CT_ThongSo!$C$37*M14^2,0)+Q14+CT_ThongSo!$C$45*CT_ThongSo!$C$61)</f>
        <v>0.2690498828169991</v>
      </c>
      <c r="AC14">
        <f>CT_ThongSo!$C$43*(Y14*(N14+CT_ThongSo!$C$33)+Z14*M14/2)/R14</f>
        <v>0.21291632865329513</v>
      </c>
      <c r="AD14">
        <f>MAX(MAX(0,Z14-CT_ThongSo!$C$36*O14)/CT_ThongSo!$C$45,MAX(0,(Y14*(N14+CT_ThongSo!$C$33)+Z14*M14/2)-CT_ThongSo!$C$36*O14*M14/2)/(M14-CT_ThongSo!$C$41)/(CT_ThongSo!$C$45/2))/CT_ThongSo!$C$56</f>
        <v>0</v>
      </c>
      <c r="AE14">
        <f>SQRT((MIN(CT_ThongSo!$C$17,D14)*COS(T14)*SIN(RADIANS(F14))+I14*COS(U14)*SIN(RADIANS(K14)))^2+(MIN(CT_ThongSo!$C$17,D14)*COS(T14)*COS(RADIANS(F14))+I14*COS(U14)*COS(RADIANS(K14)))^2)</f>
        <v>67.835079670773439</v>
      </c>
      <c r="AF14">
        <f>MIN(CT_ThongSo!$C$17,D14)*SIN(T14)+I14*SIN(U14)</f>
        <v>12.154857264693655</v>
      </c>
      <c r="AG14">
        <f t="shared" si="5"/>
        <v>0.13702599605646434</v>
      </c>
      <c r="AH14">
        <f>CT_ThongSo!$C$42*AE14/(IF(O14&gt;AF14,CT_ThongSo!$C$39*CT_ThongSo!$C$37*M14^2,0)+Q14+CT_ThongSo!$C$45*CT_ThongSo!$C$61)</f>
        <v>0.54917034515803975</v>
      </c>
      <c r="AI14">
        <f>CT_ThongSo!$C$43*(AE14*(N14+CT_ThongSo!$C$33)+AF14*M14/2)/R14</f>
        <v>0.41568809564523501</v>
      </c>
      <c r="AJ14">
        <f>MAX(MAX(0,AF14-CT_ThongSo!$C$36*O14)/CT_ThongSo!$C$45,MAX(0,(AE14*(N14+CT_ThongSo!$C$33)+AF14*M14/2)-CT_ThongSo!$C$36*O14*M14/2)/(M14-CT_ThongSo!$C$41)/(CT_ThongSo!$C$45/2))/CT_ThongSo!$C$56</f>
        <v>0</v>
      </c>
      <c r="AK14">
        <f t="shared" si="6"/>
        <v>34.601397362304702</v>
      </c>
      <c r="AL14">
        <f t="shared" si="7"/>
        <v>17.347620125391856</v>
      </c>
      <c r="AM14">
        <f t="shared" si="8"/>
        <v>0.19556584459413612</v>
      </c>
      <c r="AN14">
        <f>CT_ThongSo!$C$42*AK14/(IF(O14&gt;AL14,CT_ThongSo!$C$39*CT_ThongSo!$C$37*M14^2,0)+Q14+CT_ThongSo!$C$45*CT_ThongSo!$C$61)</f>
        <v>0.28012145669513155</v>
      </c>
      <c r="AO14">
        <f>CT_ThongSo!$C$43*(AK14*(N14+CT_ThongSo!$C$33)+AL14*M14/2)/R14</f>
        <v>0.34400175794213972</v>
      </c>
      <c r="AP14">
        <f>MAX(MAX(0,AL14-CT_ThongSo!$C$36*O14)/CT_ThongSo!$C$45,MAX(0,(AK14*(N14+CT_ThongSo!$C$33)+AL14*M14/2)-CT_ThongSo!$C$36*O14*M14/2)/(M14-CT_ThongSo!$C$41)/(CT_ThongSo!$C$45/2))/CT_ThongSo!$C$56</f>
        <v>0</v>
      </c>
      <c r="AQ14">
        <f>SQRT((D14*COS(W14)*SIN(RADIANS(F14))+MIN(CT_ThongSo!$C$17,I14)*COS(X14)*SIN(RADIANS(K14)))^2+(D14*COS(W14)*COS(RADIANS(F14))+MIN(CT_ThongSo!$C$17,I14)*COS(X14)*COS(RADIANS(K14)))^2)</f>
        <v>26.508270381701102</v>
      </c>
      <c r="AR14">
        <f>D14*SIN(W14)+MIN(CT_ThongSo!$C$17,I14)*SIN(X14)</f>
        <v>26.866802225599489</v>
      </c>
      <c r="AS14">
        <f t="shared" si="9"/>
        <v>0.30287894424793876</v>
      </c>
      <c r="AT14">
        <f>CT_ThongSo!$C$42*AQ14/(IF(O14&gt;AR14,CT_ThongSo!$C$39*CT_ThongSo!$C$37*M14^2,0)+Q14+CT_ThongSo!$C$45*CT_ThongSo!$C$61)</f>
        <v>0.21460218025414249</v>
      </c>
      <c r="AU14">
        <f>CT_ThongSo!$C$43*(AQ14*(N14+CT_ThongSo!$C$33)+AR14*M14/2)/R14</f>
        <v>0.42426372885437352</v>
      </c>
      <c r="AV14">
        <f>MAX(MAX(0,AR14-CT_ThongSo!$C$36*O14)/CT_ThongSo!$C$45,MAX(0,(AQ14*(N14+CT_ThongSo!$C$33)+AR14*M14/2)-CT_ThongSo!$C$36*O14*M14/2)/(M14-CT_ThongSo!$C$41)/(CT_ThongSo!$C$45/2))/CT_ThongSo!$C$56</f>
        <v>0</v>
      </c>
      <c r="AW14">
        <f>SQRT((MIN(CT_ThongSo!$C$17,D14)*COS(W14)*SIN(RADIANS(F14))+I14*COS(X14)*SIN(RADIANS(K14)))^2+(MIN(CT_ThongSo!$C$17,D14)*COS(W14)*COS(RADIANS(F14))+I14*COS(X14)*COS(RADIANS(K14)))^2)</f>
        <v>54.082800520902182</v>
      </c>
      <c r="AX14">
        <f>MIN(CT_ThongSo!$C$17,D14)*SIN(W14)+I14*SIN(X14)</f>
        <v>48.455896739729845</v>
      </c>
      <c r="AY14">
        <f t="shared" si="10"/>
        <v>0.54626042667379759</v>
      </c>
      <c r="AZ14">
        <f>CT_ThongSo!$C$42*AW14/(IF(O14&gt;AX14,CT_ThongSo!$C$39*CT_ThongSo!$C$37*M14^2,0)+Q14+CT_ThongSo!$C$45*CT_ThongSo!$C$61)</f>
        <v>0.43783644647171716</v>
      </c>
      <c r="BA14">
        <f>CT_ThongSo!$C$43*(AW14*(N14+CT_ThongSo!$C$33)+AX14*M14/2)/R14</f>
        <v>0.79032164653670023</v>
      </c>
      <c r="BB14">
        <f>MAX(MAX(0,AX14-CT_ThongSo!$C$36*O14)/CT_ThongSo!$C$45,MAX(0,(AW14*(N14+CT_ThongSo!$C$33)+AX14*M14/2)-CT_ThongSo!$C$36*O14*M14/2)/(M14-CT_ThongSo!$C$41)/(CT_ThongSo!$C$45/2))/CT_ThongSo!$C$56</f>
        <v>0.32190442030606925</v>
      </c>
      <c r="BC14">
        <f t="shared" si="11"/>
        <v>27.576087249138869</v>
      </c>
      <c r="BD14">
        <f t="shared" si="12"/>
        <v>69.164266483294909</v>
      </c>
      <c r="BE14">
        <f t="shared" si="13"/>
        <v>0.77971318790530264</v>
      </c>
      <c r="BF14">
        <f>CT_ThongSo!$C$42*BC14/(IF(O14&gt;BD14,CT_ThongSo!$C$39*CT_ThongSo!$C$37*M14^2,0)+Q14+CT_ThongSo!$C$45*CT_ThongSo!$C$61)</f>
        <v>0.51926332609474901</v>
      </c>
      <c r="BG14">
        <f>CT_ThongSo!$C$43*(BC14*(N14+CT_ThongSo!$C$33)+BD14*M14/2)/R14</f>
        <v>0.9292638654542128</v>
      </c>
      <c r="BH14">
        <f>MAX(MAX(0,BD14-CT_ThongSo!$C$36*O14)/CT_ThongSo!$C$45,MAX(0,(BC14*(N14+CT_ThongSo!$C$33)+BD14*M14/2)-CT_ThongSo!$C$36*O14*M14/2)/(M14-CT_ThongSo!$C$41)/(CT_ThongSo!$C$45/2))/CT_ThongSo!$C$56</f>
        <v>0.71046920458999674</v>
      </c>
      <c r="BI14">
        <f t="shared" si="14"/>
        <v>0.77971318790530264</v>
      </c>
      <c r="BJ14">
        <f t="shared" si="15"/>
        <v>0.54917034515803975</v>
      </c>
      <c r="BK14">
        <f t="shared" si="16"/>
        <v>0.9292638654542128</v>
      </c>
      <c r="BL14">
        <f t="shared" si="17"/>
        <v>0.71046920458999674</v>
      </c>
      <c r="BM14">
        <f>(O14/M14^2)/(5.14*CT_ThongSo!$C$37/CT_ThongSo!$C$44)</f>
        <v>0.14591439688715957</v>
      </c>
      <c r="BN14" t="str">
        <f t="shared" si="18"/>
        <v>ĐẠT</v>
      </c>
      <c r="BO14">
        <f t="shared" si="19"/>
        <v>4.2250000000000005</v>
      </c>
      <c r="BP14">
        <v>3.25</v>
      </c>
    </row>
    <row r="15" spans="1:68" ht="15.5" x14ac:dyDescent="0.35">
      <c r="A15" t="s">
        <v>765</v>
      </c>
      <c r="B15" t="s">
        <v>766</v>
      </c>
      <c r="C15" t="s">
        <v>166</v>
      </c>
      <c r="D15">
        <f>VLOOKUP(C15,CT_LucDay!$A$6:$M$14,13,FALSE)</f>
        <v>73.65998268985814</v>
      </c>
      <c r="E15" s="3">
        <v>20.96</v>
      </c>
      <c r="F15" s="3">
        <v>92.7</v>
      </c>
      <c r="G15" t="s">
        <v>767</v>
      </c>
      <c r="H15" t="s">
        <v>168</v>
      </c>
      <c r="I15">
        <f>VLOOKUP(H15,CT_LucDay!$A$6:$M$14,13,FALSE)</f>
        <v>87.342727174884487</v>
      </c>
      <c r="J15" s="3">
        <v>20.92</v>
      </c>
      <c r="K15" s="3">
        <v>270.60000000000002</v>
      </c>
      <c r="L15" s="3">
        <v>378.3</v>
      </c>
      <c r="M15" s="3">
        <v>2.75</v>
      </c>
      <c r="N15" s="3">
        <v>0.4</v>
      </c>
      <c r="O15">
        <f>M15^2*N15*(CT_ThongSo!$C$34-CT_ThongSo!$C$35)</f>
        <v>45.375000000000007</v>
      </c>
      <c r="P15">
        <f>CT_ThongSo!$C$36*O15+CT_ThongSo!$C$45*CT_ThongSo!$C$56</f>
        <v>72.504753948185112</v>
      </c>
      <c r="Q15">
        <f>M15*(0.5*CT_ThongSo!$C$38*CT_ThongSo!$C$40^2+2*CT_ThongSo!$C$37*CT_ThongSo!$C$40)</f>
        <v>16.685624999999998</v>
      </c>
      <c r="R15">
        <f>O15*M15/2+CT_ThongSo!$C$45/2*CT_ThongSo!$C$55*M15</f>
        <v>149.47557335750906</v>
      </c>
      <c r="S15">
        <f>MAX(0,CT_ThongSo!$C$19-L15+CT_ThongSo!$C$13-N15-CT_ThongSo!$C$33)</f>
        <v>1.4999999999999889</v>
      </c>
      <c r="T15">
        <f t="shared" si="0"/>
        <v>7.144308558868967E-2</v>
      </c>
      <c r="U15">
        <f t="shared" si="1"/>
        <v>7.1579222370827561E-2</v>
      </c>
      <c r="V15">
        <f>MAX(0,CT_ThongSo!$C$20-L15+CT_ThongSo!$C$13-N15-CT_ThongSo!$C$33)</f>
        <v>7.4999999999999876</v>
      </c>
      <c r="W15">
        <f t="shared" si="2"/>
        <v>0.34362827950226332</v>
      </c>
      <c r="X15">
        <f t="shared" si="3"/>
        <v>0.34423466687070642</v>
      </c>
      <c r="Y15">
        <f>SQRT((D15*COS(T15)*SIN(RADIANS(F15))+MIN(CT_ThongSo!$C$17,I15)*COS(U15)*SIN(RADIANS(K15)))^2+(D15*COS(T15)*COS(RADIANS(F15))+MIN(CT_ThongSo!$C$17,I15)*COS(U15)*COS(RADIANS(K15)))^2)</f>
        <v>68.488474886513117</v>
      </c>
      <c r="Z15">
        <f>D15*SIN(T15)+MIN(CT_ThongSo!$C$17,I15)*SIN(U15)</f>
        <v>5.6156114310109624</v>
      </c>
      <c r="AA15">
        <f t="shared" si="4"/>
        <v>7.7451630758227391E-2</v>
      </c>
      <c r="AB15">
        <f>CT_ThongSo!$C$42*Y15/(IF(O15&gt;Z15,CT_ThongSo!$C$39*CT_ThongSo!$C$37*M15^2,0)+Q15+CT_ThongSo!$C$45*CT_ThongSo!$C$61)</f>
        <v>0.67476105128039043</v>
      </c>
      <c r="AC15">
        <f>CT_ThongSo!$C$43*(Y15*(N15+CT_ThongSo!$C$33)+Z15*M15/2)/R15</f>
        <v>0.45549375612689758</v>
      </c>
      <c r="AD15">
        <f>MAX(MAX(0,Z15-CT_ThongSo!$C$36*O15)/CT_ThongSo!$C$45,MAX(0,(Y15*(N15+CT_ThongSo!$C$33)+Z15*M15/2)-CT_ThongSo!$C$36*O15*M15/2)/(M15-CT_ThongSo!$C$41)/(CT_ThongSo!$C$45/2))/CT_ThongSo!$C$56</f>
        <v>0</v>
      </c>
      <c r="AE15">
        <f>SQRT((MIN(CT_ThongSo!$C$17,D15)*COS(T15)*SIN(RADIANS(F15))+I15*COS(U15)*SIN(RADIANS(K15)))^2+(MIN(CT_ThongSo!$C$17,D15)*COS(T15)*COS(RADIANS(F15))+I15*COS(U15)*COS(RADIANS(K15)))^2)</f>
        <v>82.135376382418556</v>
      </c>
      <c r="AF15">
        <f>MIN(CT_ThongSo!$C$17,D15)*SIN(T15)+I15*SIN(U15)</f>
        <v>6.6034987746694505</v>
      </c>
      <c r="AG15">
        <f t="shared" si="5"/>
        <v>9.1076769661042958E-2</v>
      </c>
      <c r="AH15">
        <f>CT_ThongSo!$C$42*AE15/(IF(O15&gt;AF15,CT_ThongSo!$C$39*CT_ThongSo!$C$37*M15^2,0)+Q15+CT_ThongSo!$C$45*CT_ThongSo!$C$61)</f>
        <v>0.80921283481558526</v>
      </c>
      <c r="AI15">
        <f>CT_ThongSo!$C$43*(AE15*(N15+CT_ThongSo!$C$33)+AF15*M15/2)/R15</f>
        <v>0.54444615872860125</v>
      </c>
      <c r="AJ15">
        <f>MAX(MAX(0,AF15-CT_ThongSo!$C$36*O15)/CT_ThongSo!$C$45,MAX(0,(AE15*(N15+CT_ThongSo!$C$33)+AF15*M15/2)-CT_ThongSo!$C$36*O15*M15/2)/(M15-CT_ThongSo!$C$41)/(CT_ThongSo!$C$45/2))/CT_ThongSo!$C$56</f>
        <v>0</v>
      </c>
      <c r="AK15">
        <f t="shared" si="6"/>
        <v>13.958438749858463</v>
      </c>
      <c r="AL15">
        <f t="shared" si="7"/>
        <v>11.504608006659726</v>
      </c>
      <c r="AM15">
        <f t="shared" si="8"/>
        <v>0.15867384385417532</v>
      </c>
      <c r="AN15">
        <f>CT_ThongSo!$C$42*AK15/(IF(O15&gt;AL15,CT_ThongSo!$C$39*CT_ThongSo!$C$37*M15^2,0)+Q15+CT_ThongSo!$C$45*CT_ThongSo!$C$61)</f>
        <v>0.13752110586042801</v>
      </c>
      <c r="AO15">
        <f>CT_ThongSo!$C$43*(AK15*(N15+CT_ThongSo!$C$33)+AL15*M15/2)/R15</f>
        <v>0.23578411636578211</v>
      </c>
      <c r="AP15">
        <f>MAX(MAX(0,AL15-CT_ThongSo!$C$36*O15)/CT_ThongSo!$C$45,MAX(0,(AK15*(N15+CT_ThongSo!$C$33)+AL15*M15/2)-CT_ThongSo!$C$36*O15*M15/2)/(M15-CT_ThongSo!$C$41)/(CT_ThongSo!$C$45/2))/CT_ThongSo!$C$56</f>
        <v>0</v>
      </c>
      <c r="AQ15">
        <f>SQRT((D15*COS(W15)*SIN(RADIANS(F15))+MIN(CT_ThongSo!$C$17,I15)*COS(X15)*SIN(RADIANS(K15)))^2+(D15*COS(W15)*COS(RADIANS(F15))+MIN(CT_ThongSo!$C$17,I15)*COS(X15)*COS(RADIANS(K15)))^2)</f>
        <v>64.650429051327436</v>
      </c>
      <c r="AR15">
        <f>D15*SIN(W15)+MIN(CT_ThongSo!$C$17,I15)*SIN(X15)</f>
        <v>26.503832576564776</v>
      </c>
      <c r="AS15">
        <f t="shared" si="9"/>
        <v>0.36554613502316702</v>
      </c>
      <c r="AT15">
        <f>CT_ThongSo!$C$42*AQ15/(IF(O15&gt;AR15,CT_ThongSo!$C$39*CT_ThongSo!$C$37*M15^2,0)+Q15+CT_ThongSo!$C$45*CT_ThongSo!$C$61)</f>
        <v>0.6369479178020423</v>
      </c>
      <c r="AU15">
        <f>CT_ThongSo!$C$43*(AQ15*(N15+CT_ThongSo!$C$33)+AR15*M15/2)/R15</f>
        <v>0.72253115496134313</v>
      </c>
      <c r="AV15">
        <f>MAX(MAX(0,AR15-CT_ThongSo!$C$36*O15)/CT_ThongSo!$C$45,MAX(0,(AQ15*(N15+CT_ThongSo!$C$33)+AR15*M15/2)-CT_ThongSo!$C$36*O15*M15/2)/(M15-CT_ThongSo!$C$41)/(CT_ThongSo!$C$45/2))/CT_ThongSo!$C$56</f>
        <v>0.38498743351094944</v>
      </c>
      <c r="AW15">
        <f>SQRT((MIN(CT_ThongSo!$C$17,D15)*COS(W15)*SIN(RADIANS(F15))+I15*COS(X15)*SIN(RADIANS(K15)))^2+(MIN(CT_ThongSo!$C$17,D15)*COS(W15)*COS(RADIANS(F15))+I15*COS(X15)*COS(RADIANS(K15)))^2)</f>
        <v>77.514340904199216</v>
      </c>
      <c r="AX15">
        <f>MIN(CT_ThongSo!$C$17,D15)*SIN(W15)+I15*SIN(X15)</f>
        <v>31.160631406606122</v>
      </c>
      <c r="AY15">
        <f t="shared" si="10"/>
        <v>0.4297736315176629</v>
      </c>
      <c r="AZ15">
        <f>CT_ThongSo!$C$42*AW15/(IF(O15&gt;AX15,CT_ThongSo!$C$39*CT_ThongSo!$C$37*M15^2,0)+Q15+CT_ThongSo!$C$45*CT_ThongSo!$C$61)</f>
        <v>0.7636855433632056</v>
      </c>
      <c r="BA15">
        <f>CT_ThongSo!$C$43*(AW15*(N15+CT_ThongSo!$C$33)+AX15*M15/2)/R15</f>
        <v>0.85778653088302947</v>
      </c>
      <c r="BB15">
        <f>MAX(MAX(0,AX15-CT_ThongSo!$C$36*O15)/CT_ThongSo!$C$45,MAX(0,(AW15*(N15+CT_ThongSo!$C$33)+AX15*M15/2)-CT_ThongSo!$C$36*O15*M15/2)/(M15-CT_ThongSo!$C$41)/(CT_ThongSo!$C$45/2))/CT_ThongSo!$C$56</f>
        <v>0.71238824203748774</v>
      </c>
      <c r="BC15">
        <f t="shared" si="11"/>
        <v>13.159282671963382</v>
      </c>
      <c r="BD15">
        <f t="shared" si="12"/>
        <v>54.292554937989081</v>
      </c>
      <c r="BE15">
        <f t="shared" si="13"/>
        <v>0.74881372574257377</v>
      </c>
      <c r="BF15">
        <f>CT_ThongSo!$C$42*BC15/(IF(O15&gt;BD15,CT_ThongSo!$C$39*CT_ThongSo!$C$37*M15^2,0)+Q15+CT_ThongSo!$C$45*CT_ThongSo!$C$61)</f>
        <v>0.25760252318625149</v>
      </c>
      <c r="BG15">
        <f>CT_ThongSo!$C$43*(BC15*(N15+CT_ThongSo!$C$33)+BD15*M15/2)/R15</f>
        <v>0.82177174507423656</v>
      </c>
      <c r="BH15">
        <f>MAX(MAX(0,BD15-CT_ThongSo!$C$36*O15)/CT_ThongSo!$C$45,MAX(0,(BC15*(N15+CT_ThongSo!$C$33)+BD15*M15/2)-CT_ThongSo!$C$36*O15*M15/2)/(M15-CT_ThongSo!$C$41)/(CT_ThongSo!$C$45/2))/CT_ThongSo!$C$56</f>
        <v>0.62521041333856708</v>
      </c>
      <c r="BI15">
        <f t="shared" si="14"/>
        <v>0.74881372574257377</v>
      </c>
      <c r="BJ15">
        <f t="shared" si="15"/>
        <v>0.80921283481558526</v>
      </c>
      <c r="BK15">
        <f t="shared" si="16"/>
        <v>0.85778653088302947</v>
      </c>
      <c r="BL15">
        <f t="shared" si="17"/>
        <v>0.71238824203748774</v>
      </c>
      <c r="BM15">
        <f>(O15/M15^2)/(5.14*CT_ThongSo!$C$37/CT_ThongSo!$C$44)</f>
        <v>0.14591439688715957</v>
      </c>
      <c r="BN15" t="str">
        <f t="shared" si="18"/>
        <v>ĐẠT</v>
      </c>
      <c r="BO15">
        <f t="shared" si="19"/>
        <v>3.0250000000000004</v>
      </c>
      <c r="BP15">
        <v>2.75</v>
      </c>
    </row>
    <row r="16" spans="1:68" ht="15.5" x14ac:dyDescent="0.35">
      <c r="A16" t="s">
        <v>769</v>
      </c>
      <c r="B16" t="s">
        <v>770</v>
      </c>
      <c r="C16" t="s">
        <v>166</v>
      </c>
      <c r="D16">
        <f>VLOOKUP(C16,CT_LucDay!$A$6:$M$14,13,FALSE)</f>
        <v>73.65998268985814</v>
      </c>
      <c r="E16" s="3">
        <v>20.95</v>
      </c>
      <c r="F16" s="3">
        <v>92</v>
      </c>
      <c r="G16" t="s">
        <v>771</v>
      </c>
      <c r="H16" t="s">
        <v>168</v>
      </c>
      <c r="I16">
        <f>VLOOKUP(H16,CT_LucDay!$A$6:$M$14,13,FALSE)</f>
        <v>87.342727174884487</v>
      </c>
      <c r="J16" s="3">
        <v>20.92</v>
      </c>
      <c r="K16" s="3">
        <v>269.89999999999998</v>
      </c>
      <c r="L16" s="3">
        <v>378.3</v>
      </c>
      <c r="M16" s="3">
        <v>2.75</v>
      </c>
      <c r="N16" s="3">
        <v>0.4</v>
      </c>
      <c r="O16">
        <f>M16^2*N16*(CT_ThongSo!$C$34-CT_ThongSo!$C$35)</f>
        <v>45.375000000000007</v>
      </c>
      <c r="P16">
        <f>CT_ThongSo!$C$36*O16+CT_ThongSo!$C$45*CT_ThongSo!$C$56</f>
        <v>72.504753948185112</v>
      </c>
      <c r="Q16">
        <f>M16*(0.5*CT_ThongSo!$C$38*CT_ThongSo!$C$40^2+2*CT_ThongSo!$C$37*CT_ThongSo!$C$40)</f>
        <v>16.685624999999998</v>
      </c>
      <c r="R16">
        <f>O16*M16/2+CT_ThongSo!$C$45/2*CT_ThongSo!$C$55*M16</f>
        <v>149.47557335750906</v>
      </c>
      <c r="S16">
        <f>MAX(0,CT_ThongSo!$C$19-L16+CT_ThongSo!$C$13-N16-CT_ThongSo!$C$33)</f>
        <v>1.4999999999999889</v>
      </c>
      <c r="T16">
        <f t="shared" si="0"/>
        <v>7.1477071296553576E-2</v>
      </c>
      <c r="U16">
        <f t="shared" si="1"/>
        <v>7.1579222370827561E-2</v>
      </c>
      <c r="V16">
        <f>MAX(0,CT_ThongSo!$C$20-L16+CT_ThongSo!$C$13-N16-CT_ThongSo!$C$33)</f>
        <v>7.4999999999999876</v>
      </c>
      <c r="W16">
        <f t="shared" si="2"/>
        <v>0.34377968392857566</v>
      </c>
      <c r="X16">
        <f t="shared" si="3"/>
        <v>0.34423466687070642</v>
      </c>
      <c r="Y16">
        <f>SQRT((D16*COS(T16)*SIN(RADIANS(F16))+MIN(CT_ThongSo!$C$17,I16)*COS(U16)*SIN(RADIANS(K16)))^2+(D16*COS(T16)*COS(RADIANS(F16))+MIN(CT_ThongSo!$C$17,I16)*COS(U16)*COS(RADIANS(K16)))^2)</f>
        <v>68.488296147157442</v>
      </c>
      <c r="Z16">
        <f>D16*SIN(T16)+MIN(CT_ThongSo!$C$17,I16)*SIN(U16)</f>
        <v>5.6181084285577896</v>
      </c>
      <c r="AA16">
        <f t="shared" si="4"/>
        <v>7.7486069845471392E-2</v>
      </c>
      <c r="AB16">
        <f>CT_ThongSo!$C$42*Y16/(IF(O16&gt;Z16,CT_ThongSo!$C$39*CT_ThongSo!$C$37*M16^2,0)+Q16+CT_ThongSo!$C$45*CT_ThongSo!$C$61)</f>
        <v>0.6747592903073838</v>
      </c>
      <c r="AC16">
        <f>CT_ThongSo!$C$43*(Y16*(N16+CT_ThongSo!$C$33)+Z16*M16/2)/R16</f>
        <v>0.45552722378558957</v>
      </c>
      <c r="AD16">
        <f>MAX(MAX(0,Z16-CT_ThongSo!$C$36*O16)/CT_ThongSo!$C$45,MAX(0,(Y16*(N16+CT_ThongSo!$C$33)+Z16*M16/2)-CT_ThongSo!$C$36*O16*M16/2)/(M16-CT_ThongSo!$C$41)/(CT_ThongSo!$C$45/2))/CT_ThongSo!$C$56</f>
        <v>0</v>
      </c>
      <c r="AE16">
        <f>SQRT((MIN(CT_ThongSo!$C$17,D16)*COS(T16)*SIN(RADIANS(F16))+I16*COS(U16)*SIN(RADIANS(K16)))^2+(MIN(CT_ThongSo!$C$17,D16)*COS(T16)*COS(RADIANS(F16))+I16*COS(U16)*COS(RADIANS(K16)))^2)</f>
        <v>82.135388506025393</v>
      </c>
      <c r="AF16">
        <f>MIN(CT_ThongSo!$C$17,D16)*SIN(T16)+I16*SIN(U16)</f>
        <v>6.6036682695196829</v>
      </c>
      <c r="AG16">
        <f t="shared" si="5"/>
        <v>9.107910736775876E-2</v>
      </c>
      <c r="AH16">
        <f>CT_ThongSo!$C$42*AE16/(IF(O16&gt;AF16,CT_ThongSo!$C$39*CT_ThongSo!$C$37*M16^2,0)+Q16+CT_ThongSo!$C$45*CT_ThongSo!$C$61)</f>
        <v>0.80921295425958961</v>
      </c>
      <c r="AI16">
        <f>CT_ThongSo!$C$43*(AE16*(N16+CT_ThongSo!$C$33)+AF16*M16/2)/R16</f>
        <v>0.54444856437319034</v>
      </c>
      <c r="AJ16">
        <f>MAX(MAX(0,AF16-CT_ThongSo!$C$36*O16)/CT_ThongSo!$C$45,MAX(0,(AE16*(N16+CT_ThongSo!$C$33)+AF16*M16/2)-CT_ThongSo!$C$36*O16*M16/2)/(M16-CT_ThongSo!$C$41)/(CT_ThongSo!$C$45/2))/CT_ThongSo!$C$56</f>
        <v>0</v>
      </c>
      <c r="AK16">
        <f t="shared" si="6"/>
        <v>13.958612752542122</v>
      </c>
      <c r="AL16">
        <f t="shared" si="7"/>
        <v>11.507105004206554</v>
      </c>
      <c r="AM16">
        <f t="shared" si="8"/>
        <v>0.15870828294141934</v>
      </c>
      <c r="AN16">
        <f>CT_ThongSo!$C$42*AK16/(IF(O16&gt;AL16,CT_ThongSo!$C$39*CT_ThongSo!$C$37*M16^2,0)+Q16+CT_ThongSo!$C$45*CT_ThongSo!$C$61)</f>
        <v>0.13752282016687073</v>
      </c>
      <c r="AO16">
        <f>CT_ThongSo!$C$43*(AK16*(N16+CT_ThongSo!$C$33)+AL16*M16/2)/R16</f>
        <v>0.23581953091235613</v>
      </c>
      <c r="AP16">
        <f>MAX(MAX(0,AL16-CT_ThongSo!$C$36*O16)/CT_ThongSo!$C$45,MAX(0,(AK16*(N16+CT_ThongSo!$C$33)+AL16*M16/2)-CT_ThongSo!$C$36*O16*M16/2)/(M16-CT_ThongSo!$C$41)/(CT_ThongSo!$C$45/2))/CT_ThongSo!$C$56</f>
        <v>0</v>
      </c>
      <c r="AQ16">
        <f>SQRT((D16*COS(W16)*SIN(RADIANS(F16))+MIN(CT_ThongSo!$C$17,I16)*COS(X16)*SIN(RADIANS(K16)))^2+(D16*COS(W16)*COS(RADIANS(F16))+MIN(CT_ThongSo!$C$17,I16)*COS(X16)*COS(RADIANS(K16)))^2)</f>
        <v>64.646670949300969</v>
      </c>
      <c r="AR16">
        <f>D16*SIN(W16)+MIN(CT_ThongSo!$C$17,I16)*SIN(X16)</f>
        <v>26.514332750462742</v>
      </c>
      <c r="AS16">
        <f t="shared" si="9"/>
        <v>0.36569095551184105</v>
      </c>
      <c r="AT16">
        <f>CT_ThongSo!$C$42*AQ16/(IF(O16&gt;AR16,CT_ThongSo!$C$39*CT_ThongSo!$C$37*M16^2,0)+Q16+CT_ThongSo!$C$45*CT_ThongSo!$C$61)</f>
        <v>0.63691089228967102</v>
      </c>
      <c r="AU16">
        <f>CT_ThongSo!$C$43*(AQ16*(N16+CT_ThongSo!$C$33)+AR16*M16/2)/R16</f>
        <v>0.72265529681325846</v>
      </c>
      <c r="AV16">
        <f>MAX(MAX(0,AR16-CT_ThongSo!$C$36*O16)/CT_ThongSo!$C$45,MAX(0,(AQ16*(N16+CT_ThongSo!$C$33)+AR16*M16/2)-CT_ThongSo!$C$36*O16*M16/2)/(M16-CT_ThongSo!$C$41)/(CT_ThongSo!$C$45/2))/CT_ThongSo!$C$56</f>
        <v>0.3852879327880549</v>
      </c>
      <c r="AW16">
        <f>SQRT((MIN(CT_ThongSo!$C$17,D16)*COS(W16)*SIN(RADIANS(F16))+I16*COS(X16)*SIN(RADIANS(K16)))^2+(MIN(CT_ThongSo!$C$17,D16)*COS(W16)*COS(RADIANS(F16))+I16*COS(X16)*COS(RADIANS(K16)))^2)</f>
        <v>77.514595810290913</v>
      </c>
      <c r="AX16">
        <f>MIN(CT_ThongSo!$C$17,D16)*SIN(W16)+I16*SIN(X16)</f>
        <v>31.161344152761806</v>
      </c>
      <c r="AY16">
        <f t="shared" si="10"/>
        <v>0.4297834618545287</v>
      </c>
      <c r="AZ16">
        <f>CT_ThongSo!$C$42*AW16/(IF(O16&gt;AX16,CT_ThongSo!$C$39*CT_ThongSo!$C$37*M16^2,0)+Q16+CT_ThongSo!$C$45*CT_ThongSo!$C$61)</f>
        <v>0.76368805474490442</v>
      </c>
      <c r="BA16">
        <f>CT_ThongSo!$C$43*(AW16*(N16+CT_ThongSo!$C$33)+AX16*M16/2)/R16</f>
        <v>0.85779777242861444</v>
      </c>
      <c r="BB16">
        <f>MAX(MAX(0,AX16-CT_ThongSo!$C$36*O16)/CT_ThongSo!$C$45,MAX(0,(AW16*(N16+CT_ThongSo!$C$33)+AX16*M16/2)-CT_ThongSo!$C$36*O16*M16/2)/(M16-CT_ThongSo!$C$41)/(CT_ThongSo!$C$45/2))/CT_ThongSo!$C$56</f>
        <v>0.71241545345950008</v>
      </c>
      <c r="BC16">
        <f t="shared" si="11"/>
        <v>13.16294099448543</v>
      </c>
      <c r="BD16">
        <f t="shared" si="12"/>
        <v>54.303055111887048</v>
      </c>
      <c r="BE16">
        <f t="shared" si="13"/>
        <v>0.7489585462312478</v>
      </c>
      <c r="BF16">
        <f>CT_ThongSo!$C$42*BC16/(IF(O16&gt;BD16,CT_ThongSo!$C$39*CT_ThongSo!$C$37*M16^2,0)+Q16+CT_ThongSo!$C$45*CT_ThongSo!$C$61)</f>
        <v>0.25767413750868839</v>
      </c>
      <c r="BG16">
        <f>CT_ThongSo!$C$43*(BC16*(N16+CT_ThongSo!$C$33)+BD16*M16/2)/R16</f>
        <v>0.82193682037176496</v>
      </c>
      <c r="BH16">
        <f>MAX(MAX(0,BD16-CT_ThongSo!$C$36*O16)/CT_ThongSo!$C$45,MAX(0,(BC16*(N16+CT_ThongSo!$C$33)+BD16*M16/2)-CT_ThongSo!$C$36*O16*M16/2)/(M16-CT_ThongSo!$C$41)/(CT_ThongSo!$C$45/2))/CT_ThongSo!$C$56</f>
        <v>0.62560999661213579</v>
      </c>
      <c r="BI16">
        <f t="shared" si="14"/>
        <v>0.7489585462312478</v>
      </c>
      <c r="BJ16">
        <f t="shared" si="15"/>
        <v>0.80921295425958961</v>
      </c>
      <c r="BK16">
        <f t="shared" si="16"/>
        <v>0.85779777242861444</v>
      </c>
      <c r="BL16">
        <f t="shared" si="17"/>
        <v>0.71241545345950008</v>
      </c>
      <c r="BM16">
        <f>(O16/M16^2)/(5.14*CT_ThongSo!$C$37/CT_ThongSo!$C$44)</f>
        <v>0.14591439688715957</v>
      </c>
      <c r="BN16" t="str">
        <f t="shared" si="18"/>
        <v>ĐẠT</v>
      </c>
      <c r="BO16">
        <f t="shared" si="19"/>
        <v>3.0250000000000004</v>
      </c>
      <c r="BP16">
        <v>2.75</v>
      </c>
    </row>
    <row r="17" spans="1:68" ht="15.5" x14ac:dyDescent="0.35">
      <c r="A17" t="s">
        <v>773</v>
      </c>
      <c r="B17" t="s">
        <v>774</v>
      </c>
      <c r="C17" t="s">
        <v>166</v>
      </c>
      <c r="D17">
        <f>VLOOKUP(C17,CT_LucDay!$A$6:$M$14,13,FALSE)</f>
        <v>73.65998268985814</v>
      </c>
      <c r="E17" s="3">
        <v>21.06</v>
      </c>
      <c r="F17" s="3">
        <v>90.2</v>
      </c>
      <c r="G17" t="s">
        <v>775</v>
      </c>
      <c r="H17" t="s">
        <v>168</v>
      </c>
      <c r="I17">
        <f>VLOOKUP(H17,CT_LucDay!$A$6:$M$14,13,FALSE)</f>
        <v>87.342727174884487</v>
      </c>
      <c r="J17" s="3">
        <v>20.8</v>
      </c>
      <c r="K17" s="3">
        <v>270.2</v>
      </c>
      <c r="L17" s="3">
        <v>378.3</v>
      </c>
      <c r="M17" s="3">
        <v>2.75</v>
      </c>
      <c r="N17" s="3">
        <v>0.4</v>
      </c>
      <c r="O17">
        <f>M17^2*N17*(CT_ThongSo!$C$34-CT_ThongSo!$C$35)</f>
        <v>45.375000000000007</v>
      </c>
      <c r="P17">
        <f>CT_ThongSo!$C$36*O17+CT_ThongSo!$C$45*CT_ThongSo!$C$56</f>
        <v>72.504753948185112</v>
      </c>
      <c r="Q17">
        <f>M17*(0.5*CT_ThongSo!$C$38*CT_ThongSo!$C$40^2+2*CT_ThongSo!$C$37*CT_ThongSo!$C$40)</f>
        <v>16.685624999999998</v>
      </c>
      <c r="R17">
        <f>O17*M17/2+CT_ThongSo!$C$45/2*CT_ThongSo!$C$55*M17</f>
        <v>149.47557335750906</v>
      </c>
      <c r="S17">
        <f>MAX(0,CT_ThongSo!$C$19-L17+CT_ThongSo!$C$13-N17-CT_ThongSo!$C$33)</f>
        <v>1.4999999999999889</v>
      </c>
      <c r="T17">
        <f t="shared" si="0"/>
        <v>7.1104994652401513E-2</v>
      </c>
      <c r="U17">
        <f t="shared" si="1"/>
        <v>7.199075815349619E-2</v>
      </c>
      <c r="V17">
        <f>MAX(0,CT_ThongSo!$C$20-L17+CT_ThongSo!$C$13-N17-CT_ThongSo!$C$33)</f>
        <v>7.4999999999999876</v>
      </c>
      <c r="W17">
        <f t="shared" si="2"/>
        <v>0.34212125064963977</v>
      </c>
      <c r="X17">
        <f t="shared" si="3"/>
        <v>0.34606621883520072</v>
      </c>
      <c r="Y17">
        <f>SQRT((D17*COS(T17)*SIN(RADIANS(F17))+MIN(CT_ThongSo!$C$17,I17)*COS(U17)*SIN(RADIANS(K17)))^2+(D17*COS(T17)*COS(RADIANS(F17))+MIN(CT_ThongSo!$C$17,I17)*COS(U17)*COS(RADIANS(K17)))^2)</f>
        <v>68.486802710355704</v>
      </c>
      <c r="Z17">
        <f>D17*SIN(T17)+MIN(CT_ThongSo!$C$17,I17)*SIN(U17)</f>
        <v>5.5928232667619575</v>
      </c>
      <c r="AA17">
        <f t="shared" si="4"/>
        <v>7.7137331860457306E-2</v>
      </c>
      <c r="AB17">
        <f>CT_ThongSo!$C$42*Y17/(IF(O17&gt;Z17,CT_ThongSo!$C$39*CT_ThongSo!$C$37*M17^2,0)+Q17+CT_ThongSo!$C$45*CT_ThongSo!$C$61)</f>
        <v>0.67474457669333365</v>
      </c>
      <c r="AC17">
        <f>CT_ThongSo!$C$43*(Y17*(N17+CT_ThongSo!$C$33)+Z17*M17/2)/R17</f>
        <v>0.4551700903064112</v>
      </c>
      <c r="AD17">
        <f>MAX(MAX(0,Z17-CT_ThongSo!$C$36*O17)/CT_ThongSo!$C$45,MAX(0,(Y17*(N17+CT_ThongSo!$C$33)+Z17*M17/2)-CT_ThongSo!$C$36*O17*M17/2)/(M17-CT_ThongSo!$C$41)/(CT_ThongSo!$C$45/2))/CT_ThongSo!$C$56</f>
        <v>0</v>
      </c>
      <c r="AE17">
        <f>SQRT((MIN(CT_ThongSo!$C$17,D17)*COS(T17)*SIN(RADIANS(F17))+I17*COS(U17)*SIN(RADIANS(K17)))^2+(MIN(CT_ThongSo!$C$17,D17)*COS(T17)*COS(RADIANS(F17))+I17*COS(U17)*COS(RADIANS(K17)))^2)</f>
        <v>82.129125151776151</v>
      </c>
      <c r="AF17">
        <f>MIN(CT_ThongSo!$C$17,D17)*SIN(T17)+I17*SIN(U17)</f>
        <v>6.6376646960879642</v>
      </c>
      <c r="AG17">
        <f t="shared" si="5"/>
        <v>9.1547992850668974E-2</v>
      </c>
      <c r="AH17">
        <f>CT_ThongSo!$C$42*AE17/(IF(O17&gt;AF17,CT_ThongSo!$C$39*CT_ThongSo!$C$37*M17^2,0)+Q17+CT_ThongSo!$C$45*CT_ThongSo!$C$61)</f>
        <v>0.80915124654154269</v>
      </c>
      <c r="AI17">
        <f>CT_ThongSo!$C$43*(AE17*(N17+CT_ThongSo!$C$33)+AF17*M17/2)/R17</f>
        <v>0.54488308595476076</v>
      </c>
      <c r="AJ17">
        <f>MAX(MAX(0,AF17-CT_ThongSo!$C$36*O17)/CT_ThongSo!$C$45,MAX(0,(AE17*(N17+CT_ThongSo!$C$33)+AF17*M17/2)-CT_ThongSo!$C$36*O17*M17/2)/(M17-CT_ThongSo!$C$41)/(CT_ThongSo!$C$45/2))/CT_ThongSo!$C$56</f>
        <v>0</v>
      </c>
      <c r="AK17">
        <f t="shared" si="6"/>
        <v>13.642639043616523</v>
      </c>
      <c r="AL17">
        <f t="shared" si="7"/>
        <v>11.515619547096449</v>
      </c>
      <c r="AM17">
        <f t="shared" si="8"/>
        <v>0.1588257172119498</v>
      </c>
      <c r="AN17">
        <f>CT_ThongSo!$C$42*AK17/(IF(O17&gt;AL17,CT_ThongSo!$C$39*CT_ThongSo!$C$37*M17^2,0)+Q17+CT_ThongSo!$C$45*CT_ThongSo!$C$61)</f>
        <v>0.1344097890712756</v>
      </c>
      <c r="AO17">
        <f>CT_ThongSo!$C$43*(AK17*(N17+CT_ThongSo!$C$33)+AL17*M17/2)/R17</f>
        <v>0.2341930640610016</v>
      </c>
      <c r="AP17">
        <f>MAX(MAX(0,AL17-CT_ThongSo!$C$36*O17)/CT_ThongSo!$C$45,MAX(0,(AK17*(N17+CT_ThongSo!$C$33)+AL17*M17/2)-CT_ThongSo!$C$36*O17*M17/2)/(M17-CT_ThongSo!$C$41)/(CT_ThongSo!$C$45/2))/CT_ThongSo!$C$56</f>
        <v>0</v>
      </c>
      <c r="AQ17">
        <f>SQRT((D17*COS(W17)*SIN(RADIANS(F17))+MIN(CT_ThongSo!$C$17,I17)*COS(X17)*SIN(RADIANS(K17)))^2+(D17*COS(W17)*COS(RADIANS(F17))+MIN(CT_ThongSo!$C$17,I17)*COS(X17)*COS(RADIANS(K17)))^2)</f>
        <v>64.687456728092357</v>
      </c>
      <c r="AR17">
        <f>D17*SIN(W17)+MIN(CT_ThongSo!$C$17,I17)*SIN(X17)</f>
        <v>26.407904072068948</v>
      </c>
      <c r="AS17">
        <f t="shared" si="9"/>
        <v>0.36422306999263976</v>
      </c>
      <c r="AT17">
        <f>CT_ThongSo!$C$42*AQ17/(IF(O17&gt;AR17,CT_ThongSo!$C$39*CT_ThongSo!$C$37*M17^2,0)+Q17+CT_ThongSo!$C$45*CT_ThongSo!$C$61)</f>
        <v>0.63731272128382188</v>
      </c>
      <c r="AU17">
        <f>CT_ThongSo!$C$43*(AQ17*(N17+CT_ThongSo!$C$33)+AR17*M17/2)/R17</f>
        <v>0.72141187705236043</v>
      </c>
      <c r="AV17">
        <f>MAX(MAX(0,AR17-CT_ThongSo!$C$36*O17)/CT_ThongSo!$C$45,MAX(0,(AQ17*(N17+CT_ThongSo!$C$33)+AR17*M17/2)-CT_ThongSo!$C$36*O17*M17/2)/(M17-CT_ThongSo!$C$41)/(CT_ThongSo!$C$45/2))/CT_ThongSo!$C$56</f>
        <v>0.38227809578688737</v>
      </c>
      <c r="AW17">
        <f>SQRT((MIN(CT_ThongSo!$C$17,D17)*COS(W17)*SIN(RADIANS(F17))+I17*COS(X17)*SIN(RADIANS(K17)))^2+(MIN(CT_ThongSo!$C$17,D17)*COS(W17)*COS(RADIANS(F17))+I17*COS(X17)*COS(RADIANS(K17)))^2)</f>
        <v>77.454329056705078</v>
      </c>
      <c r="AX17">
        <f>MIN(CT_ThongSo!$C$17,D17)*SIN(W17)+I17*SIN(X17)</f>
        <v>31.30407312812369</v>
      </c>
      <c r="AY17">
        <f t="shared" si="10"/>
        <v>0.43175200829582666</v>
      </c>
      <c r="AZ17">
        <f>CT_ThongSo!$C$42*AW17/(IF(O17&gt;AX17,CT_ThongSo!$C$39*CT_ThongSo!$C$37*M17^2,0)+Q17+CT_ThongSo!$C$45*CT_ThongSo!$C$61)</f>
        <v>0.76309429560405306</v>
      </c>
      <c r="BA17">
        <f>CT_ThongSo!$C$43*(AW17*(N17+CT_ThongSo!$C$33)+AX17*M17/2)/R17</f>
        <v>0.85943455116429734</v>
      </c>
      <c r="BB17">
        <f>MAX(MAX(0,AX17-CT_ThongSo!$C$36*O17)/CT_ThongSo!$C$45,MAX(0,(AW17*(N17+CT_ThongSo!$C$33)+AX17*M17/2)-CT_ThongSo!$C$36*O17*M17/2)/(M17-CT_ThongSo!$C$41)/(CT_ThongSo!$C$45/2))/CT_ThongSo!$C$56</f>
        <v>0.71637745998079261</v>
      </c>
      <c r="BC17">
        <f t="shared" si="11"/>
        <v>12.773526374615296</v>
      </c>
      <c r="BD17">
        <f t="shared" si="12"/>
        <v>54.33854701775676</v>
      </c>
      <c r="BE17">
        <f t="shared" si="13"/>
        <v>0.74944805766238898</v>
      </c>
      <c r="BF17">
        <f>CT_ThongSo!$C$42*BC17/(IF(O17&gt;BD17,CT_ThongSo!$C$39*CT_ThongSo!$C$37*M17^2,0)+Q17+CT_ThongSo!$C$45*CT_ThongSo!$C$61)</f>
        <v>0.25005106327699894</v>
      </c>
      <c r="BG17">
        <f>CT_ThongSo!$C$43*(BC17*(N17+CT_ThongSo!$C$33)+BD17*M17/2)/R17</f>
        <v>0.82027725152071751</v>
      </c>
      <c r="BH17">
        <f>MAX(MAX(0,BD17-CT_ThongSo!$C$36*O17)/CT_ThongSo!$C$45,MAX(0,(BC17*(N17+CT_ThongSo!$C$33)+BD17*M17/2)-CT_ThongSo!$C$36*O17*M17/2)/(M17-CT_ThongSo!$C$41)/(CT_ThongSo!$C$45/2))/CT_ThongSo!$C$56</f>
        <v>0.62159282406031813</v>
      </c>
      <c r="BI17">
        <f t="shared" si="14"/>
        <v>0.74944805766238898</v>
      </c>
      <c r="BJ17">
        <f t="shared" si="15"/>
        <v>0.80915124654154269</v>
      </c>
      <c r="BK17">
        <f t="shared" si="16"/>
        <v>0.85943455116429734</v>
      </c>
      <c r="BL17">
        <f t="shared" si="17"/>
        <v>0.71637745998079261</v>
      </c>
      <c r="BM17">
        <f>(O17/M17^2)/(5.14*CT_ThongSo!$C$37/CT_ThongSo!$C$44)</f>
        <v>0.14591439688715957</v>
      </c>
      <c r="BN17" t="str">
        <f t="shared" si="18"/>
        <v>ĐẠT</v>
      </c>
      <c r="BO17">
        <f t="shared" si="19"/>
        <v>3.0250000000000004</v>
      </c>
      <c r="BP17">
        <v>2.75</v>
      </c>
    </row>
    <row r="18" spans="1:68" ht="15.5" x14ac:dyDescent="0.35">
      <c r="A18" t="s">
        <v>777</v>
      </c>
      <c r="B18" t="s">
        <v>778</v>
      </c>
      <c r="C18" t="s">
        <v>166</v>
      </c>
      <c r="D18">
        <f>VLOOKUP(C18,CT_LucDay!$A$6:$M$14,13,FALSE)</f>
        <v>73.65998268985814</v>
      </c>
      <c r="E18" s="3">
        <v>21.06</v>
      </c>
      <c r="F18" s="3">
        <v>89.6</v>
      </c>
      <c r="G18" t="s">
        <v>779</v>
      </c>
      <c r="H18" t="s">
        <v>168</v>
      </c>
      <c r="I18">
        <f>VLOOKUP(H18,CT_LucDay!$A$6:$M$14,13,FALSE)</f>
        <v>87.342727174884487</v>
      </c>
      <c r="J18" s="3">
        <v>20.8</v>
      </c>
      <c r="K18" s="3">
        <v>269.60000000000002</v>
      </c>
      <c r="L18" s="3">
        <v>378.3</v>
      </c>
      <c r="M18" s="3">
        <v>2.75</v>
      </c>
      <c r="N18" s="3">
        <v>0.4</v>
      </c>
      <c r="O18">
        <f>M18^2*N18*(CT_ThongSo!$C$34-CT_ThongSo!$C$35)</f>
        <v>45.375000000000007</v>
      </c>
      <c r="P18">
        <f>CT_ThongSo!$C$36*O18+CT_ThongSo!$C$45*CT_ThongSo!$C$56</f>
        <v>72.504753948185112</v>
      </c>
      <c r="Q18">
        <f>M18*(0.5*CT_ThongSo!$C$38*CT_ThongSo!$C$40^2+2*CT_ThongSo!$C$37*CT_ThongSo!$C$40)</f>
        <v>16.685624999999998</v>
      </c>
      <c r="R18">
        <f>O18*M18/2+CT_ThongSo!$C$45/2*CT_ThongSo!$C$55*M18</f>
        <v>149.47557335750906</v>
      </c>
      <c r="S18">
        <f>MAX(0,CT_ThongSo!$C$19-L18+CT_ThongSo!$C$13-N18-CT_ThongSo!$C$33)</f>
        <v>1.4999999999999889</v>
      </c>
      <c r="T18">
        <f t="shared" si="0"/>
        <v>7.1104994652401513E-2</v>
      </c>
      <c r="U18">
        <f t="shared" si="1"/>
        <v>7.199075815349619E-2</v>
      </c>
      <c r="V18">
        <f>MAX(0,CT_ThongSo!$C$20-L18+CT_ThongSo!$C$13-N18-CT_ThongSo!$C$33)</f>
        <v>7.4999999999999876</v>
      </c>
      <c r="W18">
        <f t="shared" si="2"/>
        <v>0.34212125064963977</v>
      </c>
      <c r="X18">
        <f t="shared" si="3"/>
        <v>0.34606621883520072</v>
      </c>
      <c r="Y18">
        <f>SQRT((D18*COS(T18)*SIN(RADIANS(F18))+MIN(CT_ThongSo!$C$17,I18)*COS(U18)*SIN(RADIANS(K18)))^2+(D18*COS(T18)*COS(RADIANS(F18))+MIN(CT_ThongSo!$C$17,I18)*COS(U18)*COS(RADIANS(K18)))^2)</f>
        <v>68.486802710355718</v>
      </c>
      <c r="Z18">
        <f>D18*SIN(T18)+MIN(CT_ThongSo!$C$17,I18)*SIN(U18)</f>
        <v>5.5928232667619575</v>
      </c>
      <c r="AA18">
        <f t="shared" si="4"/>
        <v>7.7137331860457306E-2</v>
      </c>
      <c r="AB18">
        <f>CT_ThongSo!$C$42*Y18/(IF(O18&gt;Z18,CT_ThongSo!$C$39*CT_ThongSo!$C$37*M18^2,0)+Q18+CT_ThongSo!$C$45*CT_ThongSo!$C$61)</f>
        <v>0.67474457669333376</v>
      </c>
      <c r="AC18">
        <f>CT_ThongSo!$C$43*(Y18*(N18+CT_ThongSo!$C$33)+Z18*M18/2)/R18</f>
        <v>0.45517009030641131</v>
      </c>
      <c r="AD18">
        <f>MAX(MAX(0,Z18-CT_ThongSo!$C$36*O18)/CT_ThongSo!$C$45,MAX(0,(Y18*(N18+CT_ThongSo!$C$33)+Z18*M18/2)-CT_ThongSo!$C$36*O18*M18/2)/(M18-CT_ThongSo!$C$41)/(CT_ThongSo!$C$45/2))/CT_ThongSo!$C$56</f>
        <v>0</v>
      </c>
      <c r="AE18">
        <f>SQRT((MIN(CT_ThongSo!$C$17,D18)*COS(T18)*SIN(RADIANS(F18))+I18*COS(U18)*SIN(RADIANS(K18)))^2+(MIN(CT_ThongSo!$C$17,D18)*COS(T18)*COS(RADIANS(F18))+I18*COS(U18)*COS(RADIANS(K18)))^2)</f>
        <v>82.129125151776151</v>
      </c>
      <c r="AF18">
        <f>MIN(CT_ThongSo!$C$17,D18)*SIN(T18)+I18*SIN(U18)</f>
        <v>6.6376646960879642</v>
      </c>
      <c r="AG18">
        <f t="shared" si="5"/>
        <v>9.1547992850668974E-2</v>
      </c>
      <c r="AH18">
        <f>CT_ThongSo!$C$42*AE18/(IF(O18&gt;AF18,CT_ThongSo!$C$39*CT_ThongSo!$C$37*M18^2,0)+Q18+CT_ThongSo!$C$45*CT_ThongSo!$C$61)</f>
        <v>0.80915124654154269</v>
      </c>
      <c r="AI18">
        <f>CT_ThongSo!$C$43*(AE18*(N18+CT_ThongSo!$C$33)+AF18*M18/2)/R18</f>
        <v>0.54488308595476076</v>
      </c>
      <c r="AJ18">
        <f>MAX(MAX(0,AF18-CT_ThongSo!$C$36*O18)/CT_ThongSo!$C$45,MAX(0,(AE18*(N18+CT_ThongSo!$C$33)+AF18*M18/2)-CT_ThongSo!$C$36*O18*M18/2)/(M18-CT_ThongSo!$C$41)/(CT_ThongSo!$C$45/2))/CT_ThongSo!$C$56</f>
        <v>0</v>
      </c>
      <c r="AK18">
        <f t="shared" si="6"/>
        <v>13.642639043616512</v>
      </c>
      <c r="AL18">
        <f t="shared" si="7"/>
        <v>11.515619547096449</v>
      </c>
      <c r="AM18">
        <f t="shared" si="8"/>
        <v>0.1588257172119498</v>
      </c>
      <c r="AN18">
        <f>CT_ThongSo!$C$42*AK18/(IF(O18&gt;AL18,CT_ThongSo!$C$39*CT_ThongSo!$C$37*M18^2,0)+Q18+CT_ThongSo!$C$45*CT_ThongSo!$C$61)</f>
        <v>0.13440978907127552</v>
      </c>
      <c r="AO18">
        <f>CT_ThongSo!$C$43*(AK18*(N18+CT_ThongSo!$C$33)+AL18*M18/2)/R18</f>
        <v>0.23419306406100152</v>
      </c>
      <c r="AP18">
        <f>MAX(MAX(0,AL18-CT_ThongSo!$C$36*O18)/CT_ThongSo!$C$45,MAX(0,(AK18*(N18+CT_ThongSo!$C$33)+AL18*M18/2)-CT_ThongSo!$C$36*O18*M18/2)/(M18-CT_ThongSo!$C$41)/(CT_ThongSo!$C$45/2))/CT_ThongSo!$C$56</f>
        <v>0</v>
      </c>
      <c r="AQ18">
        <f>SQRT((D18*COS(W18)*SIN(RADIANS(F18))+MIN(CT_ThongSo!$C$17,I18)*COS(X18)*SIN(RADIANS(K18)))^2+(D18*COS(W18)*COS(RADIANS(F18))+MIN(CT_ThongSo!$C$17,I18)*COS(X18)*COS(RADIANS(K18)))^2)</f>
        <v>64.687456728092343</v>
      </c>
      <c r="AR18">
        <f>D18*SIN(W18)+MIN(CT_ThongSo!$C$17,I18)*SIN(X18)</f>
        <v>26.407904072068948</v>
      </c>
      <c r="AS18">
        <f t="shared" si="9"/>
        <v>0.36422306999263976</v>
      </c>
      <c r="AT18">
        <f>CT_ThongSo!$C$42*AQ18/(IF(O18&gt;AR18,CT_ThongSo!$C$39*CT_ThongSo!$C$37*M18^2,0)+Q18+CT_ThongSo!$C$45*CT_ThongSo!$C$61)</f>
        <v>0.63731272128382166</v>
      </c>
      <c r="AU18">
        <f>CT_ThongSo!$C$43*(AQ18*(N18+CT_ThongSo!$C$33)+AR18*M18/2)/R18</f>
        <v>0.72141187705236032</v>
      </c>
      <c r="AV18">
        <f>MAX(MAX(0,AR18-CT_ThongSo!$C$36*O18)/CT_ThongSo!$C$45,MAX(0,(AQ18*(N18+CT_ThongSo!$C$33)+AR18*M18/2)-CT_ThongSo!$C$36*O18*M18/2)/(M18-CT_ThongSo!$C$41)/(CT_ThongSo!$C$45/2))/CT_ThongSo!$C$56</f>
        <v>0.38227809578688704</v>
      </c>
      <c r="AW18">
        <f>SQRT((MIN(CT_ThongSo!$C$17,D18)*COS(W18)*SIN(RADIANS(F18))+I18*COS(X18)*SIN(RADIANS(K18)))^2+(MIN(CT_ThongSo!$C$17,D18)*COS(W18)*COS(RADIANS(F18))+I18*COS(X18)*COS(RADIANS(K18)))^2)</f>
        <v>77.454329056705063</v>
      </c>
      <c r="AX18">
        <f>MIN(CT_ThongSo!$C$17,D18)*SIN(W18)+I18*SIN(X18)</f>
        <v>31.30407312812369</v>
      </c>
      <c r="AY18">
        <f t="shared" si="10"/>
        <v>0.43175200829582666</v>
      </c>
      <c r="AZ18">
        <f>CT_ThongSo!$C$42*AW18/(IF(O18&gt;AX18,CT_ThongSo!$C$39*CT_ThongSo!$C$37*M18^2,0)+Q18+CT_ThongSo!$C$45*CT_ThongSo!$C$61)</f>
        <v>0.76309429560405295</v>
      </c>
      <c r="BA18">
        <f>CT_ThongSo!$C$43*(AW18*(N18+CT_ThongSo!$C$33)+AX18*M18/2)/R18</f>
        <v>0.85943455116429712</v>
      </c>
      <c r="BB18">
        <f>MAX(MAX(0,AX18-CT_ThongSo!$C$36*O18)/CT_ThongSo!$C$45,MAX(0,(AW18*(N18+CT_ThongSo!$C$33)+AX18*M18/2)-CT_ThongSo!$C$36*O18*M18/2)/(M18-CT_ThongSo!$C$41)/(CT_ThongSo!$C$45/2))/CT_ThongSo!$C$56</f>
        <v>0.71637745998079227</v>
      </c>
      <c r="BC18">
        <f t="shared" si="11"/>
        <v>12.773526374615292</v>
      </c>
      <c r="BD18">
        <f t="shared" si="12"/>
        <v>54.33854701775676</v>
      </c>
      <c r="BE18">
        <f t="shared" si="13"/>
        <v>0.74944805766238898</v>
      </c>
      <c r="BF18">
        <f>CT_ThongSo!$C$42*BC18/(IF(O18&gt;BD18,CT_ThongSo!$C$39*CT_ThongSo!$C$37*M18^2,0)+Q18+CT_ThongSo!$C$45*CT_ThongSo!$C$61)</f>
        <v>0.25005106327699883</v>
      </c>
      <c r="BG18">
        <f>CT_ThongSo!$C$43*(BC18*(N18+CT_ThongSo!$C$33)+BD18*M18/2)/R18</f>
        <v>0.82027725152071751</v>
      </c>
      <c r="BH18">
        <f>MAX(MAX(0,BD18-CT_ThongSo!$C$36*O18)/CT_ThongSo!$C$45,MAX(0,(BC18*(N18+CT_ThongSo!$C$33)+BD18*M18/2)-CT_ThongSo!$C$36*O18*M18/2)/(M18-CT_ThongSo!$C$41)/(CT_ThongSo!$C$45/2))/CT_ThongSo!$C$56</f>
        <v>0.62159282406031813</v>
      </c>
      <c r="BI18">
        <f t="shared" si="14"/>
        <v>0.74944805766238898</v>
      </c>
      <c r="BJ18">
        <f t="shared" si="15"/>
        <v>0.80915124654154269</v>
      </c>
      <c r="BK18">
        <f t="shared" si="16"/>
        <v>0.85943455116429712</v>
      </c>
      <c r="BL18">
        <f t="shared" si="17"/>
        <v>0.71637745998079227</v>
      </c>
      <c r="BM18">
        <f>(O18/M18^2)/(5.14*CT_ThongSo!$C$37/CT_ThongSo!$C$44)</f>
        <v>0.14591439688715957</v>
      </c>
      <c r="BN18" t="str">
        <f t="shared" si="18"/>
        <v>ĐẠT</v>
      </c>
      <c r="BO18">
        <f t="shared" si="19"/>
        <v>3.0250000000000004</v>
      </c>
      <c r="BP18">
        <v>2.75</v>
      </c>
    </row>
    <row r="19" spans="1:68" ht="15.5" x14ac:dyDescent="0.35">
      <c r="A19" t="s">
        <v>781</v>
      </c>
      <c r="B19" t="s">
        <v>782</v>
      </c>
      <c r="C19" t="s">
        <v>166</v>
      </c>
      <c r="D19">
        <f>VLOOKUP(C19,CT_LucDay!$A$6:$M$14,13,FALSE)</f>
        <v>73.65998268985814</v>
      </c>
      <c r="E19" s="3">
        <v>20.95</v>
      </c>
      <c r="F19" s="3">
        <v>87.8</v>
      </c>
      <c r="G19" t="s">
        <v>783</v>
      </c>
      <c r="H19" t="s">
        <v>168</v>
      </c>
      <c r="I19">
        <f>VLOOKUP(H19,CT_LucDay!$A$6:$M$14,13,FALSE)</f>
        <v>87.342727174884487</v>
      </c>
      <c r="J19" s="3">
        <v>20.92</v>
      </c>
      <c r="K19" s="3">
        <v>269.89999999999998</v>
      </c>
      <c r="L19" s="3">
        <v>378.3</v>
      </c>
      <c r="M19" s="3">
        <v>2.75</v>
      </c>
      <c r="N19" s="3">
        <v>0.4</v>
      </c>
      <c r="O19">
        <f>M19^2*N19*(CT_ThongSo!$C$34-CT_ThongSo!$C$35)</f>
        <v>45.375000000000007</v>
      </c>
      <c r="P19">
        <f>CT_ThongSo!$C$36*O19+CT_ThongSo!$C$45*CT_ThongSo!$C$56</f>
        <v>72.504753948185112</v>
      </c>
      <c r="Q19">
        <f>M19*(0.5*CT_ThongSo!$C$38*CT_ThongSo!$C$40^2+2*CT_ThongSo!$C$37*CT_ThongSo!$C$40)</f>
        <v>16.685624999999998</v>
      </c>
      <c r="R19">
        <f>O19*M19/2+CT_ThongSo!$C$45/2*CT_ThongSo!$C$55*M19</f>
        <v>149.47557335750906</v>
      </c>
      <c r="S19">
        <f>MAX(0,CT_ThongSo!$C$19-L19+CT_ThongSo!$C$13-N19-CT_ThongSo!$C$33)</f>
        <v>1.4999999999999889</v>
      </c>
      <c r="T19">
        <f t="shared" si="0"/>
        <v>7.1477071296553576E-2</v>
      </c>
      <c r="U19">
        <f t="shared" si="1"/>
        <v>7.1579222370827561E-2</v>
      </c>
      <c r="V19">
        <f>MAX(0,CT_ThongSo!$C$20-L19+CT_ThongSo!$C$13-N19-CT_ThongSo!$C$33)</f>
        <v>7.4999999999999876</v>
      </c>
      <c r="W19">
        <f t="shared" si="2"/>
        <v>0.34377968392857566</v>
      </c>
      <c r="X19">
        <f t="shared" si="3"/>
        <v>0.34423466687070642</v>
      </c>
      <c r="Y19">
        <f>SQRT((D19*COS(T19)*SIN(RADIANS(F19))+MIN(CT_ThongSo!$C$17,I19)*COS(U19)*SIN(RADIANS(K19)))^2+(D19*COS(T19)*COS(RADIANS(F19))+MIN(CT_ThongSo!$C$17,I19)*COS(U19)*COS(RADIANS(K19)))^2)</f>
        <v>68.488296147157442</v>
      </c>
      <c r="Z19">
        <f>D19*SIN(T19)+MIN(CT_ThongSo!$C$17,I19)*SIN(U19)</f>
        <v>5.6181084285577896</v>
      </c>
      <c r="AA19">
        <f t="shared" si="4"/>
        <v>7.7486069845471392E-2</v>
      </c>
      <c r="AB19">
        <f>CT_ThongSo!$C$42*Y19/(IF(O19&gt;Z19,CT_ThongSo!$C$39*CT_ThongSo!$C$37*M19^2,0)+Q19+CT_ThongSo!$C$45*CT_ThongSo!$C$61)</f>
        <v>0.6747592903073838</v>
      </c>
      <c r="AC19">
        <f>CT_ThongSo!$C$43*(Y19*(N19+CT_ThongSo!$C$33)+Z19*M19/2)/R19</f>
        <v>0.45552722378558957</v>
      </c>
      <c r="AD19">
        <f>MAX(MAX(0,Z19-CT_ThongSo!$C$36*O19)/CT_ThongSo!$C$45,MAX(0,(Y19*(N19+CT_ThongSo!$C$33)+Z19*M19/2)-CT_ThongSo!$C$36*O19*M19/2)/(M19-CT_ThongSo!$C$41)/(CT_ThongSo!$C$45/2))/CT_ThongSo!$C$56</f>
        <v>0</v>
      </c>
      <c r="AE19">
        <f>SQRT((MIN(CT_ThongSo!$C$17,D19)*COS(T19)*SIN(RADIANS(F19))+I19*COS(U19)*SIN(RADIANS(K19)))^2+(MIN(CT_ThongSo!$C$17,D19)*COS(T19)*COS(RADIANS(F19))+I19*COS(U19)*COS(RADIANS(K19)))^2)</f>
        <v>82.135388506025393</v>
      </c>
      <c r="AF19">
        <f>MIN(CT_ThongSo!$C$17,D19)*SIN(T19)+I19*SIN(U19)</f>
        <v>6.6036682695196829</v>
      </c>
      <c r="AG19">
        <f t="shared" si="5"/>
        <v>9.107910736775876E-2</v>
      </c>
      <c r="AH19">
        <f>CT_ThongSo!$C$42*AE19/(IF(O19&gt;AF19,CT_ThongSo!$C$39*CT_ThongSo!$C$37*M19^2,0)+Q19+CT_ThongSo!$C$45*CT_ThongSo!$C$61)</f>
        <v>0.80921295425958961</v>
      </c>
      <c r="AI19">
        <f>CT_ThongSo!$C$43*(AE19*(N19+CT_ThongSo!$C$33)+AF19*M19/2)/R19</f>
        <v>0.54444856437319034</v>
      </c>
      <c r="AJ19">
        <f>MAX(MAX(0,AF19-CT_ThongSo!$C$36*O19)/CT_ThongSo!$C$45,MAX(0,(AE19*(N19+CT_ThongSo!$C$33)+AF19*M19/2)-CT_ThongSo!$C$36*O19*M19/2)/(M19-CT_ThongSo!$C$41)/(CT_ThongSo!$C$45/2))/CT_ThongSo!$C$56</f>
        <v>0</v>
      </c>
      <c r="AK19">
        <f t="shared" si="6"/>
        <v>13.958612752542123</v>
      </c>
      <c r="AL19">
        <f t="shared" si="7"/>
        <v>11.507105004206554</v>
      </c>
      <c r="AM19">
        <f t="shared" si="8"/>
        <v>0.15870828294141934</v>
      </c>
      <c r="AN19">
        <f>CT_ThongSo!$C$42*AK19/(IF(O19&gt;AL19,CT_ThongSo!$C$39*CT_ThongSo!$C$37*M19^2,0)+Q19+CT_ThongSo!$C$45*CT_ThongSo!$C$61)</f>
        <v>0.13752282016687076</v>
      </c>
      <c r="AO19">
        <f>CT_ThongSo!$C$43*(AK19*(N19+CT_ThongSo!$C$33)+AL19*M19/2)/R19</f>
        <v>0.23581953091235616</v>
      </c>
      <c r="AP19">
        <f>MAX(MAX(0,AL19-CT_ThongSo!$C$36*O19)/CT_ThongSo!$C$45,MAX(0,(AK19*(N19+CT_ThongSo!$C$33)+AL19*M19/2)-CT_ThongSo!$C$36*O19*M19/2)/(M19-CT_ThongSo!$C$41)/(CT_ThongSo!$C$45/2))/CT_ThongSo!$C$56</f>
        <v>0</v>
      </c>
      <c r="AQ19">
        <f>SQRT((D19*COS(W19)*SIN(RADIANS(F19))+MIN(CT_ThongSo!$C$17,I19)*COS(X19)*SIN(RADIANS(K19)))^2+(D19*COS(W19)*COS(RADIANS(F19))+MIN(CT_ThongSo!$C$17,I19)*COS(X19)*COS(RADIANS(K19)))^2)</f>
        <v>64.646670949300969</v>
      </c>
      <c r="AR19">
        <f>D19*SIN(W19)+MIN(CT_ThongSo!$C$17,I19)*SIN(X19)</f>
        <v>26.514332750462742</v>
      </c>
      <c r="AS19">
        <f t="shared" si="9"/>
        <v>0.36569095551184105</v>
      </c>
      <c r="AT19">
        <f>CT_ThongSo!$C$42*AQ19/(IF(O19&gt;AR19,CT_ThongSo!$C$39*CT_ThongSo!$C$37*M19^2,0)+Q19+CT_ThongSo!$C$45*CT_ThongSo!$C$61)</f>
        <v>0.63691089228967102</v>
      </c>
      <c r="AU19">
        <f>CT_ThongSo!$C$43*(AQ19*(N19+CT_ThongSo!$C$33)+AR19*M19/2)/R19</f>
        <v>0.72265529681325846</v>
      </c>
      <c r="AV19">
        <f>MAX(MAX(0,AR19-CT_ThongSo!$C$36*O19)/CT_ThongSo!$C$45,MAX(0,(AQ19*(N19+CT_ThongSo!$C$33)+AR19*M19/2)-CT_ThongSo!$C$36*O19*M19/2)/(M19-CT_ThongSo!$C$41)/(CT_ThongSo!$C$45/2))/CT_ThongSo!$C$56</f>
        <v>0.3852879327880549</v>
      </c>
      <c r="AW19">
        <f>SQRT((MIN(CT_ThongSo!$C$17,D19)*COS(W19)*SIN(RADIANS(F19))+I19*COS(X19)*SIN(RADIANS(K19)))^2+(MIN(CT_ThongSo!$C$17,D19)*COS(W19)*COS(RADIANS(F19))+I19*COS(X19)*COS(RADIANS(K19)))^2)</f>
        <v>77.514595810290913</v>
      </c>
      <c r="AX19">
        <f>MIN(CT_ThongSo!$C$17,D19)*SIN(W19)+I19*SIN(X19)</f>
        <v>31.161344152761806</v>
      </c>
      <c r="AY19">
        <f t="shared" si="10"/>
        <v>0.4297834618545287</v>
      </c>
      <c r="AZ19">
        <f>CT_ThongSo!$C$42*AW19/(IF(O19&gt;AX19,CT_ThongSo!$C$39*CT_ThongSo!$C$37*M19^2,0)+Q19+CT_ThongSo!$C$45*CT_ThongSo!$C$61)</f>
        <v>0.76368805474490442</v>
      </c>
      <c r="BA19">
        <f>CT_ThongSo!$C$43*(AW19*(N19+CT_ThongSo!$C$33)+AX19*M19/2)/R19</f>
        <v>0.85779777242861444</v>
      </c>
      <c r="BB19">
        <f>MAX(MAX(0,AX19-CT_ThongSo!$C$36*O19)/CT_ThongSo!$C$45,MAX(0,(AW19*(N19+CT_ThongSo!$C$33)+AX19*M19/2)-CT_ThongSo!$C$36*O19*M19/2)/(M19-CT_ThongSo!$C$41)/(CT_ThongSo!$C$45/2))/CT_ThongSo!$C$56</f>
        <v>0.71241545345950008</v>
      </c>
      <c r="BC19">
        <f t="shared" si="11"/>
        <v>13.162940994485435</v>
      </c>
      <c r="BD19">
        <f t="shared" si="12"/>
        <v>54.303055111887048</v>
      </c>
      <c r="BE19">
        <f t="shared" si="13"/>
        <v>0.7489585462312478</v>
      </c>
      <c r="BF19">
        <f>CT_ThongSo!$C$42*BC19/(IF(O19&gt;BD19,CT_ThongSo!$C$39*CT_ThongSo!$C$37*M19^2,0)+Q19+CT_ThongSo!$C$45*CT_ThongSo!$C$61)</f>
        <v>0.25767413750868845</v>
      </c>
      <c r="BG19">
        <f>CT_ThongSo!$C$43*(BC19*(N19+CT_ThongSo!$C$33)+BD19*M19/2)/R19</f>
        <v>0.82193682037176496</v>
      </c>
      <c r="BH19">
        <f>MAX(MAX(0,BD19-CT_ThongSo!$C$36*O19)/CT_ThongSo!$C$45,MAX(0,(BC19*(N19+CT_ThongSo!$C$33)+BD19*M19/2)-CT_ThongSo!$C$36*O19*M19/2)/(M19-CT_ThongSo!$C$41)/(CT_ThongSo!$C$45/2))/CT_ThongSo!$C$56</f>
        <v>0.62560999661213579</v>
      </c>
      <c r="BI19">
        <f t="shared" si="14"/>
        <v>0.7489585462312478</v>
      </c>
      <c r="BJ19">
        <f t="shared" si="15"/>
        <v>0.80921295425958961</v>
      </c>
      <c r="BK19">
        <f t="shared" si="16"/>
        <v>0.85779777242861444</v>
      </c>
      <c r="BL19">
        <f t="shared" si="17"/>
        <v>0.71241545345950008</v>
      </c>
      <c r="BM19">
        <f>(O19/M19^2)/(5.14*CT_ThongSo!$C$37/CT_ThongSo!$C$44)</f>
        <v>0.14591439688715957</v>
      </c>
      <c r="BN19" t="str">
        <f t="shared" si="18"/>
        <v>ĐẠT</v>
      </c>
      <c r="BO19">
        <f t="shared" si="19"/>
        <v>3.0250000000000004</v>
      </c>
      <c r="BP19">
        <v>2.75</v>
      </c>
    </row>
    <row r="20" spans="1:68" ht="15.5" x14ac:dyDescent="0.35">
      <c r="A20" t="s">
        <v>785</v>
      </c>
      <c r="B20" t="s">
        <v>786</v>
      </c>
      <c r="C20" t="s">
        <v>166</v>
      </c>
      <c r="D20">
        <f>VLOOKUP(C20,CT_LucDay!$A$6:$M$14,13,FALSE)</f>
        <v>73.65998268985814</v>
      </c>
      <c r="E20" s="3">
        <v>20.97</v>
      </c>
      <c r="F20" s="3">
        <v>87.2</v>
      </c>
      <c r="G20" t="s">
        <v>787</v>
      </c>
      <c r="H20" t="s">
        <v>168</v>
      </c>
      <c r="I20">
        <f>VLOOKUP(H20,CT_LucDay!$A$6:$M$14,13,FALSE)</f>
        <v>87.342727174884487</v>
      </c>
      <c r="J20" s="3">
        <v>20.92</v>
      </c>
      <c r="K20" s="3">
        <v>269.2</v>
      </c>
      <c r="L20" s="3">
        <v>378.3</v>
      </c>
      <c r="M20" s="3">
        <v>2.75</v>
      </c>
      <c r="N20" s="3">
        <v>0.4</v>
      </c>
      <c r="O20">
        <f>M20^2*N20*(CT_ThongSo!$C$34-CT_ThongSo!$C$35)</f>
        <v>45.375000000000007</v>
      </c>
      <c r="P20">
        <f>CT_ThongSo!$C$36*O20+CT_ThongSo!$C$45*CT_ThongSo!$C$56</f>
        <v>72.504753948185112</v>
      </c>
      <c r="Q20">
        <f>M20*(0.5*CT_ThongSo!$C$38*CT_ThongSo!$C$40^2+2*CT_ThongSo!$C$37*CT_ThongSo!$C$40)</f>
        <v>16.685624999999998</v>
      </c>
      <c r="R20">
        <f>O20*M20/2+CT_ThongSo!$C$45/2*CT_ThongSo!$C$55*M20</f>
        <v>149.47557335750906</v>
      </c>
      <c r="S20">
        <f>MAX(0,CT_ThongSo!$C$19-L20+CT_ThongSo!$C$13-N20-CT_ThongSo!$C$33)</f>
        <v>1.4999999999999889</v>
      </c>
      <c r="T20">
        <f t="shared" si="0"/>
        <v>7.1409132129388486E-2</v>
      </c>
      <c r="U20">
        <f t="shared" si="1"/>
        <v>7.1579222370827561E-2</v>
      </c>
      <c r="V20">
        <f>MAX(0,CT_ThongSo!$C$20-L20+CT_ThongSo!$C$13-N20-CT_ThongSo!$C$33)</f>
        <v>7.4999999999999876</v>
      </c>
      <c r="W20">
        <f t="shared" si="2"/>
        <v>0.3434770030935817</v>
      </c>
      <c r="X20">
        <f t="shared" si="3"/>
        <v>0.34423466687070642</v>
      </c>
      <c r="Y20">
        <f>SQRT((D20*COS(T20)*SIN(RADIANS(F20))+MIN(CT_ThongSo!$C$17,I20)*COS(U20)*SIN(RADIANS(K20)))^2+(D20*COS(T20)*COS(RADIANS(F20))+MIN(CT_ThongSo!$C$17,I20)*COS(U20)*COS(RADIANS(K20)))^2)</f>
        <v>68.488319347143189</v>
      </c>
      <c r="Z20">
        <f>D20*SIN(T20)+MIN(CT_ThongSo!$C$17,I20)*SIN(U20)</f>
        <v>5.6131167967656506</v>
      </c>
      <c r="AA20">
        <f t="shared" si="4"/>
        <v>7.7417224266108337E-2</v>
      </c>
      <c r="AB20">
        <f>CT_ThongSo!$C$42*Y20/(IF(O20&gt;Z20,CT_ThongSo!$C$39*CT_ThongSo!$C$37*M20^2,0)+Q20+CT_ThongSo!$C$45*CT_ThongSo!$C$61)</f>
        <v>0.67475951887791041</v>
      </c>
      <c r="AC20">
        <f>CT_ThongSo!$C$43*(Y20*(N20+CT_ThongSo!$C$33)+Z20*M20/2)/R20</f>
        <v>0.45545847609422946</v>
      </c>
      <c r="AD20">
        <f>MAX(MAX(0,Z20-CT_ThongSo!$C$36*O20)/CT_ThongSo!$C$45,MAX(0,(Y20*(N20+CT_ThongSo!$C$33)+Z20*M20/2)-CT_ThongSo!$C$36*O20*M20/2)/(M20-CT_ThongSo!$C$41)/(CT_ThongSo!$C$45/2))/CT_ThongSo!$C$56</f>
        <v>0</v>
      </c>
      <c r="AE20">
        <f>SQRT((MIN(CT_ThongSo!$C$17,D20)*COS(T20)*SIN(RADIANS(F20))+I20*COS(U20)*SIN(RADIANS(K20)))^2+(MIN(CT_ThongSo!$C$17,D20)*COS(T20)*COS(RADIANS(F20))+I20*COS(U20)*COS(RADIANS(K20)))^2)</f>
        <v>82.135034011819627</v>
      </c>
      <c r="AF20">
        <f>MIN(CT_ThongSo!$C$17,D20)*SIN(T20)+I20*SIN(U20)</f>
        <v>6.6033294402388529</v>
      </c>
      <c r="AG20">
        <f t="shared" si="5"/>
        <v>9.1074434166866697E-2</v>
      </c>
      <c r="AH20">
        <f>CT_ThongSo!$C$42*AE20/(IF(O20&gt;AF20,CT_ThongSo!$C$39*CT_ThongSo!$C$37*M20^2,0)+Q20+CT_ThongSo!$C$45*CT_ThongSo!$C$61)</f>
        <v>0.80920946171747421</v>
      </c>
      <c r="AI20">
        <f>CT_ThongSo!$C$43*(AE20*(N20+CT_ThongSo!$C$33)+AF20*M20/2)/R20</f>
        <v>0.544441932566473</v>
      </c>
      <c r="AJ20">
        <f>MAX(MAX(0,AF20-CT_ThongSo!$C$36*O20)/CT_ThongSo!$C$45,MAX(0,(AE20*(N20+CT_ThongSo!$C$33)+AF20*M20/2)-CT_ThongSo!$C$36*O20*M20/2)/(M20-CT_ThongSo!$C$41)/(CT_ThongSo!$C$45/2))/CT_ThongSo!$C$56</f>
        <v>0</v>
      </c>
      <c r="AK20">
        <f t="shared" si="6"/>
        <v>13.929605593109885</v>
      </c>
      <c r="AL20">
        <f t="shared" si="7"/>
        <v>11.502113372414414</v>
      </c>
      <c r="AM20">
        <f t="shared" si="8"/>
        <v>0.15863943736205627</v>
      </c>
      <c r="AN20">
        <f>CT_ThongSo!$C$42*AK20/(IF(O20&gt;AL20,CT_ThongSo!$C$39*CT_ThongSo!$C$37*M20^2,0)+Q20+CT_ThongSo!$C$45*CT_ThongSo!$C$61)</f>
        <v>0.1372370362970213</v>
      </c>
      <c r="AO20">
        <f>CT_ThongSo!$C$43*(AK20*(N20+CT_ThongSo!$C$33)+AL20*M20/2)/R20</f>
        <v>0.23559055606158893</v>
      </c>
      <c r="AP20">
        <f>MAX(MAX(0,AL20-CT_ThongSo!$C$36*O20)/CT_ThongSo!$C$45,MAX(0,(AK20*(N20+CT_ThongSo!$C$33)+AL20*M20/2)-CT_ThongSo!$C$36*O20*M20/2)/(M20-CT_ThongSo!$C$41)/(CT_ThongSo!$C$45/2))/CT_ThongSo!$C$56</f>
        <v>0</v>
      </c>
      <c r="AQ20">
        <f>SQRT((D20*COS(W20)*SIN(RADIANS(F20))+MIN(CT_ThongSo!$C$17,I20)*COS(X20)*SIN(RADIANS(K20)))^2+(D20*COS(W20)*COS(RADIANS(F20))+MIN(CT_ThongSo!$C$17,I20)*COS(X20)*COS(RADIANS(K20)))^2)</f>
        <v>64.65386715816598</v>
      </c>
      <c r="AR20">
        <f>D20*SIN(W20)+MIN(CT_ThongSo!$C$17,I20)*SIN(X20)</f>
        <v>26.493340712769935</v>
      </c>
      <c r="AS20">
        <f t="shared" si="9"/>
        <v>0.36540142914908957</v>
      </c>
      <c r="AT20">
        <f>CT_ThongSo!$C$42*AQ20/(IF(O20&gt;AR20,CT_ThongSo!$C$39*CT_ThongSo!$C$37*M20^2,0)+Q20+CT_ThongSo!$C$45*CT_ThongSo!$C$61)</f>
        <v>0.63698179066296723</v>
      </c>
      <c r="AU20">
        <f>CT_ThongSo!$C$43*(AQ20*(N20+CT_ThongSo!$C$33)+AR20*M20/2)/R20</f>
        <v>0.72240536162593239</v>
      </c>
      <c r="AV20">
        <f>MAX(MAX(0,AR20-CT_ThongSo!$C$36*O20)/CT_ThongSo!$C$45,MAX(0,(AQ20*(N20+CT_ThongSo!$C$33)+AR20*M20/2)-CT_ThongSo!$C$36*O20*M20/2)/(M20-CT_ThongSo!$C$41)/(CT_ThongSo!$C$45/2))/CT_ThongSo!$C$56</f>
        <v>0.38468293663280284</v>
      </c>
      <c r="AW20">
        <f>SQRT((MIN(CT_ThongSo!$C$17,D20)*COS(W20)*SIN(RADIANS(F20))+I20*COS(X20)*SIN(RADIANS(K20)))^2+(MIN(CT_ThongSo!$C$17,D20)*COS(W20)*COS(RADIANS(F20))+I20*COS(X20)*COS(RADIANS(K20)))^2)</f>
        <v>77.513774548557691</v>
      </c>
      <c r="AX20">
        <f>MIN(CT_ThongSo!$C$17,D20)*SIN(W20)+I20*SIN(X20)</f>
        <v>31.15991922453577</v>
      </c>
      <c r="AY20">
        <f t="shared" si="10"/>
        <v>0.42976380896077426</v>
      </c>
      <c r="AZ20">
        <f>CT_ThongSo!$C$42*AW20/(IF(O20&gt;AX20,CT_ThongSo!$C$39*CT_ThongSo!$C$37*M20^2,0)+Q20+CT_ThongSo!$C$45*CT_ThongSo!$C$61)</f>
        <v>0.76367996352325873</v>
      </c>
      <c r="BA20">
        <f>CT_ThongSo!$C$43*(AW20*(N20+CT_ThongSo!$C$33)+AX20*M20/2)/R20</f>
        <v>0.8577735781384378</v>
      </c>
      <c r="BB20">
        <f>MAX(MAX(0,AX20-CT_ThongSo!$C$36*O20)/CT_ThongSo!$C$45,MAX(0,(AW20*(N20+CT_ThongSo!$C$33)+AX20*M20/2)-CT_ThongSo!$C$36*O20*M20/2)/(M20-CT_ThongSo!$C$41)/(CT_ThongSo!$C$45/2))/CT_ThongSo!$C$56</f>
        <v>0.71235688846634138</v>
      </c>
      <c r="BC20">
        <f t="shared" si="11"/>
        <v>13.128538649963801</v>
      </c>
      <c r="BD20">
        <f t="shared" si="12"/>
        <v>54.282063074194241</v>
      </c>
      <c r="BE20">
        <f t="shared" si="13"/>
        <v>0.74866901986849643</v>
      </c>
      <c r="BF20">
        <f>CT_ThongSo!$C$42*BC20/(IF(O20&gt;BD20,CT_ThongSo!$C$39*CT_ThongSo!$C$37*M20^2,0)+Q20+CT_ThongSo!$C$45*CT_ThongSo!$C$61)</f>
        <v>0.25700068660918185</v>
      </c>
      <c r="BG20">
        <f>CT_ThongSo!$C$43*(BC20*(N20+CT_ThongSo!$C$33)+BD20*M20/2)/R20</f>
        <v>0.82145729043679483</v>
      </c>
      <c r="BH20">
        <f>MAX(MAX(0,BD20-CT_ThongSo!$C$36*O20)/CT_ThongSo!$C$45,MAX(0,(BC20*(N20+CT_ThongSo!$C$33)+BD20*M20/2)-CT_ThongSo!$C$36*O20*M20/2)/(M20-CT_ThongSo!$C$41)/(CT_ThongSo!$C$45/2))/CT_ThongSo!$C$56</f>
        <v>0.62444924061739615</v>
      </c>
      <c r="BI20">
        <f t="shared" si="14"/>
        <v>0.74866901986849643</v>
      </c>
      <c r="BJ20">
        <f t="shared" si="15"/>
        <v>0.80920946171747421</v>
      </c>
      <c r="BK20">
        <f t="shared" si="16"/>
        <v>0.8577735781384378</v>
      </c>
      <c r="BL20">
        <f t="shared" si="17"/>
        <v>0.71235688846634138</v>
      </c>
      <c r="BM20">
        <f>(O20/M20^2)/(5.14*CT_ThongSo!$C$37/CT_ThongSo!$C$44)</f>
        <v>0.14591439688715957</v>
      </c>
      <c r="BN20" t="str">
        <f t="shared" si="18"/>
        <v>ĐẠT</v>
      </c>
      <c r="BO20">
        <f t="shared" si="19"/>
        <v>3.0250000000000004</v>
      </c>
      <c r="BP20">
        <v>2.75</v>
      </c>
    </row>
    <row r="21" spans="1:68" ht="15.5" x14ac:dyDescent="0.35">
      <c r="A21" t="s">
        <v>789</v>
      </c>
      <c r="B21" t="s">
        <v>790</v>
      </c>
      <c r="C21" t="s">
        <v>166</v>
      </c>
      <c r="D21">
        <f>VLOOKUP(C21,CT_LucDay!$A$6:$M$14,13,FALSE)</f>
        <v>73.65998268985814</v>
      </c>
      <c r="E21" s="3">
        <v>20.95</v>
      </c>
      <c r="F21" s="3">
        <v>87.5</v>
      </c>
      <c r="G21" t="s">
        <v>791</v>
      </c>
      <c r="H21" t="s">
        <v>168</v>
      </c>
      <c r="I21">
        <f>VLOOKUP(H21,CT_LucDay!$A$6:$M$14,13,FALSE)</f>
        <v>87.342727174884487</v>
      </c>
      <c r="J21" s="3">
        <v>20.95</v>
      </c>
      <c r="K21" s="3">
        <v>267.5</v>
      </c>
      <c r="L21" s="3">
        <v>378.3</v>
      </c>
      <c r="M21" s="3">
        <v>2.75</v>
      </c>
      <c r="N21" s="3">
        <v>0.4</v>
      </c>
      <c r="O21">
        <f>M21^2*N21*(CT_ThongSo!$C$34-CT_ThongSo!$C$35)</f>
        <v>45.375000000000007</v>
      </c>
      <c r="P21">
        <f>CT_ThongSo!$C$36*O21+CT_ThongSo!$C$45*CT_ThongSo!$C$56</f>
        <v>72.504753948185112</v>
      </c>
      <c r="Q21">
        <f>M21*(0.5*CT_ThongSo!$C$38*CT_ThongSo!$C$40^2+2*CT_ThongSo!$C$37*CT_ThongSo!$C$40)</f>
        <v>16.685624999999998</v>
      </c>
      <c r="R21">
        <f>O21*M21/2+CT_ThongSo!$C$45/2*CT_ThongSo!$C$55*M21</f>
        <v>149.47557335750906</v>
      </c>
      <c r="S21">
        <f>MAX(0,CT_ThongSo!$C$19-L21+CT_ThongSo!$C$13-N21-CT_ThongSo!$C$33)</f>
        <v>1.4999999999999889</v>
      </c>
      <c r="T21">
        <f t="shared" si="0"/>
        <v>7.1477071296553576E-2</v>
      </c>
      <c r="U21">
        <f t="shared" si="1"/>
        <v>7.1477071296553576E-2</v>
      </c>
      <c r="V21">
        <f>MAX(0,CT_ThongSo!$C$20-L21+CT_ThongSo!$C$13-N21-CT_ThongSo!$C$33)</f>
        <v>7.4999999999999876</v>
      </c>
      <c r="W21">
        <f t="shared" si="2"/>
        <v>0.34377968392857566</v>
      </c>
      <c r="X21">
        <f t="shared" si="3"/>
        <v>0.34377968392857566</v>
      </c>
      <c r="Y21">
        <f>SQRT((D21*COS(T21)*SIN(RADIANS(F21))+MIN(CT_ThongSo!$C$17,I21)*COS(U21)*SIN(RADIANS(K21)))^2+(D21*COS(T21)*COS(RADIANS(F21))+MIN(CT_ThongSo!$C$17,I21)*COS(U21)*COS(RADIANS(K21)))^2)</f>
        <v>68.484666394460476</v>
      </c>
      <c r="Z21">
        <f>D21*SIN(T21)+MIN(CT_ThongSo!$C$17,I21)*SIN(U21)</f>
        <v>5.6175989792123371</v>
      </c>
      <c r="AA21">
        <f t="shared" si="4"/>
        <v>7.7479043418682655E-2</v>
      </c>
      <c r="AB21">
        <f>CT_ThongSo!$C$42*Y21/(IF(O21&gt;Z21,CT_ThongSo!$C$39*CT_ThongSo!$C$37*M21^2,0)+Q21+CT_ThongSo!$C$45*CT_ThongSo!$C$61)</f>
        <v>0.67472352931621338</v>
      </c>
      <c r="AC21">
        <f>CT_ThongSo!$C$43*(Y21*(N21+CT_ThongSo!$C$33)+Z21*M21/2)/R21</f>
        <v>0.45550016059955095</v>
      </c>
      <c r="AD21">
        <f>MAX(MAX(0,Z21-CT_ThongSo!$C$36*O21)/CT_ThongSo!$C$45,MAX(0,(Y21*(N21+CT_ThongSo!$C$33)+Z21*M21/2)-CT_ThongSo!$C$36*O21*M21/2)/(M21-CT_ThongSo!$C$41)/(CT_ThongSo!$C$45/2))/CT_ThongSo!$C$56</f>
        <v>0</v>
      </c>
      <c r="AE21">
        <f>SQRT((MIN(CT_ThongSo!$C$17,D21)*COS(T21)*SIN(RADIANS(F21))+I21*COS(U21)*SIN(RADIANS(K21)))^2+(MIN(CT_ThongSo!$C$17,D21)*COS(T21)*COS(RADIANS(F21))+I21*COS(U21)*COS(RADIANS(K21)))^2)</f>
        <v>82.132473380524374</v>
      </c>
      <c r="AF21">
        <f>MIN(CT_ThongSo!$C$17,D21)*SIN(T21)+I21*SIN(U21)</f>
        <v>6.5947689304818224</v>
      </c>
      <c r="AG21">
        <f t="shared" si="5"/>
        <v>9.0956365912154072E-2</v>
      </c>
      <c r="AH21">
        <f>CT_ThongSo!$C$42*AE21/(IF(O21&gt;AF21,CT_ThongSo!$C$39*CT_ThongSo!$C$37*M21^2,0)+Q21+CT_ThongSo!$C$45*CT_ThongSo!$C$61)</f>
        <v>0.80918423390699101</v>
      </c>
      <c r="AI21">
        <f>CT_ThongSo!$C$43*(AE21*(N21+CT_ThongSo!$C$33)+AF21*M21/2)/R21</f>
        <v>0.54430967970569821</v>
      </c>
      <c r="AJ21">
        <f>MAX(MAX(0,AF21-CT_ThongSo!$C$36*O21)/CT_ThongSo!$C$45,MAX(0,(AE21*(N21+CT_ThongSo!$C$33)+AF21*M21/2)-CT_ThongSo!$C$36*O21*M21/2)/(M21-CT_ThongSo!$C$41)/(CT_ThongSo!$C$45/2))/CT_ThongSo!$C$56</f>
        <v>0</v>
      </c>
      <c r="AK21">
        <f t="shared" si="6"/>
        <v>13.647806986063904</v>
      </c>
      <c r="AL21">
        <f t="shared" si="7"/>
        <v>11.498205665168694</v>
      </c>
      <c r="AM21">
        <f t="shared" si="8"/>
        <v>0.15858554148581466</v>
      </c>
      <c r="AN21">
        <f>CT_ThongSo!$C$42*AK21/(IF(O21&gt;AL21,CT_ThongSo!$C$39*CT_ThongSo!$C$37*M21^2,0)+Q21+CT_ThongSo!$C$45*CT_ThongSo!$C$61)</f>
        <v>0.13446070459077766</v>
      </c>
      <c r="AO21">
        <f>CT_ThongSo!$C$43*(AK21*(N21+CT_ThongSo!$C$33)+AL21*M21/2)/R21</f>
        <v>0.23398130652600149</v>
      </c>
      <c r="AP21">
        <f>MAX(MAX(0,AL21-CT_ThongSo!$C$36*O21)/CT_ThongSo!$C$45,MAX(0,(AK21*(N21+CT_ThongSo!$C$33)+AL21*M21/2)-CT_ThongSo!$C$36*O21*M21/2)/(M21-CT_ThongSo!$C$41)/(CT_ThongSo!$C$45/2))/CT_ThongSo!$C$56</f>
        <v>0</v>
      </c>
      <c r="AQ21">
        <f>SQRT((D21*COS(W21)*SIN(RADIANS(F21))+MIN(CT_ThongSo!$C$17,I21)*COS(X21)*SIN(RADIANS(K21)))^2+(D21*COS(W21)*COS(RADIANS(F21))+MIN(CT_ThongSo!$C$17,I21)*COS(X21)*COS(RADIANS(K21)))^2)</f>
        <v>64.642512612489952</v>
      </c>
      <c r="AR21">
        <f>D21*SIN(W21)+MIN(CT_ThongSo!$C$17,I21)*SIN(X21)</f>
        <v>26.512191121297427</v>
      </c>
      <c r="AS21">
        <f t="shared" si="9"/>
        <v>0.36566141773605815</v>
      </c>
      <c r="AT21">
        <f>CT_ThongSo!$C$42*AQ21/(IF(O21&gt;AR21,CT_ThongSo!$C$39*CT_ThongSo!$C$37*M21^2,0)+Q21+CT_ThongSo!$C$45*CT_ThongSo!$C$61)</f>
        <v>0.63686992359058947</v>
      </c>
      <c r="AU21">
        <f>CT_ThongSo!$C$43*(AQ21*(N21+CT_ThongSo!$C$33)+AR21*M21/2)/R21</f>
        <v>0.72260279500412494</v>
      </c>
      <c r="AV21">
        <f>MAX(MAX(0,AR21-CT_ThongSo!$C$36*O21)/CT_ThongSo!$C$45,MAX(0,(AQ21*(N21+CT_ThongSo!$C$33)+AR21*M21/2)-CT_ThongSo!$C$36*O21*M21/2)/(M21-CT_ThongSo!$C$41)/(CT_ThongSo!$C$45/2))/CT_ThongSo!$C$56</f>
        <v>0.38516084627010844</v>
      </c>
      <c r="AW21">
        <f>SQRT((MIN(CT_ThongSo!$C$17,D21)*COS(W21)*SIN(RADIANS(F21))+I21*COS(X21)*SIN(RADIANS(K21)))^2+(MIN(CT_ThongSo!$C$17,D21)*COS(W21)*COS(RADIANS(F21))+I21*COS(X21)*COS(RADIANS(K21)))^2)</f>
        <v>77.524644944827998</v>
      </c>
      <c r="AX21">
        <f>MIN(CT_ThongSo!$C$17,D21)*SIN(W21)+I21*SIN(X21)</f>
        <v>31.123933006382643</v>
      </c>
      <c r="AY21">
        <f t="shared" si="10"/>
        <v>0.42926747987621733</v>
      </c>
      <c r="AZ21">
        <f>CT_ThongSo!$C$42*AW21/(IF(O21&gt;AX21,CT_ThongSo!$C$39*CT_ThongSo!$C$37*M21^2,0)+Q21+CT_ThongSo!$C$45*CT_ThongSo!$C$61)</f>
        <v>0.76378706066664437</v>
      </c>
      <c r="BA21">
        <f>CT_ThongSo!$C$43*(AW21*(N21+CT_ThongSo!$C$33)+AX21*M21/2)/R21</f>
        <v>0.85733702856346661</v>
      </c>
      <c r="BB21">
        <f>MAX(MAX(0,AX21-CT_ThongSo!$C$36*O21)/CT_ThongSo!$C$45,MAX(0,(AW21*(N21+CT_ThongSo!$C$33)+AX21*M21/2)-CT_ThongSo!$C$36*O21*M21/2)/(M21-CT_ThongSo!$C$41)/(CT_ThongSo!$C$45/2))/CT_ThongSo!$C$56</f>
        <v>0.71130017125393086</v>
      </c>
      <c r="BC21">
        <f t="shared" si="11"/>
        <v>12.882132332338056</v>
      </c>
      <c r="BD21">
        <f t="shared" si="12"/>
        <v>54.265643965507884</v>
      </c>
      <c r="BE21">
        <f t="shared" si="13"/>
        <v>0.74844256425293643</v>
      </c>
      <c r="BF21">
        <f>CT_ThongSo!$C$42*BC21/(IF(O21&gt;BD21,CT_ThongSo!$C$39*CT_ThongSo!$C$37*M21^2,0)+Q21+CT_ThongSo!$C$45*CT_ThongSo!$C$61)</f>
        <v>0.25217710384014064</v>
      </c>
      <c r="BG21">
        <f>CT_ThongSo!$C$43*(BC21*(N21+CT_ThongSo!$C$33)+BD21*M21/2)/R21</f>
        <v>0.81987074610463395</v>
      </c>
      <c r="BH21">
        <f>MAX(MAX(0,BD21-CT_ThongSo!$C$36*O21)/CT_ThongSo!$C$45,MAX(0,(BC21*(N21+CT_ThongSo!$C$33)+BD21*M21/2)-CT_ThongSo!$C$36*O21*M21/2)/(M21-CT_ThongSo!$C$41)/(CT_ThongSo!$C$45/2))/CT_ThongSo!$C$56</f>
        <v>0.62060883210444029</v>
      </c>
      <c r="BI21">
        <f t="shared" si="14"/>
        <v>0.74844256425293643</v>
      </c>
      <c r="BJ21">
        <f t="shared" si="15"/>
        <v>0.80918423390699101</v>
      </c>
      <c r="BK21">
        <f t="shared" si="16"/>
        <v>0.85733702856346661</v>
      </c>
      <c r="BL21">
        <f t="shared" si="17"/>
        <v>0.71130017125393086</v>
      </c>
      <c r="BM21">
        <f>(O21/M21^2)/(5.14*CT_ThongSo!$C$37/CT_ThongSo!$C$44)</f>
        <v>0.14591439688715957</v>
      </c>
      <c r="BN21" t="str">
        <f t="shared" si="18"/>
        <v>ĐẠT</v>
      </c>
      <c r="BO21">
        <f t="shared" si="19"/>
        <v>3.0250000000000004</v>
      </c>
      <c r="BP21">
        <v>2.75</v>
      </c>
    </row>
    <row r="22" spans="1:68" ht="15.5" x14ac:dyDescent="0.35">
      <c r="A22" t="s">
        <v>793</v>
      </c>
      <c r="B22" t="s">
        <v>794</v>
      </c>
      <c r="C22" t="s">
        <v>166</v>
      </c>
      <c r="D22">
        <f>VLOOKUP(C22,CT_LucDay!$A$6:$M$14,13,FALSE)</f>
        <v>73.65998268985814</v>
      </c>
      <c r="E22" s="3">
        <v>20.96</v>
      </c>
      <c r="F22" s="3">
        <v>86.8</v>
      </c>
      <c r="G22" t="s">
        <v>795</v>
      </c>
      <c r="H22" t="s">
        <v>168</v>
      </c>
      <c r="I22">
        <f>VLOOKUP(H22,CT_LucDay!$A$6:$M$14,13,FALSE)</f>
        <v>87.342727174884487</v>
      </c>
      <c r="J22" s="3">
        <v>20.96</v>
      </c>
      <c r="K22" s="3">
        <v>266.8</v>
      </c>
      <c r="L22" s="3">
        <v>378.3</v>
      </c>
      <c r="M22" s="3">
        <v>2.75</v>
      </c>
      <c r="N22" s="3">
        <v>0.4</v>
      </c>
      <c r="O22">
        <f>M22^2*N22*(CT_ThongSo!$C$34-CT_ThongSo!$C$35)</f>
        <v>45.375000000000007</v>
      </c>
      <c r="P22">
        <f>CT_ThongSo!$C$36*O22+CT_ThongSo!$C$45*CT_ThongSo!$C$56</f>
        <v>72.504753948185112</v>
      </c>
      <c r="Q22">
        <f>M22*(0.5*CT_ThongSo!$C$38*CT_ThongSo!$C$40^2+2*CT_ThongSo!$C$37*CT_ThongSo!$C$40)</f>
        <v>16.685624999999998</v>
      </c>
      <c r="R22">
        <f>O22*M22/2+CT_ThongSo!$C$45/2*CT_ThongSo!$C$55*M22</f>
        <v>149.47557335750906</v>
      </c>
      <c r="S22">
        <f>MAX(0,CT_ThongSo!$C$19-L22+CT_ThongSo!$C$13-N22-CT_ThongSo!$C$33)</f>
        <v>1.4999999999999889</v>
      </c>
      <c r="T22">
        <f t="shared" si="0"/>
        <v>7.144308558868967E-2</v>
      </c>
      <c r="U22">
        <f t="shared" si="1"/>
        <v>7.144308558868967E-2</v>
      </c>
      <c r="V22">
        <f>MAX(0,CT_ThongSo!$C$20-L22+CT_ThongSo!$C$13-N22-CT_ThongSo!$C$33)</f>
        <v>7.4999999999999876</v>
      </c>
      <c r="W22">
        <f t="shared" si="2"/>
        <v>0.34362827950226332</v>
      </c>
      <c r="X22">
        <f t="shared" si="3"/>
        <v>0.34362827950226332</v>
      </c>
      <c r="Y22">
        <f>SQRT((D22*COS(T22)*SIN(RADIANS(F22))+MIN(CT_ThongSo!$C$17,I22)*COS(U22)*SIN(RADIANS(K22)))^2+(D22*COS(T22)*COS(RADIANS(F22))+MIN(CT_ThongSo!$C$17,I22)*COS(U22)*COS(RADIANS(K22)))^2)</f>
        <v>68.48483300167797</v>
      </c>
      <c r="Z22">
        <f>D22*SIN(T22)+MIN(CT_ThongSo!$C$17,I22)*SIN(U22)</f>
        <v>5.6149324868152775</v>
      </c>
      <c r="AA22">
        <f t="shared" si="4"/>
        <v>7.7442266624722839E-2</v>
      </c>
      <c r="AB22">
        <f>CT_ThongSo!$C$42*Y22/(IF(O22&gt;Z22,CT_ThongSo!$C$39*CT_ThongSo!$C$37*M22^2,0)+Q22+CT_ThongSo!$C$45*CT_ThongSo!$C$61)</f>
        <v>0.67472517076116323</v>
      </c>
      <c r="AC22">
        <f>CT_ThongSo!$C$43*(Y22*(N22+CT_ThongSo!$C$33)+Z22*M22/2)/R22</f>
        <v>0.45546428724918303</v>
      </c>
      <c r="AD22">
        <f>MAX(MAX(0,Z22-CT_ThongSo!$C$36*O22)/CT_ThongSo!$C$45,MAX(0,(Y22*(N22+CT_ThongSo!$C$33)+Z22*M22/2)-CT_ThongSo!$C$36*O22*M22/2)/(M22-CT_ThongSo!$C$41)/(CT_ThongSo!$C$45/2))/CT_ThongSo!$C$56</f>
        <v>0</v>
      </c>
      <c r="AE22">
        <f>SQRT((MIN(CT_ThongSo!$C$17,D22)*COS(T22)*SIN(RADIANS(F22))+I22*COS(U22)*SIN(RADIANS(K22)))^2+(MIN(CT_ThongSo!$C$17,D22)*COS(T22)*COS(RADIANS(F22))+I22*COS(U22)*COS(RADIANS(K22)))^2)</f>
        <v>82.132673189672573</v>
      </c>
      <c r="AF22">
        <f>MIN(CT_ThongSo!$C$17,D22)*SIN(T22)+I22*SIN(U22)</f>
        <v>6.5916386071393109</v>
      </c>
      <c r="AG22">
        <f t="shared" si="5"/>
        <v>9.0913191869459592E-2</v>
      </c>
      <c r="AH22">
        <f>CT_ThongSo!$C$42*AE22/(IF(O22&gt;AF22,CT_ThongSo!$C$39*CT_ThongSo!$C$37*M22^2,0)+Q22+CT_ThongSo!$C$45*CT_ThongSo!$C$61)</f>
        <v>0.80918620246346884</v>
      </c>
      <c r="AI22">
        <f>CT_ThongSo!$C$43*(AE22*(N22+CT_ThongSo!$C$33)+AF22*M22/2)/R22</f>
        <v>0.54426758955541266</v>
      </c>
      <c r="AJ22">
        <f>MAX(MAX(0,AF22-CT_ThongSo!$C$36*O22)/CT_ThongSo!$C$45,MAX(0,(AE22*(N22+CT_ThongSo!$C$33)+AF22*M22/2)-CT_ThongSo!$C$36*O22*M22/2)/(M22-CT_ThongSo!$C$41)/(CT_ThongSo!$C$45/2))/CT_ThongSo!$C$56</f>
        <v>0</v>
      </c>
      <c r="AK22">
        <f t="shared" si="6"/>
        <v>13.647840187994611</v>
      </c>
      <c r="AL22">
        <f t="shared" si="7"/>
        <v>11.492747839129587</v>
      </c>
      <c r="AM22">
        <f t="shared" si="8"/>
        <v>0.15851026606259197</v>
      </c>
      <c r="AN22">
        <f>CT_ThongSo!$C$42*AK22/(IF(O22&gt;AL22,CT_ThongSo!$C$39*CT_ThongSo!$C$37*M22^2,0)+Q22+CT_ThongSo!$C$45*CT_ThongSo!$C$61)</f>
        <v>0.13446103170230564</v>
      </c>
      <c r="AO22">
        <f>CT_ThongSo!$C$43*(AK22*(N22+CT_ThongSo!$C$33)+AL22*M22/2)/R22</f>
        <v>0.23390618137772079</v>
      </c>
      <c r="AP22">
        <f>MAX(MAX(0,AL22-CT_ThongSo!$C$36*O22)/CT_ThongSo!$C$45,MAX(0,(AK22*(N22+CT_ThongSo!$C$33)+AL22*M22/2)-CT_ThongSo!$C$36*O22*M22/2)/(M22-CT_ThongSo!$C$41)/(CT_ThongSo!$C$45/2))/CT_ThongSo!$C$56</f>
        <v>0</v>
      </c>
      <c r="AQ22">
        <f>SQRT((D22*COS(W22)*SIN(RADIANS(F22))+MIN(CT_ThongSo!$C$17,I22)*COS(X22)*SIN(RADIANS(K22)))^2+(D22*COS(W22)*COS(RADIANS(F22))+MIN(CT_ThongSo!$C$17,I22)*COS(X22)*COS(RADIANS(K22)))^2)</f>
        <v>64.646015629038359</v>
      </c>
      <c r="AR22">
        <f>D22*SIN(W22)+MIN(CT_ThongSo!$C$17,I22)*SIN(X22)</f>
        <v>26.500978201243775</v>
      </c>
      <c r="AS22">
        <f t="shared" si="9"/>
        <v>0.36550676691051825</v>
      </c>
      <c r="AT22">
        <f>CT_ThongSo!$C$42*AQ22/(IF(O22&gt;AR22,CT_ThongSo!$C$39*CT_ThongSo!$C$37*M22^2,0)+Q22+CT_ThongSo!$C$45*CT_ThongSo!$C$61)</f>
        <v>0.63690443595391455</v>
      </c>
      <c r="AU22">
        <f>CT_ThongSo!$C$43*(AQ22*(N22+CT_ThongSo!$C$33)+AR22*M22/2)/R22</f>
        <v>0.72246741061653796</v>
      </c>
      <c r="AV22">
        <f>MAX(MAX(0,AR22-CT_ThongSo!$C$36*O22)/CT_ThongSo!$C$45,MAX(0,(AQ22*(N22+CT_ThongSo!$C$33)+AR22*M22/2)-CT_ThongSo!$C$36*O22*M22/2)/(M22-CT_ThongSo!$C$41)/(CT_ThongSo!$C$45/2))/CT_ThongSo!$C$56</f>
        <v>0.38483313317437517</v>
      </c>
      <c r="AW22">
        <f>SQRT((MIN(CT_ThongSo!$C$17,D22)*COS(W22)*SIN(RADIANS(F22))+I22*COS(X22)*SIN(RADIANS(K22)))^2+(MIN(CT_ThongSo!$C$17,D22)*COS(W22)*COS(RADIANS(F22))+I22*COS(X22)*COS(RADIANS(K22)))^2)</f>
        <v>77.52884605185767</v>
      </c>
      <c r="AX22">
        <f>MIN(CT_ThongSo!$C$17,D22)*SIN(W22)+I22*SIN(X22)</f>
        <v>31.110769621622815</v>
      </c>
      <c r="AY22">
        <f t="shared" si="10"/>
        <v>0.42908592785317023</v>
      </c>
      <c r="AZ22">
        <f>CT_ThongSo!$C$42*AW22/(IF(O22&gt;AX22,CT_ThongSo!$C$39*CT_ThongSo!$C$37*M22^2,0)+Q22+CT_ThongSo!$C$45*CT_ThongSo!$C$61)</f>
        <v>0.76382845074578665</v>
      </c>
      <c r="BA22">
        <f>CT_ThongSo!$C$43*(AW22*(N22+CT_ThongSo!$C$33)+AX22*M22/2)/R22</f>
        <v>0.85717858416191195</v>
      </c>
      <c r="BB22">
        <f>MAX(MAX(0,AX22-CT_ThongSo!$C$36*O22)/CT_ThongSo!$C$45,MAX(0,(AW22*(N22+CT_ThongSo!$C$33)+AX22*M22/2)-CT_ThongSo!$C$36*O22*M22/2)/(M22-CT_ThongSo!$C$41)/(CT_ThongSo!$C$45/2))/CT_ThongSo!$C$56</f>
        <v>0.71091663880783018</v>
      </c>
      <c r="BC22">
        <f t="shared" si="11"/>
        <v>12.882830422819312</v>
      </c>
      <c r="BD22">
        <f t="shared" si="12"/>
        <v>54.242693153005774</v>
      </c>
      <c r="BE22">
        <f t="shared" si="13"/>
        <v>0.7481260220780811</v>
      </c>
      <c r="BF22">
        <f>CT_ThongSo!$C$42*BC22/(IF(O22&gt;BD22,CT_ThongSo!$C$39*CT_ThongSo!$C$37*M22^2,0)+Q22+CT_ThongSo!$C$45*CT_ThongSo!$C$61)</f>
        <v>0.25219076946872143</v>
      </c>
      <c r="BG22">
        <f>CT_ThongSo!$C$43*(BC22*(N22+CT_ThongSo!$C$33)+BD22*M22/2)/R22</f>
        <v>0.81955791822855883</v>
      </c>
      <c r="BH22">
        <f>MAX(MAX(0,BD22-CT_ThongSo!$C$36*O22)/CT_ThongSo!$C$45,MAX(0,(BC22*(N22+CT_ThongSo!$C$33)+BD22*M22/2)-CT_ThongSo!$C$36*O22*M22/2)/(M22-CT_ThongSo!$C$41)/(CT_ThongSo!$C$45/2))/CT_ThongSo!$C$56</f>
        <v>0.61985159714162474</v>
      </c>
      <c r="BI22">
        <f t="shared" si="14"/>
        <v>0.7481260220780811</v>
      </c>
      <c r="BJ22">
        <f t="shared" si="15"/>
        <v>0.80918620246346884</v>
      </c>
      <c r="BK22">
        <f t="shared" si="16"/>
        <v>0.85717858416191195</v>
      </c>
      <c r="BL22">
        <f t="shared" si="17"/>
        <v>0.71091663880783018</v>
      </c>
      <c r="BM22">
        <f>(O22/M22^2)/(5.14*CT_ThongSo!$C$37/CT_ThongSo!$C$44)</f>
        <v>0.14591439688715957</v>
      </c>
      <c r="BN22" t="str">
        <f t="shared" si="18"/>
        <v>ĐẠT</v>
      </c>
      <c r="BO22">
        <f t="shared" si="19"/>
        <v>3.0250000000000004</v>
      </c>
      <c r="BP22">
        <v>2.75</v>
      </c>
    </row>
    <row r="23" spans="1:68" ht="15.5" x14ac:dyDescent="0.35">
      <c r="A23" t="s">
        <v>797</v>
      </c>
      <c r="B23" t="s">
        <v>798</v>
      </c>
      <c r="C23" t="s">
        <v>166</v>
      </c>
      <c r="D23">
        <f>VLOOKUP(C23,CT_LucDay!$A$6:$M$14,13,FALSE)</f>
        <v>73.65998268985814</v>
      </c>
      <c r="E23" s="3">
        <v>20.98</v>
      </c>
      <c r="F23" s="3">
        <v>86.1</v>
      </c>
      <c r="G23" t="s">
        <v>799</v>
      </c>
      <c r="H23" t="s">
        <v>168</v>
      </c>
      <c r="I23">
        <f>VLOOKUP(H23,CT_LucDay!$A$6:$M$14,13,FALSE)</f>
        <v>87.342727174884487</v>
      </c>
      <c r="J23" s="3">
        <v>20.98</v>
      </c>
      <c r="K23" s="3">
        <v>266.10000000000002</v>
      </c>
      <c r="L23" s="3">
        <v>378.3</v>
      </c>
      <c r="M23" s="3">
        <v>2.75</v>
      </c>
      <c r="N23" s="3">
        <v>0.4</v>
      </c>
      <c r="O23">
        <f>M23^2*N23*(CT_ThongSo!$C$34-CT_ThongSo!$C$35)</f>
        <v>45.375000000000007</v>
      </c>
      <c r="P23">
        <f>CT_ThongSo!$C$36*O23+CT_ThongSo!$C$45*CT_ThongSo!$C$56</f>
        <v>72.504753948185112</v>
      </c>
      <c r="Q23">
        <f>M23*(0.5*CT_ThongSo!$C$38*CT_ThongSo!$C$40^2+2*CT_ThongSo!$C$37*CT_ThongSo!$C$40)</f>
        <v>16.685624999999998</v>
      </c>
      <c r="R23">
        <f>O23*M23/2+CT_ThongSo!$C$45/2*CT_ThongSo!$C$55*M23</f>
        <v>149.47557335750906</v>
      </c>
      <c r="S23">
        <f>MAX(0,CT_ThongSo!$C$19-L23+CT_ThongSo!$C$13-N23-CT_ThongSo!$C$33)</f>
        <v>1.4999999999999889</v>
      </c>
      <c r="T23">
        <f t="shared" si="0"/>
        <v>7.1375210872849593E-2</v>
      </c>
      <c r="U23">
        <f t="shared" si="1"/>
        <v>7.1375210872849593E-2</v>
      </c>
      <c r="V23">
        <f>MAX(0,CT_ThongSo!$C$20-L23+CT_ThongSo!$C$13-N23-CT_ThongSo!$C$33)</f>
        <v>7.4999999999999876</v>
      </c>
      <c r="W23">
        <f t="shared" si="2"/>
        <v>0.34332585454714931</v>
      </c>
      <c r="X23">
        <f t="shared" si="3"/>
        <v>0.34332585454714931</v>
      </c>
      <c r="Y23">
        <f>SQRT((D23*COS(T23)*SIN(RADIANS(F23))+MIN(CT_ThongSo!$C$17,I23)*COS(U23)*SIN(RADIANS(K23)))^2+(D23*COS(T23)*COS(RADIANS(F23))+MIN(CT_ThongSo!$C$17,I23)*COS(U23)*COS(RADIANS(K23)))^2)</f>
        <v>68.485165505320111</v>
      </c>
      <c r="Z23">
        <f>D23*SIN(T23)+MIN(CT_ThongSo!$C$17,I23)*SIN(U23)</f>
        <v>5.6096070696126326</v>
      </c>
      <c r="AA23">
        <f t="shared" si="4"/>
        <v>7.736881741053131E-2</v>
      </c>
      <c r="AB23">
        <f>CT_ThongSo!$C$42*Y23/(IF(O23&gt;Z23,CT_ThongSo!$C$39*CT_ThongSo!$C$37*M23^2,0)+Q23+CT_ThongSo!$C$45*CT_ThongSo!$C$61)</f>
        <v>0.67472844664820109</v>
      </c>
      <c r="AC23">
        <f>CT_ThongSo!$C$43*(Y23*(N23+CT_ThongSo!$C$33)+Z23*M23/2)/R23</f>
        <v>0.45539264104482235</v>
      </c>
      <c r="AD23">
        <f>MAX(MAX(0,Z23-CT_ThongSo!$C$36*O23)/CT_ThongSo!$C$45,MAX(0,(Y23*(N23+CT_ThongSo!$C$33)+Z23*M23/2)-CT_ThongSo!$C$36*O23*M23/2)/(M23-CT_ThongSo!$C$41)/(CT_ThongSo!$C$45/2))/CT_ThongSo!$C$56</f>
        <v>0</v>
      </c>
      <c r="AE23">
        <f>SQRT((MIN(CT_ThongSo!$C$17,D23)*COS(T23)*SIN(RADIANS(F23))+I23*COS(U23)*SIN(RADIANS(K23)))^2+(MIN(CT_ThongSo!$C$17,D23)*COS(T23)*COS(RADIANS(F23))+I23*COS(U23)*COS(RADIANS(K23)))^2)</f>
        <v>82.133071955527384</v>
      </c>
      <c r="AF23">
        <f>MIN(CT_ThongSo!$C$17,D23)*SIN(T23)+I23*SIN(U23)</f>
        <v>6.5853868444129553</v>
      </c>
      <c r="AG23">
        <f t="shared" si="5"/>
        <v>9.0826966313397109E-2</v>
      </c>
      <c r="AH23">
        <f>CT_ThongSo!$C$42*AE23/(IF(O23&gt;AF23,CT_ThongSo!$C$39*CT_ThongSo!$C$37*M23^2,0)+Q23+CT_ThongSo!$C$45*CT_ThongSo!$C$61)</f>
        <v>0.80919013117801319</v>
      </c>
      <c r="AI23">
        <f>CT_ThongSo!$C$43*(AE23*(N23+CT_ThongSo!$C$33)+AF23*M23/2)/R23</f>
        <v>0.54418352713296692</v>
      </c>
      <c r="AJ23">
        <f>MAX(MAX(0,AF23-CT_ThongSo!$C$36*O23)/CT_ThongSo!$C$45,MAX(0,(AE23*(N23+CT_ThongSo!$C$33)+AF23*M23/2)-CT_ThongSo!$C$36*O23*M23/2)/(M23-CT_ThongSo!$C$41)/(CT_ThongSo!$C$45/2))/CT_ThongSo!$C$56</f>
        <v>0</v>
      </c>
      <c r="AK23">
        <f t="shared" si="6"/>
        <v>13.647906450207271</v>
      </c>
      <c r="AL23">
        <f t="shared" si="7"/>
        <v>11.481847676537807</v>
      </c>
      <c r="AM23">
        <f t="shared" si="8"/>
        <v>0.15835992885022698</v>
      </c>
      <c r="AN23">
        <f>CT_ThongSo!$C$42*AK23/(IF(O23&gt;AL23,CT_ThongSo!$C$39*CT_ThongSo!$C$37*M23^2,0)+Q23+CT_ThongSo!$C$45*CT_ThongSo!$C$61)</f>
        <v>0.13446168452981203</v>
      </c>
      <c r="AO23">
        <f>CT_ThongSo!$C$43*(AK23*(N23+CT_ThongSo!$C$33)+AL23*M23/2)/R23</f>
        <v>0.23375614402702632</v>
      </c>
      <c r="AP23">
        <f>MAX(MAX(0,AL23-CT_ThongSo!$C$36*O23)/CT_ThongSo!$C$45,MAX(0,(AK23*(N23+CT_ThongSo!$C$33)+AL23*M23/2)-CT_ThongSo!$C$36*O23*M23/2)/(M23-CT_ThongSo!$C$41)/(CT_ThongSo!$C$45/2))/CT_ThongSo!$C$56</f>
        <v>0</v>
      </c>
      <c r="AQ23">
        <f>SQRT((D23*COS(W23)*SIN(RADIANS(F23))+MIN(CT_ThongSo!$C$17,I23)*COS(X23)*SIN(RADIANS(K23)))^2+(D23*COS(W23)*COS(RADIANS(F23))+MIN(CT_ThongSo!$C$17,I23)*COS(X23)*COS(RADIANS(K23)))^2)</f>
        <v>64.65300834357754</v>
      </c>
      <c r="AR23">
        <f>D23*SIN(W23)+MIN(CT_ThongSo!$C$17,I23)*SIN(X23)</f>
        <v>26.478578973988562</v>
      </c>
      <c r="AS23">
        <f t="shared" si="9"/>
        <v>0.36519783230919239</v>
      </c>
      <c r="AT23">
        <f>CT_ThongSo!$C$42*AQ23/(IF(O23&gt;AR23,CT_ThongSo!$C$39*CT_ThongSo!$C$37*M23^2,0)+Q23+CT_ThongSo!$C$45*CT_ThongSo!$C$61)</f>
        <v>0.63697332946368501</v>
      </c>
      <c r="AU23">
        <f>CT_ThongSo!$C$43*(AQ23*(N23+CT_ThongSo!$C$33)+AR23*M23/2)/R23</f>
        <v>0.7221969355428457</v>
      </c>
      <c r="AV23">
        <f>MAX(MAX(0,AR23-CT_ThongSo!$C$36*O23)/CT_ThongSo!$C$45,MAX(0,(AQ23*(N23+CT_ThongSo!$C$33)+AR23*M23/2)-CT_ThongSo!$C$36*O23*M23/2)/(M23-CT_ThongSo!$C$41)/(CT_ThongSo!$C$45/2))/CT_ThongSo!$C$56</f>
        <v>0.38417841792028878</v>
      </c>
      <c r="AW23">
        <f>SQRT((MIN(CT_ThongSo!$C$17,D23)*COS(W23)*SIN(RADIANS(F23))+I23*COS(X23)*SIN(RADIANS(K23)))^2+(MIN(CT_ThongSo!$C$17,D23)*COS(W23)*COS(RADIANS(F23))+I23*COS(X23)*COS(RADIANS(K23)))^2)</f>
        <v>77.537232293201654</v>
      </c>
      <c r="AX23">
        <f>MIN(CT_ThongSo!$C$17,D23)*SIN(W23)+I23*SIN(X23)</f>
        <v>31.0844740942069</v>
      </c>
      <c r="AY23">
        <f t="shared" si="10"/>
        <v>0.4287232547043901</v>
      </c>
      <c r="AZ23">
        <f>CT_ThongSo!$C$42*AW23/(IF(O23&gt;AX23,CT_ThongSo!$C$39*CT_ThongSo!$C$37*M23^2,0)+Q23+CT_ThongSo!$C$45*CT_ThongSo!$C$61)</f>
        <v>0.76391107353794152</v>
      </c>
      <c r="BA23">
        <f>CT_ThongSo!$C$43*(AW23*(N23+CT_ThongSo!$C$33)+AX23*M23/2)/R23</f>
        <v>0.8568620382867318</v>
      </c>
      <c r="BB23">
        <f>MAX(MAX(0,AX23-CT_ThongSo!$C$36*O23)/CT_ThongSo!$C$45,MAX(0,(AW23*(N23+CT_ThongSo!$C$33)+AX23*M23/2)-CT_ThongSo!$C$36*O23*M23/2)/(M23-CT_ThongSo!$C$41)/(CT_ThongSo!$C$45/2))/CT_ThongSo!$C$56</f>
        <v>0.71015040401114637</v>
      </c>
      <c r="BC23">
        <f t="shared" si="11"/>
        <v>12.884223949624111</v>
      </c>
      <c r="BD23">
        <f t="shared" si="12"/>
        <v>54.196845999680235</v>
      </c>
      <c r="BE23">
        <f t="shared" si="13"/>
        <v>0.74749368901260649</v>
      </c>
      <c r="BF23">
        <f>CT_ThongSo!$C$42*BC23/(IF(O23&gt;BD23,CT_ThongSo!$C$39*CT_ThongSo!$C$37*M23^2,0)+Q23+CT_ThongSo!$C$45*CT_ThongSo!$C$61)</f>
        <v>0.25221804876881643</v>
      </c>
      <c r="BG23">
        <f>CT_ThongSo!$C$43*(BC23*(N23+CT_ThongSo!$C$33)+BD23*M23/2)/R23</f>
        <v>0.81893299944068054</v>
      </c>
      <c r="BH23">
        <f>MAX(MAX(0,BD23-CT_ThongSo!$C$36*O23)/CT_ThongSo!$C$45,MAX(0,(BC23*(N23+CT_ThongSo!$C$33)+BD23*M23/2)-CT_ThongSo!$C$36*O23*M23/2)/(M23-CT_ThongSo!$C$41)/(CT_ThongSo!$C$45/2))/CT_ThongSo!$C$56</f>
        <v>0.6183389111206774</v>
      </c>
      <c r="BI23">
        <f t="shared" si="14"/>
        <v>0.74749368901260649</v>
      </c>
      <c r="BJ23">
        <f t="shared" si="15"/>
        <v>0.80919013117801319</v>
      </c>
      <c r="BK23">
        <f t="shared" si="16"/>
        <v>0.8568620382867318</v>
      </c>
      <c r="BL23">
        <f t="shared" si="17"/>
        <v>0.71015040401114637</v>
      </c>
      <c r="BM23">
        <f>(O23/M23^2)/(5.14*CT_ThongSo!$C$37/CT_ThongSo!$C$44)</f>
        <v>0.14591439688715957</v>
      </c>
      <c r="BN23" t="str">
        <f t="shared" si="18"/>
        <v>ĐẠT</v>
      </c>
      <c r="BO23">
        <f t="shared" si="19"/>
        <v>3.0250000000000004</v>
      </c>
      <c r="BP23">
        <v>2.75</v>
      </c>
    </row>
    <row r="24" spans="1:68" ht="15.5" x14ac:dyDescent="0.35">
      <c r="A24" t="s">
        <v>801</v>
      </c>
      <c r="B24" t="s">
        <v>802</v>
      </c>
      <c r="C24" t="s">
        <v>166</v>
      </c>
      <c r="D24">
        <f>VLOOKUP(C24,CT_LucDay!$A$6:$M$14,13,FALSE)</f>
        <v>73.65998268985814</v>
      </c>
      <c r="E24" s="3">
        <v>21</v>
      </c>
      <c r="F24" s="3">
        <v>85.5</v>
      </c>
      <c r="G24" t="s">
        <v>803</v>
      </c>
      <c r="H24" t="s">
        <v>168</v>
      </c>
      <c r="I24">
        <f>VLOOKUP(H24,CT_LucDay!$A$6:$M$14,13,FALSE)</f>
        <v>87.342727174884487</v>
      </c>
      <c r="J24" s="3">
        <v>21</v>
      </c>
      <c r="K24" s="3">
        <v>265.5</v>
      </c>
      <c r="L24" s="3">
        <v>378.3</v>
      </c>
      <c r="M24" s="3">
        <v>2.75</v>
      </c>
      <c r="N24" s="3">
        <v>0.4</v>
      </c>
      <c r="O24">
        <f>M24^2*N24*(CT_ThongSo!$C$34-CT_ThongSo!$C$35)</f>
        <v>45.375000000000007</v>
      </c>
      <c r="P24">
        <f>CT_ThongSo!$C$36*O24+CT_ThongSo!$C$45*CT_ThongSo!$C$56</f>
        <v>72.504753948185112</v>
      </c>
      <c r="Q24">
        <f>M24*(0.5*CT_ThongSo!$C$38*CT_ThongSo!$C$40^2+2*CT_ThongSo!$C$37*CT_ThongSo!$C$40)</f>
        <v>16.685624999999998</v>
      </c>
      <c r="R24">
        <f>O24*M24/2+CT_ThongSo!$C$45/2*CT_ThongSo!$C$55*M24</f>
        <v>149.47557335750906</v>
      </c>
      <c r="S24">
        <f>MAX(0,CT_ThongSo!$C$19-L24+CT_ThongSo!$C$13-N24-CT_ThongSo!$C$33)</f>
        <v>1.4999999999999889</v>
      </c>
      <c r="T24">
        <f t="shared" si="0"/>
        <v>7.1307464785289792E-2</v>
      </c>
      <c r="U24">
        <f t="shared" si="1"/>
        <v>7.1307464785289792E-2</v>
      </c>
      <c r="V24">
        <f>MAX(0,CT_ThongSo!$C$20-L24+CT_ThongSo!$C$13-N24-CT_ThongSo!$C$33)</f>
        <v>7.4999999999999876</v>
      </c>
      <c r="W24">
        <f t="shared" si="2"/>
        <v>0.34302394042070289</v>
      </c>
      <c r="X24">
        <f t="shared" si="3"/>
        <v>0.34302394042070289</v>
      </c>
      <c r="Y24">
        <f>SQRT((D24*COS(T24)*SIN(RADIANS(F24))+MIN(CT_ThongSo!$C$17,I24)*COS(U24)*SIN(RADIANS(K24)))^2+(D24*COS(T24)*COS(RADIANS(F24))+MIN(CT_ThongSo!$C$17,I24)*COS(U24)*COS(RADIANS(K24)))^2)</f>
        <v>68.485497064226664</v>
      </c>
      <c r="Z24">
        <f>D24*SIN(T24)+MIN(CT_ThongSo!$C$17,I24)*SIN(U24)</f>
        <v>5.6042917187523882</v>
      </c>
      <c r="AA24">
        <f t="shared" si="4"/>
        <v>7.7295507033338068E-2</v>
      </c>
      <c r="AB24">
        <f>CT_ThongSo!$C$42*Y24/(IF(O24&gt;Z24,CT_ThongSo!$C$39*CT_ThongSo!$C$37*M24^2,0)+Q24+CT_ThongSo!$C$45*CT_ThongSo!$C$61)</f>
        <v>0.67473171322753034</v>
      </c>
      <c r="AC24">
        <f>CT_ThongSo!$C$43*(Y24*(N24+CT_ThongSo!$C$33)+Z24*M24/2)/R24</f>
        <v>0.45532112852400558</v>
      </c>
      <c r="AD24">
        <f>MAX(MAX(0,Z24-CT_ThongSo!$C$36*O24)/CT_ThongSo!$C$45,MAX(0,(Y24*(N24+CT_ThongSo!$C$33)+Z24*M24/2)-CT_ThongSo!$C$36*O24*M24/2)/(M24-CT_ThongSo!$C$41)/(CT_ThongSo!$C$45/2))/CT_ThongSo!$C$56</f>
        <v>0</v>
      </c>
      <c r="AE24">
        <f>SQRT((MIN(CT_ThongSo!$C$17,D24)*COS(T24)*SIN(RADIANS(F24))+I24*COS(U24)*SIN(RADIANS(K24)))^2+(MIN(CT_ThongSo!$C$17,D24)*COS(T24)*COS(RADIANS(F24))+I24*COS(U24)*COS(RADIANS(K24)))^2)</f>
        <v>82.13346958837721</v>
      </c>
      <c r="AF24">
        <f>MIN(CT_ThongSo!$C$17,D24)*SIN(T24)+I24*SIN(U24)</f>
        <v>6.5791468990488475</v>
      </c>
      <c r="AG24">
        <f t="shared" si="5"/>
        <v>9.0740903744747234E-2</v>
      </c>
      <c r="AH24">
        <f>CT_ThongSo!$C$42*AE24/(IF(O24&gt;AF24,CT_ThongSo!$C$39*CT_ThongSo!$C$37*M24^2,0)+Q24+CT_ThongSo!$C$45*CT_ThongSo!$C$61)</f>
        <v>0.80919404872998402</v>
      </c>
      <c r="AI24">
        <f>CT_ThongSo!$C$43*(AE24*(N24+CT_ThongSo!$C$33)+AF24*M24/2)/R24</f>
        <v>0.54409962151594438</v>
      </c>
      <c r="AJ24">
        <f>MAX(MAX(0,AF24-CT_ThongSo!$C$36*O24)/CT_ThongSo!$C$45,MAX(0,(AE24*(N24+CT_ThongSo!$C$33)+AF24*M24/2)-CT_ThongSo!$C$36*O24*M24/2)/(M24-CT_ThongSo!$C$41)/(CT_ThongSo!$C$45/2))/CT_ThongSo!$C$56</f>
        <v>0</v>
      </c>
      <c r="AK24">
        <f t="shared" si="6"/>
        <v>13.647972524150545</v>
      </c>
      <c r="AL24">
        <f t="shared" si="7"/>
        <v>11.470968117922144</v>
      </c>
      <c r="AM24">
        <f t="shared" si="8"/>
        <v>0.15820987581200222</v>
      </c>
      <c r="AN24">
        <f>CT_ThongSo!$C$42*AK24/(IF(O24&gt;AL24,CT_ThongSo!$C$39*CT_ThongSo!$C$37*M24^2,0)+Q24+CT_ThongSo!$C$45*CT_ThongSo!$C$61)</f>
        <v>0.13446233550245376</v>
      </c>
      <c r="AO24">
        <f>CT_ThongSo!$C$43*(AK24*(N24+CT_ThongSo!$C$33)+AL24*M24/2)/R24</f>
        <v>0.23360638993584737</v>
      </c>
      <c r="AP24">
        <f>MAX(MAX(0,AL24-CT_ThongSo!$C$36*O24)/CT_ThongSo!$C$45,MAX(0,(AK24*(N24+CT_ThongSo!$C$33)+AL24*M24/2)-CT_ThongSo!$C$36*O24*M24/2)/(M24-CT_ThongSo!$C$41)/(CT_ThongSo!$C$45/2))/CT_ThongSo!$C$56</f>
        <v>0</v>
      </c>
      <c r="AQ24">
        <f>SQRT((D24*COS(W24)*SIN(RADIANS(F24))+MIN(CT_ThongSo!$C$17,I24)*COS(X24)*SIN(RADIANS(K24)))^2+(D24*COS(W24)*COS(RADIANS(F24))+MIN(CT_ThongSo!$C$17,I24)*COS(X24)*COS(RADIANS(K24)))^2)</f>
        <v>64.659983348415452</v>
      </c>
      <c r="AR24">
        <f>D24*SIN(W24)+MIN(CT_ThongSo!$C$17,I24)*SIN(X24)</f>
        <v>26.456215165844188</v>
      </c>
      <c r="AS24">
        <f t="shared" si="9"/>
        <v>0.3648893862152941</v>
      </c>
      <c r="AT24">
        <f>CT_ThongSo!$C$42*AQ24/(IF(O24&gt;AR24,CT_ThongSo!$C$39*CT_ThongSo!$C$37*M24^2,0)+Q24+CT_ThongSo!$C$45*CT_ThongSo!$C$61)</f>
        <v>0.63704204849422141</v>
      </c>
      <c r="AU24">
        <f>CT_ThongSo!$C$43*(AQ24*(N24+CT_ThongSo!$C$33)+AR24*M24/2)/R24</f>
        <v>0.7219268514454934</v>
      </c>
      <c r="AV24">
        <f>MAX(MAX(0,AR24-CT_ThongSo!$C$36*O24)/CT_ThongSo!$C$45,MAX(0,(AQ24*(N24+CT_ThongSo!$C$33)+AR24*M24/2)-CT_ThongSo!$C$36*O24*M24/2)/(M24-CT_ThongSo!$C$41)/(CT_ThongSo!$C$45/2))/CT_ThongSo!$C$56</f>
        <v>0.38352464906828765</v>
      </c>
      <c r="AW24">
        <f>SQRT((MIN(CT_ThongSo!$C$17,D24)*COS(W24)*SIN(RADIANS(F24))+I24*COS(X24)*SIN(RADIANS(K24)))^2+(MIN(CT_ThongSo!$C$17,D24)*COS(W24)*COS(RADIANS(F24))+I24*COS(X24)*COS(RADIANS(K24)))^2)</f>
        <v>77.545597295607919</v>
      </c>
      <c r="AX24">
        <f>MIN(CT_ThongSo!$C$17,D24)*SIN(W24)+I24*SIN(X24)</f>
        <v>31.058220146984336</v>
      </c>
      <c r="AY24">
        <f t="shared" si="10"/>
        <v>0.42836115503791411</v>
      </c>
      <c r="AZ24">
        <f>CT_ThongSo!$C$42*AW24/(IF(O24&gt;AX24,CT_ThongSo!$C$39*CT_ThongSo!$C$37*M24^2,0)+Q24+CT_ThongSo!$C$45*CT_ThongSo!$C$61)</f>
        <v>0.76399348708017567</v>
      </c>
      <c r="BA24">
        <f>CT_ThongSo!$C$43*(AW24*(N24+CT_ThongSo!$C$33)+AX24*M24/2)/R24</f>
        <v>0.85654594892109071</v>
      </c>
      <c r="BB24">
        <f>MAX(MAX(0,AX24-CT_ThongSo!$C$36*O24)/CT_ThongSo!$C$45,MAX(0,(AW24*(N24+CT_ThongSo!$C$33)+AX24*M24/2)-CT_ThongSo!$C$36*O24*M24/2)/(M24-CT_ThongSo!$C$41)/(CT_ThongSo!$C$45/2))/CT_ThongSo!$C$56</f>
        <v>0.70938527424700737</v>
      </c>
      <c r="BC24">
        <f t="shared" si="11"/>
        <v>12.885613947192448</v>
      </c>
      <c r="BD24">
        <f t="shared" si="12"/>
        <v>54.151071342846969</v>
      </c>
      <c r="BE24">
        <f t="shared" si="13"/>
        <v>0.74686235583318517</v>
      </c>
      <c r="BF24">
        <f>CT_ThongSo!$C$42*BC24/(IF(O24&gt;BD24,CT_ThongSo!$C$39*CT_ThongSo!$C$37*M24^2,0)+Q24+CT_ThongSo!$C$45*CT_ThongSo!$C$61)</f>
        <v>0.25224525898154249</v>
      </c>
      <c r="BG24">
        <f>CT_ThongSo!$C$43*(BC24*(N24+CT_ThongSo!$C$33)+BD24*M24/2)/R24</f>
        <v>0.81830906149797966</v>
      </c>
      <c r="BH24">
        <f>MAX(MAX(0,BD24-CT_ThongSo!$C$36*O24)/CT_ThongSo!$C$45,MAX(0,(BC24*(N24+CT_ThongSo!$C$33)+BD24*M24/2)-CT_ThongSo!$C$36*O24*M24/2)/(M24-CT_ThongSo!$C$41)/(CT_ThongSo!$C$45/2))/CT_ThongSo!$C$56</f>
        <v>0.61682859934549916</v>
      </c>
      <c r="BI24">
        <f t="shared" si="14"/>
        <v>0.74686235583318517</v>
      </c>
      <c r="BJ24">
        <f t="shared" si="15"/>
        <v>0.80919404872998402</v>
      </c>
      <c r="BK24">
        <f t="shared" si="16"/>
        <v>0.85654594892109071</v>
      </c>
      <c r="BL24">
        <f t="shared" si="17"/>
        <v>0.70938527424700737</v>
      </c>
      <c r="BM24">
        <f>(O24/M24^2)/(5.14*CT_ThongSo!$C$37/CT_ThongSo!$C$44)</f>
        <v>0.14591439688715957</v>
      </c>
      <c r="BN24" t="str">
        <f t="shared" si="18"/>
        <v>ĐẠT</v>
      </c>
      <c r="BO24">
        <f t="shared" si="19"/>
        <v>3.0250000000000004</v>
      </c>
      <c r="BP24">
        <v>2.75</v>
      </c>
    </row>
    <row r="25" spans="1:68" ht="15.5" x14ac:dyDescent="0.35">
      <c r="A25" t="s">
        <v>805</v>
      </c>
      <c r="B25" t="s">
        <v>806</v>
      </c>
      <c r="C25" t="s">
        <v>166</v>
      </c>
      <c r="D25">
        <f>VLOOKUP(C25,CT_LucDay!$A$6:$M$14,13,FALSE)</f>
        <v>73.65998268985814</v>
      </c>
      <c r="E25" s="3">
        <v>14.34</v>
      </c>
      <c r="F25" s="3">
        <v>10.199999999999999</v>
      </c>
      <c r="G25" t="s">
        <v>807</v>
      </c>
      <c r="H25" t="s">
        <v>171</v>
      </c>
      <c r="I25">
        <f>VLOOKUP(H25,CT_LucDay!$A$6:$M$14,13,FALSE)</f>
        <v>45.580572836038897</v>
      </c>
      <c r="J25" s="3">
        <v>14.34</v>
      </c>
      <c r="K25" s="3">
        <v>190.2</v>
      </c>
      <c r="L25" s="3">
        <v>378.3</v>
      </c>
      <c r="M25" s="3">
        <v>2.75</v>
      </c>
      <c r="N25" s="3">
        <v>0.4</v>
      </c>
      <c r="O25">
        <f>M25^2*N25*(CT_ThongSo!$C$34-CT_ThongSo!$C$35)</f>
        <v>45.375000000000007</v>
      </c>
      <c r="P25">
        <f>CT_ThongSo!$C$36*O25+CT_ThongSo!$C$45*CT_ThongSo!$C$56</f>
        <v>72.504753948185112</v>
      </c>
      <c r="Q25">
        <f>M25*(0.5*CT_ThongSo!$C$38*CT_ThongSo!$C$40^2+2*CT_ThongSo!$C$37*CT_ThongSo!$C$40)</f>
        <v>16.685624999999998</v>
      </c>
      <c r="R25">
        <f>O25*M25/2+CT_ThongSo!$C$45/2*CT_ThongSo!$C$55*M25</f>
        <v>149.47557335750906</v>
      </c>
      <c r="S25">
        <f>MAX(0,CT_ThongSo!$C$19-L25+CT_ThongSo!$C$13-N25-CT_ThongSo!$C$33)</f>
        <v>1.4999999999999889</v>
      </c>
      <c r="T25">
        <f t="shared" si="0"/>
        <v>0.10422348641635815</v>
      </c>
      <c r="U25">
        <f t="shared" si="1"/>
        <v>0.10422348641635815</v>
      </c>
      <c r="V25">
        <f>MAX(0,CT_ThongSo!$C$20-L25+CT_ThongSo!$C$13-N25-CT_ThongSo!$C$33)</f>
        <v>7.4999999999999876</v>
      </c>
      <c r="W25">
        <f t="shared" si="2"/>
        <v>0.48188770861675384</v>
      </c>
      <c r="X25">
        <f t="shared" si="3"/>
        <v>0.48188770861675384</v>
      </c>
      <c r="Y25">
        <f>SQRT((D25*COS(T25)*SIN(RADIANS(F25))+MIN(CT_ThongSo!$C$17,I25)*COS(U25)*SIN(RADIANS(K25)))^2+(D25*COS(T25)*COS(RADIANS(F25))+MIN(CT_ThongSo!$C$17,I25)*COS(U25)*COS(RADIANS(K25)))^2)</f>
        <v>68.287409393972951</v>
      </c>
      <c r="Z25">
        <f>D25*SIN(T25)+MIN(CT_ThongSo!$C$17,I25)*SIN(U25)</f>
        <v>8.1833834586836591</v>
      </c>
      <c r="AA25">
        <f t="shared" si="4"/>
        <v>0.11286685373116144</v>
      </c>
      <c r="AB25">
        <f>CT_ThongSo!$C$42*Y25/(IF(O25&gt;Z25,CT_ThongSo!$C$39*CT_ThongSo!$C$37*M25^2,0)+Q25+CT_ThongSo!$C$45*CT_ThongSo!$C$61)</f>
        <v>0.67278011706704399</v>
      </c>
      <c r="AC25">
        <f>CT_ThongSo!$C$43*(Y25*(N25+CT_ThongSo!$C$33)+Z25*M25/2)/R25</f>
        <v>0.48981475360157695</v>
      </c>
      <c r="AD25">
        <f>MAX(MAX(0,Z25-CT_ThongSo!$C$36*O25)/CT_ThongSo!$C$45,MAX(0,(Y25*(N25+CT_ThongSo!$C$33)+Z25*M25/2)-CT_ThongSo!$C$36*O25*M25/2)/(M25-CT_ThongSo!$C$41)/(CT_ThongSo!$C$45/2))/CT_ThongSo!$C$56</f>
        <v>0</v>
      </c>
      <c r="AE25">
        <f>SQRT((MIN(CT_ThongSo!$C$17,D25)*COS(T25)*SIN(RADIANS(F25))+I25*COS(U25)*SIN(RADIANS(K25)))^2+(MIN(CT_ThongSo!$C$17,D25)*COS(T25)*COS(RADIANS(F25))+I25*COS(U25)*COS(RADIANS(K25)))^2)</f>
        <v>40.360368327122458</v>
      </c>
      <c r="AF25">
        <f>MIN(CT_ThongSo!$C$17,D25)*SIN(T25)+I25*SIN(U25)</f>
        <v>5.2621448533645889</v>
      </c>
      <c r="AG25">
        <f t="shared" si="5"/>
        <v>7.2576549354613829E-2</v>
      </c>
      <c r="AH25">
        <f>CT_ThongSo!$C$42*AE25/(IF(O25&gt;AF25,CT_ThongSo!$C$39*CT_ThongSo!$C$37*M25^2,0)+Q25+CT_ThongSo!$C$45*CT_ThongSo!$C$61)</f>
        <v>0.39763777201346057</v>
      </c>
      <c r="AI25">
        <f>CT_ThongSo!$C$43*(AE25*(N25+CT_ThongSo!$C$33)+AF25*M25/2)/R25</f>
        <v>0.29536918065096385</v>
      </c>
      <c r="AJ25">
        <f>MAX(MAX(0,AF25-CT_ThongSo!$C$36*O25)/CT_ThongSo!$C$45,MAX(0,(AE25*(N25+CT_ThongSo!$C$33)+AF25*M25/2)-CT_ThongSo!$C$36*O25*M25/2)/(M25-CT_ThongSo!$C$41)/(CT_ThongSo!$C$45/2))/CT_ThongSo!$C$56</f>
        <v>0</v>
      </c>
      <c r="AK25">
        <f t="shared" si="6"/>
        <v>27.927041066850492</v>
      </c>
      <c r="AL25">
        <f t="shared" si="7"/>
        <v>12.405179308801038</v>
      </c>
      <c r="AM25">
        <f t="shared" si="8"/>
        <v>0.17109470253035119</v>
      </c>
      <c r="AN25">
        <f>CT_ThongSo!$C$42*AK25/(IF(O25&gt;AL25,CT_ThongSo!$C$39*CT_ThongSo!$C$37*M25^2,0)+Q25+CT_ThongSo!$C$45*CT_ThongSo!$C$61)</f>
        <v>0.27514234505358343</v>
      </c>
      <c r="AO25">
        <f>CT_ThongSo!$C$43*(AK25*(N25+CT_ThongSo!$C$33)+AL25*M25/2)/R25</f>
        <v>0.32530727337137216</v>
      </c>
      <c r="AP25">
        <f>MAX(MAX(0,AL25-CT_ThongSo!$C$36*O25)/CT_ThongSo!$C$45,MAX(0,(AK25*(N25+CT_ThongSo!$C$33)+AL25*M25/2)-CT_ThongSo!$C$36*O25*M25/2)/(M25-CT_ThongSo!$C$41)/(CT_ThongSo!$C$45/2))/CT_ThongSo!$C$56</f>
        <v>0</v>
      </c>
      <c r="AQ25">
        <f>SQRT((D25*COS(W25)*SIN(RADIANS(F25))+MIN(CT_ThongSo!$C$17,I25)*COS(X25)*SIN(RADIANS(K25)))^2+(D25*COS(W25)*COS(RADIANS(F25))+MIN(CT_ThongSo!$C$17,I25)*COS(X25)*COS(RADIANS(K25)))^2)</f>
        <v>60.841096352998342</v>
      </c>
      <c r="AR25">
        <f>D25*SIN(W25)+MIN(CT_ThongSo!$C$17,I25)*SIN(X25)</f>
        <v>36.455184485827886</v>
      </c>
      <c r="AS25">
        <f t="shared" si="9"/>
        <v>0.50279716157481569</v>
      </c>
      <c r="AT25">
        <f>CT_ThongSo!$C$42*AQ25/(IF(O25&gt;AR25,CT_ThongSo!$C$39*CT_ThongSo!$C$37*M25^2,0)+Q25+CT_ThongSo!$C$45*CT_ThongSo!$C$61)</f>
        <v>0.59941767142905045</v>
      </c>
      <c r="AU25">
        <f>CT_ThongSo!$C$43*(AQ25*(N25+CT_ThongSo!$C$33)+AR25*M25/2)/R25</f>
        <v>0.83881747148986541</v>
      </c>
      <c r="AV25">
        <f>MAX(MAX(0,AR25-CT_ThongSo!$C$36*O25)/CT_ThongSo!$C$45,MAX(0,(AQ25*(N25+CT_ThongSo!$C$33)+AR25*M25/2)-CT_ThongSo!$C$36*O25*M25/2)/(M25-CT_ThongSo!$C$41)/(CT_ThongSo!$C$45/2))/CT_ThongSo!$C$56</f>
        <v>0.66647150608530115</v>
      </c>
      <c r="AW25">
        <f>SQRT((MIN(CT_ThongSo!$C$17,D25)*COS(W25)*SIN(RADIANS(F25))+I25*COS(X25)*SIN(RADIANS(K25)))^2+(MIN(CT_ThongSo!$C$17,D25)*COS(W25)*COS(RADIANS(F25))+I25*COS(X25)*COS(RADIANS(K25)))^2)</f>
        <v>35.959323688294567</v>
      </c>
      <c r="AX25">
        <f>MIN(CT_ThongSo!$C$17,D25)*SIN(W25)+I25*SIN(X25)</f>
        <v>23.441705058681574</v>
      </c>
      <c r="AY25">
        <f t="shared" si="10"/>
        <v>0.32331266271772996</v>
      </c>
      <c r="AZ25">
        <f>CT_ThongSo!$C$42*AW25/(IF(O25&gt;AX25,CT_ThongSo!$C$39*CT_ThongSo!$C$37*M25^2,0)+Q25+CT_ThongSo!$C$45*CT_ThongSo!$C$61)</f>
        <v>0.35427787077243839</v>
      </c>
      <c r="BA25">
        <f>CT_ThongSo!$C$43*(AW25*(N25+CT_ThongSo!$C$33)+AX25*M25/2)/R25</f>
        <v>0.52192446547624904</v>
      </c>
      <c r="BB25">
        <f>MAX(MAX(0,AX25-CT_ThongSo!$C$36*O25)/CT_ThongSo!$C$45,MAX(0,(AW25*(N25+CT_ThongSo!$C$33)+AX25*M25/2)-CT_ThongSo!$C$36*O25*M25/2)/(M25-CT_ThongSo!$C$41)/(CT_ThongSo!$C$45/2))/CT_ThongSo!$C$56</f>
        <v>0</v>
      </c>
      <c r="BC25">
        <f t="shared" si="11"/>
        <v>24.881772664703774</v>
      </c>
      <c r="BD25">
        <f t="shared" si="12"/>
        <v>55.26236214706978</v>
      </c>
      <c r="BE25">
        <f t="shared" si="13"/>
        <v>0.76218949983007378</v>
      </c>
      <c r="BF25">
        <f>CT_ThongSo!$C$42*BC25/(IF(O25&gt;BD25,CT_ThongSo!$C$39*CT_ThongSo!$C$37*M25^2,0)+Q25+CT_ThongSo!$C$45*CT_ThongSo!$C$61)</f>
        <v>0.48707878533762589</v>
      </c>
      <c r="BG25">
        <f>CT_ThongSo!$C$43*(BC25*(N25+CT_ThongSo!$C$33)+BD25*M25/2)/R25</f>
        <v>0.89985327606007126</v>
      </c>
      <c r="BH25">
        <f>MAX(MAX(0,BD25-CT_ThongSo!$C$36*O25)/CT_ThongSo!$C$45,MAX(0,(BC25*(N25+CT_ThongSo!$C$33)+BD25*M25/2)-CT_ThongSo!$C$36*O25*M25/2)/(M25-CT_ThongSo!$C$41)/(CT_ThongSo!$C$45/2))/CT_ThongSo!$C$56</f>
        <v>0.81421551721372776</v>
      </c>
      <c r="BI25">
        <f t="shared" si="14"/>
        <v>0.76218949983007378</v>
      </c>
      <c r="BJ25">
        <f t="shared" si="15"/>
        <v>0.67278011706704399</v>
      </c>
      <c r="BK25">
        <f t="shared" si="16"/>
        <v>0.89985327606007126</v>
      </c>
      <c r="BL25">
        <f t="shared" si="17"/>
        <v>0.81421551721372776</v>
      </c>
      <c r="BM25">
        <f>(O25/M25^2)/(5.14*CT_ThongSo!$C$37/CT_ThongSo!$C$44)</f>
        <v>0.14591439688715957</v>
      </c>
      <c r="BN25" t="str">
        <f t="shared" si="18"/>
        <v>ĐẠT</v>
      </c>
      <c r="BO25">
        <f t="shared" si="19"/>
        <v>3.0250000000000004</v>
      </c>
      <c r="BP25">
        <v>2.75</v>
      </c>
    </row>
    <row r="26" spans="1:68" ht="15.5" x14ac:dyDescent="0.35">
      <c r="A26" t="s">
        <v>808</v>
      </c>
      <c r="B26" t="s">
        <v>809</v>
      </c>
      <c r="C26" t="s">
        <v>166</v>
      </c>
      <c r="D26">
        <f>VLOOKUP(C26,CT_LucDay!$A$6:$M$14,13,FALSE)</f>
        <v>73.65998268985814</v>
      </c>
      <c r="E26" s="3">
        <v>14.36</v>
      </c>
      <c r="F26" s="3">
        <v>10.6</v>
      </c>
      <c r="G26" t="s">
        <v>810</v>
      </c>
      <c r="H26" t="s">
        <v>171</v>
      </c>
      <c r="I26">
        <f>VLOOKUP(H26,CT_LucDay!$A$6:$M$14,13,FALSE)</f>
        <v>45.580572836038897</v>
      </c>
      <c r="J26" s="3">
        <v>14.37</v>
      </c>
      <c r="K26" s="3">
        <v>190.7</v>
      </c>
      <c r="L26" s="3">
        <v>378.3</v>
      </c>
      <c r="M26" s="3">
        <v>2.75</v>
      </c>
      <c r="N26" s="3">
        <v>0.4</v>
      </c>
      <c r="O26">
        <f>M26^2*N26*(CT_ThongSo!$C$34-CT_ThongSo!$C$35)</f>
        <v>45.375000000000007</v>
      </c>
      <c r="P26">
        <f>CT_ThongSo!$C$36*O26+CT_ThongSo!$C$45*CT_ThongSo!$C$56</f>
        <v>72.504753948185112</v>
      </c>
      <c r="Q26">
        <f>M26*(0.5*CT_ThongSo!$C$38*CT_ThongSo!$C$40^2+2*CT_ThongSo!$C$37*CT_ThongSo!$C$40)</f>
        <v>16.685624999999998</v>
      </c>
      <c r="R26">
        <f>O26*M26/2+CT_ThongSo!$C$45/2*CT_ThongSo!$C$55*M26</f>
        <v>149.47557335750906</v>
      </c>
      <c r="S26">
        <f>MAX(0,CT_ThongSo!$C$19-L26+CT_ThongSo!$C$13-N26-CT_ThongSo!$C$33)</f>
        <v>1.4999999999999889</v>
      </c>
      <c r="T26">
        <f t="shared" si="0"/>
        <v>0.10407937509424091</v>
      </c>
      <c r="U26">
        <f t="shared" si="1"/>
        <v>0.1040074682396282</v>
      </c>
      <c r="V26">
        <f>MAX(0,CT_ThongSo!$C$20-L26+CT_ThongSo!$C$13-N26-CT_ThongSo!$C$33)</f>
        <v>7.4999999999999876</v>
      </c>
      <c r="W26">
        <f t="shared" si="2"/>
        <v>0.48131556607378345</v>
      </c>
      <c r="X26">
        <f t="shared" si="3"/>
        <v>0.48102996407822218</v>
      </c>
      <c r="Y26">
        <f>SQRT((D26*COS(T26)*SIN(RADIANS(F26))+MIN(CT_ThongSo!$C$17,I26)*COS(U26)*SIN(RADIANS(K26)))^2+(D26*COS(T26)*COS(RADIANS(F26))+MIN(CT_ThongSo!$C$17,I26)*COS(U26)*COS(RADIANS(K26)))^2)</f>
        <v>68.288408863149684</v>
      </c>
      <c r="Z26">
        <f>D26*SIN(T26)+MIN(CT_ThongSo!$C$17,I26)*SIN(U26)</f>
        <v>8.1717515016196227</v>
      </c>
      <c r="AA26">
        <f t="shared" si="4"/>
        <v>0.11270642346375651</v>
      </c>
      <c r="AB26">
        <f>CT_ThongSo!$C$42*Y26/(IF(O26&gt;Z26,CT_ThongSo!$C$39*CT_ThongSo!$C$37*M26^2,0)+Q26+CT_ThongSo!$C$45*CT_ThongSo!$C$61)</f>
        <v>0.67278996402119984</v>
      </c>
      <c r="AC26">
        <f>CT_ThongSo!$C$43*(Y26*(N26+CT_ThongSo!$C$33)+Z26*M26/2)/R26</f>
        <v>0.48965976942019257</v>
      </c>
      <c r="AD26">
        <f>MAX(MAX(0,Z26-CT_ThongSo!$C$36*O26)/CT_ThongSo!$C$45,MAX(0,(Y26*(N26+CT_ThongSo!$C$33)+Z26*M26/2)-CT_ThongSo!$C$36*O26*M26/2)/(M26-CT_ThongSo!$C$41)/(CT_ThongSo!$C$45/2))/CT_ThongSo!$C$56</f>
        <v>0</v>
      </c>
      <c r="AE26">
        <f>SQRT((MIN(CT_ThongSo!$C$17,D26)*COS(T26)*SIN(RADIANS(F26))+I26*COS(U26)*SIN(RADIANS(K26)))^2+(MIN(CT_ThongSo!$C$17,D26)*COS(T26)*COS(RADIANS(F26))+I26*COS(U26)*COS(RADIANS(K26)))^2)</f>
        <v>40.361325217243362</v>
      </c>
      <c r="AF26">
        <f>MIN(CT_ThongSo!$C$17,D26)*SIN(T26)+I26*SIN(U26)</f>
        <v>5.2516352876787522</v>
      </c>
      <c r="AG26">
        <f t="shared" si="5"/>
        <v>7.2431599332531876E-2</v>
      </c>
      <c r="AH26">
        <f>CT_ThongSo!$C$42*AE26/(IF(O26&gt;AF26,CT_ThongSo!$C$39*CT_ThongSo!$C$37*M26^2,0)+Q26+CT_ThongSo!$C$45*CT_ThongSo!$C$61)</f>
        <v>0.39764719947092708</v>
      </c>
      <c r="AI26">
        <f>CT_ThongSo!$C$43*(AE26*(N26+CT_ThongSo!$C$33)+AF26*M26/2)/R26</f>
        <v>0.29522944848999505</v>
      </c>
      <c r="AJ26">
        <f>MAX(MAX(0,AF26-CT_ThongSo!$C$36*O26)/CT_ThongSo!$C$45,MAX(0,(AE26*(N26+CT_ThongSo!$C$33)+AF26*M26/2)-CT_ThongSo!$C$36*O26*M26/2)/(M26-CT_ThongSo!$C$41)/(CT_ThongSo!$C$45/2))/CT_ThongSo!$C$56</f>
        <v>0</v>
      </c>
      <c r="AK26">
        <f t="shared" si="6"/>
        <v>27.927302500672884</v>
      </c>
      <c r="AL26">
        <f t="shared" si="7"/>
        <v>12.384828680124008</v>
      </c>
      <c r="AM26">
        <f t="shared" si="8"/>
        <v>0.17081402260843084</v>
      </c>
      <c r="AN26">
        <f>CT_ThongSo!$C$42*AK26/(IF(O26&gt;AL26,CT_ThongSo!$C$39*CT_ThongSo!$C$37*M26^2,0)+Q26+CT_ThongSo!$C$45*CT_ThongSo!$C$61)</f>
        <v>0.27514492074768565</v>
      </c>
      <c r="AO26">
        <f>CT_ThongSo!$C$43*(AK26*(N26+CT_ThongSo!$C$33)+AL26*M26/2)/R26</f>
        <v>0.32502791342108101</v>
      </c>
      <c r="AP26">
        <f>MAX(MAX(0,AL26-CT_ThongSo!$C$36*O26)/CT_ThongSo!$C$45,MAX(0,(AK26*(N26+CT_ThongSo!$C$33)+AL26*M26/2)-CT_ThongSo!$C$36*O26*M26/2)/(M26-CT_ThongSo!$C$41)/(CT_ThongSo!$C$45/2))/CT_ThongSo!$C$56</f>
        <v>0</v>
      </c>
      <c r="AQ26">
        <f>SQRT((D26*COS(W26)*SIN(RADIANS(F26))+MIN(CT_ThongSo!$C$17,I26)*COS(X26)*SIN(RADIANS(K26)))^2+(D26*COS(W26)*COS(RADIANS(F26))+MIN(CT_ThongSo!$C$17,I26)*COS(X26)*COS(RADIANS(K26)))^2)</f>
        <v>60.858638678255943</v>
      </c>
      <c r="AR26">
        <f>D26*SIN(W26)+MIN(CT_ThongSo!$C$17,I26)*SIN(X26)</f>
        <v>36.414032999420428</v>
      </c>
      <c r="AS26">
        <f t="shared" si="9"/>
        <v>0.50222959208224327</v>
      </c>
      <c r="AT26">
        <f>CT_ThongSo!$C$42*AQ26/(IF(O26&gt;AR26,CT_ThongSo!$C$39*CT_ThongSo!$C$37*M26^2,0)+Q26+CT_ThongSo!$C$45*CT_ThongSo!$C$61)</f>
        <v>0.59959050164394911</v>
      </c>
      <c r="AU26">
        <f>CT_ThongSo!$C$43*(AQ26*(N26+CT_ThongSo!$C$33)+AR26*M26/2)/R26</f>
        <v>0.83834647465207779</v>
      </c>
      <c r="AV26">
        <f>MAX(MAX(0,AR26-CT_ThongSo!$C$36*O26)/CT_ThongSo!$C$45,MAX(0,(AQ26*(N26+CT_ThongSo!$C$33)+AR26*M26/2)-CT_ThongSo!$C$36*O26*M26/2)/(M26-CT_ThongSo!$C$41)/(CT_ThongSo!$C$45/2))/CT_ThongSo!$C$56</f>
        <v>0.66533140540941826</v>
      </c>
      <c r="AW26">
        <f>SQRT((MIN(CT_ThongSo!$C$17,D26)*COS(W26)*SIN(RADIANS(F26))+I26*COS(X26)*SIN(RADIANS(K26)))^2+(MIN(CT_ThongSo!$C$17,D26)*COS(W26)*COS(RADIANS(F26))+I26*COS(X26)*COS(RADIANS(K26)))^2)</f>
        <v>35.976110704208999</v>
      </c>
      <c r="AX26">
        <f>MIN(CT_ThongSo!$C$17,D26)*SIN(W26)+I26*SIN(X26)</f>
        <v>23.404517729976781</v>
      </c>
      <c r="AY26">
        <f t="shared" si="10"/>
        <v>0.32279976767733898</v>
      </c>
      <c r="AZ26">
        <f>CT_ThongSo!$C$42*AW26/(IF(O26&gt;AX26,CT_ThongSo!$C$39*CT_ThongSo!$C$37*M26^2,0)+Q26+CT_ThongSo!$C$45*CT_ThongSo!$C$61)</f>
        <v>0.3544432595407685</v>
      </c>
      <c r="BA26">
        <f>CT_ThongSo!$C$43*(AW26*(N26+CT_ThongSo!$C$33)+AX26*M26/2)/R26</f>
        <v>0.52150399826603866</v>
      </c>
      <c r="BB26">
        <f>MAX(MAX(0,AX26-CT_ThongSo!$C$36*O26)/CT_ThongSo!$C$45,MAX(0,(AW26*(N26+CT_ThongSo!$C$33)+AX26*M26/2)-CT_ThongSo!$C$36*O26*M26/2)/(M26-CT_ThongSo!$C$41)/(CT_ThongSo!$C$45/2))/CT_ThongSo!$C$56</f>
        <v>0</v>
      </c>
      <c r="BC26">
        <f t="shared" si="11"/>
        <v>24.883350710978505</v>
      </c>
      <c r="BD26">
        <f t="shared" si="12"/>
        <v>55.190359832480013</v>
      </c>
      <c r="BE26">
        <f t="shared" si="13"/>
        <v>0.76119642957372591</v>
      </c>
      <c r="BF26">
        <f>CT_ThongSo!$C$42*BC26/(IF(O26&gt;BD26,CT_ThongSo!$C$39*CT_ThongSo!$C$37*M26^2,0)+Q26+CT_ThongSo!$C$45*CT_ThongSo!$C$61)</f>
        <v>0.48710967674046357</v>
      </c>
      <c r="BG26">
        <f>CT_ThongSo!$C$43*(BC26*(N26+CT_ThongSo!$C$33)+BD26*M26/2)/R26</f>
        <v>0.89886848046866918</v>
      </c>
      <c r="BH26">
        <f>MAX(MAX(0,BD26-CT_ThongSo!$C$36*O26)/CT_ThongSo!$C$45,MAX(0,(BC26*(N26+CT_ThongSo!$C$33)+BD26*M26/2)-CT_ThongSo!$C$36*O26*M26/2)/(M26-CT_ThongSo!$C$41)/(CT_ThongSo!$C$45/2))/CT_ThongSo!$C$56</f>
        <v>0.81183170902376689</v>
      </c>
      <c r="BI26">
        <f t="shared" si="14"/>
        <v>0.76119642957372591</v>
      </c>
      <c r="BJ26">
        <f t="shared" si="15"/>
        <v>0.67278996402119984</v>
      </c>
      <c r="BK26">
        <f t="shared" si="16"/>
        <v>0.89886848046866918</v>
      </c>
      <c r="BL26">
        <f t="shared" si="17"/>
        <v>0.81183170902376689</v>
      </c>
      <c r="BM26">
        <f>(O26/M26^2)/(5.14*CT_ThongSo!$C$37/CT_ThongSo!$C$44)</f>
        <v>0.14591439688715957</v>
      </c>
      <c r="BN26" t="str">
        <f t="shared" si="18"/>
        <v>ĐẠT</v>
      </c>
      <c r="BO26">
        <f t="shared" si="19"/>
        <v>3.0250000000000004</v>
      </c>
      <c r="BP26">
        <v>2.75</v>
      </c>
    </row>
    <row r="27" spans="1:68" ht="15.5" x14ac:dyDescent="0.35">
      <c r="A27" t="s">
        <v>811</v>
      </c>
      <c r="B27" t="s">
        <v>812</v>
      </c>
      <c r="C27" t="s">
        <v>166</v>
      </c>
      <c r="D27">
        <f>VLOOKUP(C27,CT_LucDay!$A$6:$M$14,13,FALSE)</f>
        <v>73.65998268985814</v>
      </c>
      <c r="E27" s="3">
        <v>14.31</v>
      </c>
      <c r="F27" s="3">
        <v>9.6999999999999993</v>
      </c>
      <c r="G27" t="s">
        <v>813</v>
      </c>
      <c r="H27" t="s">
        <v>171</v>
      </c>
      <c r="I27">
        <f>VLOOKUP(H27,CT_LucDay!$A$6:$M$14,13,FALSE)</f>
        <v>45.580572836038897</v>
      </c>
      <c r="J27" s="3">
        <v>14.32</v>
      </c>
      <c r="K27" s="3">
        <v>189.7</v>
      </c>
      <c r="L27" s="3">
        <v>378.3</v>
      </c>
      <c r="M27" s="3">
        <v>2.75</v>
      </c>
      <c r="N27" s="3">
        <v>0.4</v>
      </c>
      <c r="O27">
        <f>M27^2*N27*(CT_ThongSo!$C$34-CT_ThongSo!$C$35)</f>
        <v>45.375000000000007</v>
      </c>
      <c r="P27">
        <f>CT_ThongSo!$C$36*O27+CT_ThongSo!$C$45*CT_ThongSo!$C$56</f>
        <v>72.504753948185112</v>
      </c>
      <c r="Q27">
        <f>M27*(0.5*CT_ThongSo!$C$38*CT_ThongSo!$C$40^2+2*CT_ThongSo!$C$37*CT_ThongSo!$C$40)</f>
        <v>16.685624999999998</v>
      </c>
      <c r="R27">
        <f>O27*M27/2+CT_ThongSo!$C$45/2*CT_ThongSo!$C$55*M27</f>
        <v>149.47557335750906</v>
      </c>
      <c r="S27">
        <f>MAX(0,CT_ThongSo!$C$19-L27+CT_ThongSo!$C$13-N27-CT_ThongSo!$C$33)</f>
        <v>1.4999999999999889</v>
      </c>
      <c r="T27">
        <f t="shared" si="0"/>
        <v>0.10444040050629855</v>
      </c>
      <c r="U27">
        <f t="shared" si="1"/>
        <v>0.10436799592118751</v>
      </c>
      <c r="V27">
        <f>MAX(0,CT_ThongSo!$C$20-L27+CT_ThongSo!$C$13-N27-CT_ThongSo!$C$33)</f>
        <v>7.4999999999999876</v>
      </c>
      <c r="W27">
        <f t="shared" si="2"/>
        <v>0.48274827582805185</v>
      </c>
      <c r="X27">
        <f t="shared" si="3"/>
        <v>0.48246110567958739</v>
      </c>
      <c r="Y27">
        <f>SQRT((D27*COS(T27)*SIN(RADIANS(F27))+MIN(CT_ThongSo!$C$17,I27)*COS(U27)*SIN(RADIANS(K27)))^2+(D27*COS(T27)*COS(RADIANS(F27))+MIN(CT_ThongSo!$C$17,I27)*COS(U27)*COS(RADIANS(K27)))^2)</f>
        <v>68.285820634561532</v>
      </c>
      <c r="Z27">
        <f>D27*SIN(T27)+MIN(CT_ThongSo!$C$17,I27)*SIN(U27)</f>
        <v>8.1999930860186279</v>
      </c>
      <c r="AA27">
        <f t="shared" si="4"/>
        <v>0.11309593701784963</v>
      </c>
      <c r="AB27">
        <f>CT_ThongSo!$C$42*Y27/(IF(O27&gt;Z27,CT_ThongSo!$C$39*CT_ThongSo!$C$37*M27^2,0)+Q27+CT_ThongSo!$C$45*CT_ThongSo!$C$61)</f>
        <v>0.67276446431711112</v>
      </c>
      <c r="AC27">
        <f>CT_ThongSo!$C$43*(Y27*(N27+CT_ThongSo!$C$33)+Z27*M27/2)/R27</f>
        <v>0.49003516840998945</v>
      </c>
      <c r="AD27">
        <f>MAX(MAX(0,Z27-CT_ThongSo!$C$36*O27)/CT_ThongSo!$C$45,MAX(0,(Y27*(N27+CT_ThongSo!$C$33)+Z27*M27/2)-CT_ThongSo!$C$36*O27*M27/2)/(M27-CT_ThongSo!$C$41)/(CT_ThongSo!$C$45/2))/CT_ThongSo!$C$56</f>
        <v>0</v>
      </c>
      <c r="AE27">
        <f>SQRT((MIN(CT_ThongSo!$C$17,D27)*COS(T27)*SIN(RADIANS(F27))+I27*COS(U27)*SIN(RADIANS(K27)))^2+(MIN(CT_ThongSo!$C$17,D27)*COS(T27)*COS(RADIANS(F27))+I27*COS(U27)*COS(RADIANS(K27)))^2)</f>
        <v>40.359795544159226</v>
      </c>
      <c r="AF27">
        <f>MIN(CT_ThongSo!$C$17,D27)*SIN(T27)+I27*SIN(U27)</f>
        <v>5.2697745603381811</v>
      </c>
      <c r="AG27">
        <f t="shared" si="5"/>
        <v>7.2681779792042045E-2</v>
      </c>
      <c r="AH27">
        <f>CT_ThongSo!$C$42*AE27/(IF(O27&gt;AF27,CT_ThongSo!$C$39*CT_ThongSo!$C$37*M27^2,0)+Q27+CT_ThongSo!$C$45*CT_ThongSo!$C$61)</f>
        <v>0.39763212885035809</v>
      </c>
      <c r="AI27">
        <f>CT_ThongSo!$C$43*(AE27*(N27+CT_ThongSo!$C$33)+AF27*M27/2)/R27</f>
        <v>0.29547129582835047</v>
      </c>
      <c r="AJ27">
        <f>MAX(MAX(0,AF27-CT_ThongSo!$C$36*O27)/CT_ThongSo!$C$45,MAX(0,(AE27*(N27+CT_ThongSo!$C$33)+AF27*M27/2)-CT_ThongSo!$C$36*O27*M27/2)/(M27-CT_ThongSo!$C$41)/(CT_ThongSo!$C$45/2))/CT_ThongSo!$C$56</f>
        <v>0</v>
      </c>
      <c r="AK27">
        <f t="shared" si="6"/>
        <v>27.92606281848747</v>
      </c>
      <c r="AL27">
        <f t="shared" si="7"/>
        <v>12.427621348875515</v>
      </c>
      <c r="AM27">
        <f t="shared" si="8"/>
        <v>0.17140422761460311</v>
      </c>
      <c r="AN27">
        <f>CT_ThongSo!$C$42*AK27/(IF(O27&gt;AL27,CT_ThongSo!$C$39*CT_ThongSo!$C$37*M27^2,0)+Q27+CT_ThongSo!$C$45*CT_ThongSo!$C$61)</f>
        <v>0.27513270717078725</v>
      </c>
      <c r="AO27">
        <f>CT_ThongSo!$C$43*(AK27*(N27+CT_ThongSo!$C$33)+AL27*M27/2)/R27</f>
        <v>0.32561153480842542</v>
      </c>
      <c r="AP27">
        <f>MAX(MAX(0,AL27-CT_ThongSo!$C$36*O27)/CT_ThongSo!$C$45,MAX(0,(AK27*(N27+CT_ThongSo!$C$33)+AL27*M27/2)-CT_ThongSo!$C$36*O27*M27/2)/(M27-CT_ThongSo!$C$41)/(CT_ThongSo!$C$45/2))/CT_ThongSo!$C$56</f>
        <v>0</v>
      </c>
      <c r="AQ27">
        <f>SQRT((D27*COS(W27)*SIN(RADIANS(F27))+MIN(CT_ThongSo!$C$17,I27)*COS(X27)*SIN(RADIANS(K27)))^2+(D27*COS(W27)*COS(RADIANS(F27))+MIN(CT_ThongSo!$C$17,I27)*COS(X27)*COS(RADIANS(K27)))^2)</f>
        <v>60.813023652490969</v>
      </c>
      <c r="AR27">
        <f>D27*SIN(W27)+MIN(CT_ThongSo!$C$17,I27)*SIN(X27)</f>
        <v>36.513882643436133</v>
      </c>
      <c r="AS27">
        <f t="shared" si="9"/>
        <v>0.50360673824961133</v>
      </c>
      <c r="AT27">
        <f>CT_ThongSo!$C$42*AQ27/(IF(O27&gt;AR27,CT_ThongSo!$C$39*CT_ThongSo!$C$37*M27^2,0)+Q27+CT_ThongSo!$C$45*CT_ThongSo!$C$61)</f>
        <v>0.59914109402039839</v>
      </c>
      <c r="AU27">
        <f>CT_ThongSo!$C$43*(AQ27*(N27+CT_ThongSo!$C$33)+AR27*M27/2)/R27</f>
        <v>0.83947246126477848</v>
      </c>
      <c r="AV27">
        <f>MAX(MAX(0,AR27-CT_ThongSo!$C$36*O27)/CT_ThongSo!$C$45,MAX(0,(AQ27*(N27+CT_ThongSo!$C$33)+AR27*M27/2)-CT_ThongSo!$C$36*O27*M27/2)/(M27-CT_ThongSo!$C$41)/(CT_ThongSo!$C$45/2))/CT_ThongSo!$C$56</f>
        <v>0.66805698230332078</v>
      </c>
      <c r="AW27">
        <f>SQRT((MIN(CT_ThongSo!$C$17,D27)*COS(W27)*SIN(RADIANS(F27))+I27*COS(X27)*SIN(RADIANS(K27)))^2+(MIN(CT_ThongSo!$C$17,D27)*COS(W27)*COS(RADIANS(F27))+I27*COS(X27)*COS(RADIANS(K27)))^2)</f>
        <v>35.949200158056811</v>
      </c>
      <c r="AX27">
        <f>MIN(CT_ThongSo!$C$17,D27)*SIN(W27)+I27*SIN(X27)</f>
        <v>23.468673030640268</v>
      </c>
      <c r="AY27">
        <f t="shared" si="10"/>
        <v>0.32368461035550788</v>
      </c>
      <c r="AZ27">
        <f>CT_ThongSo!$C$42*AW27/(IF(O27&gt;AX27,CT_ThongSo!$C$39*CT_ThongSo!$C$37*M27^2,0)+Q27+CT_ThongSo!$C$45*CT_ThongSo!$C$61)</f>
        <v>0.35417813189057229</v>
      </c>
      <c r="BA27">
        <f>CT_ThongSo!$C$43*(AW27*(N27+CT_ThongSo!$C$33)+AX27*M27/2)/R27</f>
        <v>0.52224070129095035</v>
      </c>
      <c r="BB27">
        <f>MAX(MAX(0,AX27-CT_ThongSo!$C$36*O27)/CT_ThongSo!$C$45,MAX(0,(AW27*(N27+CT_ThongSo!$C$33)+AX27*M27/2)-CT_ThongSo!$C$36*O27*M27/2)/(M27-CT_ThongSo!$C$41)/(CT_ThongSo!$C$45/2))/CT_ThongSo!$C$56</f>
        <v>0</v>
      </c>
      <c r="BC27">
        <f t="shared" si="11"/>
        <v>24.864489855465056</v>
      </c>
      <c r="BD27">
        <f t="shared" si="12"/>
        <v>55.341676182381235</v>
      </c>
      <c r="BE27">
        <f t="shared" si="13"/>
        <v>0.76328341479416206</v>
      </c>
      <c r="BF27">
        <f>CT_ThongSo!$C$42*BC27/(IF(O27&gt;BD27,CT_ThongSo!$C$39*CT_ThongSo!$C$37*M27^2,0)+Q27+CT_ThongSo!$C$45*CT_ThongSo!$C$61)</f>
        <v>0.48674046178469194</v>
      </c>
      <c r="BG27">
        <f>CT_ThongSo!$C$43*(BC27*(N27+CT_ThongSo!$C$33)+BD27*M27/2)/R27</f>
        <v>0.90085228129453032</v>
      </c>
      <c r="BH27">
        <f>MAX(MAX(0,BD27-CT_ThongSo!$C$36*O27)/CT_ThongSo!$C$45,MAX(0,(BC27*(N27+CT_ThongSo!$C$33)+BD27*M27/2)-CT_ThongSo!$C$36*O27*M27/2)/(M27-CT_ThongSo!$C$41)/(CT_ThongSo!$C$45/2))/CT_ThongSo!$C$56</f>
        <v>0.81663372143855328</v>
      </c>
      <c r="BI27">
        <f t="shared" si="14"/>
        <v>0.76328341479416206</v>
      </c>
      <c r="BJ27">
        <f t="shared" si="15"/>
        <v>0.67276446431711112</v>
      </c>
      <c r="BK27">
        <f t="shared" si="16"/>
        <v>0.90085228129453032</v>
      </c>
      <c r="BL27">
        <f t="shared" si="17"/>
        <v>0.81663372143855328</v>
      </c>
      <c r="BM27">
        <f>(O27/M27^2)/(5.14*CT_ThongSo!$C$37/CT_ThongSo!$C$44)</f>
        <v>0.14591439688715957</v>
      </c>
      <c r="BN27" t="str">
        <f t="shared" si="18"/>
        <v>ĐẠT</v>
      </c>
      <c r="BO27">
        <f t="shared" si="19"/>
        <v>3.0250000000000004</v>
      </c>
      <c r="BP27">
        <v>2.75</v>
      </c>
    </row>
    <row r="28" spans="1:68" ht="15.5" x14ac:dyDescent="0.35">
      <c r="A28" t="s">
        <v>814</v>
      </c>
      <c r="B28" t="s">
        <v>815</v>
      </c>
      <c r="C28" t="s">
        <v>166</v>
      </c>
      <c r="D28">
        <f>VLOOKUP(C28,CT_LucDay!$A$6:$M$14,13,FALSE)</f>
        <v>73.65998268985814</v>
      </c>
      <c r="E28" s="3">
        <v>14.34</v>
      </c>
      <c r="F28" s="3">
        <v>10.199999999999999</v>
      </c>
      <c r="G28" t="s">
        <v>816</v>
      </c>
      <c r="H28" t="s">
        <v>171</v>
      </c>
      <c r="I28">
        <f>VLOOKUP(H28,CT_LucDay!$A$6:$M$14,13,FALSE)</f>
        <v>45.580572836038897</v>
      </c>
      <c r="J28" s="3">
        <v>14.34</v>
      </c>
      <c r="K28" s="3">
        <v>190.2</v>
      </c>
      <c r="L28" s="3">
        <v>378.3</v>
      </c>
      <c r="M28" s="3">
        <v>2.75</v>
      </c>
      <c r="N28" s="3">
        <v>0.4</v>
      </c>
      <c r="O28">
        <f>M28^2*N28*(CT_ThongSo!$C$34-CT_ThongSo!$C$35)</f>
        <v>45.375000000000007</v>
      </c>
      <c r="P28">
        <f>CT_ThongSo!$C$36*O28+CT_ThongSo!$C$45*CT_ThongSo!$C$56</f>
        <v>72.504753948185112</v>
      </c>
      <c r="Q28">
        <f>M28*(0.5*CT_ThongSo!$C$38*CT_ThongSo!$C$40^2+2*CT_ThongSo!$C$37*CT_ThongSo!$C$40)</f>
        <v>16.685624999999998</v>
      </c>
      <c r="R28">
        <f>O28*M28/2+CT_ThongSo!$C$45/2*CT_ThongSo!$C$55*M28</f>
        <v>149.47557335750906</v>
      </c>
      <c r="S28">
        <f>MAX(0,CT_ThongSo!$C$19-L28+CT_ThongSo!$C$13-N28-CT_ThongSo!$C$33)</f>
        <v>1.4999999999999889</v>
      </c>
      <c r="T28">
        <f t="shared" si="0"/>
        <v>0.10422348641635815</v>
      </c>
      <c r="U28">
        <f t="shared" si="1"/>
        <v>0.10422348641635815</v>
      </c>
      <c r="V28">
        <f>MAX(0,CT_ThongSo!$C$20-L28+CT_ThongSo!$C$13-N28-CT_ThongSo!$C$33)</f>
        <v>7.4999999999999876</v>
      </c>
      <c r="W28">
        <f t="shared" si="2"/>
        <v>0.48188770861675384</v>
      </c>
      <c r="X28">
        <f t="shared" si="3"/>
        <v>0.48188770861675384</v>
      </c>
      <c r="Y28">
        <f>SQRT((D28*COS(T28)*SIN(RADIANS(F28))+MIN(CT_ThongSo!$C$17,I28)*COS(U28)*SIN(RADIANS(K28)))^2+(D28*COS(T28)*COS(RADIANS(F28))+MIN(CT_ThongSo!$C$17,I28)*COS(U28)*COS(RADIANS(K28)))^2)</f>
        <v>68.287409393972951</v>
      </c>
      <c r="Z28">
        <f>D28*SIN(T28)+MIN(CT_ThongSo!$C$17,I28)*SIN(U28)</f>
        <v>8.1833834586836591</v>
      </c>
      <c r="AA28">
        <f t="shared" si="4"/>
        <v>0.11286685373116144</v>
      </c>
      <c r="AB28">
        <f>CT_ThongSo!$C$42*Y28/(IF(O28&gt;Z28,CT_ThongSo!$C$39*CT_ThongSo!$C$37*M28^2,0)+Q28+CT_ThongSo!$C$45*CT_ThongSo!$C$61)</f>
        <v>0.67278011706704399</v>
      </c>
      <c r="AC28">
        <f>CT_ThongSo!$C$43*(Y28*(N28+CT_ThongSo!$C$33)+Z28*M28/2)/R28</f>
        <v>0.48981475360157695</v>
      </c>
      <c r="AD28">
        <f>MAX(MAX(0,Z28-CT_ThongSo!$C$36*O28)/CT_ThongSo!$C$45,MAX(0,(Y28*(N28+CT_ThongSo!$C$33)+Z28*M28/2)-CT_ThongSo!$C$36*O28*M28/2)/(M28-CT_ThongSo!$C$41)/(CT_ThongSo!$C$45/2))/CT_ThongSo!$C$56</f>
        <v>0</v>
      </c>
      <c r="AE28">
        <f>SQRT((MIN(CT_ThongSo!$C$17,D28)*COS(T28)*SIN(RADIANS(F28))+I28*COS(U28)*SIN(RADIANS(K28)))^2+(MIN(CT_ThongSo!$C$17,D28)*COS(T28)*COS(RADIANS(F28))+I28*COS(U28)*COS(RADIANS(K28)))^2)</f>
        <v>40.360368327122458</v>
      </c>
      <c r="AF28">
        <f>MIN(CT_ThongSo!$C$17,D28)*SIN(T28)+I28*SIN(U28)</f>
        <v>5.2621448533645889</v>
      </c>
      <c r="AG28">
        <f t="shared" si="5"/>
        <v>7.2576549354613829E-2</v>
      </c>
      <c r="AH28">
        <f>CT_ThongSo!$C$42*AE28/(IF(O28&gt;AF28,CT_ThongSo!$C$39*CT_ThongSo!$C$37*M28^2,0)+Q28+CT_ThongSo!$C$45*CT_ThongSo!$C$61)</f>
        <v>0.39763777201346057</v>
      </c>
      <c r="AI28">
        <f>CT_ThongSo!$C$43*(AE28*(N28+CT_ThongSo!$C$33)+AF28*M28/2)/R28</f>
        <v>0.29536918065096385</v>
      </c>
      <c r="AJ28">
        <f>MAX(MAX(0,AF28-CT_ThongSo!$C$36*O28)/CT_ThongSo!$C$45,MAX(0,(AE28*(N28+CT_ThongSo!$C$33)+AF28*M28/2)-CT_ThongSo!$C$36*O28*M28/2)/(M28-CT_ThongSo!$C$41)/(CT_ThongSo!$C$45/2))/CT_ThongSo!$C$56</f>
        <v>0</v>
      </c>
      <c r="AK28">
        <f t="shared" si="6"/>
        <v>27.927041066850492</v>
      </c>
      <c r="AL28">
        <f t="shared" si="7"/>
        <v>12.405179308801038</v>
      </c>
      <c r="AM28">
        <f t="shared" si="8"/>
        <v>0.17109470253035119</v>
      </c>
      <c r="AN28">
        <f>CT_ThongSo!$C$42*AK28/(IF(O28&gt;AL28,CT_ThongSo!$C$39*CT_ThongSo!$C$37*M28^2,0)+Q28+CT_ThongSo!$C$45*CT_ThongSo!$C$61)</f>
        <v>0.27514234505358343</v>
      </c>
      <c r="AO28">
        <f>CT_ThongSo!$C$43*(AK28*(N28+CT_ThongSo!$C$33)+AL28*M28/2)/R28</f>
        <v>0.32530727337137216</v>
      </c>
      <c r="AP28">
        <f>MAX(MAX(0,AL28-CT_ThongSo!$C$36*O28)/CT_ThongSo!$C$45,MAX(0,(AK28*(N28+CT_ThongSo!$C$33)+AL28*M28/2)-CT_ThongSo!$C$36*O28*M28/2)/(M28-CT_ThongSo!$C$41)/(CT_ThongSo!$C$45/2))/CT_ThongSo!$C$56</f>
        <v>0</v>
      </c>
      <c r="AQ28">
        <f>SQRT((D28*COS(W28)*SIN(RADIANS(F28))+MIN(CT_ThongSo!$C$17,I28)*COS(X28)*SIN(RADIANS(K28)))^2+(D28*COS(W28)*COS(RADIANS(F28))+MIN(CT_ThongSo!$C$17,I28)*COS(X28)*COS(RADIANS(K28)))^2)</f>
        <v>60.841096352998342</v>
      </c>
      <c r="AR28">
        <f>D28*SIN(W28)+MIN(CT_ThongSo!$C$17,I28)*SIN(X28)</f>
        <v>36.455184485827886</v>
      </c>
      <c r="AS28">
        <f t="shared" si="9"/>
        <v>0.50279716157481569</v>
      </c>
      <c r="AT28">
        <f>CT_ThongSo!$C$42*AQ28/(IF(O28&gt;AR28,CT_ThongSo!$C$39*CT_ThongSo!$C$37*M28^2,0)+Q28+CT_ThongSo!$C$45*CT_ThongSo!$C$61)</f>
        <v>0.59941767142905045</v>
      </c>
      <c r="AU28">
        <f>CT_ThongSo!$C$43*(AQ28*(N28+CT_ThongSo!$C$33)+AR28*M28/2)/R28</f>
        <v>0.83881747148986541</v>
      </c>
      <c r="AV28">
        <f>MAX(MAX(0,AR28-CT_ThongSo!$C$36*O28)/CT_ThongSo!$C$45,MAX(0,(AQ28*(N28+CT_ThongSo!$C$33)+AR28*M28/2)-CT_ThongSo!$C$36*O28*M28/2)/(M28-CT_ThongSo!$C$41)/(CT_ThongSo!$C$45/2))/CT_ThongSo!$C$56</f>
        <v>0.66647150608530115</v>
      </c>
      <c r="AW28">
        <f>SQRT((MIN(CT_ThongSo!$C$17,D28)*COS(W28)*SIN(RADIANS(F28))+I28*COS(X28)*SIN(RADIANS(K28)))^2+(MIN(CT_ThongSo!$C$17,D28)*COS(W28)*COS(RADIANS(F28))+I28*COS(X28)*COS(RADIANS(K28)))^2)</f>
        <v>35.959323688294567</v>
      </c>
      <c r="AX28">
        <f>MIN(CT_ThongSo!$C$17,D28)*SIN(W28)+I28*SIN(X28)</f>
        <v>23.441705058681574</v>
      </c>
      <c r="AY28">
        <f t="shared" si="10"/>
        <v>0.32331266271772996</v>
      </c>
      <c r="AZ28">
        <f>CT_ThongSo!$C$42*AW28/(IF(O28&gt;AX28,CT_ThongSo!$C$39*CT_ThongSo!$C$37*M28^2,0)+Q28+CT_ThongSo!$C$45*CT_ThongSo!$C$61)</f>
        <v>0.35427787077243839</v>
      </c>
      <c r="BA28">
        <f>CT_ThongSo!$C$43*(AW28*(N28+CT_ThongSo!$C$33)+AX28*M28/2)/R28</f>
        <v>0.52192446547624904</v>
      </c>
      <c r="BB28">
        <f>MAX(MAX(0,AX28-CT_ThongSo!$C$36*O28)/CT_ThongSo!$C$45,MAX(0,(AW28*(N28+CT_ThongSo!$C$33)+AX28*M28/2)-CT_ThongSo!$C$36*O28*M28/2)/(M28-CT_ThongSo!$C$41)/(CT_ThongSo!$C$45/2))/CT_ThongSo!$C$56</f>
        <v>0</v>
      </c>
      <c r="BC28">
        <f t="shared" si="11"/>
        <v>24.881772664703774</v>
      </c>
      <c r="BD28">
        <f t="shared" si="12"/>
        <v>55.26236214706978</v>
      </c>
      <c r="BE28">
        <f t="shared" si="13"/>
        <v>0.76218949983007378</v>
      </c>
      <c r="BF28">
        <f>CT_ThongSo!$C$42*BC28/(IF(O28&gt;BD28,CT_ThongSo!$C$39*CT_ThongSo!$C$37*M28^2,0)+Q28+CT_ThongSo!$C$45*CT_ThongSo!$C$61)</f>
        <v>0.48707878533762589</v>
      </c>
      <c r="BG28">
        <f>CT_ThongSo!$C$43*(BC28*(N28+CT_ThongSo!$C$33)+BD28*M28/2)/R28</f>
        <v>0.89985327606007126</v>
      </c>
      <c r="BH28">
        <f>MAX(MAX(0,BD28-CT_ThongSo!$C$36*O28)/CT_ThongSo!$C$45,MAX(0,(BC28*(N28+CT_ThongSo!$C$33)+BD28*M28/2)-CT_ThongSo!$C$36*O28*M28/2)/(M28-CT_ThongSo!$C$41)/(CT_ThongSo!$C$45/2))/CT_ThongSo!$C$56</f>
        <v>0.81421551721372776</v>
      </c>
      <c r="BI28">
        <f t="shared" si="14"/>
        <v>0.76218949983007378</v>
      </c>
      <c r="BJ28">
        <f t="shared" si="15"/>
        <v>0.67278011706704399</v>
      </c>
      <c r="BK28">
        <f t="shared" si="16"/>
        <v>0.89985327606007126</v>
      </c>
      <c r="BL28">
        <f t="shared" si="17"/>
        <v>0.81421551721372776</v>
      </c>
      <c r="BM28">
        <f>(O28/M28^2)/(5.14*CT_ThongSo!$C$37/CT_ThongSo!$C$44)</f>
        <v>0.14591439688715957</v>
      </c>
      <c r="BN28" t="str">
        <f t="shared" si="18"/>
        <v>ĐẠT</v>
      </c>
      <c r="BO28">
        <f t="shared" si="19"/>
        <v>3.0250000000000004</v>
      </c>
      <c r="BP28">
        <v>2.75</v>
      </c>
    </row>
    <row r="29" spans="1:68" ht="15.5" x14ac:dyDescent="0.35">
      <c r="A29" t="s">
        <v>817</v>
      </c>
      <c r="B29" t="s">
        <v>818</v>
      </c>
      <c r="C29" t="s">
        <v>166</v>
      </c>
      <c r="D29">
        <f>VLOOKUP(C29,CT_LucDay!$A$6:$M$14,13,FALSE)</f>
        <v>73.65998268985814</v>
      </c>
      <c r="E29" s="3">
        <v>14.29</v>
      </c>
      <c r="F29" s="3">
        <v>9.1999999999999993</v>
      </c>
      <c r="G29" t="s">
        <v>819</v>
      </c>
      <c r="H29" t="s">
        <v>171</v>
      </c>
      <c r="I29">
        <f>VLOOKUP(H29,CT_LucDay!$A$6:$M$14,13,FALSE)</f>
        <v>45.580572836038897</v>
      </c>
      <c r="J29" s="3">
        <v>14.3</v>
      </c>
      <c r="K29" s="3">
        <v>189.2</v>
      </c>
      <c r="L29" s="3">
        <v>378.3</v>
      </c>
      <c r="M29" s="3">
        <v>2.75</v>
      </c>
      <c r="N29" s="3">
        <v>0.4</v>
      </c>
      <c r="O29">
        <f>M29^2*N29*(CT_ThongSo!$C$34-CT_ThongSo!$C$35)</f>
        <v>45.375000000000007</v>
      </c>
      <c r="P29">
        <f>CT_ThongSo!$C$36*O29+CT_ThongSo!$C$45*CT_ThongSo!$C$56</f>
        <v>72.504753948185112</v>
      </c>
      <c r="Q29">
        <f>M29*(0.5*CT_ThongSo!$C$38*CT_ThongSo!$C$40^2+2*CT_ThongSo!$C$37*CT_ThongSo!$C$40)</f>
        <v>16.685624999999998</v>
      </c>
      <c r="R29">
        <f>O29*M29/2+CT_ThongSo!$C$45/2*CT_ThongSo!$C$55*M29</f>
        <v>149.47557335750906</v>
      </c>
      <c r="S29">
        <f>MAX(0,CT_ThongSo!$C$19-L29+CT_ThongSo!$C$13-N29-CT_ThongSo!$C$33)</f>
        <v>1.4999999999999889</v>
      </c>
      <c r="T29">
        <f t="shared" si="0"/>
        <v>0.10458551037521807</v>
      </c>
      <c r="U29">
        <f t="shared" si="1"/>
        <v>0.10451290525523256</v>
      </c>
      <c r="V29">
        <f>MAX(0,CT_ThongSo!$C$20-L29+CT_ThongSo!$C$13-N29-CT_ThongSo!$C$33)</f>
        <v>7.4999999999999876</v>
      </c>
      <c r="W29">
        <f t="shared" si="2"/>
        <v>0.48332356171046692</v>
      </c>
      <c r="X29">
        <f t="shared" si="3"/>
        <v>0.48303576101464429</v>
      </c>
      <c r="Y29">
        <f>SQRT((D29*COS(T29)*SIN(RADIANS(F29))+MIN(CT_ThongSo!$C$17,I29)*COS(U29)*SIN(RADIANS(K29)))^2+(D29*COS(T29)*COS(RADIANS(F29))+MIN(CT_ThongSo!$C$17,I29)*COS(U29)*COS(RADIANS(K29)))^2)</f>
        <v>68.284781084564088</v>
      </c>
      <c r="Z29">
        <f>D29*SIN(T29)+MIN(CT_ThongSo!$C$17,I29)*SIN(U29)</f>
        <v>8.2113441516084436</v>
      </c>
      <c r="AA29">
        <f t="shared" si="4"/>
        <v>0.11325249317412495</v>
      </c>
      <c r="AB29">
        <f>CT_ThongSo!$C$42*Y29/(IF(O29&gt;Z29,CT_ThongSo!$C$39*CT_ThongSo!$C$37*M29^2,0)+Q29+CT_ThongSo!$C$45*CT_ThongSo!$C$61)</f>
        <v>0.6727542224793378</v>
      </c>
      <c r="AC29">
        <f>CT_ThongSo!$C$43*(Y29*(N29+CT_ThongSo!$C$33)+Z29*M29/2)/R29</f>
        <v>0.49018605556515804</v>
      </c>
      <c r="AD29">
        <f>MAX(MAX(0,Z29-CT_ThongSo!$C$36*O29)/CT_ThongSo!$C$45,MAX(0,(Y29*(N29+CT_ThongSo!$C$33)+Z29*M29/2)-CT_ThongSo!$C$36*O29*M29/2)/(M29-CT_ThongSo!$C$41)/(CT_ThongSo!$C$45/2))/CT_ThongSo!$C$56</f>
        <v>0</v>
      </c>
      <c r="AE29">
        <f>SQRT((MIN(CT_ThongSo!$C$17,D29)*COS(T29)*SIN(RADIANS(F29))+I29*COS(U29)*SIN(RADIANS(K29)))^2+(MIN(CT_ThongSo!$C$17,D29)*COS(T29)*COS(RADIANS(F29))+I29*COS(U29)*COS(RADIANS(K29)))^2)</f>
        <v>40.359182654462174</v>
      </c>
      <c r="AF29">
        <f>MIN(CT_ThongSo!$C$17,D29)*SIN(T29)+I29*SIN(U29)</f>
        <v>5.2770652105871481</v>
      </c>
      <c r="AG29">
        <f t="shared" si="5"/>
        <v>7.2782333891628082E-2</v>
      </c>
      <c r="AH29">
        <f>CT_ThongSo!$C$42*AE29/(IF(O29&gt;AF29,CT_ThongSo!$C$39*CT_ThongSo!$C$37*M29^2,0)+Q29+CT_ThongSo!$C$45*CT_ThongSo!$C$61)</f>
        <v>0.39762609054833736</v>
      </c>
      <c r="AI29">
        <f>CT_ThongSo!$C$43*(AE29*(N29+CT_ThongSo!$C$33)+AF29*M29/2)/R29</f>
        <v>0.29556851125835032</v>
      </c>
      <c r="AJ29">
        <f>MAX(MAX(0,AF29-CT_ThongSo!$C$36*O29)/CT_ThongSo!$C$45,MAX(0,(AE29*(N29+CT_ThongSo!$C$33)+AF29*M29/2)-CT_ThongSo!$C$36*O29*M29/2)/(M29-CT_ThongSo!$C$41)/(CT_ThongSo!$C$45/2))/CT_ThongSo!$C$56</f>
        <v>0</v>
      </c>
      <c r="AK29">
        <f t="shared" si="6"/>
        <v>27.925636315035568</v>
      </c>
      <c r="AL29">
        <f t="shared" si="7"/>
        <v>12.44482087568483</v>
      </c>
      <c r="AM29">
        <f t="shared" si="8"/>
        <v>0.17164144691227298</v>
      </c>
      <c r="AN29">
        <f>CT_ThongSo!$C$42*AK29/(IF(O29&gt;AL29,CT_ThongSo!$C$39*CT_ThongSo!$C$37*M29^2,0)+Q29+CT_ThongSo!$C$45*CT_ThongSo!$C$61)</f>
        <v>0.27512850518033471</v>
      </c>
      <c r="AO29">
        <f>CT_ThongSo!$C$43*(AK29*(N29+CT_ThongSo!$C$33)+AL29*M29/2)/R29</f>
        <v>0.32584650402719129</v>
      </c>
      <c r="AP29">
        <f>MAX(MAX(0,AL29-CT_ThongSo!$C$36*O29)/CT_ThongSo!$C$45,MAX(0,(AK29*(N29+CT_ThongSo!$C$33)+AL29*M29/2)-CT_ThongSo!$C$36*O29*M29/2)/(M29-CT_ThongSo!$C$41)/(CT_ThongSo!$C$45/2))/CT_ThongSo!$C$56</f>
        <v>0</v>
      </c>
      <c r="AQ29">
        <f>SQRT((D29*COS(W29)*SIN(RADIANS(F29))+MIN(CT_ThongSo!$C$17,I29)*COS(X29)*SIN(RADIANS(K29)))^2+(D29*COS(W29)*COS(RADIANS(F29))+MIN(CT_ThongSo!$C$17,I29)*COS(X29)*COS(RADIANS(K29)))^2)</f>
        <v>60.794675305571864</v>
      </c>
      <c r="AR29">
        <f>D29*SIN(W29)+MIN(CT_ThongSo!$C$17,I29)*SIN(X29)</f>
        <v>36.553954884036251</v>
      </c>
      <c r="AS29">
        <f t="shared" si="9"/>
        <v>0.50415942256916302</v>
      </c>
      <c r="AT29">
        <f>CT_ThongSo!$C$42*AQ29/(IF(O29&gt;AR29,CT_ThongSo!$C$39*CT_ThongSo!$C$37*M29^2,0)+Q29+CT_ThongSo!$C$45*CT_ThongSo!$C$61)</f>
        <v>0.59896032273184363</v>
      </c>
      <c r="AU29">
        <f>CT_ThongSo!$C$43*(AQ29*(N29+CT_ThongSo!$C$33)+AR29*M29/2)/R29</f>
        <v>0.83992411773622089</v>
      </c>
      <c r="AV29">
        <f>MAX(MAX(0,AR29-CT_ThongSo!$C$36*O29)/CT_ThongSo!$C$45,MAX(0,(AQ29*(N29+CT_ThongSo!$C$33)+AR29*M29/2)-CT_ThongSo!$C$36*O29*M29/2)/(M29-CT_ThongSo!$C$41)/(CT_ThongSo!$C$45/2))/CT_ThongSo!$C$56</f>
        <v>0.66915026745312589</v>
      </c>
      <c r="AW29">
        <f>SQRT((MIN(CT_ThongSo!$C$17,D29)*COS(W29)*SIN(RADIANS(F29))+I29*COS(X29)*SIN(RADIANS(K29)))^2+(MIN(CT_ThongSo!$C$17,D29)*COS(W29)*COS(RADIANS(F29))+I29*COS(X29)*COS(RADIANS(K29)))^2)</f>
        <v>35.938376926953289</v>
      </c>
      <c r="AX29">
        <f>MIN(CT_ThongSo!$C$17,D29)*SIN(W29)+I29*SIN(X29)</f>
        <v>23.494420196951783</v>
      </c>
      <c r="AY29">
        <f t="shared" si="10"/>
        <v>0.32403972039877366</v>
      </c>
      <c r="AZ29">
        <f>CT_ThongSo!$C$42*AW29/(IF(O29&gt;AX29,CT_ThongSo!$C$39*CT_ThongSo!$C$37*M29^2,0)+Q29+CT_ThongSo!$C$45*CT_ThongSo!$C$61)</f>
        <v>0.35407149942708466</v>
      </c>
      <c r="BA29">
        <f>CT_ThongSo!$C$43*(AW29*(N29+CT_ThongSo!$C$33)+AX29*M29/2)/R29</f>
        <v>0.52253623027849549</v>
      </c>
      <c r="BB29">
        <f>MAX(MAX(0,AX29-CT_ThongSo!$C$36*O29)/CT_ThongSo!$C$45,MAX(0,(AW29*(N29+CT_ThongSo!$C$33)+AX29*M29/2)-CT_ThongSo!$C$36*O29*M29/2)/(M29-CT_ThongSo!$C$41)/(CT_ThongSo!$C$45/2))/CT_ThongSo!$C$56</f>
        <v>0</v>
      </c>
      <c r="BC29">
        <f t="shared" si="11"/>
        <v>24.856966935574569</v>
      </c>
      <c r="BD29">
        <f t="shared" si="12"/>
        <v>55.402403329838997</v>
      </c>
      <c r="BE29">
        <f t="shared" si="13"/>
        <v>0.76412097570087389</v>
      </c>
      <c r="BF29">
        <f>CT_ThongSo!$C$42*BC29/(IF(O29&gt;BD29,CT_ThongSo!$C$39*CT_ThongSo!$C$37*M29^2,0)+Q29+CT_ThongSo!$C$45*CT_ThongSo!$C$61)</f>
        <v>0.48659319515976812</v>
      </c>
      <c r="BG29">
        <f>CT_ThongSo!$C$43*(BC29*(N29+CT_ThongSo!$C$33)+BD29*M29/2)/R29</f>
        <v>0.90164868789159536</v>
      </c>
      <c r="BH29">
        <f>MAX(MAX(0,BD29-CT_ThongSo!$C$36*O29)/CT_ThongSo!$C$45,MAX(0,(BC29*(N29+CT_ThongSo!$C$33)+BD29*M29/2)-CT_ThongSo!$C$36*O29*M29/2)/(M29-CT_ThongSo!$C$41)/(CT_ThongSo!$C$45/2))/CT_ThongSo!$C$56</f>
        <v>0.81856151293680712</v>
      </c>
      <c r="BI29">
        <f t="shared" si="14"/>
        <v>0.76412097570087389</v>
      </c>
      <c r="BJ29">
        <f t="shared" si="15"/>
        <v>0.6727542224793378</v>
      </c>
      <c r="BK29">
        <f t="shared" si="16"/>
        <v>0.90164868789159536</v>
      </c>
      <c r="BL29">
        <f t="shared" si="17"/>
        <v>0.81856151293680712</v>
      </c>
      <c r="BM29">
        <f>(O29/M29^2)/(5.14*CT_ThongSo!$C$37/CT_ThongSo!$C$44)</f>
        <v>0.14591439688715957</v>
      </c>
      <c r="BN29" t="str">
        <f t="shared" si="18"/>
        <v>ĐẠT</v>
      </c>
      <c r="BO29">
        <f t="shared" si="19"/>
        <v>3.0250000000000004</v>
      </c>
      <c r="BP29">
        <v>2.75</v>
      </c>
    </row>
    <row r="30" spans="1:68" ht="15.5" x14ac:dyDescent="0.35">
      <c r="A30" t="s">
        <v>820</v>
      </c>
      <c r="B30" t="s">
        <v>821</v>
      </c>
      <c r="C30" t="s">
        <v>168</v>
      </c>
      <c r="D30">
        <f>VLOOKUP(C30,CT_LucDay!$A$6:$M$14,13,FALSE)</f>
        <v>87.342727174884487</v>
      </c>
      <c r="E30" s="3">
        <v>21.31</v>
      </c>
      <c r="F30" s="3">
        <v>8.3000000000000007</v>
      </c>
      <c r="G30" t="s">
        <v>822</v>
      </c>
      <c r="H30" t="s">
        <v>170</v>
      </c>
      <c r="I30">
        <f>VLOOKUP(H30,CT_LucDay!$A$6:$M$14,13,FALSE)</f>
        <v>40.81540792889303</v>
      </c>
      <c r="J30" s="3">
        <v>21.3</v>
      </c>
      <c r="K30" s="3">
        <v>188.3</v>
      </c>
      <c r="L30" s="3">
        <v>378.3</v>
      </c>
      <c r="M30" s="3">
        <v>2.75</v>
      </c>
      <c r="N30" s="3">
        <v>0.4</v>
      </c>
      <c r="O30">
        <f>M30^2*N30*(CT_ThongSo!$C$34-CT_ThongSo!$C$35)</f>
        <v>45.375000000000007</v>
      </c>
      <c r="P30">
        <f>CT_ThongSo!$C$36*O30+CT_ThongSo!$C$45*CT_ThongSo!$C$56</f>
        <v>72.504753948185112</v>
      </c>
      <c r="Q30">
        <f>M30*(0.5*CT_ThongSo!$C$38*CT_ThongSo!$C$40^2+2*CT_ThongSo!$C$37*CT_ThongSo!$C$40)</f>
        <v>16.685624999999998</v>
      </c>
      <c r="R30">
        <f>O30*M30/2+CT_ThongSo!$C$45/2*CT_ThongSo!$C$55*M30</f>
        <v>149.47557335750906</v>
      </c>
      <c r="S30">
        <f>MAX(0,CT_ThongSo!$C$19-L30+CT_ThongSo!$C$13-N30-CT_ThongSo!$C$33)</f>
        <v>1.4999999999999889</v>
      </c>
      <c r="T30">
        <f t="shared" si="0"/>
        <v>7.0273580415141576E-2</v>
      </c>
      <c r="U30">
        <f t="shared" si="1"/>
        <v>7.0306464118623943E-2</v>
      </c>
      <c r="V30">
        <f>MAX(0,CT_ThongSo!$C$20-L30+CT_ThongSo!$C$13-N30-CT_ThongSo!$C$33)</f>
        <v>7.4999999999999876</v>
      </c>
      <c r="W30">
        <f t="shared" si="2"/>
        <v>0.33840868019362919</v>
      </c>
      <c r="X30">
        <f t="shared" si="3"/>
        <v>0.33855569491168369</v>
      </c>
      <c r="Y30">
        <f>SQRT((D30*COS(T30)*SIN(RADIANS(F30))+MIN(CT_ThongSo!$C$17,I30)*COS(U30)*SIN(RADIANS(K30)))^2+(D30*COS(T30)*COS(RADIANS(F30))+MIN(CT_ThongSo!$C$17,I30)*COS(U30)*COS(RADIANS(K30)))^2)</f>
        <v>82.13950270287495</v>
      </c>
      <c r="Z30">
        <f>D30*SIN(T30)+MIN(CT_ThongSo!$C$17,I30)*SIN(U30)</f>
        <v>6.4840783321785365</v>
      </c>
      <c r="AA30">
        <f t="shared" si="4"/>
        <v>8.942969914513918E-2</v>
      </c>
      <c r="AB30">
        <f>CT_ThongSo!$C$42*Y30/(IF(O30&gt;Z30,CT_ThongSo!$C$39*CT_ThongSo!$C$37*M30^2,0)+Q30+CT_ThongSo!$C$45*CT_ThongSo!$C$61)</f>
        <v>0.80925348808365238</v>
      </c>
      <c r="AC30">
        <f>CT_ThongSo!$C$43*(Y30*(N30+CT_ThongSo!$C$33)+Z30*M30/2)/R30</f>
        <v>0.54282114105644941</v>
      </c>
      <c r="AD30">
        <f>MAX(MAX(0,Z30-CT_ThongSo!$C$36*O30)/CT_ThongSo!$C$45,MAX(0,(Y30*(N30+CT_ThongSo!$C$33)+Z30*M30/2)-CT_ThongSo!$C$36*O30*M30/2)/(M30-CT_ThongSo!$C$41)/(CT_ThongSo!$C$45/2))/CT_ThongSo!$C$56</f>
        <v>0</v>
      </c>
      <c r="AE30">
        <f>SQRT((MIN(CT_ThongSo!$C$17,D30)*COS(T30)*SIN(RADIANS(F30))+I30*COS(U30)*SIN(RADIANS(K30)))^2+(MIN(CT_ThongSo!$C$17,D30)*COS(T30)*COS(RADIANS(F30))+I30*COS(U30)*COS(RADIANS(K30)))^2)</f>
        <v>35.726915076410101</v>
      </c>
      <c r="AF30">
        <f>MIN(CT_ThongSo!$C$17,D30)*SIN(T30)+I30*SIN(U30)</f>
        <v>3.2183023120089431</v>
      </c>
      <c r="AG30">
        <f t="shared" si="5"/>
        <v>4.438746615578993E-2</v>
      </c>
      <c r="AH30">
        <f>CT_ThongSo!$C$42*AE30/(IF(O30&gt;AF30,CT_ThongSo!$C$39*CT_ThongSo!$C$37*M30^2,0)+Q30+CT_ThongSo!$C$45*CT_ThongSo!$C$61)</f>
        <v>0.35198813838254894</v>
      </c>
      <c r="AI30">
        <f>CT_ThongSo!$C$43*(AE30*(N30+CT_ThongSo!$C$33)+AF30*M30/2)/R30</f>
        <v>0.24159434645675926</v>
      </c>
      <c r="AJ30">
        <f>MAX(MAX(0,AF30-CT_ThongSo!$C$36*O30)/CT_ThongSo!$C$45,MAX(0,(AE30*(N30+CT_ThongSo!$C$33)+AF30*M30/2)-CT_ThongSo!$C$36*O30*M30/2)/(M30-CT_ThongSo!$C$41)/(CT_ThongSo!$C$45/2))/CT_ThongSo!$C$56</f>
        <v>0</v>
      </c>
      <c r="AK30">
        <f t="shared" si="6"/>
        <v>46.412576078997809</v>
      </c>
      <c r="AL30">
        <f t="shared" si="7"/>
        <v>9.0000590803388789</v>
      </c>
      <c r="AM30">
        <f t="shared" si="8"/>
        <v>0.12413060648093079</v>
      </c>
      <c r="AN30">
        <f>CT_ThongSo!$C$42*AK30/(IF(O30&gt;AL30,CT_ThongSo!$C$39*CT_ThongSo!$C$37*M30^2,0)+Q30+CT_ThongSo!$C$45*CT_ThongSo!$C$61)</f>
        <v>0.45726523593333435</v>
      </c>
      <c r="AO30">
        <f>CT_ThongSo!$C$43*(AK30*(N30+CT_ThongSo!$C$33)+AL30*M30/2)/R30</f>
        <v>0.38034975107533892</v>
      </c>
      <c r="AP30">
        <f>MAX(MAX(0,AL30-CT_ThongSo!$C$36*O30)/CT_ThongSo!$C$45,MAX(0,(AK30*(N30+CT_ThongSo!$C$33)+AL30*M30/2)-CT_ThongSo!$C$36*O30*M30/2)/(M30-CT_ThongSo!$C$41)/(CT_ThongSo!$C$45/2))/CT_ThongSo!$C$56</f>
        <v>0</v>
      </c>
      <c r="AQ30">
        <f>SQRT((D30*COS(W30)*SIN(RADIANS(F30))+MIN(CT_ThongSo!$C$17,I30)*COS(X30)*SIN(RADIANS(K30)))^2+(D30*COS(W30)*COS(RADIANS(F30))+MIN(CT_ThongSo!$C$17,I30)*COS(X30)*COS(RADIANS(K30)))^2)</f>
        <v>77.672834012028531</v>
      </c>
      <c r="AR30">
        <f>D30*SIN(W30)+MIN(CT_ThongSo!$C$17,I30)*SIN(X30)</f>
        <v>30.657227207108274</v>
      </c>
      <c r="AS30">
        <f t="shared" si="9"/>
        <v>0.42283058058533918</v>
      </c>
      <c r="AT30">
        <f>CT_ThongSo!$C$42*AQ30/(IF(O30&gt;AR30,CT_ThongSo!$C$39*CT_ThongSo!$C$37*M30^2,0)+Q30+CT_ThongSo!$C$45*CT_ThongSo!$C$61)</f>
        <v>0.76524704661228238</v>
      </c>
      <c r="AU30">
        <f>CT_ThongSo!$C$43*(AQ30*(N30+CT_ThongSo!$C$33)+AR30*M30/2)/R30</f>
        <v>0.85171520881266982</v>
      </c>
      <c r="AV30">
        <f>MAX(MAX(0,AR30-CT_ThongSo!$C$36*O30)/CT_ThongSo!$C$45,MAX(0,(AQ30*(N30+CT_ThongSo!$C$33)+AR30*M30/2)-CT_ThongSo!$C$36*O30*M30/2)/(M30-CT_ThongSo!$C$41)/(CT_ThongSo!$C$45/2))/CT_ThongSo!$C$56</f>
        <v>0.697691925967865</v>
      </c>
      <c r="AW30">
        <f>SQRT((MIN(CT_ThongSo!$C$17,D30)*COS(W30)*SIN(RADIANS(F30))+I30*COS(X30)*SIN(RADIANS(K30)))^2+(MIN(CT_ThongSo!$C$17,D30)*COS(W30)*COS(RADIANS(F30))+I30*COS(X30)*COS(RADIANS(K30)))^2)</f>
        <v>33.782114359666195</v>
      </c>
      <c r="AX30">
        <f>MIN(CT_ThongSo!$C$17,D30)*SIN(W30)+I30*SIN(X30)</f>
        <v>15.215754464508233</v>
      </c>
      <c r="AY30">
        <f t="shared" si="10"/>
        <v>0.20985871458004035</v>
      </c>
      <c r="AZ30">
        <f>CT_ThongSo!$C$42*AW30/(IF(O30&gt;AX30,CT_ThongSo!$C$39*CT_ThongSo!$C$37*M30^2,0)+Q30+CT_ThongSo!$C$45*CT_ThongSo!$C$61)</f>
        <v>0.33282760402497358</v>
      </c>
      <c r="BA30">
        <f>CT_ThongSo!$C$43*(AW30*(N30+CT_ThongSo!$C$33)+AX30*M30/2)/R30</f>
        <v>0.3964041521891658</v>
      </c>
      <c r="BB30">
        <f>MAX(MAX(0,AX30-CT_ThongSo!$C$36*O30)/CT_ThongSo!$C$45,MAX(0,(AW30*(N30+CT_ThongSo!$C$33)+AX30*M30/2)-CT_ThongSo!$C$36*O30*M30/2)/(M30-CT_ThongSo!$C$41)/(CT_ThongSo!$C$45/2))/CT_ThongSo!$C$56</f>
        <v>0</v>
      </c>
      <c r="BC30">
        <f t="shared" si="11"/>
        <v>43.890475566925389</v>
      </c>
      <c r="BD30">
        <f t="shared" si="12"/>
        <v>42.552423842707952</v>
      </c>
      <c r="BE30">
        <f t="shared" si="13"/>
        <v>0.58689150056446882</v>
      </c>
      <c r="BF30">
        <f>CT_ThongSo!$C$42*BC30/(IF(O30&gt;BD30,CT_ThongSo!$C$39*CT_ThongSo!$C$37*M30^2,0)+Q30+CT_ThongSo!$C$45*CT_ThongSo!$C$61)</f>
        <v>0.43241703781269081</v>
      </c>
      <c r="BG30">
        <f>CT_ThongSo!$C$43*(BC30*(N30+CT_ThongSo!$C$33)+BD30*M30/2)/R30</f>
        <v>0.82939314921898999</v>
      </c>
      <c r="BH30">
        <f>MAX(MAX(0,BD30-CT_ThongSo!$C$36*O30)/CT_ThongSo!$C$45,MAX(0,(BC30*(N30+CT_ThongSo!$C$33)+BD30*M30/2)-CT_ThongSo!$C$36*O30*M30/2)/(M30-CT_ThongSo!$C$41)/(CT_ThongSo!$C$45/2))/CT_ThongSo!$C$56</f>
        <v>0.64365887693638035</v>
      </c>
      <c r="BI30">
        <f t="shared" si="14"/>
        <v>0.58689150056446882</v>
      </c>
      <c r="BJ30">
        <f t="shared" si="15"/>
        <v>0.80925348808365238</v>
      </c>
      <c r="BK30">
        <f t="shared" si="16"/>
        <v>0.85171520881266982</v>
      </c>
      <c r="BL30">
        <f t="shared" si="17"/>
        <v>0.697691925967865</v>
      </c>
      <c r="BM30">
        <f>(O30/M30^2)/(5.14*CT_ThongSo!$C$37/CT_ThongSo!$C$44)</f>
        <v>0.14591439688715957</v>
      </c>
      <c r="BN30" t="str">
        <f t="shared" si="18"/>
        <v>ĐẠT</v>
      </c>
      <c r="BO30">
        <f t="shared" si="19"/>
        <v>3.0250000000000004</v>
      </c>
      <c r="BP30">
        <v>2.75</v>
      </c>
    </row>
    <row r="31" spans="1:68" ht="15.5" x14ac:dyDescent="0.35">
      <c r="A31" t="s">
        <v>825</v>
      </c>
      <c r="B31" t="s">
        <v>826</v>
      </c>
      <c r="C31" t="s">
        <v>168</v>
      </c>
      <c r="D31">
        <f>VLOOKUP(C31,CT_LucDay!$A$6:$M$14,13,FALSE)</f>
        <v>87.342727174884487</v>
      </c>
      <c r="E31" s="3">
        <v>19.29</v>
      </c>
      <c r="F31" s="3">
        <v>9.6999999999999993</v>
      </c>
      <c r="G31" t="s">
        <v>827</v>
      </c>
      <c r="H31" t="s">
        <v>170</v>
      </c>
      <c r="I31">
        <f>VLOOKUP(H31,CT_LucDay!$A$6:$M$14,13,FALSE)</f>
        <v>40.81540792889303</v>
      </c>
      <c r="J31" s="3">
        <v>19.28</v>
      </c>
      <c r="K31" s="3">
        <v>189.7</v>
      </c>
      <c r="L31" s="3">
        <v>378.3</v>
      </c>
      <c r="M31" s="3">
        <v>2.75</v>
      </c>
      <c r="N31" s="3">
        <v>0.4</v>
      </c>
      <c r="O31">
        <f>M31^2*N31*(CT_ThongSo!$C$34-CT_ThongSo!$C$35)</f>
        <v>45.375000000000007</v>
      </c>
      <c r="P31">
        <f>CT_ThongSo!$C$36*O31+CT_ThongSo!$C$45*CT_ThongSo!$C$56</f>
        <v>72.504753948185112</v>
      </c>
      <c r="Q31">
        <f>M31*(0.5*CT_ThongSo!$C$38*CT_ThongSo!$C$40^2+2*CT_ThongSo!$C$37*CT_ThongSo!$C$40)</f>
        <v>16.685624999999998</v>
      </c>
      <c r="R31">
        <f>O31*M31/2+CT_ThongSo!$C$45/2*CT_ThongSo!$C$55*M31</f>
        <v>149.47557335750906</v>
      </c>
      <c r="S31">
        <f>MAX(0,CT_ThongSo!$C$19-L31+CT_ThongSo!$C$13-N31-CT_ThongSo!$C$33)</f>
        <v>1.4999999999999889</v>
      </c>
      <c r="T31">
        <f t="shared" si="0"/>
        <v>7.7604332509294299E-2</v>
      </c>
      <c r="U31">
        <f t="shared" si="1"/>
        <v>7.7644422181852427E-2</v>
      </c>
      <c r="V31">
        <f>MAX(0,CT_ThongSo!$C$20-L31+CT_ThongSo!$C$13-N31-CT_ThongSo!$C$33)</f>
        <v>7.4999999999999876</v>
      </c>
      <c r="W31">
        <f t="shared" si="2"/>
        <v>0.370816236276027</v>
      </c>
      <c r="X31">
        <f t="shared" si="3"/>
        <v>0.37099140394472957</v>
      </c>
      <c r="Y31">
        <f>SQRT((D31*COS(T31)*SIN(RADIANS(F31))+MIN(CT_ThongSo!$C$17,I31)*COS(U31)*SIN(RADIANS(K31)))^2+(D31*COS(T31)*COS(RADIANS(F31))+MIN(CT_ThongSo!$C$17,I31)*COS(U31)*COS(RADIANS(K31)))^2)</f>
        <v>82.094915378337049</v>
      </c>
      <c r="Z31">
        <f>D31*SIN(T31)+MIN(CT_ThongSo!$C$17,I31)*SIN(U31)</f>
        <v>7.1592047266810805</v>
      </c>
      <c r="AA31">
        <f t="shared" si="4"/>
        <v>9.8741176775764855E-2</v>
      </c>
      <c r="AB31">
        <f>CT_ThongSo!$C$42*Y31/(IF(O31&gt;Z31,CT_ThongSo!$C$39*CT_ThongSo!$C$37*M31^2,0)+Q31+CT_ThongSo!$C$45*CT_ThongSo!$C$61)</f>
        <v>0.80881420556161021</v>
      </c>
      <c r="AC31">
        <f>CT_ThongSo!$C$43*(Y31*(N31+CT_ThongSo!$C$33)+Z31*M31/2)/R31</f>
        <v>0.55189060716028771</v>
      </c>
      <c r="AD31">
        <f>MAX(MAX(0,Z31-CT_ThongSo!$C$36*O31)/CT_ThongSo!$C$45,MAX(0,(Y31*(N31+CT_ThongSo!$C$33)+Z31*M31/2)-CT_ThongSo!$C$36*O31*M31/2)/(M31-CT_ThongSo!$C$41)/(CT_ThongSo!$C$45/2))/CT_ThongSo!$C$56</f>
        <v>0</v>
      </c>
      <c r="AE31">
        <f>SQRT((MIN(CT_ThongSo!$C$17,D31)*COS(T31)*SIN(RADIANS(F31))+I31*COS(U31)*SIN(RADIANS(K31)))^2+(MIN(CT_ThongSo!$C$17,D31)*COS(T31)*COS(RADIANS(F31))+I31*COS(U31)*COS(RADIANS(K31)))^2)</f>
        <v>35.707487219191243</v>
      </c>
      <c r="AF31">
        <f>MIN(CT_ThongSo!$C$17,D31)*SIN(T31)+I31*SIN(U31)</f>
        <v>3.5535378073930453</v>
      </c>
      <c r="AG31">
        <f t="shared" si="5"/>
        <v>4.9011100843574337E-2</v>
      </c>
      <c r="AH31">
        <f>CT_ThongSo!$C$42*AE31/(IF(O31&gt;AF31,CT_ThongSo!$C$39*CT_ThongSo!$C$37*M31^2,0)+Q31+CT_ThongSo!$C$45*CT_ThongSo!$C$61)</f>
        <v>0.35179673155997271</v>
      </c>
      <c r="AI31">
        <f>CT_ThongSo!$C$43*(AE31*(N31+CT_ThongSo!$C$33)+AF31*M31/2)/R31</f>
        <v>0.24611277854471506</v>
      </c>
      <c r="AJ31">
        <f>MAX(MAX(0,AF31-CT_ThongSo!$C$36*O31)/CT_ThongSo!$C$45,MAX(0,(AE31*(N31+CT_ThongSo!$C$33)+AF31*M31/2)-CT_ThongSo!$C$36*O31*M31/2)/(M31-CT_ThongSo!$C$41)/(CT_ThongSo!$C$45/2))/CT_ThongSo!$C$56</f>
        <v>0</v>
      </c>
      <c r="AK31">
        <f t="shared" si="6"/>
        <v>46.387412615087683</v>
      </c>
      <c r="AL31">
        <f t="shared" si="7"/>
        <v>9.9372780744442366</v>
      </c>
      <c r="AM31">
        <f t="shared" si="8"/>
        <v>0.13705691742014359</v>
      </c>
      <c r="AN31">
        <f>CT_ThongSo!$C$42*AK31/(IF(O31&gt;AL31,CT_ThongSo!$C$39*CT_ThongSo!$C$37*M31^2,0)+Q31+CT_ThongSo!$C$45*CT_ThongSo!$C$61)</f>
        <v>0.45701732085871799</v>
      </c>
      <c r="AO31">
        <f>CT_ThongSo!$C$43*(AK31*(N31+CT_ThongSo!$C$33)+AL31*M31/2)/R31</f>
        <v>0.39314284010429212</v>
      </c>
      <c r="AP31">
        <f>MAX(MAX(0,AL31-CT_ThongSo!$C$36*O31)/CT_ThongSo!$C$45,MAX(0,(AK31*(N31+CT_ThongSo!$C$33)+AL31*M31/2)-CT_ThongSo!$C$36*O31*M31/2)/(M31-CT_ThongSo!$C$41)/(CT_ThongSo!$C$45/2))/CT_ThongSo!$C$56</f>
        <v>0</v>
      </c>
      <c r="AQ31">
        <f>SQRT((D31*COS(W31)*SIN(RADIANS(F31))+MIN(CT_ThongSo!$C$17,I31)*COS(X31)*SIN(RADIANS(K31)))^2+(D31*COS(W31)*COS(RADIANS(F31))+MIN(CT_ThongSo!$C$17,I31)*COS(X31)*COS(RADIANS(K31)))^2)</f>
        <v>76.746363561823799</v>
      </c>
      <c r="AR31">
        <f>D31*SIN(W31)+MIN(CT_ThongSo!$C$17,I31)*SIN(X31)</f>
        <v>33.463633086090198</v>
      </c>
      <c r="AS31">
        <f t="shared" si="9"/>
        <v>0.46153708914045405</v>
      </c>
      <c r="AT31">
        <f>CT_ThongSo!$C$42*AQ31/(IF(O31&gt;AR31,CT_ThongSo!$C$39*CT_ThongSo!$C$37*M31^2,0)+Q31+CT_ThongSo!$C$45*CT_ThongSo!$C$61)</f>
        <v>0.75611928933638684</v>
      </c>
      <c r="AU31">
        <f>CT_ThongSo!$C$43*(AQ31*(N31+CT_ThongSo!$C$33)+AR31*M31/2)/R31</f>
        <v>0.88532520870185183</v>
      </c>
      <c r="AV31">
        <f>MAX(MAX(0,AR31-CT_ThongSo!$C$36*O31)/CT_ThongSo!$C$45,MAX(0,(AQ31*(N31+CT_ThongSo!$C$33)+AR31*M31/2)-CT_ThongSo!$C$36*O31*M31/2)/(M31-CT_ThongSo!$C$41)/(CT_ThongSo!$C$45/2))/CT_ThongSo!$C$56</f>
        <v>0.77904870061219711</v>
      </c>
      <c r="AW31">
        <f>SQRT((MIN(CT_ThongSo!$C$17,D31)*COS(W31)*SIN(RADIANS(F31))+I31*COS(X31)*SIN(RADIANS(K31)))^2+(MIN(CT_ThongSo!$C$17,D31)*COS(W31)*COS(RADIANS(F31))+I31*COS(X31)*COS(RADIANS(K31)))^2)</f>
        <v>33.378510270423384</v>
      </c>
      <c r="AX31">
        <f>MIN(CT_ThongSo!$C$17,D31)*SIN(W31)+I31*SIN(X31)</f>
        <v>16.609081876022092</v>
      </c>
      <c r="AY31">
        <f t="shared" si="10"/>
        <v>0.22907576360981277</v>
      </c>
      <c r="AZ31">
        <f>CT_ThongSo!$C$42*AW31/(IF(O31&gt;AX31,CT_ThongSo!$C$39*CT_ThongSo!$C$37*M31^2,0)+Q31+CT_ThongSo!$C$45*CT_ThongSo!$C$61)</f>
        <v>0.3288512223051322</v>
      </c>
      <c r="BA31">
        <f>CT_ThongSo!$C$43*(AW31*(N31+CT_ThongSo!$C$33)+AX31*M31/2)/R31</f>
        <v>0.4134020091336254</v>
      </c>
      <c r="BB31">
        <f>MAX(MAX(0,AX31-CT_ThongSo!$C$36*O31)/CT_ThongSo!$C$45,MAX(0,(AW31*(N31+CT_ThongSo!$C$33)+AX31*M31/2)-CT_ThongSo!$C$36*O31*M31/2)/(M31-CT_ThongSo!$C$41)/(CT_ThongSo!$C$45/2))/CT_ThongSo!$C$56</f>
        <v>0</v>
      </c>
      <c r="BC31">
        <f t="shared" si="11"/>
        <v>43.367535836838748</v>
      </c>
      <c r="BD31">
        <f t="shared" si="12"/>
        <v>46.448135572469212</v>
      </c>
      <c r="BE31">
        <f t="shared" si="13"/>
        <v>0.64062193226202746</v>
      </c>
      <c r="BF31">
        <f>CT_ThongSo!$C$42*BC31/(IF(O31&gt;BD31,CT_ThongSo!$C$39*CT_ThongSo!$C$37*M31^2,0)+Q31+CT_ThongSo!$C$45*CT_ThongSo!$C$61)</f>
        <v>0.84895103589054743</v>
      </c>
      <c r="BG31">
        <f>CT_ThongSo!$C$43*(BC31*(N31+CT_ThongSo!$C$33)+BD31*M31/2)/R31</f>
        <v>0.88026085953795596</v>
      </c>
      <c r="BH31">
        <f>MAX(MAX(0,BD31-CT_ThongSo!$C$36*O31)/CT_ThongSo!$C$45,MAX(0,(BC31*(N31+CT_ThongSo!$C$33)+BD31*M31/2)-CT_ThongSo!$C$36*O31*M31/2)/(M31-CT_ThongSo!$C$41)/(CT_ThongSo!$C$45/2))/CT_ThongSo!$C$56</f>
        <v>0.76678987541119192</v>
      </c>
      <c r="BI31">
        <f t="shared" si="14"/>
        <v>0.64062193226202746</v>
      </c>
      <c r="BJ31">
        <f t="shared" si="15"/>
        <v>0.84895103589054743</v>
      </c>
      <c r="BK31">
        <f t="shared" si="16"/>
        <v>0.88532520870185183</v>
      </c>
      <c r="BL31">
        <f t="shared" si="17"/>
        <v>0.77904870061219711</v>
      </c>
      <c r="BM31">
        <f>(O31/M31^2)/(5.14*CT_ThongSo!$C$37/CT_ThongSo!$C$44)</f>
        <v>0.14591439688715957</v>
      </c>
      <c r="BN31" t="str">
        <f t="shared" si="18"/>
        <v>ĐẠT</v>
      </c>
      <c r="BO31">
        <f t="shared" si="19"/>
        <v>3.0250000000000004</v>
      </c>
      <c r="BP31">
        <v>2.75</v>
      </c>
    </row>
    <row r="32" spans="1:68" ht="15.5" x14ac:dyDescent="0.35">
      <c r="A32" t="s">
        <v>830</v>
      </c>
      <c r="B32" t="s">
        <v>831</v>
      </c>
      <c r="C32" t="s">
        <v>168</v>
      </c>
      <c r="D32">
        <f>VLOOKUP(C32,CT_LucDay!$A$6:$M$14,13,FALSE)</f>
        <v>87.342727174884487</v>
      </c>
      <c r="E32" s="3">
        <v>21.46</v>
      </c>
      <c r="F32" s="3">
        <v>26.3</v>
      </c>
      <c r="G32" t="s">
        <v>832</v>
      </c>
      <c r="H32" t="s">
        <v>170</v>
      </c>
      <c r="I32">
        <f>VLOOKUP(H32,CT_LucDay!$A$6:$M$14,13,FALSE)</f>
        <v>40.81540792889303</v>
      </c>
      <c r="J32" s="3">
        <v>21.45</v>
      </c>
      <c r="K32" s="3">
        <v>206.4</v>
      </c>
      <c r="L32" s="3">
        <v>378.3</v>
      </c>
      <c r="M32" s="3">
        <v>2.75</v>
      </c>
      <c r="N32" s="3">
        <v>0.4</v>
      </c>
      <c r="O32">
        <f>M32^2*N32*(CT_ThongSo!$C$34-CT_ThongSo!$C$35)</f>
        <v>45.375000000000007</v>
      </c>
      <c r="P32">
        <f>CT_ThongSo!$C$36*O32+CT_ThongSo!$C$45*CT_ThongSo!$C$56</f>
        <v>72.504753948185112</v>
      </c>
      <c r="Q32">
        <f>M32*(0.5*CT_ThongSo!$C$38*CT_ThongSo!$C$40^2+2*CT_ThongSo!$C$37*CT_ThongSo!$C$40)</f>
        <v>16.685624999999998</v>
      </c>
      <c r="R32">
        <f>O32*M32/2+CT_ThongSo!$C$45/2*CT_ThongSo!$C$55*M32</f>
        <v>149.47557335750906</v>
      </c>
      <c r="S32">
        <f>MAX(0,CT_ThongSo!$C$19-L32+CT_ThongSo!$C$13-N32-CT_ThongSo!$C$33)</f>
        <v>1.4999999999999889</v>
      </c>
      <c r="T32">
        <f t="shared" si="0"/>
        <v>6.978398447756487E-2</v>
      </c>
      <c r="U32">
        <f t="shared" si="1"/>
        <v>6.9816412212346537E-2</v>
      </c>
      <c r="V32">
        <f>MAX(0,CT_ThongSo!$C$20-L32+CT_ThongSo!$C$13-N32-CT_ThongSo!$C$33)</f>
        <v>7.4999999999999876</v>
      </c>
      <c r="W32">
        <f t="shared" si="2"/>
        <v>0.33621810362026738</v>
      </c>
      <c r="X32">
        <f t="shared" si="3"/>
        <v>0.33636329291705364</v>
      </c>
      <c r="Y32">
        <f>SQRT((D32*COS(T32)*SIN(RADIANS(F32))+MIN(CT_ThongSo!$C$17,I32)*COS(U32)*SIN(RADIANS(K32)))^2+(D32*COS(T32)*COS(RADIANS(F32))+MIN(CT_ThongSo!$C$17,I32)*COS(U32)*COS(RADIANS(K32)))^2)</f>
        <v>82.14233140163104</v>
      </c>
      <c r="Z32">
        <f>D32*SIN(T32)+MIN(CT_ThongSo!$C$17,I32)*SIN(U32)</f>
        <v>6.4389762517242897</v>
      </c>
      <c r="AA32">
        <f t="shared" si="4"/>
        <v>8.8807642273027329E-2</v>
      </c>
      <c r="AB32">
        <f>CT_ThongSo!$C$42*Y32/(IF(O32&gt;Z32,CT_ThongSo!$C$39*CT_ThongSo!$C$37*M32^2,0)+Q32+CT_ThongSo!$C$45*CT_ThongSo!$C$61)</f>
        <v>0.809281356944064</v>
      </c>
      <c r="AC32">
        <f>CT_ThongSo!$C$43*(Y32*(N32+CT_ThongSo!$C$33)+Z32*M32/2)/R32</f>
        <v>0.54221442410313014</v>
      </c>
      <c r="AD32">
        <f>MAX(MAX(0,Z32-CT_ThongSo!$C$36*O32)/CT_ThongSo!$C$45,MAX(0,(Y32*(N32+CT_ThongSo!$C$33)+Z32*M32/2)-CT_ThongSo!$C$36*O32*M32/2)/(M32-CT_ThongSo!$C$41)/(CT_ThongSo!$C$45/2))/CT_ThongSo!$C$56</f>
        <v>0</v>
      </c>
      <c r="AE32">
        <f>SQRT((MIN(CT_ThongSo!$C$17,D32)*COS(T32)*SIN(RADIANS(F32))+I32*COS(U32)*SIN(RADIANS(K32)))^2+(MIN(CT_ThongSo!$C$17,D32)*COS(T32)*COS(RADIANS(F32))+I32*COS(U32)*COS(RADIANS(K32)))^2)</f>
        <v>35.728152644402122</v>
      </c>
      <c r="AF32">
        <f>MIN(CT_ThongSo!$C$17,D32)*SIN(T32)+I32*SIN(U32)</f>
        <v>3.1959077341838231</v>
      </c>
      <c r="AG32">
        <f t="shared" si="5"/>
        <v>4.4078595680329465E-2</v>
      </c>
      <c r="AH32">
        <f>CT_ThongSo!$C$42*AE32/(IF(O32&gt;AF32,CT_ThongSo!$C$39*CT_ThongSo!$C$37*M32^2,0)+Q32+CT_ThongSo!$C$45*CT_ThongSo!$C$61)</f>
        <v>0.35200033113002532</v>
      </c>
      <c r="AI32">
        <f>CT_ThongSo!$C$43*(AE32*(N32+CT_ThongSo!$C$33)+AF32*M32/2)/R32</f>
        <v>0.24129217117717125</v>
      </c>
      <c r="AJ32">
        <f>MAX(MAX(0,AF32-CT_ThongSo!$C$36*O32)/CT_ThongSo!$C$45,MAX(0,(AE32*(N32+CT_ThongSo!$C$33)+AF32*M32/2)-CT_ThongSo!$C$36*O32*M32/2)/(M32-CT_ThongSo!$C$41)/(CT_ThongSo!$C$45/2))/CT_ThongSo!$C$56</f>
        <v>0</v>
      </c>
      <c r="AK32">
        <f t="shared" si="6"/>
        <v>46.414284462809711</v>
      </c>
      <c r="AL32">
        <f t="shared" si="7"/>
        <v>8.9374486499804533</v>
      </c>
      <c r="AM32">
        <f t="shared" si="8"/>
        <v>0.1232670709615472</v>
      </c>
      <c r="AN32">
        <f>CT_ThongSo!$C$42*AK32/(IF(O32&gt;AL32,CT_ThongSo!$C$39*CT_ThongSo!$C$37*M32^2,0)+Q32+CT_ThongSo!$C$45*CT_ThongSo!$C$61)</f>
        <v>0.45728206724486253</v>
      </c>
      <c r="AO32">
        <f>CT_ThongSo!$C$43*(AK32*(N32+CT_ThongSo!$C$33)+AL32*M32/2)/R32</f>
        <v>0.3794952663384652</v>
      </c>
      <c r="AP32">
        <f>MAX(MAX(0,AL32-CT_ThongSo!$C$36*O32)/CT_ThongSo!$C$45,MAX(0,(AK32*(N32+CT_ThongSo!$C$33)+AL32*M32/2)-CT_ThongSo!$C$36*O32*M32/2)/(M32-CT_ThongSo!$C$41)/(CT_ThongSo!$C$45/2))/CT_ThongSo!$C$56</f>
        <v>0</v>
      </c>
      <c r="AQ32">
        <f>SQRT((D32*COS(W32)*SIN(RADIANS(F32))+MIN(CT_ThongSo!$C$17,I32)*COS(X32)*SIN(RADIANS(K32)))^2+(D32*COS(W32)*COS(RADIANS(F32))+MIN(CT_ThongSo!$C$17,I32)*COS(X32)*COS(RADIANS(K32)))^2)</f>
        <v>77.732533764137642</v>
      </c>
      <c r="AR32">
        <f>D32*SIN(W32)+MIN(CT_ThongSo!$C$17,I32)*SIN(X32)</f>
        <v>30.466334604886384</v>
      </c>
      <c r="AS32">
        <f t="shared" si="9"/>
        <v>0.42019775181443803</v>
      </c>
      <c r="AT32">
        <f>CT_ThongSo!$C$42*AQ32/(IF(O32&gt;AR32,CT_ThongSo!$C$39*CT_ThongSo!$C$37*M32^2,0)+Q32+CT_ThongSo!$C$45*CT_ThongSo!$C$61)</f>
        <v>0.76583521955029965</v>
      </c>
      <c r="AU32">
        <f>CT_ThongSo!$C$43*(AQ32*(N32+CT_ThongSo!$C$33)+AR32*M32/2)/R32</f>
        <v>0.8494107272920085</v>
      </c>
      <c r="AV32">
        <f>MAX(MAX(0,AR32-CT_ThongSo!$C$36*O32)/CT_ThongSo!$C$45,MAX(0,(AQ32*(N32+CT_ThongSo!$C$33)+AR32*M32/2)-CT_ThongSo!$C$36*O32*M32/2)/(M32-CT_ThongSo!$C$41)/(CT_ThongSo!$C$45/2))/CT_ThongSo!$C$56</f>
        <v>0.69211366996171686</v>
      </c>
      <c r="AW32">
        <f>SQRT((MIN(CT_ThongSo!$C$17,D32)*COS(W32)*SIN(RADIANS(F32))+I32*COS(X32)*SIN(RADIANS(K32)))^2+(MIN(CT_ThongSo!$C$17,D32)*COS(W32)*COS(RADIANS(F32))+I32*COS(X32)*COS(RADIANS(K32)))^2)</f>
        <v>33.808124926688713</v>
      </c>
      <c r="AX32">
        <f>MIN(CT_ThongSo!$C$17,D32)*SIN(W32)+I32*SIN(X32)</f>
        <v>15.120982032711652</v>
      </c>
      <c r="AY32">
        <f t="shared" si="10"/>
        <v>0.20855159433432088</v>
      </c>
      <c r="AZ32">
        <f>CT_ThongSo!$C$42*AW32/(IF(O32&gt;AX32,CT_ThongSo!$C$39*CT_ThongSo!$C$37*M32^2,0)+Q32+CT_ThongSo!$C$45*CT_ThongSo!$C$61)</f>
        <v>0.3330838649152561</v>
      </c>
      <c r="BA32">
        <f>CT_ThongSo!$C$43*(AW32*(N32+CT_ThongSo!$C$33)+AX32*M32/2)/R32</f>
        <v>0.39524001935543057</v>
      </c>
      <c r="BB32">
        <f>MAX(MAX(0,AX32-CT_ThongSo!$C$36*O32)/CT_ThongSo!$C$45,MAX(0,(AW32*(N32+CT_ThongSo!$C$33)+AX32*M32/2)-CT_ThongSo!$C$36*O32*M32/2)/(M32-CT_ThongSo!$C$41)/(CT_ThongSo!$C$45/2))/CT_ThongSo!$C$56</f>
        <v>0</v>
      </c>
      <c r="BC32">
        <f t="shared" si="11"/>
        <v>43.924280005872056</v>
      </c>
      <c r="BD32">
        <f t="shared" si="12"/>
        <v>42.287438201908834</v>
      </c>
      <c r="BE32">
        <f t="shared" si="13"/>
        <v>0.58323676585578355</v>
      </c>
      <c r="BF32">
        <f>CT_ThongSo!$C$42*BC32/(IF(O32&gt;BD32,CT_ThongSo!$C$39*CT_ThongSo!$C$37*M32^2,0)+Q32+CT_ThongSo!$C$45*CT_ThongSo!$C$61)</f>
        <v>0.43275008536265297</v>
      </c>
      <c r="BG32">
        <f>CT_ThongSo!$C$43*(BC32*(N32+CT_ThongSo!$C$33)+BD32*M32/2)/R32</f>
        <v>0.82592339017831573</v>
      </c>
      <c r="BH32">
        <f>MAX(MAX(0,BD32-CT_ThongSo!$C$36*O32)/CT_ThongSo!$C$45,MAX(0,(BC32*(N32+CT_ThongSo!$C$33)+BD32*M32/2)-CT_ThongSo!$C$36*O32*M32/2)/(M32-CT_ThongSo!$C$41)/(CT_ThongSo!$C$45/2))/CT_ThongSo!$C$56</f>
        <v>0.63525993598806074</v>
      </c>
      <c r="BI32">
        <f t="shared" si="14"/>
        <v>0.58323676585578355</v>
      </c>
      <c r="BJ32">
        <f t="shared" si="15"/>
        <v>0.809281356944064</v>
      </c>
      <c r="BK32">
        <f t="shared" si="16"/>
        <v>0.8494107272920085</v>
      </c>
      <c r="BL32">
        <f t="shared" si="17"/>
        <v>0.69211366996171686</v>
      </c>
      <c r="BM32">
        <f>(O32/M32^2)/(5.14*CT_ThongSo!$C$37/CT_ThongSo!$C$44)</f>
        <v>0.14591439688715957</v>
      </c>
      <c r="BN32" t="str">
        <f t="shared" si="18"/>
        <v>ĐẠT</v>
      </c>
      <c r="BO32">
        <f t="shared" si="19"/>
        <v>3.0250000000000004</v>
      </c>
      <c r="BP32">
        <v>2.75</v>
      </c>
    </row>
    <row r="33" spans="1:68" ht="15.5" x14ac:dyDescent="0.35">
      <c r="A33" t="s">
        <v>834</v>
      </c>
      <c r="B33" t="s">
        <v>835</v>
      </c>
      <c r="C33" t="s">
        <v>171</v>
      </c>
      <c r="D33">
        <f>VLOOKUP(C33,CT_LucDay!$A$6:$M$14,13,FALSE)</f>
        <v>45.580572836038897</v>
      </c>
      <c r="E33" s="3">
        <v>11.52</v>
      </c>
      <c r="F33" s="3">
        <v>348.9</v>
      </c>
      <c r="G33" t="s">
        <v>836</v>
      </c>
      <c r="H33" t="s">
        <v>172</v>
      </c>
      <c r="I33">
        <f>VLOOKUP(H33,CT_LucDay!$A$6:$M$14,13,FALSE)</f>
        <v>59.12688965832276</v>
      </c>
      <c r="J33" s="3">
        <v>11.52</v>
      </c>
      <c r="K33" s="3">
        <v>168.8</v>
      </c>
      <c r="L33" s="3">
        <v>378.3</v>
      </c>
      <c r="M33" s="3">
        <v>2.5</v>
      </c>
      <c r="N33" s="3">
        <v>0.4</v>
      </c>
      <c r="O33">
        <f>M33^2*N33*(CT_ThongSo!$C$34-CT_ThongSo!$C$35)</f>
        <v>37.5</v>
      </c>
      <c r="P33">
        <f>CT_ThongSo!$C$36*O33+CT_ThongSo!$C$45*CT_ThongSo!$C$56</f>
        <v>65.417253948185106</v>
      </c>
      <c r="Q33">
        <f>M33*(0.5*CT_ThongSo!$C$38*CT_ThongSo!$C$40^2+2*CT_ThongSo!$C$37*CT_ThongSo!$C$40)</f>
        <v>15.168749999999999</v>
      </c>
      <c r="R33">
        <f>O33*M33/2+CT_ThongSo!$C$45/2*CT_ThongSo!$C$55*M33</f>
        <v>126.04313487046278</v>
      </c>
      <c r="S33">
        <f>MAX(0,CT_ThongSo!$C$19-L33+CT_ThongSo!$C$13-N33-CT_ThongSo!$C$33)</f>
        <v>1.4999999999999889</v>
      </c>
      <c r="T33">
        <f t="shared" si="0"/>
        <v>0.12947986960225427</v>
      </c>
      <c r="U33">
        <f t="shared" si="1"/>
        <v>0.12947986960225427</v>
      </c>
      <c r="V33">
        <f>MAX(0,CT_ThongSo!$C$20-L33+CT_ThongSo!$C$13-N33-CT_ThongSo!$C$33)</f>
        <v>7.4999999999999876</v>
      </c>
      <c r="W33">
        <f t="shared" si="2"/>
        <v>0.57710715092708487</v>
      </c>
      <c r="X33">
        <f t="shared" si="3"/>
        <v>0.57710715092708487</v>
      </c>
      <c r="Y33">
        <f>SQRT((D33*COS(T33)*SIN(RADIANS(F33))+MIN(CT_ThongSo!$C$17,I33)*COS(U33)*SIN(RADIANS(K33)))^2+(D33*COS(T33)*COS(RADIANS(F33))+MIN(CT_ThongSo!$C$17,I33)*COS(U33)*COS(RADIANS(K33)))^2)</f>
        <v>40.24088890083754</v>
      </c>
      <c r="Z33">
        <f>D33*SIN(T33)+MIN(CT_ThongSo!$C$17,I33)*SIN(U33)</f>
        <v>6.5308818074389396</v>
      </c>
      <c r="AA33">
        <f t="shared" si="4"/>
        <v>9.9834239642829406E-2</v>
      </c>
      <c r="AB33">
        <f>CT_ThongSo!$C$42*Y33/(IF(O33&gt;Z33,CT_ThongSo!$C$39*CT_ThongSo!$C$37*M33^2,0)+Q33+CT_ThongSo!$C$45*CT_ThongSo!$C$61)</f>
        <v>0.43864496263383801</v>
      </c>
      <c r="AC33">
        <f>CT_ThongSo!$C$43*(Y33*(N33+CT_ThongSo!$C$33)+Z33*M33/2)/R33</f>
        <v>0.360544323011665</v>
      </c>
      <c r="AD33">
        <f>MAX(MAX(0,Z33-CT_ThongSo!$C$36*O33)/CT_ThongSo!$C$45,MAX(0,(Y33*(N33+CT_ThongSo!$C$33)+Z33*M33/2)-CT_ThongSo!$C$36*O33*M33/2)/(M33-CT_ThongSo!$C$41)/(CT_ThongSo!$C$45/2))/CT_ThongSo!$C$56</f>
        <v>0</v>
      </c>
      <c r="AE33">
        <f>SQRT((MIN(CT_ThongSo!$C$17,D33)*COS(T33)*SIN(RADIANS(F33))+I33*COS(U33)*SIN(RADIANS(K33)))^2+(MIN(CT_ThongSo!$C$17,D33)*COS(T33)*COS(RADIANS(F33))+I33*COS(U33)*COS(RADIANS(K33)))^2)</f>
        <v>53.673811795050959</v>
      </c>
      <c r="AF33">
        <f>MIN(CT_ThongSo!$C$17,D33)*SIN(T33)+I33*SIN(U33)</f>
        <v>8.2799603396105432</v>
      </c>
      <c r="AG33">
        <f t="shared" si="5"/>
        <v>0.12657150583191451</v>
      </c>
      <c r="AH33">
        <f>CT_ThongSo!$C$42*AE33/(IF(O33&gt;AF33,CT_ThongSo!$C$39*CT_ThongSo!$C$37*M33^2,0)+Q33+CT_ThongSo!$C$45*CT_ThongSo!$C$61)</f>
        <v>0.58507025595962325</v>
      </c>
      <c r="AI33">
        <f>CT_ThongSo!$C$43*(AE33*(N33+CT_ThongSo!$C$33)+AF33*M33/2)/R33</f>
        <v>0.47448693202648862</v>
      </c>
      <c r="AJ33">
        <f>MAX(MAX(0,AF33-CT_ThongSo!$C$36*O33)/CT_ThongSo!$C$45,MAX(0,(AE33*(N33+CT_ThongSo!$C$33)+AF33*M33/2)-CT_ThongSo!$C$36*O33*M33/2)/(M33-CT_ThongSo!$C$41)/(CT_ThongSo!$C$45/2))/CT_ThongSo!$C$56</f>
        <v>0</v>
      </c>
      <c r="AK33">
        <f t="shared" si="6"/>
        <v>13.433223605061903</v>
      </c>
      <c r="AL33">
        <f t="shared" si="7"/>
        <v>13.519658310794931</v>
      </c>
      <c r="AM33">
        <f t="shared" si="8"/>
        <v>0.20666808058778216</v>
      </c>
      <c r="AN33">
        <f>CT_ThongSo!$C$42*AK33/(IF(O33&gt;AL33,CT_ThongSo!$C$39*CT_ThongSo!$C$37*M33^2,0)+Q33+CT_ThongSo!$C$45*CT_ThongSo!$C$61)</f>
        <v>0.14642857121806097</v>
      </c>
      <c r="AO33">
        <f>CT_ThongSo!$C$43*(AK33*(N33+CT_ThongSo!$C$33)+AL33*M33/2)/R33</f>
        <v>0.28904207154446193</v>
      </c>
      <c r="AP33">
        <f>MAX(MAX(0,AL33-CT_ThongSo!$C$36*O33)/CT_ThongSo!$C$45,MAX(0,(AK33*(N33+CT_ThongSo!$C$33)+AL33*M33/2)-CT_ThongSo!$C$36*O33*M33/2)/(M33-CT_ThongSo!$C$41)/(CT_ThongSo!$C$45/2))/CT_ThongSo!$C$56</f>
        <v>0</v>
      </c>
      <c r="AQ33">
        <f>SQRT((D33*COS(W33)*SIN(RADIANS(F33))+MIN(CT_ThongSo!$C$17,I33)*COS(X33)*SIN(RADIANS(K33)))^2+(D33*COS(W33)*COS(RADIANS(F33))+MIN(CT_ThongSo!$C$17,I33)*COS(X33)*COS(RADIANS(K33)))^2)</f>
        <v>34.008332969225037</v>
      </c>
      <c r="AR33">
        <f>D33*SIN(W33)+MIN(CT_ThongSo!$C$17,I33)*SIN(X33)</f>
        <v>27.596855978673013</v>
      </c>
      <c r="AS33">
        <f t="shared" si="9"/>
        <v>0.42185897929209304</v>
      </c>
      <c r="AT33">
        <f>CT_ThongSo!$C$42*AQ33/(IF(O33&gt;AR33,CT_ThongSo!$C$39*CT_ThongSo!$C$37*M33^2,0)+Q33+CT_ThongSo!$C$45*CT_ThongSo!$C$61)</f>
        <v>0.37070711785927662</v>
      </c>
      <c r="AU33">
        <f>CT_ThongSo!$C$43*(AQ33*(N33+CT_ThongSo!$C$33)+AR33*M33/2)/R33</f>
        <v>0.63312436446170373</v>
      </c>
      <c r="AV33">
        <f>MAX(MAX(0,AR33-CT_ThongSo!$C$36*O33)/CT_ThongSo!$C$45,MAX(0,(AQ33*(N33+CT_ThongSo!$C$33)+AR33*M33/2)-CT_ThongSo!$C$36*O33*M33/2)/(M33-CT_ThongSo!$C$41)/(CT_ThongSo!$C$45/2))/CT_ThongSo!$C$56</f>
        <v>0.29598070852985731</v>
      </c>
      <c r="AW33">
        <f>SQRT((MIN(CT_ThongSo!$C$17,D33)*COS(W33)*SIN(RADIANS(F33))+I33*COS(X33)*SIN(RADIANS(K33)))^2+(MIN(CT_ThongSo!$C$17,D33)*COS(W33)*COS(RADIANS(F33))+I33*COS(X33)*COS(RADIANS(K33)))^2)</f>
        <v>45.360749056803762</v>
      </c>
      <c r="AX33">
        <f>MIN(CT_ThongSo!$C$17,D33)*SIN(W33)+I33*SIN(X33)</f>
        <v>34.987751997147591</v>
      </c>
      <c r="AY33">
        <f t="shared" si="10"/>
        <v>0.53483981496472255</v>
      </c>
      <c r="AZ33">
        <f>CT_ThongSo!$C$42*AW33/(IF(O33&gt;AX33,CT_ThongSo!$C$39*CT_ThongSo!$C$37*M33^2,0)+Q33+CT_ThongSo!$C$45*CT_ThongSo!$C$61)</f>
        <v>0.49445389052155014</v>
      </c>
      <c r="BA33">
        <f>CT_ThongSo!$C$43*(AW33*(N33+CT_ThongSo!$C$33)+AX33*M33/2)/R33</f>
        <v>0.81737615517414308</v>
      </c>
      <c r="BB33">
        <f>MAX(MAX(0,AX33-CT_ThongSo!$C$36*O33)/CT_ThongSo!$C$45,MAX(0,(AW33*(N33+CT_ThongSo!$C$33)+AX33*M33/2)-CT_ThongSo!$C$36*O33*M33/2)/(M33-CT_ThongSo!$C$41)/(CT_ThongSo!$C$45/2))/CT_ThongSo!$C$56</f>
        <v>0.71207464115883523</v>
      </c>
      <c r="BC33">
        <f t="shared" si="11"/>
        <v>11.352670223979338</v>
      </c>
      <c r="BD33">
        <f t="shared" si="12"/>
        <v>57.128589107048498</v>
      </c>
      <c r="BE33">
        <f t="shared" si="13"/>
        <v>0.87329543291893919</v>
      </c>
      <c r="BF33">
        <f>CT_ThongSo!$C$42*BC33/(IF(O33&gt;BD33,CT_ThongSo!$C$39*CT_ThongSo!$C$37*M33^2,0)+Q33+CT_ThongSo!$C$45*CT_ThongSo!$C$61)</f>
        <v>0.22672500917550112</v>
      </c>
      <c r="BG33">
        <f>CT_ThongSo!$C$43*(BC33*(N33+CT_ThongSo!$C$33)+BD33*M33/2)/R33</f>
        <v>0.9241444020748133</v>
      </c>
      <c r="BH33">
        <f>MAX(MAX(0,BD33-CT_ThongSo!$C$36*O33)/CT_ThongSo!$C$45,MAX(0,(BC33*(N33+CT_ThongSo!$C$33)+BD33*M33/2)-CT_ThongSo!$C$36*O33*M33/2)/(M33-CT_ThongSo!$C$41)/(CT_ThongSo!$C$45/2))/CT_ThongSo!$C$56</f>
        <v>0.95318828006037681</v>
      </c>
      <c r="BI33">
        <f t="shared" si="14"/>
        <v>0.87329543291893919</v>
      </c>
      <c r="BJ33">
        <f t="shared" si="15"/>
        <v>0.58507025595962325</v>
      </c>
      <c r="BK33">
        <f t="shared" si="16"/>
        <v>0.9241444020748133</v>
      </c>
      <c r="BL33">
        <f t="shared" si="17"/>
        <v>0.95318828006037681</v>
      </c>
      <c r="BM33">
        <f>(O33/M33^2)/(5.14*CT_ThongSo!$C$37/CT_ThongSo!$C$44)</f>
        <v>0.14591439688715954</v>
      </c>
      <c r="BN33" t="str">
        <f t="shared" si="18"/>
        <v>ĐẠT</v>
      </c>
      <c r="BO33">
        <f t="shared" si="19"/>
        <v>2.5</v>
      </c>
      <c r="BP33">
        <v>2.5</v>
      </c>
    </row>
    <row r="34" spans="1:68" ht="15.5" x14ac:dyDescent="0.35">
      <c r="A34" t="s">
        <v>837</v>
      </c>
      <c r="B34" t="s">
        <v>838</v>
      </c>
      <c r="C34" t="s">
        <v>171</v>
      </c>
      <c r="D34">
        <f>VLOOKUP(C34,CT_LucDay!$A$6:$M$14,13,FALSE)</f>
        <v>45.580572836038897</v>
      </c>
      <c r="E34" s="3">
        <v>13.97</v>
      </c>
      <c r="F34" s="3">
        <v>324</v>
      </c>
      <c r="G34" t="s">
        <v>839</v>
      </c>
      <c r="H34" t="s">
        <v>172</v>
      </c>
      <c r="I34">
        <f>VLOOKUP(H34,CT_LucDay!$A$6:$M$14,13,FALSE)</f>
        <v>59.12688965832276</v>
      </c>
      <c r="J34" s="3">
        <v>13.98</v>
      </c>
      <c r="K34" s="3">
        <v>143.9</v>
      </c>
      <c r="L34" s="3">
        <v>378.3</v>
      </c>
      <c r="M34" s="3">
        <v>2.5</v>
      </c>
      <c r="N34" s="3">
        <v>0.4</v>
      </c>
      <c r="O34">
        <f>M34^2*N34*(CT_ThongSo!$C$34-CT_ThongSo!$C$35)</f>
        <v>37.5</v>
      </c>
      <c r="P34">
        <f>CT_ThongSo!$C$36*O34+CT_ThongSo!$C$45*CT_ThongSo!$C$56</f>
        <v>65.417253948185106</v>
      </c>
      <c r="Q34">
        <f>M34*(0.5*CT_ThongSo!$C$38*CT_ThongSo!$C$40^2+2*CT_ThongSo!$C$37*CT_ThongSo!$C$40)</f>
        <v>15.168749999999999</v>
      </c>
      <c r="R34">
        <f>O34*M34/2+CT_ThongSo!$C$45/2*CT_ThongSo!$C$55*M34</f>
        <v>126.04313487046278</v>
      </c>
      <c r="S34">
        <f>MAX(0,CT_ThongSo!$C$19-L34+CT_ThongSo!$C$13-N34-CT_ThongSo!$C$33)</f>
        <v>1.4999999999999889</v>
      </c>
      <c r="T34">
        <f t="shared" si="0"/>
        <v>0.10696314067331661</v>
      </c>
      <c r="U34">
        <f t="shared" si="1"/>
        <v>0.10688721075981002</v>
      </c>
      <c r="V34">
        <f>MAX(0,CT_ThongSo!$C$20-L34+CT_ThongSo!$C$13-N34-CT_ThongSo!$C$33)</f>
        <v>7.4999999999999876</v>
      </c>
      <c r="W34">
        <f t="shared" si="2"/>
        <v>0.49270263562468136</v>
      </c>
      <c r="X34">
        <f t="shared" si="3"/>
        <v>0.49240448488372646</v>
      </c>
      <c r="Y34">
        <f>SQRT((D34*COS(T34)*SIN(RADIANS(F34))+MIN(CT_ThongSo!$C$17,I34)*COS(U34)*SIN(RADIANS(K34)))^2+(D34*COS(T34)*COS(RADIANS(F34))+MIN(CT_ThongSo!$C$17,I34)*COS(U34)*COS(RADIANS(K34)))^2)</f>
        <v>40.348618602341354</v>
      </c>
      <c r="Z34">
        <f>D34*SIN(T34)+MIN(CT_ThongSo!$C$17,I34)*SIN(U34)</f>
        <v>5.3995687857070189</v>
      </c>
      <c r="AA34">
        <f t="shared" si="4"/>
        <v>8.2540437878726045E-2</v>
      </c>
      <c r="AB34">
        <f>CT_ThongSo!$C$42*Y34/(IF(O34&gt;Z34,CT_ThongSo!$C$39*CT_ThongSo!$C$37*M34^2,0)+Q34+CT_ThongSo!$C$45*CT_ThongSo!$C$61)</f>
        <v>0.43981926797801518</v>
      </c>
      <c r="AC34">
        <f>CT_ThongSo!$C$43*(Y34*(N34+CT_ThongSo!$C$33)+Z34*M34/2)/R34</f>
        <v>0.34442020078878166</v>
      </c>
      <c r="AD34">
        <f>MAX(MAX(0,Z34-CT_ThongSo!$C$36*O34)/CT_ThongSo!$C$45,MAX(0,(Y34*(N34+CT_ThongSo!$C$33)+Z34*M34/2)-CT_ThongSo!$C$36*O34*M34/2)/(M34-CT_ThongSo!$C$41)/(CT_ThongSo!$C$45/2))/CT_ThongSo!$C$56</f>
        <v>0</v>
      </c>
      <c r="AE34">
        <f>SQRT((MIN(CT_ThongSo!$C$17,D34)*COS(T34)*SIN(RADIANS(F34))+I34*COS(U34)*SIN(RADIANS(K34)))^2+(MIN(CT_ThongSo!$C$17,D34)*COS(T34)*COS(RADIANS(F34))+I34*COS(U34)*COS(RADIANS(K34)))^2)</f>
        <v>53.818036215478223</v>
      </c>
      <c r="AF34">
        <f>MIN(CT_ThongSo!$C$17,D34)*SIN(T34)+I34*SIN(U34)</f>
        <v>6.8416776330938296</v>
      </c>
      <c r="AG34">
        <f t="shared" si="5"/>
        <v>0.10458521598159565</v>
      </c>
      <c r="AH34">
        <f>CT_ThongSo!$C$42*AE34/(IF(O34&gt;AF34,CT_ThongSo!$C$39*CT_ThongSo!$C$37*M34^2,0)+Q34+CT_ThongSo!$C$45*CT_ThongSo!$C$61)</f>
        <v>0.58664237121943019</v>
      </c>
      <c r="AI34">
        <f>CT_ThongSo!$C$43*(AE34*(N34+CT_ThongSo!$C$33)+AF34*M34/2)/R34</f>
        <v>0.45403524355876212</v>
      </c>
      <c r="AJ34">
        <f>MAX(MAX(0,AF34-CT_ThongSo!$C$36*O34)/CT_ThongSo!$C$45,MAX(0,(AE34*(N34+CT_ThongSo!$C$33)+AF34*M34/2)-CT_ThongSo!$C$36*O34*M34/2)/(M34-CT_ThongSo!$C$41)/(CT_ThongSo!$C$45/2))/CT_ThongSo!$C$56</f>
        <v>0</v>
      </c>
      <c r="AK34">
        <f t="shared" si="6"/>
        <v>13.469678604360883</v>
      </c>
      <c r="AL34">
        <f t="shared" si="7"/>
        <v>11.174030956020966</v>
      </c>
      <c r="AM34">
        <f t="shared" si="8"/>
        <v>0.17081167859585722</v>
      </c>
      <c r="AN34">
        <f>CT_ThongSo!$C$42*AK34/(IF(O34&gt;AL34,CT_ThongSo!$C$39*CT_ThongSo!$C$37*M34^2,0)+Q34+CT_ThongSo!$C$45*CT_ThongSo!$C$61)</f>
        <v>0.14682594817076008</v>
      </c>
      <c r="AO34">
        <f>CT_ThongSo!$C$43*(AK34*(N34+CT_ThongSo!$C$33)+AL34*M34/2)/R34</f>
        <v>0.25438745969060261</v>
      </c>
      <c r="AP34">
        <f>MAX(MAX(0,AL34-CT_ThongSo!$C$36*O34)/CT_ThongSo!$C$45,MAX(0,(AK34*(N34+CT_ThongSo!$C$33)+AL34*M34/2)-CT_ThongSo!$C$36*O34*M34/2)/(M34-CT_ThongSo!$C$41)/(CT_ThongSo!$C$45/2))/CT_ThongSo!$C$56</f>
        <v>0</v>
      </c>
      <c r="AQ34">
        <f>SQRT((D34*COS(W34)*SIN(RADIANS(F34))+MIN(CT_ThongSo!$C$17,I34)*COS(X34)*SIN(RADIANS(K34)))^2+(D34*COS(W34)*COS(RADIANS(F34))+MIN(CT_ThongSo!$C$17,I34)*COS(X34)*COS(RADIANS(K34)))^2)</f>
        <v>35.753129065210466</v>
      </c>
      <c r="AR34">
        <f>D34*SIN(W34)+MIN(CT_ThongSo!$C$17,I34)*SIN(X34)</f>
        <v>23.923742045132904</v>
      </c>
      <c r="AS34">
        <f t="shared" si="9"/>
        <v>0.36570997101287878</v>
      </c>
      <c r="AT34">
        <f>CT_ThongSo!$C$42*AQ34/(IF(O34&gt;AR34,CT_ThongSo!$C$39*CT_ThongSo!$C$37*M34^2,0)+Q34+CT_ThongSo!$C$45*CT_ThongSo!$C$61)</f>
        <v>0.38972623098605613</v>
      </c>
      <c r="AU34">
        <f>CT_ThongSo!$C$43*(AQ34*(N34+CT_ThongSo!$C$33)+AR34*M34/2)/R34</f>
        <v>0.58990398715358316</v>
      </c>
      <c r="AV34">
        <f>MAX(MAX(0,AR34-CT_ThongSo!$C$36*O34)/CT_ThongSo!$C$45,MAX(0,(AQ34*(N34+CT_ThongSo!$C$33)+AR34*M34/2)-CT_ThongSo!$C$36*O34*M34/2)/(M34-CT_ThongSo!$C$41)/(CT_ThongSo!$C$45/2))/CT_ThongSo!$C$56</f>
        <v>0.19837657293743208</v>
      </c>
      <c r="AW34">
        <f>SQRT((MIN(CT_ThongSo!$C$17,D34)*COS(W34)*SIN(RADIANS(F34))+I34*COS(X34)*SIN(RADIANS(K34)))^2+(MIN(CT_ThongSo!$C$17,D34)*COS(W34)*COS(RADIANS(F34))+I34*COS(X34)*COS(RADIANS(K34)))^2)</f>
        <v>47.697256871735583</v>
      </c>
      <c r="AX34">
        <f>MIN(CT_ThongSo!$C$17,D34)*SIN(W34)+I34*SIN(X34)</f>
        <v>30.317049361148193</v>
      </c>
      <c r="AY34">
        <f t="shared" si="10"/>
        <v>0.46344117998534989</v>
      </c>
      <c r="AZ34">
        <f>CT_ThongSo!$C$42*AW34/(IF(O34&gt;AX34,CT_ThongSo!$C$39*CT_ThongSo!$C$37*M34^2,0)+Q34+CT_ThongSo!$C$45*CT_ThongSo!$C$61)</f>
        <v>0.51992294478871637</v>
      </c>
      <c r="BA34">
        <f>CT_ThongSo!$C$43*(AW34*(N34+CT_ThongSo!$C$33)+AX34*M34/2)/R34</f>
        <v>0.76318876526036949</v>
      </c>
      <c r="BB34">
        <f>MAX(MAX(0,AX34-CT_ThongSo!$C$36*O34)/CT_ThongSo!$C$45,MAX(0,(AW34*(N34+CT_ThongSo!$C$33)+AX34*M34/2)-CT_ThongSo!$C$36*O34*M34/2)/(M34-CT_ThongSo!$C$41)/(CT_ThongSo!$C$45/2))/CT_ThongSo!$C$56</f>
        <v>0.58970381327737975</v>
      </c>
      <c r="BC34">
        <f t="shared" si="11"/>
        <v>11.943689900673272</v>
      </c>
      <c r="BD34">
        <f t="shared" si="12"/>
        <v>49.512017044385381</v>
      </c>
      <c r="BE34">
        <f t="shared" si="13"/>
        <v>0.75686480333769823</v>
      </c>
      <c r="BF34">
        <f>CT_ThongSo!$C$42*BC34/(IF(O34&gt;BD34,CT_ThongSo!$C$39*CT_ThongSo!$C$37*M34^2,0)+Q34+CT_ThongSo!$C$45*CT_ThongSo!$C$61)</f>
        <v>0.23852830645954437</v>
      </c>
      <c r="BG34">
        <f>CT_ThongSo!$C$43*(BC34*(N34+CT_ThongSo!$C$33)+BD34*M34/2)/R34</f>
        <v>0.81470979146792311</v>
      </c>
      <c r="BH34">
        <f>MAX(MAX(0,BD34-CT_ThongSo!$C$36*O34)/CT_ThongSo!$C$45,MAX(0,(BC34*(N34+CT_ThongSo!$C$33)+BD34*M34/2)-CT_ThongSo!$C$36*O34*M34/2)/(M34-CT_ThongSo!$C$41)/(CT_ThongSo!$C$45/2))/CT_ThongSo!$C$56</f>
        <v>0.70605321929883402</v>
      </c>
      <c r="BI34">
        <f t="shared" si="14"/>
        <v>0.75686480333769823</v>
      </c>
      <c r="BJ34">
        <f t="shared" si="15"/>
        <v>0.58664237121943019</v>
      </c>
      <c r="BK34">
        <f t="shared" si="16"/>
        <v>0.81470979146792311</v>
      </c>
      <c r="BL34">
        <f t="shared" si="17"/>
        <v>0.70605321929883402</v>
      </c>
      <c r="BM34">
        <f>(O34/M34^2)/(5.14*CT_ThongSo!$C$37/CT_ThongSo!$C$44)</f>
        <v>0.14591439688715954</v>
      </c>
      <c r="BN34" t="str">
        <f t="shared" si="18"/>
        <v>ĐẠT</v>
      </c>
      <c r="BO34">
        <f t="shared" si="19"/>
        <v>2.5</v>
      </c>
      <c r="BP34">
        <v>2.5</v>
      </c>
    </row>
    <row r="35" spans="1:68" ht="15.5" x14ac:dyDescent="0.35">
      <c r="A35" t="s">
        <v>840</v>
      </c>
      <c r="B35" t="s">
        <v>841</v>
      </c>
      <c r="C35" t="s">
        <v>171</v>
      </c>
      <c r="D35">
        <f>VLOOKUP(C35,CT_LucDay!$A$6:$M$14,13,FALSE)</f>
        <v>45.580572836038897</v>
      </c>
      <c r="E35" s="3">
        <v>11.75</v>
      </c>
      <c r="F35" s="3">
        <v>344.1</v>
      </c>
      <c r="G35" t="s">
        <v>842</v>
      </c>
      <c r="H35" t="s">
        <v>172</v>
      </c>
      <c r="I35">
        <f>VLOOKUP(H35,CT_LucDay!$A$6:$M$14,13,FALSE)</f>
        <v>59.12688965832276</v>
      </c>
      <c r="J35" s="3">
        <v>11.75</v>
      </c>
      <c r="K35" s="3">
        <v>164</v>
      </c>
      <c r="L35" s="3">
        <v>378.3</v>
      </c>
      <c r="M35" s="3">
        <v>2.5</v>
      </c>
      <c r="N35" s="3">
        <v>0.4</v>
      </c>
      <c r="O35">
        <f>M35^2*N35*(CT_ThongSo!$C$34-CT_ThongSo!$C$35)</f>
        <v>37.5</v>
      </c>
      <c r="P35">
        <f>CT_ThongSo!$C$36*O35+CT_ThongSo!$C$45*CT_ThongSo!$C$56</f>
        <v>65.417253948185106</v>
      </c>
      <c r="Q35">
        <f>M35*(0.5*CT_ThongSo!$C$38*CT_ThongSo!$C$40^2+2*CT_ThongSo!$C$37*CT_ThongSo!$C$40)</f>
        <v>15.168749999999999</v>
      </c>
      <c r="R35">
        <f>O35*M35/2+CT_ThongSo!$C$45/2*CT_ThongSo!$C$55*M35</f>
        <v>126.04313487046278</v>
      </c>
      <c r="S35">
        <f>MAX(0,CT_ThongSo!$C$19-L35+CT_ThongSo!$C$13-N35-CT_ThongSo!$C$33)</f>
        <v>1.4999999999999889</v>
      </c>
      <c r="T35">
        <f t="shared" si="0"/>
        <v>0.12697278961407799</v>
      </c>
      <c r="U35">
        <f t="shared" si="1"/>
        <v>0.12697278961407799</v>
      </c>
      <c r="V35">
        <f>MAX(0,CT_ThongSo!$C$20-L35+CT_ThongSo!$C$13-N35-CT_ThongSo!$C$33)</f>
        <v>7.4999999999999876</v>
      </c>
      <c r="W35">
        <f t="shared" si="2"/>
        <v>0.56810473247442639</v>
      </c>
      <c r="X35">
        <f t="shared" si="3"/>
        <v>0.56810473247442639</v>
      </c>
      <c r="Y35">
        <f>SQRT((D35*COS(T35)*SIN(RADIANS(F35))+MIN(CT_ThongSo!$C$17,I35)*COS(U35)*SIN(RADIANS(K35)))^2+(D35*COS(T35)*COS(RADIANS(F35))+MIN(CT_ThongSo!$C$17,I35)*COS(U35)*COS(RADIANS(K35)))^2)</f>
        <v>40.25389876579014</v>
      </c>
      <c r="Z35">
        <f>D35*SIN(T35)+MIN(CT_ThongSo!$C$17,I35)*SIN(U35)</f>
        <v>6.405113371524874</v>
      </c>
      <c r="AA35">
        <f t="shared" si="4"/>
        <v>9.791168208616885E-2</v>
      </c>
      <c r="AB35">
        <f>CT_ThongSo!$C$42*Y35/(IF(O35&gt;Z35,CT_ThongSo!$C$39*CT_ThongSo!$C$37*M35^2,0)+Q35+CT_ThongSo!$C$45*CT_ThongSo!$C$61)</f>
        <v>0.43878677639297409</v>
      </c>
      <c r="AC35">
        <f>CT_ThongSo!$C$43*(Y35*(N35+CT_ThongSo!$C$33)+Z35*M35/2)/R35</f>
        <v>0.35875856388258354</v>
      </c>
      <c r="AD35">
        <f>MAX(MAX(0,Z35-CT_ThongSo!$C$36*O35)/CT_ThongSo!$C$45,MAX(0,(Y35*(N35+CT_ThongSo!$C$33)+Z35*M35/2)-CT_ThongSo!$C$36*O35*M35/2)/(M35-CT_ThongSo!$C$41)/(CT_ThongSo!$C$45/2))/CT_ThongSo!$C$56</f>
        <v>0</v>
      </c>
      <c r="AE35">
        <f>SQRT((MIN(CT_ThongSo!$C$17,D35)*COS(T35)*SIN(RADIANS(F35))+I35*COS(U35)*SIN(RADIANS(K35)))^2+(MIN(CT_ThongSo!$C$17,D35)*COS(T35)*COS(RADIANS(F35))+I35*COS(U35)*COS(RADIANS(K35)))^2)</f>
        <v>53.691164519158669</v>
      </c>
      <c r="AF35">
        <f>MIN(CT_ThongSo!$C$17,D35)*SIN(T35)+I35*SIN(U35)</f>
        <v>8.1205090293514655</v>
      </c>
      <c r="AG35">
        <f t="shared" si="5"/>
        <v>0.1241340554555142</v>
      </c>
      <c r="AH35">
        <f>CT_ThongSo!$C$42*AE35/(IF(O35&gt;AF35,CT_ThongSo!$C$39*CT_ThongSo!$C$37*M35^2,0)+Q35+CT_ThongSo!$C$45*CT_ThongSo!$C$61)</f>
        <v>0.58525940896358841</v>
      </c>
      <c r="AI35">
        <f>CT_ThongSo!$C$43*(AE35*(N35+CT_ThongSo!$C$33)+AF35*M35/2)/R35</f>
        <v>0.4722285368378934</v>
      </c>
      <c r="AJ35">
        <f>MAX(MAX(0,AF35-CT_ThongSo!$C$36*O35)/CT_ThongSo!$C$45,MAX(0,(AE35*(N35+CT_ThongSo!$C$33)+AF35*M35/2)-CT_ThongSo!$C$36*O35*M35/2)/(M35-CT_ThongSo!$C$41)/(CT_ThongSo!$C$45/2))/CT_ThongSo!$C$56</f>
        <v>0</v>
      </c>
      <c r="AK35">
        <f t="shared" si="6"/>
        <v>13.437566561436716</v>
      </c>
      <c r="AL35">
        <f t="shared" si="7"/>
        <v>13.259303533296967</v>
      </c>
      <c r="AM35">
        <f t="shared" si="8"/>
        <v>0.20268817067434888</v>
      </c>
      <c r="AN35">
        <f>CT_ThongSo!$C$42*AK35/(IF(O35&gt;AL35,CT_ThongSo!$C$39*CT_ThongSo!$C$37*M35^2,0)+Q35+CT_ThongSo!$C$45*CT_ThongSo!$C$61)</f>
        <v>0.1464759115226314</v>
      </c>
      <c r="AO35">
        <f>CT_ThongSo!$C$43*(AK35*(N35+CT_ThongSo!$C$33)+AL35*M35/2)/R35</f>
        <v>0.28519749667493427</v>
      </c>
      <c r="AP35">
        <f>MAX(MAX(0,AL35-CT_ThongSo!$C$36*O35)/CT_ThongSo!$C$45,MAX(0,(AK35*(N35+CT_ThongSo!$C$33)+AL35*M35/2)-CT_ThongSo!$C$36*O35*M35/2)/(M35-CT_ThongSo!$C$41)/(CT_ThongSo!$C$45/2))/CT_ThongSo!$C$56</f>
        <v>0</v>
      </c>
      <c r="AQ35">
        <f>SQRT((D35*COS(W35)*SIN(RADIANS(F35))+MIN(CT_ThongSo!$C$17,I35)*COS(X35)*SIN(RADIANS(K35)))^2+(D35*COS(W35)*COS(RADIANS(F35))+MIN(CT_ThongSo!$C$17,I35)*COS(X35)*COS(RADIANS(K35)))^2)</f>
        <v>34.206273331018075</v>
      </c>
      <c r="AR35">
        <f>D35*SIN(W35)+MIN(CT_ThongSo!$C$17,I35)*SIN(X35)</f>
        <v>27.214141414885528</v>
      </c>
      <c r="AS35">
        <f t="shared" si="9"/>
        <v>0.41600861810006534</v>
      </c>
      <c r="AT35">
        <f>CT_ThongSo!$C$42*AQ35/(IF(O35&gt;AR35,CT_ThongSo!$C$39*CT_ThongSo!$C$37*M35^2,0)+Q35+CT_ThongSo!$C$45*CT_ThongSo!$C$61)</f>
        <v>0.37286476260754225</v>
      </c>
      <c r="AU35">
        <f>CT_ThongSo!$C$43*(AQ35*(N35+CT_ThongSo!$C$33)+AR35*M35/2)/R35</f>
        <v>0.62872675082576923</v>
      </c>
      <c r="AV35">
        <f>MAX(MAX(0,AR35-CT_ThongSo!$C$36*O35)/CT_ThongSo!$C$45,MAX(0,(AQ35*(N35+CT_ThongSo!$C$33)+AR35*M35/2)-CT_ThongSo!$C$36*O35*M35/2)/(M35-CT_ThongSo!$C$41)/(CT_ThongSo!$C$45/2))/CT_ThongSo!$C$56</f>
        <v>0.28604962267780953</v>
      </c>
      <c r="AW35">
        <f>SQRT((MIN(CT_ThongSo!$C$17,D35)*COS(W35)*SIN(RADIANS(F35))+I35*COS(X35)*SIN(RADIANS(K35)))^2+(MIN(CT_ThongSo!$C$17,D35)*COS(W35)*COS(RADIANS(F35))+I35*COS(X35)*COS(RADIANS(K35)))^2)</f>
        <v>45.624764440551971</v>
      </c>
      <c r="AX35">
        <f>MIN(CT_ThongSo!$C$17,D35)*SIN(W35)+I35*SIN(X35)</f>
        <v>34.50254012178609</v>
      </c>
      <c r="AY35">
        <f t="shared" si="10"/>
        <v>0.527422629955003</v>
      </c>
      <c r="AZ35">
        <f>CT_ThongSo!$C$42*AW35/(IF(O35&gt;AX35,CT_ThongSo!$C$39*CT_ThongSo!$C$37*M35^2,0)+Q35+CT_ThongSo!$C$45*CT_ThongSo!$C$61)</f>
        <v>0.49733178465615463</v>
      </c>
      <c r="BA35">
        <f>CT_ThongSo!$C$43*(AW35*(N35+CT_ThongSo!$C$33)+AX35*M35/2)/R35</f>
        <v>0.81188629191882444</v>
      </c>
      <c r="BB35">
        <f>MAX(MAX(0,AX35-CT_ThongSo!$C$36*O35)/CT_ThongSo!$C$45,MAX(0,(AW35*(N35+CT_ThongSo!$C$33)+AX35*M35/2)-CT_ThongSo!$C$36*O35*M35/2)/(M35-CT_ThongSo!$C$41)/(CT_ThongSo!$C$45/2))/CT_ThongSo!$C$56</f>
        <v>0.69967693917358853</v>
      </c>
      <c r="BC35">
        <f t="shared" si="11"/>
        <v>11.41874672509701</v>
      </c>
      <c r="BD35">
        <f t="shared" si="12"/>
        <v>56.336327007452979</v>
      </c>
      <c r="BE35">
        <f t="shared" si="13"/>
        <v>0.86118452865776307</v>
      </c>
      <c r="BF35">
        <f>CT_ThongSo!$C$42*BC35/(IF(O35&gt;BD35,CT_ThongSo!$C$39*CT_ThongSo!$C$37*M35^2,0)+Q35+CT_ThongSo!$C$45*CT_ThongSo!$C$61)</f>
        <v>0.22804462782262308</v>
      </c>
      <c r="BG35">
        <f>CT_ThongSo!$C$43*(BC35*(N35+CT_ThongSo!$C$33)+BD35*M35/2)/R35</f>
        <v>0.91279131787240786</v>
      </c>
      <c r="BH35">
        <f>MAX(MAX(0,BD35-CT_ThongSo!$C$36*O35)/CT_ThongSo!$C$45,MAX(0,(BC35*(N35+CT_ThongSo!$C$33)+BD35*M35/2)-CT_ThongSo!$C$36*O35*M35/2)/(M35-CT_ThongSo!$C$41)/(CT_ThongSo!$C$45/2))/CT_ThongSo!$C$56</f>
        <v>0.92754972623693288</v>
      </c>
      <c r="BI35">
        <f t="shared" si="14"/>
        <v>0.86118452865776307</v>
      </c>
      <c r="BJ35">
        <f t="shared" si="15"/>
        <v>0.58525940896358841</v>
      </c>
      <c r="BK35">
        <f t="shared" si="16"/>
        <v>0.91279131787240786</v>
      </c>
      <c r="BL35">
        <f t="shared" si="17"/>
        <v>0.92754972623693288</v>
      </c>
      <c r="BM35">
        <f>(O35/M35^2)/(5.14*CT_ThongSo!$C$37/CT_ThongSo!$C$44)</f>
        <v>0.14591439688715954</v>
      </c>
      <c r="BN35" t="str">
        <f t="shared" si="18"/>
        <v>ĐẠT</v>
      </c>
      <c r="BO35">
        <f t="shared" si="19"/>
        <v>2.5</v>
      </c>
      <c r="BP35">
        <v>2.5</v>
      </c>
    </row>
    <row r="36" spans="1:68" ht="15.5" x14ac:dyDescent="0.35">
      <c r="A36" t="s">
        <v>843</v>
      </c>
      <c r="B36" t="s">
        <v>844</v>
      </c>
      <c r="C36" t="s">
        <v>171</v>
      </c>
      <c r="D36">
        <f>VLOOKUP(C36,CT_LucDay!$A$6:$M$14,13,FALSE)</f>
        <v>45.580572836038897</v>
      </c>
      <c r="E36" s="3">
        <v>11.3</v>
      </c>
      <c r="F36" s="3">
        <v>0.2</v>
      </c>
      <c r="G36" t="s">
        <v>845</v>
      </c>
      <c r="H36" t="s">
        <v>172</v>
      </c>
      <c r="I36">
        <f>VLOOKUP(H36,CT_LucDay!$A$6:$M$14,13,FALSE)</f>
        <v>59.12688965832276</v>
      </c>
      <c r="J36" s="3">
        <v>11.3</v>
      </c>
      <c r="K36" s="3">
        <v>180.1</v>
      </c>
      <c r="L36" s="3">
        <v>378.3</v>
      </c>
      <c r="M36" s="3">
        <v>2.5</v>
      </c>
      <c r="N36" s="3">
        <v>0.4</v>
      </c>
      <c r="O36">
        <f>M36^2*N36*(CT_ThongSo!$C$34-CT_ThongSo!$C$35)</f>
        <v>37.5</v>
      </c>
      <c r="P36">
        <f>CT_ThongSo!$C$36*O36+CT_ThongSo!$C$45*CT_ThongSo!$C$56</f>
        <v>65.417253948185106</v>
      </c>
      <c r="Q36">
        <f>M36*(0.5*CT_ThongSo!$C$38*CT_ThongSo!$C$40^2+2*CT_ThongSo!$C$37*CT_ThongSo!$C$40)</f>
        <v>15.168749999999999</v>
      </c>
      <c r="R36">
        <f>O36*M36/2+CT_ThongSo!$C$45/2*CT_ThongSo!$C$55*M36</f>
        <v>126.04313487046278</v>
      </c>
      <c r="S36">
        <f>MAX(0,CT_ThongSo!$C$19-L36+CT_ThongSo!$C$13-N36-CT_ThongSo!$C$33)</f>
        <v>1.4999999999999889</v>
      </c>
      <c r="T36">
        <f t="shared" si="0"/>
        <v>0.13197182221668538</v>
      </c>
      <c r="U36">
        <f t="shared" si="1"/>
        <v>0.13197182221668538</v>
      </c>
      <c r="V36">
        <f>MAX(0,CT_ThongSo!$C$20-L36+CT_ThongSo!$C$13-N36-CT_ThongSo!$C$33)</f>
        <v>7.4999999999999876</v>
      </c>
      <c r="W36">
        <f t="shared" si="2"/>
        <v>0.58595761662321277</v>
      </c>
      <c r="X36">
        <f t="shared" si="3"/>
        <v>0.58595761662321277</v>
      </c>
      <c r="Y36">
        <f>SQRT((D36*COS(T36)*SIN(RADIANS(F36))+MIN(CT_ThongSo!$C$17,I36)*COS(U36)*SIN(RADIANS(K36)))^2+(D36*COS(T36)*COS(RADIANS(F36))+MIN(CT_ThongSo!$C$17,I36)*COS(U36)*COS(RADIANS(K36)))^2)</f>
        <v>40.227706888109594</v>
      </c>
      <c r="Z36">
        <f>D36*SIN(T36)+MIN(CT_ThongSo!$C$17,I36)*SIN(U36)</f>
        <v>6.6558506968617657</v>
      </c>
      <c r="AA36">
        <f t="shared" si="4"/>
        <v>0.10174457494247084</v>
      </c>
      <c r="AB36">
        <f>CT_ThongSo!$C$42*Y36/(IF(O36&gt;Z36,CT_ThongSo!$C$39*CT_ThongSo!$C$37*M36^2,0)+Q36+CT_ThongSo!$C$45*CT_ThongSo!$C$61)</f>
        <v>0.4385012723814995</v>
      </c>
      <c r="AC36">
        <f>CT_ThongSo!$C$43*(Y36*(N36+CT_ThongSo!$C$33)+Z36*M36/2)/R36</f>
        <v>0.36231706142694542</v>
      </c>
      <c r="AD36">
        <f>MAX(MAX(0,Z36-CT_ThongSo!$C$36*O36)/CT_ThongSo!$C$45,MAX(0,(Y36*(N36+CT_ThongSo!$C$33)+Z36*M36/2)-CT_ThongSo!$C$36*O36*M36/2)/(M36-CT_ThongSo!$C$41)/(CT_ThongSo!$C$45/2))/CT_ThongSo!$C$56</f>
        <v>0</v>
      </c>
      <c r="AE36">
        <f>SQRT((MIN(CT_ThongSo!$C$17,D36)*COS(T36)*SIN(RADIANS(F36))+I36*COS(U36)*SIN(RADIANS(K36)))^2+(MIN(CT_ThongSo!$C$17,D36)*COS(T36)*COS(RADIANS(F36))+I36*COS(U36)*COS(RADIANS(K36)))^2)</f>
        <v>53.65622945804089</v>
      </c>
      <c r="AF36">
        <f>MIN(CT_ThongSo!$C$17,D36)*SIN(T36)+I36*SIN(U36)</f>
        <v>8.4383979715590449</v>
      </c>
      <c r="AG36">
        <f t="shared" si="5"/>
        <v>0.12899346062802983</v>
      </c>
      <c r="AH36">
        <f>CT_ThongSo!$C$42*AE36/(IF(O36&gt;AF36,CT_ThongSo!$C$39*CT_ThongSo!$C$37*M36^2,0)+Q36+CT_ThongSo!$C$45*CT_ThongSo!$C$61)</f>
        <v>0.58487860006504788</v>
      </c>
      <c r="AI36">
        <f>CT_ThongSo!$C$43*(AE36*(N36+CT_ThongSo!$C$33)+AF36*M36/2)/R36</f>
        <v>0.47672874497536949</v>
      </c>
      <c r="AJ36">
        <f>MAX(MAX(0,AF36-CT_ThongSo!$C$36*O36)/CT_ThongSo!$C$45,MAX(0,(AE36*(N36+CT_ThongSo!$C$33)+AF36*M36/2)-CT_ThongSo!$C$36*O36*M36/2)/(M36-CT_ThongSo!$C$41)/(CT_ThongSo!$C$45/2))/CT_ThongSo!$C$56</f>
        <v>0</v>
      </c>
      <c r="AK36">
        <f t="shared" si="6"/>
        <v>13.428823182273645</v>
      </c>
      <c r="AL36">
        <f t="shared" si="7"/>
        <v>13.778357937321886</v>
      </c>
      <c r="AM36">
        <f t="shared" si="8"/>
        <v>0.21062268905746606</v>
      </c>
      <c r="AN36">
        <f>CT_ThongSo!$C$42*AK36/(IF(O36&gt;AL36,CT_ThongSo!$C$39*CT_ThongSo!$C$37*M36^2,0)+Q36+CT_ThongSo!$C$45*CT_ThongSo!$C$61)</f>
        <v>0.14638060450206011</v>
      </c>
      <c r="AO36">
        <f>CT_ThongSo!$C$43*(AK36*(N36+CT_ThongSo!$C$33)+AL36*M36/2)/R36</f>
        <v>0.29286164848082191</v>
      </c>
      <c r="AP36">
        <f>MAX(MAX(0,AL36-CT_ThongSo!$C$36*O36)/CT_ThongSo!$C$45,MAX(0,(AK36*(N36+CT_ThongSo!$C$33)+AL36*M36/2)-CT_ThongSo!$C$36*O36*M36/2)/(M36-CT_ThongSo!$C$41)/(CT_ThongSo!$C$45/2))/CT_ThongSo!$C$56</f>
        <v>0</v>
      </c>
      <c r="AQ36">
        <f>SQRT((D36*COS(W36)*SIN(RADIANS(F36))+MIN(CT_ThongSo!$C$17,I36)*COS(X36)*SIN(RADIANS(K36)))^2+(D36*COS(W36)*COS(RADIANS(F36))+MIN(CT_ThongSo!$C$17,I36)*COS(X36)*COS(RADIANS(K36)))^2)</f>
        <v>33.811046826524361</v>
      </c>
      <c r="AR36">
        <f>D36*SIN(W36)+MIN(CT_ThongSo!$C$17,I36)*SIN(X36)</f>
        <v>27.970930608583402</v>
      </c>
      <c r="AS36">
        <f t="shared" si="9"/>
        <v>0.42757726624749903</v>
      </c>
      <c r="AT36">
        <f>CT_ThongSo!$C$42*AQ36/(IF(O36&gt;AR36,CT_ThongSo!$C$39*CT_ThongSo!$C$37*M36^2,0)+Q36+CT_ThongSo!$C$45*CT_ThongSo!$C$61)</f>
        <v>0.3685566044124598</v>
      </c>
      <c r="AU36">
        <f>CT_ThongSo!$C$43*(AQ36*(N36+CT_ThongSo!$C$33)+AR36*M36/2)/R36</f>
        <v>0.63739773376426412</v>
      </c>
      <c r="AV36">
        <f>MAX(MAX(0,AR36-CT_ThongSo!$C$36*O36)/CT_ThongSo!$C$45,MAX(0,(AQ36*(N36+CT_ThongSo!$C$33)+AR36*M36/2)-CT_ThongSo!$C$36*O36*M36/2)/(M36-CT_ThongSo!$C$41)/(CT_ThongSo!$C$45/2))/CT_ThongSo!$C$56</f>
        <v>0.30563121467583787</v>
      </c>
      <c r="AW36">
        <f>SQRT((MIN(CT_ThongSo!$C$17,D36)*COS(W36)*SIN(RADIANS(F36))+I36*COS(X36)*SIN(RADIANS(K36)))^2+(MIN(CT_ThongSo!$C$17,D36)*COS(W36)*COS(RADIANS(F36))+I36*COS(X36)*COS(RADIANS(K36)))^2)</f>
        <v>45.097606278840246</v>
      </c>
      <c r="AX36">
        <f>MIN(CT_ThongSo!$C$17,D36)*SIN(W36)+I36*SIN(X36)</f>
        <v>35.462010020954501</v>
      </c>
      <c r="AY36">
        <f t="shared" si="10"/>
        <v>0.54208955406539705</v>
      </c>
      <c r="AZ36">
        <f>CT_ThongSo!$C$42*AW36/(IF(O36&gt;AX36,CT_ThongSo!$C$39*CT_ThongSo!$C$37*M36^2,0)+Q36+CT_ThongSo!$C$45*CT_ThongSo!$C$61)</f>
        <v>0.49158550820793856</v>
      </c>
      <c r="BA36">
        <f>CT_ThongSo!$C$43*(AW36*(N36+CT_ThongSo!$C$33)+AX36*M36/2)/R36</f>
        <v>0.82270878200470254</v>
      </c>
      <c r="BB36">
        <f>MAX(MAX(0,AX36-CT_ThongSo!$C$36*O36)/CT_ThongSo!$C$45,MAX(0,(AW36*(N36+CT_ThongSo!$C$33)+AX36*M36/2)-CT_ThongSo!$C$36*O36*M36/2)/(M36-CT_ThongSo!$C$41)/(CT_ThongSo!$C$45/2))/CT_ThongSo!$C$56</f>
        <v>0.7241172577358066</v>
      </c>
      <c r="BC36">
        <f t="shared" si="11"/>
        <v>11.286812114442817</v>
      </c>
      <c r="BD36">
        <f t="shared" si="12"/>
        <v>57.902965573847354</v>
      </c>
      <c r="BE36">
        <f t="shared" si="13"/>
        <v>0.8851329286874442</v>
      </c>
      <c r="BF36">
        <f>CT_ThongSo!$C$42*BC36/(IF(O36&gt;BD36,CT_ThongSo!$C$39*CT_ThongSo!$C$37*M36^2,0)+Q36+CT_ThongSo!$C$45*CT_ThongSo!$C$61)</f>
        <v>0.22540975204265409</v>
      </c>
      <c r="BG36">
        <f>CT_ThongSo!$C$43*(BC36*(N36+CT_ThongSo!$C$33)+BD36*M36/2)/R36</f>
        <v>0.93523285156725577</v>
      </c>
      <c r="BH36">
        <f>MAX(MAX(0,BD36-CT_ThongSo!$C$36*O36)/CT_ThongSo!$C$45,MAX(0,(BC36*(N36+CT_ThongSo!$C$33)+BD36*M36/2)-CT_ThongSo!$C$36*O36*M36/2)/(M36-CT_ThongSo!$C$41)/(CT_ThongSo!$C$45/2))/CT_ThongSo!$C$56</f>
        <v>0.97822921202759427</v>
      </c>
      <c r="BI36">
        <f t="shared" si="14"/>
        <v>0.8851329286874442</v>
      </c>
      <c r="BJ36">
        <f t="shared" si="15"/>
        <v>0.58487860006504788</v>
      </c>
      <c r="BK36">
        <f t="shared" si="16"/>
        <v>0.93523285156725577</v>
      </c>
      <c r="BL36">
        <f t="shared" si="17"/>
        <v>0.97822921202759427</v>
      </c>
      <c r="BM36">
        <f>(O36/M36^2)/(5.14*CT_ThongSo!$C$37/CT_ThongSo!$C$44)</f>
        <v>0.14591439688715954</v>
      </c>
      <c r="BN36" t="str">
        <f t="shared" si="18"/>
        <v>ĐẠT</v>
      </c>
      <c r="BO36">
        <f t="shared" si="19"/>
        <v>2.5</v>
      </c>
      <c r="BP36">
        <v>2.5</v>
      </c>
    </row>
    <row r="37" spans="1:68" ht="15.5" x14ac:dyDescent="0.35">
      <c r="A37" t="s">
        <v>846</v>
      </c>
      <c r="B37" t="s">
        <v>847</v>
      </c>
      <c r="C37" t="s">
        <v>172</v>
      </c>
      <c r="D37">
        <f>VLOOKUP(C37,CT_LucDay!$A$6:$M$14,13,FALSE)</f>
        <v>59.12688965832276</v>
      </c>
      <c r="E37" s="3">
        <v>11.49</v>
      </c>
      <c r="F37" s="3">
        <v>13.8</v>
      </c>
      <c r="G37" t="s">
        <v>848</v>
      </c>
      <c r="H37" t="s">
        <v>173</v>
      </c>
      <c r="I37">
        <f>VLOOKUP(H37,CT_LucDay!$A$6:$M$14,13,FALSE)</f>
        <v>30.868305035862349</v>
      </c>
      <c r="J37" s="3">
        <v>11.49</v>
      </c>
      <c r="K37" s="3">
        <v>193.8</v>
      </c>
      <c r="L37" s="3">
        <v>378.3</v>
      </c>
      <c r="M37" s="3">
        <v>2.5</v>
      </c>
      <c r="N37" s="3">
        <v>0.4</v>
      </c>
      <c r="O37">
        <f>M37^2*N37*(CT_ThongSo!$C$34-CT_ThongSo!$C$35)</f>
        <v>37.5</v>
      </c>
      <c r="P37">
        <f>CT_ThongSo!$C$36*O37+CT_ThongSo!$C$45*CT_ThongSo!$C$56</f>
        <v>65.417253948185106</v>
      </c>
      <c r="Q37">
        <f>M37*(0.5*CT_ThongSo!$C$38*CT_ThongSo!$C$40^2+2*CT_ThongSo!$C$37*CT_ThongSo!$C$40)</f>
        <v>15.168749999999999</v>
      </c>
      <c r="R37">
        <f>O37*M37/2+CT_ThongSo!$C$45/2*CT_ThongSo!$C$55*M37</f>
        <v>126.04313487046278</v>
      </c>
      <c r="S37">
        <f>MAX(0,CT_ThongSo!$C$19-L37+CT_ThongSo!$C$13-N37-CT_ThongSo!$C$33)</f>
        <v>1.4999999999999889</v>
      </c>
      <c r="T37">
        <f t="shared" si="0"/>
        <v>0.12981415675584945</v>
      </c>
      <c r="U37">
        <f t="shared" si="1"/>
        <v>0.12981415675584945</v>
      </c>
      <c r="V37">
        <f>MAX(0,CT_ThongSo!$C$20-L37+CT_ThongSo!$C$13-N37-CT_ThongSo!$C$33)</f>
        <v>7.4999999999999876</v>
      </c>
      <c r="W37">
        <f t="shared" si="2"/>
        <v>0.57830005781070681</v>
      </c>
      <c r="X37">
        <f t="shared" si="3"/>
        <v>0.57830005781070681</v>
      </c>
      <c r="Y37">
        <f>SQRT((D37*COS(T37)*SIN(RADIANS(F37))+MIN(CT_ThongSo!$C$17,I37)*COS(U37)*SIN(RADIANS(K37)))^2+(D37*COS(T37)*COS(RADIANS(F37))+MIN(CT_ThongSo!$C$17,I37)*COS(U37)*COS(RADIANS(K37)))^2)</f>
        <v>53.671464288646099</v>
      </c>
      <c r="Z37">
        <f>D37*SIN(T37)+MIN(CT_ThongSo!$C$17,I37)*SIN(U37)</f>
        <v>8.3012172285713977</v>
      </c>
      <c r="AA37">
        <f t="shared" si="4"/>
        <v>0.12689644898800742</v>
      </c>
      <c r="AB37">
        <f>CT_ThongSo!$C$42*Y37/(IF(O37&gt;Z37,CT_ThongSo!$C$39*CT_ThongSo!$C$37*M37^2,0)+Q37+CT_ThongSo!$C$45*CT_ThongSo!$C$61)</f>
        <v>0.5850446670154581</v>
      </c>
      <c r="AC37">
        <f>CT_ThongSo!$C$43*(Y37*(N37+CT_ThongSo!$C$33)+Z37*M37/2)/R37</f>
        <v>0.47478778120844978</v>
      </c>
      <c r="AD37">
        <f>MAX(MAX(0,Z37-CT_ThongSo!$C$36*O37)/CT_ThongSo!$C$45,MAX(0,(Y37*(N37+CT_ThongSo!$C$33)+Z37*M37/2)-CT_ThongSo!$C$36*O37*M37/2)/(M37-CT_ThongSo!$C$41)/(CT_ThongSo!$C$45/2))/CT_ThongSo!$C$56</f>
        <v>0</v>
      </c>
      <c r="AE37">
        <f>SQRT((MIN(CT_ThongSo!$C$17,D37)*COS(T37)*SIN(RADIANS(F37))+I37*COS(U37)*SIN(RADIANS(K37)))^2+(MIN(CT_ThongSo!$C$17,D37)*COS(T37)*COS(RADIANS(F37))+I37*COS(U37)*COS(RADIANS(K37)))^2)</f>
        <v>25.650648295225032</v>
      </c>
      <c r="AF37">
        <f>MIN(CT_ThongSo!$C$17,D37)*SIN(T37)+I37*SIN(U37)</f>
        <v>4.6431472555399527</v>
      </c>
      <c r="AG37">
        <f t="shared" si="5"/>
        <v>7.0977410015064829E-2</v>
      </c>
      <c r="AH37">
        <f>CT_ThongSo!$C$42*AE37/(IF(O37&gt;AF37,CT_ThongSo!$C$39*CT_ThongSo!$C$37*M37^2,0)+Q37+CT_ThongSo!$C$45*CT_ThongSo!$C$61)</f>
        <v>0.27960435194955457</v>
      </c>
      <c r="AI37">
        <f>CT_ThongSo!$C$43*(AE37*(N37+CT_ThongSo!$C$33)+AF37*M37/2)/R37</f>
        <v>0.23696400425452543</v>
      </c>
      <c r="AJ37">
        <f>MAX(MAX(0,AF37-CT_ThongSo!$C$36*O37)/CT_ThongSo!$C$45,MAX(0,(AE37*(N37+CT_ThongSo!$C$33)+AF37*M37/2)-CT_ThongSo!$C$36*O37*M37/2)/(M37-CT_ThongSo!$C$41)/(CT_ThongSo!$C$45/2))/CT_ThongSo!$C$56</f>
        <v>0</v>
      </c>
      <c r="AK37">
        <f t="shared" si="6"/>
        <v>28.020815993421063</v>
      </c>
      <c r="AL37">
        <f t="shared" si="7"/>
        <v>11.649865831081168</v>
      </c>
      <c r="AM37">
        <f t="shared" si="8"/>
        <v>0.17808552221266657</v>
      </c>
      <c r="AN37">
        <f>CT_ThongSo!$C$42*AK37/(IF(O37&gt;AL37,CT_ThongSo!$C$39*CT_ThongSo!$C$37*M37^2,0)+Q37+CT_ThongSo!$C$45*CT_ThongSo!$C$61)</f>
        <v>0.30544031506590336</v>
      </c>
      <c r="AO37">
        <f>CT_ThongSo!$C$43*(AK37*(N37+CT_ThongSo!$C$33)+AL37*M37/2)/R37</f>
        <v>0.35670861149285615</v>
      </c>
      <c r="AP37">
        <f>MAX(MAX(0,AL37-CT_ThongSo!$C$36*O37)/CT_ThongSo!$C$45,MAX(0,(AK37*(N37+CT_ThongSo!$C$33)+AL37*M37/2)-CT_ThongSo!$C$36*O37*M37/2)/(M37-CT_ThongSo!$C$41)/(CT_ThongSo!$C$45/2))/CT_ThongSo!$C$56</f>
        <v>0</v>
      </c>
      <c r="AQ37">
        <f>SQRT((D37*COS(W37)*SIN(RADIANS(F37))+MIN(CT_ThongSo!$C$17,I37)*COS(X37)*SIN(RADIANS(K37)))^2+(D37*COS(W37)*COS(RADIANS(F37))+MIN(CT_ThongSo!$C$17,I37)*COS(X37)*COS(RADIANS(K37)))^2)</f>
        <v>45.325481211033157</v>
      </c>
      <c r="AR37">
        <f>D37*SIN(W37)+MIN(CT_ThongSo!$C$17,I37)*SIN(X37)</f>
        <v>35.051835319677942</v>
      </c>
      <c r="AS37">
        <f t="shared" si="9"/>
        <v>0.53581942383948689</v>
      </c>
      <c r="AT37">
        <f>CT_ThongSo!$C$42*AQ37/(IF(O37&gt;AR37,CT_ThongSo!$C$39*CT_ThongSo!$C$37*M37^2,0)+Q37+CT_ThongSo!$C$45*CT_ThongSo!$C$61)</f>
        <v>0.49406945411090469</v>
      </c>
      <c r="AU37">
        <f>CT_ThongSo!$C$43*(AQ37*(N37+CT_ThongSo!$C$33)+AR37*M37/2)/R37</f>
        <v>0.81809860830161607</v>
      </c>
      <c r="AV37">
        <f>MAX(MAX(0,AR37-CT_ThongSo!$C$36*O37)/CT_ThongSo!$C$45,MAX(0,(AQ37*(N37+CT_ThongSo!$C$33)+AR37*M37/2)-CT_ThongSo!$C$36*O37*M37/2)/(M37-CT_ThongSo!$C$41)/(CT_ThongSo!$C$45/2))/CT_ThongSo!$C$56</f>
        <v>0.71370614966026125</v>
      </c>
      <c r="AW37">
        <f>SQRT((MIN(CT_ThongSo!$C$17,D37)*COS(W37)*SIN(RADIANS(F37))+I37*COS(X37)*SIN(RADIANS(K37)))^2+(MIN(CT_ThongSo!$C$17,D37)*COS(W37)*COS(RADIANS(F37))+I37*COS(X37)*COS(RADIANS(K37)))^2)</f>
        <v>21.661938848983283</v>
      </c>
      <c r="AX37">
        <f>MIN(CT_ThongSo!$C$17,D37)*SIN(W37)+I37*SIN(X37)</f>
        <v>19.605658843144106</v>
      </c>
      <c r="AY37">
        <f t="shared" si="10"/>
        <v>0.29970164841638131</v>
      </c>
      <c r="AZ37">
        <f>CT_ThongSo!$C$42*AW37/(IF(O37&gt;AX37,CT_ThongSo!$C$39*CT_ThongSo!$C$37*M37^2,0)+Q37+CT_ThongSo!$C$45*CT_ThongSo!$C$61)</f>
        <v>0.23612550856924513</v>
      </c>
      <c r="BA37">
        <f>CT_ThongSo!$C$43*(AW37*(N37+CT_ThongSo!$C$33)+AX37*M37/2)/R37</f>
        <v>0.43343661626198515</v>
      </c>
      <c r="BB37">
        <f>MAX(MAX(0,AX37-CT_ThongSo!$C$36*O37)/CT_ThongSo!$C$45,MAX(0,(AW37*(N37+CT_ThongSo!$C$33)+AX37*M37/2)-CT_ThongSo!$C$36*O37*M37/2)/(M37-CT_ThongSo!$C$41)/(CT_ThongSo!$C$45/2))/CT_ThongSo!$C$56</f>
        <v>0</v>
      </c>
      <c r="BC37">
        <f t="shared" si="11"/>
        <v>23.663542362049874</v>
      </c>
      <c r="BD37">
        <f t="shared" si="12"/>
        <v>49.191482087943768</v>
      </c>
      <c r="BE37">
        <f t="shared" si="13"/>
        <v>0.75196494990307527</v>
      </c>
      <c r="BF37">
        <f>CT_ThongSo!$C$42*BC37/(IF(O37&gt;BD37,CT_ThongSo!$C$39*CT_ThongSo!$C$37*M37^2,0)+Q37+CT_ThongSo!$C$45*CT_ThongSo!$C$61)</f>
        <v>0.47258633901197183</v>
      </c>
      <c r="BG37">
        <f>CT_ThongSo!$C$43*(BC37*(N37+CT_ThongSo!$C$33)+BD37*M37/2)/R37</f>
        <v>0.88665242639704434</v>
      </c>
      <c r="BH37">
        <f>MAX(MAX(0,BD37-CT_ThongSo!$C$36*O37)/CT_ThongSo!$C$45,MAX(0,(BC37*(N37+CT_ThongSo!$C$33)+BD37*M37/2)-CT_ThongSo!$C$36*O37*M37/2)/(M37-CT_ThongSo!$C$41)/(CT_ThongSo!$C$45/2))/CT_ThongSo!$C$56</f>
        <v>0.86852053522342154</v>
      </c>
      <c r="BI37">
        <f t="shared" si="14"/>
        <v>0.75196494990307527</v>
      </c>
      <c r="BJ37">
        <f t="shared" si="15"/>
        <v>0.5850446670154581</v>
      </c>
      <c r="BK37">
        <f t="shared" si="16"/>
        <v>0.88665242639704434</v>
      </c>
      <c r="BL37">
        <f t="shared" si="17"/>
        <v>0.86852053522342154</v>
      </c>
      <c r="BM37">
        <f>(O37/M37^2)/(5.14*CT_ThongSo!$C$37/CT_ThongSo!$C$44)</f>
        <v>0.14591439688715954</v>
      </c>
      <c r="BN37" t="str">
        <f t="shared" si="18"/>
        <v>ĐẠT</v>
      </c>
      <c r="BO37">
        <f t="shared" si="19"/>
        <v>2.5</v>
      </c>
      <c r="BP37">
        <v>2.5</v>
      </c>
    </row>
    <row r="38" spans="1:68" ht="15.5" x14ac:dyDescent="0.35">
      <c r="A38" t="s">
        <v>204</v>
      </c>
      <c r="B38" t="s">
        <v>2</v>
      </c>
      <c r="C38" t="s">
        <v>2</v>
      </c>
      <c r="D38" t="s">
        <v>2</v>
      </c>
      <c r="E38" t="s">
        <v>2</v>
      </c>
      <c r="F38" t="s">
        <v>2</v>
      </c>
      <c r="G38" t="s">
        <v>2</v>
      </c>
      <c r="H38" t="s">
        <v>2</v>
      </c>
      <c r="I38" t="s">
        <v>2</v>
      </c>
      <c r="J38" t="s">
        <v>2</v>
      </c>
      <c r="K38" t="s">
        <v>2</v>
      </c>
      <c r="L38" t="s">
        <v>2</v>
      </c>
      <c r="M38" t="s">
        <v>2</v>
      </c>
      <c r="N38" t="s">
        <v>2</v>
      </c>
      <c r="O38" t="s">
        <v>2</v>
      </c>
      <c r="P38" t="s">
        <v>2</v>
      </c>
      <c r="Q38" t="s">
        <v>2</v>
      </c>
      <c r="R38" t="s">
        <v>2</v>
      </c>
      <c r="S38" t="s">
        <v>2</v>
      </c>
      <c r="T38" t="s">
        <v>2</v>
      </c>
      <c r="U38" t="s">
        <v>2</v>
      </c>
      <c r="V38" t="s">
        <v>2</v>
      </c>
      <c r="W38" t="s">
        <v>2</v>
      </c>
      <c r="X38" t="s">
        <v>2</v>
      </c>
      <c r="Y38" t="s">
        <v>2</v>
      </c>
      <c r="Z38" t="s">
        <v>2</v>
      </c>
      <c r="AA38" t="s">
        <v>2</v>
      </c>
      <c r="AB38" t="s">
        <v>2</v>
      </c>
      <c r="AC38" t="s">
        <v>2</v>
      </c>
      <c r="AD38" t="s">
        <v>2</v>
      </c>
      <c r="AE38" t="s">
        <v>2</v>
      </c>
      <c r="AF38" t="s">
        <v>2</v>
      </c>
      <c r="AG38" t="s">
        <v>2</v>
      </c>
      <c r="AH38" t="s">
        <v>2</v>
      </c>
      <c r="AI38" t="s">
        <v>2</v>
      </c>
      <c r="AJ38" t="s">
        <v>2</v>
      </c>
      <c r="AK38" t="s">
        <v>2</v>
      </c>
      <c r="AL38" t="s">
        <v>2</v>
      </c>
      <c r="AM38" t="s">
        <v>2</v>
      </c>
      <c r="AN38" t="s">
        <v>2</v>
      </c>
      <c r="AO38" t="s">
        <v>2</v>
      </c>
      <c r="AP38" t="s">
        <v>2</v>
      </c>
      <c r="AQ38" t="s">
        <v>2</v>
      </c>
      <c r="AR38" t="s">
        <v>2</v>
      </c>
      <c r="AS38" t="s">
        <v>2</v>
      </c>
      <c r="AT38" t="s">
        <v>2</v>
      </c>
      <c r="AU38" t="s">
        <v>2</v>
      </c>
      <c r="AV38" t="s">
        <v>2</v>
      </c>
      <c r="AW38" t="s">
        <v>2</v>
      </c>
      <c r="AX38" t="s">
        <v>2</v>
      </c>
      <c r="AY38" t="s">
        <v>2</v>
      </c>
      <c r="AZ38" t="s">
        <v>2</v>
      </c>
      <c r="BA38" t="s">
        <v>2</v>
      </c>
      <c r="BB38" t="s">
        <v>2</v>
      </c>
      <c r="BC38" t="s">
        <v>2</v>
      </c>
      <c r="BD38" t="s">
        <v>2</v>
      </c>
      <c r="BE38" t="s">
        <v>2</v>
      </c>
      <c r="BF38" t="s">
        <v>2</v>
      </c>
      <c r="BG38" t="s">
        <v>2</v>
      </c>
      <c r="BH38" t="s">
        <v>2</v>
      </c>
      <c r="BI38" t="s">
        <v>2</v>
      </c>
      <c r="BJ38" t="s">
        <v>2</v>
      </c>
      <c r="BK38" t="s">
        <v>2</v>
      </c>
      <c r="BL38" t="s">
        <v>2</v>
      </c>
      <c r="BM38" t="s">
        <v>2</v>
      </c>
      <c r="BN38" t="str">
        <f>COUNTIF(BN6:BN37,"ĐẠT")&amp;" / 32 đế đạt"</f>
        <v>32 / 32 đế đạt</v>
      </c>
      <c r="BO38">
        <f>SUM(BO6:BO37)</f>
        <v>93.425000000000011</v>
      </c>
      <c r="BP38" t="s">
        <v>2</v>
      </c>
    </row>
  </sheetData>
  <pageMargins left="0.7" right="0.7" top="0.75" bottom="0.75" header="0.3" footer="0.3"/>
  <ignoredErrors>
    <ignoredError sqref="A1:BP3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ThuyetMinh</vt:lpstr>
      <vt:lpstr>ThongSo</vt:lpstr>
      <vt:lpstr>LucDay</vt:lpstr>
      <vt:lpstr>CocKhoanNhoi_TheoBe</vt:lpstr>
      <vt:lpstr>CocKhoanNhoi_TungCoc</vt:lpstr>
      <vt:lpstr>DeNeoDay_TungDe</vt:lpstr>
      <vt:lpstr>VitXoan</vt:lpstr>
      <vt:lpstr>KhoiLuong_BaoGia</vt:lpstr>
      <vt:lpstr>ChieuDaiCatCap</vt:lpstr>
      <vt:lpstr>CT_ThongSo</vt:lpstr>
      <vt:lpstr>CT_LucDay</vt:lpstr>
      <vt:lpstr>CT_CocKhoanNhoi</vt:lpstr>
      <vt:lpstr>CT_DeVitXoan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Nhật Lê</cp:lastModifiedBy>
  <dcterms:created xsi:type="dcterms:W3CDTF">2026-10-12T13:57:27Z</dcterms:created>
  <dcterms:modified xsi:type="dcterms:W3CDTF">2026-10-12T13:57:27Z</dcterms:modified>
</cp:coreProperties>
</file>